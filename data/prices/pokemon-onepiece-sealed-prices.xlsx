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Other Sealed" sheetId="2" state="visible" r:id="rId2"/>
    <sheet name="Settings" sheetId="3" state="visible" r:id="rId3"/>
  </sheets>
  <definedNames>
    <definedName name="_xlnm._FilterDatabase" localSheetId="0" hidden="1">'Prices'!$A$1:$N$3653</definedName>
    <definedName name="_xlnm._FilterDatabase" localSheetId="1" hidden="1">'Other Sealed'!$A$1:$N$896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9" fontId="2" fillId="2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ricecharting.com/game/one-piece-500-years-in-the-future/booster-box" TargetMode="External" Id="rId1" /><Relationship Type="http://schemas.openxmlformats.org/officeDocument/2006/relationships/hyperlink" Target="https://www.tcgplayer.com/product/532106" TargetMode="External" Id="rId2" /><Relationship Type="http://schemas.openxmlformats.org/officeDocument/2006/relationships/hyperlink" Target="https://www.pricecharting.com/game/one-piece-500-years-in-the-future/double-pack-dp-04-display-box" TargetMode="External" Id="rId3" /><Relationship Type="http://schemas.openxmlformats.org/officeDocument/2006/relationships/hyperlink" Target="https://www.tcgplayer.com/product/620180" TargetMode="External" Id="rId4" /><Relationship Type="http://schemas.openxmlformats.org/officeDocument/2006/relationships/hyperlink" Target="https://www.tcgplayer.com/product/682057" TargetMode="External" Id="rId5" /><Relationship Type="http://schemas.openxmlformats.org/officeDocument/2006/relationships/hyperlink" Target="https://www.pricecharting.com/game/one-piece-awakening-of-the-new-era/booster-box" TargetMode="External" Id="rId6" /><Relationship Type="http://schemas.openxmlformats.org/officeDocument/2006/relationships/hyperlink" Target="https://www.tcgplayer.com/product/498734" TargetMode="External" Id="rId7" /><Relationship Type="http://schemas.openxmlformats.org/officeDocument/2006/relationships/hyperlink" Target="https://www.pricecharting.com/game/one-piece-awakening-of-the-new-era/double-pack-dp-02-display-box" TargetMode="External" Id="rId8" /><Relationship Type="http://schemas.openxmlformats.org/officeDocument/2006/relationships/hyperlink" Target="https://www.pricecharting.com/game/one-piece-carrying-on-his-will/booster-box" TargetMode="External" Id="rId9" /><Relationship Type="http://schemas.openxmlformats.org/officeDocument/2006/relationships/hyperlink" Target="https://www.tcgplayer.com/product/628352" TargetMode="External" Id="rId10" /><Relationship Type="http://schemas.openxmlformats.org/officeDocument/2006/relationships/hyperlink" Target="https://www.pricecharting.com/game/one-piece-emperors-in-the-new-world/booster-box" TargetMode="External" Id="rId11" /><Relationship Type="http://schemas.openxmlformats.org/officeDocument/2006/relationships/hyperlink" Target="https://www.tcgplayer.com/product/563834" TargetMode="External" Id="rId12" /><Relationship Type="http://schemas.openxmlformats.org/officeDocument/2006/relationships/hyperlink" Target="https://www.pricecharting.com/game/one-piece-emperors-in-the-new-world/double-pack-dp-06-display-box" TargetMode="External" Id="rId13" /><Relationship Type="http://schemas.openxmlformats.org/officeDocument/2006/relationships/hyperlink" Target="https://www.pricecharting.com/game/one-piece-extra-booster-anime-25th-collection/booster-box" TargetMode="External" Id="rId14" /><Relationship Type="http://schemas.openxmlformats.org/officeDocument/2006/relationships/hyperlink" Target="https://www.pricecharting.com/game/one-piece-extra-booster-heroines-edition/booster-box" TargetMode="External" Id="rId15" /><Relationship Type="http://schemas.openxmlformats.org/officeDocument/2006/relationships/hyperlink" Target="https://www.pricecharting.com/game/one-piece-extra-booster-memorial-collection/sealed-booster-box" TargetMode="External" Id="rId16" /><Relationship Type="http://schemas.openxmlformats.org/officeDocument/2006/relationships/hyperlink" Target="https://www.tcgplayer.com/product/521161" TargetMode="External" Id="rId17" /><Relationship Type="http://schemas.openxmlformats.org/officeDocument/2006/relationships/hyperlink" Target="https://www.tcgplayer.com/product/711385" TargetMode="External" Id="rId18" /><Relationship Type="http://schemas.openxmlformats.org/officeDocument/2006/relationships/hyperlink" Target="https://www.pricecharting.com/game/one-piece-fist-of-divine-speed/booster-box" TargetMode="External" Id="rId19" /><Relationship Type="http://schemas.openxmlformats.org/officeDocument/2006/relationships/hyperlink" Target="https://www.pricecharting.com/game/one-piece-japanese-500-years-in-the-future/booster-box" TargetMode="External" Id="rId20" /><Relationship Type="http://schemas.openxmlformats.org/officeDocument/2006/relationships/hyperlink" Target="https://www.pricecharting.com/game/one-piece-japanese-awakening-of-the-new-era/booster-box" TargetMode="External" Id="rId21" /><Relationship Type="http://schemas.openxmlformats.org/officeDocument/2006/relationships/hyperlink" Target="https://www.pricecharting.com/game/one-piece-japanese-carrying-on-his-will/booster-box" TargetMode="External" Id="rId22" /><Relationship Type="http://schemas.openxmlformats.org/officeDocument/2006/relationships/hyperlink" Target="https://www.pricecharting.com/game/one-piece-japanese-emperors-in-the-new-world/booster-box" TargetMode="External" Id="rId23" /><Relationship Type="http://schemas.openxmlformats.org/officeDocument/2006/relationships/hyperlink" Target="https://www.pricecharting.com/game/one-piece-japanese-extra-booster-anime-25th-collection/booster-box" TargetMode="External" Id="rId24" /><Relationship Type="http://schemas.openxmlformats.org/officeDocument/2006/relationships/hyperlink" Target="https://www.pricecharting.com/game/one-piece-japanese-extra-booster-egghead-crisis/booster-box" TargetMode="External" Id="rId25" /><Relationship Type="http://schemas.openxmlformats.org/officeDocument/2006/relationships/hyperlink" Target="https://www.pricecharting.com/game/one-piece-japanese-extra-booster-heroines-edition/booster-box" TargetMode="External" Id="rId26" /><Relationship Type="http://schemas.openxmlformats.org/officeDocument/2006/relationships/hyperlink" Target="https://www.pricecharting.com/game/one-piece-japanese-extra-booster-memorial-collection/booster-box" TargetMode="External" Id="rId27" /><Relationship Type="http://schemas.openxmlformats.org/officeDocument/2006/relationships/hyperlink" Target="https://www.pricecharting.com/game/one-piece-japanese-fist-of-divine-speed/booster-box" TargetMode="External" Id="rId28" /><Relationship Type="http://schemas.openxmlformats.org/officeDocument/2006/relationships/hyperlink" Target="https://www.pricecharting.com/game/one-piece-japanese-kingdoms-of-intrigue/booster-box" TargetMode="External" Id="rId29" /><Relationship Type="http://schemas.openxmlformats.org/officeDocument/2006/relationships/hyperlink" Target="https://www.pricecharting.com/game/one-piece-japanese-legacy-of-the-master/booster-box" TargetMode="External" Id="rId30" /><Relationship Type="http://schemas.openxmlformats.org/officeDocument/2006/relationships/hyperlink" Target="https://www.pricecharting.com/game/one-piece-japanese-paramount-war/booster-box" TargetMode="External" Id="rId31" /><Relationship Type="http://schemas.openxmlformats.org/officeDocument/2006/relationships/hyperlink" Target="https://www.pricecharting.com/game/one-piece-japanese-pillars-of-strength/booster-box" TargetMode="External" Id="rId32" /><Relationship Type="http://schemas.openxmlformats.org/officeDocument/2006/relationships/hyperlink" Target="https://www.pricecharting.com/game/one-piece-japanese-premium-booster/booster-box-prb01" TargetMode="External" Id="rId33" /><Relationship Type="http://schemas.openxmlformats.org/officeDocument/2006/relationships/hyperlink" Target="https://www.pricecharting.com/game/one-piece-japanese-premium-booster-2/booster-box" TargetMode="External" Id="rId34" /><Relationship Type="http://schemas.openxmlformats.org/officeDocument/2006/relationships/hyperlink" Target="https://www.pricecharting.com/game/one-piece-japanese-romance-dawn/booster-box" TargetMode="External" Id="rId35" /><Relationship Type="http://schemas.openxmlformats.org/officeDocument/2006/relationships/hyperlink" Target="https://www.pricecharting.com/game/one-piece-japanese-royal-blood/booster-box" TargetMode="External" Id="rId36" /><Relationship Type="http://schemas.openxmlformats.org/officeDocument/2006/relationships/hyperlink" Target="https://www.pricecharting.com/game/one-piece-japanese-the-time-of-battle/booster-box" TargetMode="External" Id="rId37" /><Relationship Type="http://schemas.openxmlformats.org/officeDocument/2006/relationships/hyperlink" Target="https://www.pricecharting.com/game/one-piece-japanese-two-legends/booster-box" TargetMode="External" Id="rId38" /><Relationship Type="http://schemas.openxmlformats.org/officeDocument/2006/relationships/hyperlink" Target="https://www.pricecharting.com/game/one-piece-japanese-wings-of-the-captain/booster-box" TargetMode="External" Id="rId39" /><Relationship Type="http://schemas.openxmlformats.org/officeDocument/2006/relationships/hyperlink" Target="https://www.pricecharting.com/game/one-piece-kingdoms-of-intrigue/booster-box" TargetMode="External" Id="rId40" /><Relationship Type="http://schemas.openxmlformats.org/officeDocument/2006/relationships/hyperlink" Target="https://www.tcgplayer.com/product/485833" TargetMode="External" Id="rId41" /><Relationship Type="http://schemas.openxmlformats.org/officeDocument/2006/relationships/hyperlink" Target="https://www.pricecharting.com/game/one-piece-kingdoms-of-intrigue/double-pack-dp-01-display-box" TargetMode="External" Id="rId42" /><Relationship Type="http://schemas.openxmlformats.org/officeDocument/2006/relationships/hyperlink" Target="https://www.pricecharting.com/game/one-piece-legacy-of-the-master/booster-box" TargetMode="External" Id="rId43" /><Relationship Type="http://schemas.openxmlformats.org/officeDocument/2006/relationships/hyperlink" Target="https://www.tcgplayer.com/product/628346" TargetMode="External" Id="rId44" /><Relationship Type="http://schemas.openxmlformats.org/officeDocument/2006/relationships/hyperlink" Target="https://www.pricecharting.com/game/one-piece-legacy-of-the-master/double-pack-dp-08-display-box" TargetMode="External" Id="rId45" /><Relationship Type="http://schemas.openxmlformats.org/officeDocument/2006/relationships/hyperlink" Target="https://www.pricecharting.com/game/one-piece-paramount-war/booster-box" TargetMode="External" Id="rId46" /><Relationship Type="http://schemas.openxmlformats.org/officeDocument/2006/relationships/hyperlink" Target="https://www.tcgplayer.com/product/455866" TargetMode="External" Id="rId47" /><Relationship Type="http://schemas.openxmlformats.org/officeDocument/2006/relationships/hyperlink" Target="https://www.pricecharting.com/game/one-piece-pillars-of-strength/booster-box" TargetMode="External" Id="rId48" /><Relationship Type="http://schemas.openxmlformats.org/officeDocument/2006/relationships/hyperlink" Target="https://www.tcgplayer.com/product/477176" TargetMode="External" Id="rId49" /><Relationship Type="http://schemas.openxmlformats.org/officeDocument/2006/relationships/hyperlink" Target="https://www.tcgplayer.com/product/545399" TargetMode="External" Id="rId50" /><Relationship Type="http://schemas.openxmlformats.org/officeDocument/2006/relationships/hyperlink" Target="https://www.tcgplayer.com/product/628452" TargetMode="External" Id="rId51" /><Relationship Type="http://schemas.openxmlformats.org/officeDocument/2006/relationships/hyperlink" Target="https://www.pricecharting.com/game/one-piece-premium-booster-2/booster-box" TargetMode="External" Id="rId52" /><Relationship Type="http://schemas.openxmlformats.org/officeDocument/2006/relationships/hyperlink" Target="https://www.tcgplayer.com/product/450086" TargetMode="External" Id="rId53" /><Relationship Type="http://schemas.openxmlformats.org/officeDocument/2006/relationships/hyperlink" Target="https://www.tcgplayer.com/product/557280" TargetMode="External" Id="rId54" /><Relationship Type="http://schemas.openxmlformats.org/officeDocument/2006/relationships/hyperlink" Target="https://www.pricecharting.com/game/one-piece-romance-dawn/booster-box" TargetMode="External" Id="rId55" /><Relationship Type="http://schemas.openxmlformats.org/officeDocument/2006/relationships/hyperlink" Target="https://www.pricecharting.com/game/one-piece-romance-dawn/booster-box-blue-bottom" TargetMode="External" Id="rId56" /><Relationship Type="http://schemas.openxmlformats.org/officeDocument/2006/relationships/hyperlink" Target="https://www.pricecharting.com/game/one-piece-royal-blood/booster-box" TargetMode="External" Id="rId57" /><Relationship Type="http://schemas.openxmlformats.org/officeDocument/2006/relationships/hyperlink" Target="https://www.tcgplayer.com/product/586671" TargetMode="External" Id="rId58" /><Relationship Type="http://schemas.openxmlformats.org/officeDocument/2006/relationships/hyperlink" Target="https://www.tcgplayer.com/product/665598" TargetMode="External" Id="rId59" /><Relationship Type="http://schemas.openxmlformats.org/officeDocument/2006/relationships/hyperlink" Target="https://www.tcgplayer.com/product/712901" TargetMode="External" Id="rId60" /><Relationship Type="http://schemas.openxmlformats.org/officeDocument/2006/relationships/hyperlink" Target="https://www.pricecharting.com/game/one-piece-the-quest-begins/booster-box" TargetMode="External" Id="rId61" /><Relationship Type="http://schemas.openxmlformats.org/officeDocument/2006/relationships/hyperlink" Target="https://www.pricecharting.com/game/one-piece-the-time-of-battle/booster-box" TargetMode="External" Id="rId62" /><Relationship Type="http://schemas.openxmlformats.org/officeDocument/2006/relationships/hyperlink" Target="https://www.tcgplayer.com/product/689336" TargetMode="External" Id="rId63" /><Relationship Type="http://schemas.openxmlformats.org/officeDocument/2006/relationships/hyperlink" Target="https://www.tcgplayer.com/product/704752" TargetMode="External" Id="rId64" /><Relationship Type="http://schemas.openxmlformats.org/officeDocument/2006/relationships/hyperlink" Target="https://www.pricecharting.com/game/one-piece-two-legends/booster-box" TargetMode="External" Id="rId65" /><Relationship Type="http://schemas.openxmlformats.org/officeDocument/2006/relationships/hyperlink" Target="https://www.tcgplayer.com/product/542504" TargetMode="External" Id="rId66" /><Relationship Type="http://schemas.openxmlformats.org/officeDocument/2006/relationships/hyperlink" Target="https://www.pricecharting.com/game/one-piece-two-legends/double-pack-dp-05-display-box" TargetMode="External" Id="rId67" /><Relationship Type="http://schemas.openxmlformats.org/officeDocument/2006/relationships/hyperlink" Target="https://www.pricecharting.com/game/one-piece-wings-of-the-captain/booster-box" TargetMode="External" Id="rId68" /><Relationship Type="http://schemas.openxmlformats.org/officeDocument/2006/relationships/hyperlink" Target="https://www.tcgplayer.com/product/515080" TargetMode="External" Id="rId69" /><Relationship Type="http://schemas.openxmlformats.org/officeDocument/2006/relationships/hyperlink" Target="https://www.pricecharting.com/game/one-piece-wings-of-the-captain/double-pack-dp-03-display-box" TargetMode="External" Id="rId70" /><Relationship Type="http://schemas.openxmlformats.org/officeDocument/2006/relationships/hyperlink" Target="https://www.tcgplayer.com/product/549493" TargetMode="External" Id="rId71" /><Relationship Type="http://schemas.openxmlformats.org/officeDocument/2006/relationships/hyperlink" Target="https://www.tcgplayer.com/product/606561" TargetMode="External" Id="rId72" /><Relationship Type="http://schemas.openxmlformats.org/officeDocument/2006/relationships/hyperlink" Target="https://www.tcgplayer.com/product/682789" TargetMode="External" Id="rId73" /><Relationship Type="http://schemas.openxmlformats.org/officeDocument/2006/relationships/hyperlink" Target="https://www.tcgplayer.com/product/527060" TargetMode="External" Id="rId74" /><Relationship Type="http://schemas.openxmlformats.org/officeDocument/2006/relationships/hyperlink" Target="https://www.pricecharting.com/game/one-piece-carrying-on-his-will/one-piece-tin-pack-set-vol-2-monkeydluffy" TargetMode="External" Id="rId75" /><Relationship Type="http://schemas.openxmlformats.org/officeDocument/2006/relationships/hyperlink" Target="https://www.tcgplayer.com/product/563842" TargetMode="External" Id="rId76" /><Relationship Type="http://schemas.openxmlformats.org/officeDocument/2006/relationships/hyperlink" Target="https://www.pricecharting.com/game/one-piece-extra-booster-heroines-edition/heroines-special-set" TargetMode="External" Id="rId77" /><Relationship Type="http://schemas.openxmlformats.org/officeDocument/2006/relationships/hyperlink" Target="https://www.tcgplayer.com/product/594069" TargetMode="External" Id="rId78" /><Relationship Type="http://schemas.openxmlformats.org/officeDocument/2006/relationships/hyperlink" Target="https://www.tcgplayer.com/product/594068" TargetMode="External" Id="rId79" /><Relationship Type="http://schemas.openxmlformats.org/officeDocument/2006/relationships/hyperlink" Target="https://www.tcgplayer.com/product/521160" TargetMode="External" Id="rId80" /><Relationship Type="http://schemas.openxmlformats.org/officeDocument/2006/relationships/hyperlink" Target="https://www.tcgplayer.com/product/666891" TargetMode="External" Id="rId81" /><Relationship Type="http://schemas.openxmlformats.org/officeDocument/2006/relationships/hyperlink" Target="https://www.pricecharting.com/game/one-piece-japanese-carrying-on-his-will/mini-tin" TargetMode="External" Id="rId82" /><Relationship Type="http://schemas.openxmlformats.org/officeDocument/2006/relationships/hyperlink" Target="https://www.pricecharting.com/game/one-piece-japanese-carrying-on-his-will/treasure-chest-vol-1" TargetMode="External" Id="rId83" /><Relationship Type="http://schemas.openxmlformats.org/officeDocument/2006/relationships/hyperlink" Target="https://www.pricecharting.com/game/one-piece-japanese-extra-booster-heroines-edition/heroines-special-set" TargetMode="External" Id="rId84" /><Relationship Type="http://schemas.openxmlformats.org/officeDocument/2006/relationships/hyperlink" Target="https://www.pricecharting.com/game/one-piece-japanese-extra-booster-heroines-edition/sealed-admirable-collection-vol1-vinsmoke-reiju" TargetMode="External" Id="rId85" /><Relationship Type="http://schemas.openxmlformats.org/officeDocument/2006/relationships/hyperlink" Target="https://www.pricecharting.com/game/one-piece-japanese-paramount-war/box-promotion-pack" TargetMode="External" Id="rId86" /><Relationship Type="http://schemas.openxmlformats.org/officeDocument/2006/relationships/hyperlink" Target="https://www.pricecharting.com/game/one-piece-japanese-promo/1st-anniversary-set" TargetMode="External" Id="rId87" /><Relationship Type="http://schemas.openxmlformats.org/officeDocument/2006/relationships/hyperlink" Target="https://www.pricecharting.com/game/one-piece-japanese-promo/2nd-anniversary-set" TargetMode="External" Id="rId88" /><Relationship Type="http://schemas.openxmlformats.org/officeDocument/2006/relationships/hyperlink" Target="https://www.pricecharting.com/game/one-piece-japanese-promo/base-shop-limited-card-collection-vol1" TargetMode="External" Id="rId89" /><Relationship Type="http://schemas.openxmlformats.org/officeDocument/2006/relationships/hyperlink" Target="https://www.pricecharting.com/game/one-piece-japanese-promo/premium-card-collection-25th-anniversary" TargetMode="External" Id="rId90" /><Relationship Type="http://schemas.openxmlformats.org/officeDocument/2006/relationships/hyperlink" Target="https://www.pricecharting.com/game/one-piece-japanese-promo/premium-card-collection-6-assort-vol1" TargetMode="External" Id="rId91" /><Relationship Type="http://schemas.openxmlformats.org/officeDocument/2006/relationships/hyperlink" Target="https://www.pricecharting.com/game/one-piece-japanese-promo/premium-card-collection-bandai-card-games-fest-23-24" TargetMode="External" Id="rId92" /><Relationship Type="http://schemas.openxmlformats.org/officeDocument/2006/relationships/hyperlink" Target="https://www.pricecharting.com/game/one-piece-japanese-promo/premium-card-collection-best-selection-vol2" TargetMode="External" Id="rId93" /><Relationship Type="http://schemas.openxmlformats.org/officeDocument/2006/relationships/hyperlink" Target="https://www.pricecharting.com/game/one-piece-japanese-promo/premium-card-collection-best-selection-vol3" TargetMode="External" Id="rId94" /><Relationship Type="http://schemas.openxmlformats.org/officeDocument/2006/relationships/hyperlink" Target="https://www.pricecharting.com/game/one-piece-japanese-promo/premium-card-collection-best-selection-vol4" TargetMode="External" Id="rId95" /><Relationship Type="http://schemas.openxmlformats.org/officeDocument/2006/relationships/hyperlink" Target="https://www.pricecharting.com/game/one-piece-japanese-promo/premium-card-collection-best-selection-vol5" TargetMode="External" Id="rId96" /><Relationship Type="http://schemas.openxmlformats.org/officeDocument/2006/relationships/hyperlink" Target="https://www.pricecharting.com/game/one-piece-japanese-promo/premium-card-collection-film-red" TargetMode="External" Id="rId97" /><Relationship Type="http://schemas.openxmlformats.org/officeDocument/2006/relationships/hyperlink" Target="https://www.pricecharting.com/game/one-piece-japanese-promo/premium-card-collection-girls-edition" TargetMode="External" Id="rId98" /><Relationship Type="http://schemas.openxmlformats.org/officeDocument/2006/relationships/hyperlink" Target="https://www.pricecharting.com/game/one-piece-japanese-promo/premium-card-collection-kumamoto-special" TargetMode="External" Id="rId99" /><Relationship Type="http://schemas.openxmlformats.org/officeDocument/2006/relationships/hyperlink" Target="https://www.pricecharting.com/game/one-piece-japanese-promo/premium-card-collection-leader-collection" TargetMode="External" Id="rId100" /><Relationship Type="http://schemas.openxmlformats.org/officeDocument/2006/relationships/hyperlink" Target="https://www.pricecharting.com/game/one-piece-japanese-promo/premium-card-collection-live-action-edition" TargetMode="External" Id="rId101" /><Relationship Type="http://schemas.openxmlformats.org/officeDocument/2006/relationships/hyperlink" Target="https://www.pricecharting.com/game/one-piece-japanese-promo/premium-card-collection-one-piece-day-'24" TargetMode="External" Id="rId102" /><Relationship Type="http://schemas.openxmlformats.org/officeDocument/2006/relationships/hyperlink" Target="https://www.pricecharting.com/game/one-piece-japanese-promo/premium-card-collection-one-piece-day-'25" TargetMode="External" Id="rId103" /><Relationship Type="http://schemas.openxmlformats.org/officeDocument/2006/relationships/hyperlink" Target="https://www.pricecharting.com/game/one-piece-japanese-promo/sealed-3rd-anniversary-set" TargetMode="External" Id="rId104" /><Relationship Type="http://schemas.openxmlformats.org/officeDocument/2006/relationships/hyperlink" Target="https://www.pricecharting.com/game/one-piece-japanese-promo/sealed-premium-card-collection-best-selection-vol-1" TargetMode="External" Id="rId105" /><Relationship Type="http://schemas.openxmlformats.org/officeDocument/2006/relationships/hyperlink" Target="https://www.pricecharting.com/game/one-piece-japanese-promo/sealed-premium-card-collection-uta" TargetMode="External" Id="rId106" /><Relationship Type="http://schemas.openxmlformats.org/officeDocument/2006/relationships/hyperlink" Target="https://www.tcgplayer.com/product/493752" TargetMode="External" Id="rId107" /><Relationship Type="http://schemas.openxmlformats.org/officeDocument/2006/relationships/hyperlink" Target="https://www.tcgplayer.com/product/628348" TargetMode="External" Id="rId108" /><Relationship Type="http://schemas.openxmlformats.org/officeDocument/2006/relationships/hyperlink" Target="https://www.tcgplayer.com/product/516299" TargetMode="External" Id="rId109" /><Relationship Type="http://schemas.openxmlformats.org/officeDocument/2006/relationships/hyperlink" Target="https://www.tcgplayer.com/product/593446" TargetMode="External" Id="rId110" /><Relationship Type="http://schemas.openxmlformats.org/officeDocument/2006/relationships/hyperlink" Target="https://www.tcgplayer.com/product/649748" TargetMode="External" Id="rId111" /><Relationship Type="http://schemas.openxmlformats.org/officeDocument/2006/relationships/hyperlink" Target="https://www.tcgplayer.com/product/536588" TargetMode="External" Id="rId112" /><Relationship Type="http://schemas.openxmlformats.org/officeDocument/2006/relationships/hyperlink" Target="https://www.tcgplayer.com/product/536154" TargetMode="External" Id="rId113" /><Relationship Type="http://schemas.openxmlformats.org/officeDocument/2006/relationships/hyperlink" Target="https://www.tcgplayer.com/product/635482" TargetMode="External" Id="rId114" /><Relationship Type="http://schemas.openxmlformats.org/officeDocument/2006/relationships/hyperlink" Target="https://www.tcgplayer.com/product/710691" TargetMode="External" Id="rId115" /><Relationship Type="http://schemas.openxmlformats.org/officeDocument/2006/relationships/hyperlink" Target="https://www.tcgplayer.com/product/717554" TargetMode="External" Id="rId116" /><Relationship Type="http://schemas.openxmlformats.org/officeDocument/2006/relationships/hyperlink" Target="https://www.tcgplayer.com/product/617585" TargetMode="External" Id="rId117" /><Relationship Type="http://schemas.openxmlformats.org/officeDocument/2006/relationships/hyperlink" Target="https://www.tcgplayer.com/product/680488" TargetMode="External" Id="rId118" /><Relationship Type="http://schemas.openxmlformats.org/officeDocument/2006/relationships/hyperlink" Target="https://www.tcgplayer.com/product/484943" TargetMode="External" Id="rId119" /><Relationship Type="http://schemas.openxmlformats.org/officeDocument/2006/relationships/hyperlink" Target="https://www.tcgplayer.com/product/547692" TargetMode="External" Id="rId120" /><Relationship Type="http://schemas.openxmlformats.org/officeDocument/2006/relationships/hyperlink" Target="https://www.tcgplayer.com/product/610118" TargetMode="External" Id="rId121" /><Relationship Type="http://schemas.openxmlformats.org/officeDocument/2006/relationships/hyperlink" Target="https://www.tcgplayer.com/product/610116" TargetMode="External" Id="rId122" /><Relationship Type="http://schemas.openxmlformats.org/officeDocument/2006/relationships/hyperlink" Target="https://www.tcgplayer.com/product/610117" TargetMode="External" Id="rId123" /><Relationship Type="http://schemas.openxmlformats.org/officeDocument/2006/relationships/hyperlink" Target="https://www.tcgplayer.com/product/646591" TargetMode="External" Id="rId124" /><Relationship Type="http://schemas.openxmlformats.org/officeDocument/2006/relationships/hyperlink" Target="https://www.tcgplayer.com/product/646592" TargetMode="External" Id="rId125" /><Relationship Type="http://schemas.openxmlformats.org/officeDocument/2006/relationships/hyperlink" Target="https://www.tcgplayer.com/product/669241" TargetMode="External" Id="rId126" /><Relationship Type="http://schemas.openxmlformats.org/officeDocument/2006/relationships/hyperlink" Target="https://www.tcgplayer.com/product/669242" TargetMode="External" Id="rId127" /><Relationship Type="http://schemas.openxmlformats.org/officeDocument/2006/relationships/hyperlink" Target="https://www.tcgplayer.com/product/694721" TargetMode="External" Id="rId128" /><Relationship Type="http://schemas.openxmlformats.org/officeDocument/2006/relationships/hyperlink" Target="https://www.tcgplayer.com/product/694722" TargetMode="External" Id="rId129" /><Relationship Type="http://schemas.openxmlformats.org/officeDocument/2006/relationships/hyperlink" Target="https://www.tcgplayer.com/product/620278" TargetMode="External" Id="rId130" /><Relationship Type="http://schemas.openxmlformats.org/officeDocument/2006/relationships/hyperlink" Target="https://www.tcgplayer.com/product/620279" TargetMode="External" Id="rId131" /><Relationship Type="http://schemas.openxmlformats.org/officeDocument/2006/relationships/hyperlink" Target="https://www.tcgplayer.com/product/629815" TargetMode="External" Id="rId132" /><Relationship Type="http://schemas.openxmlformats.org/officeDocument/2006/relationships/hyperlink" Target="https://www.tcgplayer.com/product/669273" TargetMode="External" Id="rId133" /><Relationship Type="http://schemas.openxmlformats.org/officeDocument/2006/relationships/hyperlink" Target="https://www.tcgplayer.com/product/669277" TargetMode="External" Id="rId134" /><Relationship Type="http://schemas.openxmlformats.org/officeDocument/2006/relationships/hyperlink" Target="https://www.tcgplayer.com/product/669278" TargetMode="External" Id="rId135" /><Relationship Type="http://schemas.openxmlformats.org/officeDocument/2006/relationships/hyperlink" Target="https://www.tcgplayer.com/product/669298" TargetMode="External" Id="rId136" /><Relationship Type="http://schemas.openxmlformats.org/officeDocument/2006/relationships/hyperlink" Target="https://www.tcgplayer.com/product/649694" TargetMode="External" Id="rId137" /><Relationship Type="http://schemas.openxmlformats.org/officeDocument/2006/relationships/hyperlink" Target="https://www.tcgplayer.com/product/536278" TargetMode="External" Id="rId138" /><Relationship Type="http://schemas.openxmlformats.org/officeDocument/2006/relationships/hyperlink" Target="https://www.tcgplayer.com/product/525294" TargetMode="External" Id="rId139" /><Relationship Type="http://schemas.openxmlformats.org/officeDocument/2006/relationships/hyperlink" Target="https://www.tcgplayer.com/product/587220" TargetMode="External" Id="rId140" /><Relationship Type="http://schemas.openxmlformats.org/officeDocument/2006/relationships/hyperlink" Target="https://www.tcgplayer.com/product/606589" TargetMode="External" Id="rId141" /><Relationship Type="http://schemas.openxmlformats.org/officeDocument/2006/relationships/hyperlink" Target="https://www.tcgplayer.com/product/649681" TargetMode="External" Id="rId142" /><Relationship Type="http://schemas.openxmlformats.org/officeDocument/2006/relationships/hyperlink" Target="https://www.tcgplayer.com/product/657215" TargetMode="External" Id="rId143" /><Relationship Type="http://schemas.openxmlformats.org/officeDocument/2006/relationships/hyperlink" Target="https://www.tcgplayer.com/product/694874" TargetMode="External" Id="rId144" /><Relationship Type="http://schemas.openxmlformats.org/officeDocument/2006/relationships/hyperlink" Target="https://www.tcgplayer.com/product/717026" TargetMode="External" Id="rId145" /><Relationship Type="http://schemas.openxmlformats.org/officeDocument/2006/relationships/hyperlink" Target="https://www.tcgplayer.com/product/566951" TargetMode="External" Id="rId146" /><Relationship Type="http://schemas.openxmlformats.org/officeDocument/2006/relationships/hyperlink" Target="https://www.tcgplayer.com/product/527128" TargetMode="External" Id="rId147" /><Relationship Type="http://schemas.openxmlformats.org/officeDocument/2006/relationships/hyperlink" Target="https://www.tcgplayer.com/product/504466" TargetMode="External" Id="rId148" /><Relationship Type="http://schemas.openxmlformats.org/officeDocument/2006/relationships/hyperlink" Target="https://www.tcgplayer.com/product/538837" TargetMode="External" Id="rId149" /><Relationship Type="http://schemas.openxmlformats.org/officeDocument/2006/relationships/hyperlink" Target="https://www.tcgplayer.com/product/485271" TargetMode="External" Id="rId150" /><Relationship Type="http://schemas.openxmlformats.org/officeDocument/2006/relationships/hyperlink" Target="https://www.tcgplayer.com/product/518704" TargetMode="External" Id="rId151" /><Relationship Type="http://schemas.openxmlformats.org/officeDocument/2006/relationships/hyperlink" Target="https://www.tcgplayer.com/product/620141" TargetMode="External" Id="rId152" /><Relationship Type="http://schemas.openxmlformats.org/officeDocument/2006/relationships/hyperlink" Target="https://www.tcgplayer.com/product/620144" TargetMode="External" Id="rId153" /><Relationship Type="http://schemas.openxmlformats.org/officeDocument/2006/relationships/hyperlink" Target="https://www.tcgplayer.com/product/620142" TargetMode="External" Id="rId154" /><Relationship Type="http://schemas.openxmlformats.org/officeDocument/2006/relationships/hyperlink" Target="https://www.tcgplayer.com/product/565285" TargetMode="External" Id="rId155" /><Relationship Type="http://schemas.openxmlformats.org/officeDocument/2006/relationships/hyperlink" Target="https://www.pricecharting.com/game/one-piece-paramount-war/box-promotion-pack" TargetMode="External" Id="rId156" /><Relationship Type="http://schemas.openxmlformats.org/officeDocument/2006/relationships/hyperlink" Target="https://www.tcgplayer.com/product/488298" TargetMode="External" Id="rId157" /><Relationship Type="http://schemas.openxmlformats.org/officeDocument/2006/relationships/hyperlink" Target="https://www.pricecharting.com/game/one-piece-passage-to-the-grand-line/wapol-the-tin-tyrant-ch059" TargetMode="External" Id="rId158" /><Relationship Type="http://schemas.openxmlformats.org/officeDocument/2006/relationships/hyperlink" Target="https://www.pricecharting.com/game/one-piece-promo/2nd-anniversary-set" TargetMode="External" Id="rId159" /><Relationship Type="http://schemas.openxmlformats.org/officeDocument/2006/relationships/hyperlink" Target="https://www.pricecharting.com/game/one-piece-promo/devil-fruits-collection-vol-1" TargetMode="External" Id="rId160" /><Relationship Type="http://schemas.openxmlformats.org/officeDocument/2006/relationships/hyperlink" Target="https://www.pricecharting.com/game/one-piece-promo/devil-fruits-collection-vol-2" TargetMode="External" Id="rId161" /><Relationship Type="http://schemas.openxmlformats.org/officeDocument/2006/relationships/hyperlink" Target="https://www.pricecharting.com/game/one-piece-promo/devil-fruits-collection-vol-3" TargetMode="External" Id="rId162" /><Relationship Type="http://schemas.openxmlformats.org/officeDocument/2006/relationships/hyperlink" Target="https://www.pricecharting.com/game/one-piece-promo/illustration-box-volume-01" TargetMode="External" Id="rId163" /><Relationship Type="http://schemas.openxmlformats.org/officeDocument/2006/relationships/hyperlink" Target="https://www.pricecharting.com/game/one-piece-promo/illustration-box-volume-02" TargetMode="External" Id="rId164" /><Relationship Type="http://schemas.openxmlformats.org/officeDocument/2006/relationships/hyperlink" Target="https://www.pricecharting.com/game/one-piece-promo/premium-card-collection-25th-edition" TargetMode="External" Id="rId165" /><Relationship Type="http://schemas.openxmlformats.org/officeDocument/2006/relationships/hyperlink" Target="https://www.pricecharting.com/game/one-piece-promo/premium-card-collection-6-assort-vol1" TargetMode="External" Id="rId166" /><Relationship Type="http://schemas.openxmlformats.org/officeDocument/2006/relationships/hyperlink" Target="https://www.pricecharting.com/game/one-piece-promo/premium-card-collection-best-selection" TargetMode="External" Id="rId167" /><Relationship Type="http://schemas.openxmlformats.org/officeDocument/2006/relationships/hyperlink" Target="https://www.pricecharting.com/game/one-piece-promo/premium-card-collection-live-action-edition" TargetMode="External" Id="rId168" /><Relationship Type="http://schemas.openxmlformats.org/officeDocument/2006/relationships/hyperlink" Target="https://www.pricecharting.com/game/one-piece-promo/sealed-1st-anniversary-set" TargetMode="External" Id="rId169" /><Relationship Type="http://schemas.openxmlformats.org/officeDocument/2006/relationships/hyperlink" Target="https://www.pricecharting.com/game/one-piece-promo/sealed-3rd-anniversary-set" TargetMode="External" Id="rId170" /><Relationship Type="http://schemas.openxmlformats.org/officeDocument/2006/relationships/hyperlink" Target="https://www.pricecharting.com/game/one-piece-promo/sealed-battle-kit" TargetMode="External" Id="rId171" /><Relationship Type="http://schemas.openxmlformats.org/officeDocument/2006/relationships/hyperlink" Target="https://www.pricecharting.com/game/one-piece-promo/sealed-gift-collection-box-2023" TargetMode="External" Id="rId172" /><Relationship Type="http://schemas.openxmlformats.org/officeDocument/2006/relationships/hyperlink" Target="https://www.pricecharting.com/game/one-piece-promo/sealed-illustration-box-vol-7" TargetMode="External" Id="rId173" /><Relationship Type="http://schemas.openxmlformats.org/officeDocument/2006/relationships/hyperlink" Target="https://www.pricecharting.com/game/one-piece-promo/sealed-illustration-box-vol-8" TargetMode="External" Id="rId174" /><Relationship Type="http://schemas.openxmlformats.org/officeDocument/2006/relationships/hyperlink" Target="https://www.pricecharting.com/game/one-piece-promo/sealed-illustration-box-vol-3" TargetMode="External" Id="rId175" /><Relationship Type="http://schemas.openxmlformats.org/officeDocument/2006/relationships/hyperlink" Target="https://www.pricecharting.com/game/one-piece-promo/sealed-illustration-box-vol-4" TargetMode="External" Id="rId176" /><Relationship Type="http://schemas.openxmlformats.org/officeDocument/2006/relationships/hyperlink" Target="https://www.pricecharting.com/game/one-piece-promo/sealed-illustration-box-vol-5" TargetMode="External" Id="rId177" /><Relationship Type="http://schemas.openxmlformats.org/officeDocument/2006/relationships/hyperlink" Target="https://www.pricecharting.com/game/one-piece-promo/sealed-illustration-box-vol-6" TargetMode="External" Id="rId178" /><Relationship Type="http://schemas.openxmlformats.org/officeDocument/2006/relationships/hyperlink" Target="https://www.pricecharting.com/game/one-piece-promo/sealed-premium-card-collection-best-selection-vol-6" TargetMode="External" Id="rId179" /><Relationship Type="http://schemas.openxmlformats.org/officeDocument/2006/relationships/hyperlink" Target="https://www.pricecharting.com/game/one-piece-promo/sealed-premium-card-collection-bandai-card-games-fest-23-24-edition" TargetMode="External" Id="rId180" /><Relationship Type="http://schemas.openxmlformats.org/officeDocument/2006/relationships/hyperlink" Target="https://www.pricecharting.com/game/one-piece-promo/sealed-premium-card-collection-best-selection-vol-2" TargetMode="External" Id="rId181" /><Relationship Type="http://schemas.openxmlformats.org/officeDocument/2006/relationships/hyperlink" Target="https://www.pricecharting.com/game/one-piece-promo/sealed-premium-card-collection-best-selection-vol-3" TargetMode="External" Id="rId182" /><Relationship Type="http://schemas.openxmlformats.org/officeDocument/2006/relationships/hyperlink" Target="https://www.pricecharting.com/game/one-piece-promo/sealed-premium-card-collection-best-selection-vol-4" TargetMode="External" Id="rId183" /><Relationship Type="http://schemas.openxmlformats.org/officeDocument/2006/relationships/hyperlink" Target="https://www.pricecharting.com/game/one-piece-promo/sealed-premium-card-collection-best-selection-vol-5" TargetMode="External" Id="rId184" /><Relationship Type="http://schemas.openxmlformats.org/officeDocument/2006/relationships/hyperlink" Target="https://www.pricecharting.com/game/one-piece-promo/sealed-premium-card-collection-leader-collection" TargetMode="External" Id="rId185" /><Relationship Type="http://schemas.openxmlformats.org/officeDocument/2006/relationships/hyperlink" Target="https://www.pricecharting.com/game/one-piece-promo/sealed-premium-card-collection-live-action-edition" TargetMode="External" Id="rId186" /><Relationship Type="http://schemas.openxmlformats.org/officeDocument/2006/relationships/hyperlink" Target="https://www.pricecharting.com/game/one-piece-promo/sealed-premium-card-collection-red-edition" TargetMode="External" Id="rId187" /><Relationship Type="http://schemas.openxmlformats.org/officeDocument/2006/relationships/hyperlink" Target="https://www.pricecharting.com/game/one-piece-promo/sealed-premium-card-collection-uta" TargetMode="External" Id="rId188" /><Relationship Type="http://schemas.openxmlformats.org/officeDocument/2006/relationships/hyperlink" Target="https://www.pricecharting.com/game/one-piece-promo/sealed-tin-vol-2-portgasdace" TargetMode="External" Id="rId189" /><Relationship Type="http://schemas.openxmlformats.org/officeDocument/2006/relationships/hyperlink" Target="https://www.pricecharting.com/game/one-piece-promo/tin-pack-set-vol-2-sabo" TargetMode="External" Id="rId190" /><Relationship Type="http://schemas.openxmlformats.org/officeDocument/2006/relationships/hyperlink" Target="https://www.pricecharting.com/game/one-piece-promo/treasure-booster-set-box" TargetMode="External" Id="rId191" /><Relationship Type="http://schemas.openxmlformats.org/officeDocument/2006/relationships/hyperlink" Target="https://www.pricecharting.com/game/one-piece-romance-dawn/box-promotion-pack" TargetMode="External" Id="rId192" /><Relationship Type="http://schemas.openxmlformats.org/officeDocument/2006/relationships/hyperlink" Target="https://www.tcgplayer.com/product/532645" TargetMode="External" Id="rId193" /><Relationship Type="http://schemas.openxmlformats.org/officeDocument/2006/relationships/hyperlink" Target="https://www.pricecharting.com/game/one-piece-royal-blood/goldroger-sealed-tin" TargetMode="External" Id="rId194" /><Relationship Type="http://schemas.openxmlformats.org/officeDocument/2006/relationships/hyperlink" Target="https://www.pricecharting.com/game/one-piece-royal-blood/monkeydluffy-sealed-tin" TargetMode="External" Id="rId195" /><Relationship Type="http://schemas.openxmlformats.org/officeDocument/2006/relationships/hyperlink" Target="https://www.tcgplayer.com/product/666578" TargetMode="External" Id="rId196" /><Relationship Type="http://schemas.openxmlformats.org/officeDocument/2006/relationships/hyperlink" Target="https://www.tcgplayer.com/product/712907" TargetMode="External" Id="rId197" /><Relationship Type="http://schemas.openxmlformats.org/officeDocument/2006/relationships/hyperlink" Target="https://www.tcgplayer.com/product/693364" TargetMode="External" Id="rId198" /><Relationship Type="http://schemas.openxmlformats.org/officeDocument/2006/relationships/hyperlink" Target="https://www.tcgplayer.com/product/704757" TargetMode="External" Id="rId199" /><Relationship Type="http://schemas.openxmlformats.org/officeDocument/2006/relationships/hyperlink" Target="https://www.tcgplayer.com/product/715980" TargetMode="External" Id="rId200" /><Relationship Type="http://schemas.openxmlformats.org/officeDocument/2006/relationships/hyperlink" Target="https://www.pricecharting.com/game/one-piece-tin-pack-set-vol-1/sealed-tin" TargetMode="External" Id="rId201" /><Relationship Type="http://schemas.openxmlformats.org/officeDocument/2006/relationships/hyperlink" Target="https://www.tcgplayer.com/product/561689" TargetMode="External" Id="rId202" /><Relationship Type="http://schemas.openxmlformats.org/officeDocument/2006/relationships/hyperlink" Target="https://www.tcgplayer.com/product/541542" TargetMode="External" Id="rId203" /><Relationship Type="http://schemas.openxmlformats.org/officeDocument/2006/relationships/hyperlink" Target="https://www.pricecharting.com/game/one-piece-500-years-in-the-future/booster-pack" TargetMode="External" Id="rId204" /><Relationship Type="http://schemas.openxmlformats.org/officeDocument/2006/relationships/hyperlink" Target="https://www.tcgplayer.com/product/532104" TargetMode="External" Id="rId205" /><Relationship Type="http://schemas.openxmlformats.org/officeDocument/2006/relationships/hyperlink" Target="https://www.pricecharting.com/game/one-piece-500-years-in-the-future/sleeved-booster-pack" TargetMode="External" Id="rId206" /><Relationship Type="http://schemas.openxmlformats.org/officeDocument/2006/relationships/hyperlink" Target="https://www.tcgplayer.com/product/532105" TargetMode="External" Id="rId207" /><Relationship Type="http://schemas.openxmlformats.org/officeDocument/2006/relationships/hyperlink" Target="https://www.pricecharting.com/game/one-piece-500-years-in-the-future/double-pack-dp-04" TargetMode="External" Id="rId208" /><Relationship Type="http://schemas.openxmlformats.org/officeDocument/2006/relationships/hyperlink" Target="https://www.tcgplayer.com/product/557077" TargetMode="External" Id="rId209" /><Relationship Type="http://schemas.openxmlformats.org/officeDocument/2006/relationships/hyperlink" Target="https://www.tcgplayer.com/product/552054" TargetMode="External" Id="rId210" /><Relationship Type="http://schemas.openxmlformats.org/officeDocument/2006/relationships/hyperlink" Target="https://www.tcgplayer.com/product/636741" TargetMode="External" Id="rId211" /><Relationship Type="http://schemas.openxmlformats.org/officeDocument/2006/relationships/hyperlink" Target="https://www.tcgplayer.com/product/620179" TargetMode="External" Id="rId212" /><Relationship Type="http://schemas.openxmlformats.org/officeDocument/2006/relationships/hyperlink" Target="https://www.tcgplayer.com/product/636743" TargetMode="External" Id="rId213" /><Relationship Type="http://schemas.openxmlformats.org/officeDocument/2006/relationships/hyperlink" Target="https://www.tcgplayer.com/product/634527" TargetMode="External" Id="rId214" /><Relationship Type="http://schemas.openxmlformats.org/officeDocument/2006/relationships/hyperlink" Target="https://www.tcgplayer.com/product/686290" TargetMode="External" Id="rId215" /><Relationship Type="http://schemas.openxmlformats.org/officeDocument/2006/relationships/hyperlink" Target="https://www.tcgplayer.com/product/688634" TargetMode="External" Id="rId216" /><Relationship Type="http://schemas.openxmlformats.org/officeDocument/2006/relationships/hyperlink" Target="https://www.tcgplayer.com/product/682056" TargetMode="External" Id="rId217" /><Relationship Type="http://schemas.openxmlformats.org/officeDocument/2006/relationships/hyperlink" Target="https://www.tcgplayer.com/product/689162" TargetMode="External" Id="rId218" /><Relationship Type="http://schemas.openxmlformats.org/officeDocument/2006/relationships/hyperlink" Target="https://www.tcgplayer.com/product/686456" TargetMode="External" Id="rId219" /><Relationship Type="http://schemas.openxmlformats.org/officeDocument/2006/relationships/hyperlink" Target="https://www.pricecharting.com/game/one-piece-awakening-of-the-new-era/booster-pack" TargetMode="External" Id="rId220" /><Relationship Type="http://schemas.openxmlformats.org/officeDocument/2006/relationships/hyperlink" Target="https://www.tcgplayer.com/product/498733" TargetMode="External" Id="rId221" /><Relationship Type="http://schemas.openxmlformats.org/officeDocument/2006/relationships/hyperlink" Target="https://www.pricecharting.com/game/one-piece-awakening-of-the-new-era/sleeved-booster-pack" TargetMode="External" Id="rId222" /><Relationship Type="http://schemas.openxmlformats.org/officeDocument/2006/relationships/hyperlink" Target="https://www.tcgplayer.com/product/531575" TargetMode="External" Id="rId223" /><Relationship Type="http://schemas.openxmlformats.org/officeDocument/2006/relationships/hyperlink" Target="https://www.pricecharting.com/game/one-piece-awakening-of-the-new-era/double-pack-dp-02" TargetMode="External" Id="rId224" /><Relationship Type="http://schemas.openxmlformats.org/officeDocument/2006/relationships/hyperlink" Target="https://www.tcgplayer.com/product/531974" TargetMode="External" Id="rId225" /><Relationship Type="http://schemas.openxmlformats.org/officeDocument/2006/relationships/hyperlink" Target="https://www.tcgplayer.com/product/520771" TargetMode="External" Id="rId226" /><Relationship Type="http://schemas.openxmlformats.org/officeDocument/2006/relationships/hyperlink" Target="https://www.pricecharting.com/game/one-piece-carrying-on-his-will/booster-pack" TargetMode="External" Id="rId227" /><Relationship Type="http://schemas.openxmlformats.org/officeDocument/2006/relationships/hyperlink" Target="https://www.tcgplayer.com/product/628351" TargetMode="External" Id="rId228" /><Relationship Type="http://schemas.openxmlformats.org/officeDocument/2006/relationships/hyperlink" Target="https://www.pricecharting.com/game/one-piece-carrying-on-his-will/sleeved-booster-pack" TargetMode="External" Id="rId229" /><Relationship Type="http://schemas.openxmlformats.org/officeDocument/2006/relationships/hyperlink" Target="https://www.tcgplayer.com/product/652643" TargetMode="External" Id="rId230" /><Relationship Type="http://schemas.openxmlformats.org/officeDocument/2006/relationships/hyperlink" Target="https://www.tcgplayer.com/product/657797" TargetMode="External" Id="rId231" /><Relationship Type="http://schemas.openxmlformats.org/officeDocument/2006/relationships/hyperlink" Target="https://www.tcgplayer.com/product/657796" TargetMode="External" Id="rId232" /><Relationship Type="http://schemas.openxmlformats.org/officeDocument/2006/relationships/hyperlink" Target="https://www.pricecharting.com/game/one-piece-emperors-in-the-new-world/booster-pack" TargetMode="External" Id="rId233" /><Relationship Type="http://schemas.openxmlformats.org/officeDocument/2006/relationships/hyperlink" Target="https://www.tcgplayer.com/product/563833" TargetMode="External" Id="rId234" /><Relationship Type="http://schemas.openxmlformats.org/officeDocument/2006/relationships/hyperlink" Target="https://www.pricecharting.com/game/one-piece-emperors-in-the-new-world/sleeved-booster-pack" TargetMode="External" Id="rId235" /><Relationship Type="http://schemas.openxmlformats.org/officeDocument/2006/relationships/hyperlink" Target="https://www.tcgplayer.com/product/606604" TargetMode="External" Id="rId236" /><Relationship Type="http://schemas.openxmlformats.org/officeDocument/2006/relationships/hyperlink" Target="https://www.pricecharting.com/game/one-piece-emperors-in-the-new-world/sealed-double-pack-dp-06" TargetMode="External" Id="rId237" /><Relationship Type="http://schemas.openxmlformats.org/officeDocument/2006/relationships/hyperlink" Target="https://www.tcgplayer.com/product/617844" TargetMode="External" Id="rId238" /><Relationship Type="http://schemas.openxmlformats.org/officeDocument/2006/relationships/hyperlink" Target="https://www.tcgplayer.com/product/600705" TargetMode="External" Id="rId239" /><Relationship Type="http://schemas.openxmlformats.org/officeDocument/2006/relationships/hyperlink" Target="https://www.pricecharting.com/game/one-piece-extra-booster-anime-25th-collection/booster-pack" TargetMode="External" Id="rId240" /><Relationship Type="http://schemas.openxmlformats.org/officeDocument/2006/relationships/hyperlink" Target="https://www.pricecharting.com/game/one-piece-extra-booster-heroines-edition/booster-pack" TargetMode="External" Id="rId241" /><Relationship Type="http://schemas.openxmlformats.org/officeDocument/2006/relationships/hyperlink" Target="https://www.pricecharting.com/game/one-piece-extra-booster-memorial-collection/booster-pack" TargetMode="External" Id="rId242" /><Relationship Type="http://schemas.openxmlformats.org/officeDocument/2006/relationships/hyperlink" Target="https://www.tcgplayer.com/product/711383" TargetMode="External" Id="rId243" /><Relationship Type="http://schemas.openxmlformats.org/officeDocument/2006/relationships/hyperlink" Target="https://www.tcgplayer.com/product/666727" TargetMode="External" Id="rId244" /><Relationship Type="http://schemas.openxmlformats.org/officeDocument/2006/relationships/hyperlink" Target="https://www.tcgplayer.com/product/679503" TargetMode="External" Id="rId245" /><Relationship Type="http://schemas.openxmlformats.org/officeDocument/2006/relationships/hyperlink" Target="https://www.tcgplayer.com/product/675744" TargetMode="External" Id="rId246" /><Relationship Type="http://schemas.openxmlformats.org/officeDocument/2006/relationships/hyperlink" Target="https://www.pricecharting.com/game/one-piece-fist-of-divine-speed/booster-pack" TargetMode="External" Id="rId247" /><Relationship Type="http://schemas.openxmlformats.org/officeDocument/2006/relationships/hyperlink" Target="https://www.pricecharting.com/game/one-piece-fist-of-divine-speed/sleeved-booster-pack" TargetMode="External" Id="rId248" /><Relationship Type="http://schemas.openxmlformats.org/officeDocument/2006/relationships/hyperlink" Target="https://www.pricecharting.com/game/one-piece-japanese-500-years-in-the-future/booster-pack" TargetMode="External" Id="rId249" /><Relationship Type="http://schemas.openxmlformats.org/officeDocument/2006/relationships/hyperlink" Target="https://www.pricecharting.com/game/one-piece-japanese-awakening-of-the-new-era/booster-pack" TargetMode="External" Id="rId250" /><Relationship Type="http://schemas.openxmlformats.org/officeDocument/2006/relationships/hyperlink" Target="https://www.pricecharting.com/game/one-piece-japanese-carrying-on-his-will/booster-pack" TargetMode="External" Id="rId251" /><Relationship Type="http://schemas.openxmlformats.org/officeDocument/2006/relationships/hyperlink" Target="https://www.pricecharting.com/game/one-piece-japanese-emperors-in-the-new-world/booster-pack" TargetMode="External" Id="rId252" /><Relationship Type="http://schemas.openxmlformats.org/officeDocument/2006/relationships/hyperlink" Target="https://www.pricecharting.com/game/one-piece-japanese-extra-booster-anime-25th-collection/booster-pack" TargetMode="External" Id="rId253" /><Relationship Type="http://schemas.openxmlformats.org/officeDocument/2006/relationships/hyperlink" Target="https://www.pricecharting.com/game/one-piece-japanese-extra-booster-egghead-crisis/booster-pack" TargetMode="External" Id="rId254" /><Relationship Type="http://schemas.openxmlformats.org/officeDocument/2006/relationships/hyperlink" Target="https://www.pricecharting.com/game/one-piece-japanese-extra-booster-heroines-edition/booster-pack" TargetMode="External" Id="rId255" /><Relationship Type="http://schemas.openxmlformats.org/officeDocument/2006/relationships/hyperlink" Target="https://www.pricecharting.com/game/one-piece-japanese-extra-booster-memorial-collection/booster-pack" TargetMode="External" Id="rId256" /><Relationship Type="http://schemas.openxmlformats.org/officeDocument/2006/relationships/hyperlink" Target="https://www.pricecharting.com/game/one-piece-japanese-fist-of-divine-speed/booster-pack" TargetMode="External" Id="rId257" /><Relationship Type="http://schemas.openxmlformats.org/officeDocument/2006/relationships/hyperlink" Target="https://www.pricecharting.com/game/one-piece-japanese-kingdoms-of-intrigue/booster-pack" TargetMode="External" Id="rId258" /><Relationship Type="http://schemas.openxmlformats.org/officeDocument/2006/relationships/hyperlink" Target="https://www.pricecharting.com/game/one-piece-japanese-legacy-of-the-master/booster-pack" TargetMode="External" Id="rId259" /><Relationship Type="http://schemas.openxmlformats.org/officeDocument/2006/relationships/hyperlink" Target="https://www.pricecharting.com/game/one-piece-japanese-paramount-war/booster-pack" TargetMode="External" Id="rId260" /><Relationship Type="http://schemas.openxmlformats.org/officeDocument/2006/relationships/hyperlink" Target="https://www.pricecharting.com/game/one-piece-japanese-pillars-of-strength/booster-pack" TargetMode="External" Id="rId261" /><Relationship Type="http://schemas.openxmlformats.org/officeDocument/2006/relationships/hyperlink" Target="https://www.pricecharting.com/game/one-piece-japanese-premium-booster/booster-pack" TargetMode="External" Id="rId262" /><Relationship Type="http://schemas.openxmlformats.org/officeDocument/2006/relationships/hyperlink" Target="https://www.pricecharting.com/game/one-piece-japanese-premium-booster-2/booster-pack" TargetMode="External" Id="rId263" /><Relationship Type="http://schemas.openxmlformats.org/officeDocument/2006/relationships/hyperlink" Target="https://www.pricecharting.com/game/one-piece-japanese-promo/4th-anniversary-treasure-campaign-pack" TargetMode="External" Id="rId264" /><Relationship Type="http://schemas.openxmlformats.org/officeDocument/2006/relationships/hyperlink" Target="https://www.pricecharting.com/game/one-piece-japanese-promo/mcdonald's-promo-pack-2025" TargetMode="External" Id="rId265" /><Relationship Type="http://schemas.openxmlformats.org/officeDocument/2006/relationships/hyperlink" Target="https://www.pricecharting.com/game/one-piece-japanese-promo/sealed-3rd-anniversary-treasure-campaign-pack" TargetMode="External" Id="rId266" /><Relationship Type="http://schemas.openxmlformats.org/officeDocument/2006/relationships/hyperlink" Target="https://www.pricecharting.com/game/one-piece-japanese-promo/sealed-film-red-uta-promo-pack" TargetMode="External" Id="rId267" /><Relationship Type="http://schemas.openxmlformats.org/officeDocument/2006/relationships/hyperlink" Target="https://www.pricecharting.com/game/one-piece-japanese-promo/sealed-let's-get-started-campaign-promotion-pack" TargetMode="External" Id="rId268" /><Relationship Type="http://schemas.openxmlformats.org/officeDocument/2006/relationships/hyperlink" Target="https://www.pricecharting.com/game/one-piece-japanese-promo/sealed-pack-v-jump" TargetMode="External" Id="rId269" /><Relationship Type="http://schemas.openxmlformats.org/officeDocument/2006/relationships/hyperlink" Target="https://www.pricecharting.com/game/one-piece-japanese-promo/sealed-promotion-pack-2022" TargetMode="External" Id="rId270" /><Relationship Type="http://schemas.openxmlformats.org/officeDocument/2006/relationships/hyperlink" Target="https://www.pricecharting.com/game/one-piece-japanese-promo/sealed-promotion-pack-ex-vol-1" TargetMode="External" Id="rId271" /><Relationship Type="http://schemas.openxmlformats.org/officeDocument/2006/relationships/hyperlink" Target="https://www.pricecharting.com/game/one-piece-japanese-promo/sealed-promotion-pack-ex-vol-2" TargetMode="External" Id="rId272" /><Relationship Type="http://schemas.openxmlformats.org/officeDocument/2006/relationships/hyperlink" Target="https://www.pricecharting.com/game/one-piece-japanese-promo/sealed-promotion-pack-ex-vol-3" TargetMode="External" Id="rId273" /><Relationship Type="http://schemas.openxmlformats.org/officeDocument/2006/relationships/hyperlink" Target="https://www.pricecharting.com/game/one-piece-japanese-promo/sealed-promotion-pack-ex-vol-4" TargetMode="External" Id="rId274" /><Relationship Type="http://schemas.openxmlformats.org/officeDocument/2006/relationships/hyperlink" Target="https://www.pricecharting.com/game/one-piece-japanese-promo/sealed-promotion-pack-vol-2" TargetMode="External" Id="rId275" /><Relationship Type="http://schemas.openxmlformats.org/officeDocument/2006/relationships/hyperlink" Target="https://www.pricecharting.com/game/one-piece-japanese-promo/sealed-promotion-pack-vol-3" TargetMode="External" Id="rId276" /><Relationship Type="http://schemas.openxmlformats.org/officeDocument/2006/relationships/hyperlink" Target="https://www.pricecharting.com/game/one-piece-japanese-promo/sealed-promotion-pack-vol-4" TargetMode="External" Id="rId277" /><Relationship Type="http://schemas.openxmlformats.org/officeDocument/2006/relationships/hyperlink" Target="https://www.pricecharting.com/game/one-piece-japanese-promo/sealed-promotion-pack-vol-5" TargetMode="External" Id="rId278" /><Relationship Type="http://schemas.openxmlformats.org/officeDocument/2006/relationships/hyperlink" Target="https://www.pricecharting.com/game/one-piece-japanese-promo/sealed-promotion-pack-vol-6" TargetMode="External" Id="rId279" /><Relationship Type="http://schemas.openxmlformats.org/officeDocument/2006/relationships/hyperlink" Target="https://www.pricecharting.com/game/one-piece-japanese-promo/sealed-promotion-pack-vol-7" TargetMode="External" Id="rId280" /><Relationship Type="http://schemas.openxmlformats.org/officeDocument/2006/relationships/hyperlink" Target="https://www.pricecharting.com/game/one-piece-japanese-promo/sealed-promotion-pack-vol-8" TargetMode="External" Id="rId281" /><Relationship Type="http://schemas.openxmlformats.org/officeDocument/2006/relationships/hyperlink" Target="https://www.pricecharting.com/game/one-piece-japanese-promo/sealed-promotion-pack-vol-9" TargetMode="External" Id="rId282" /><Relationship Type="http://schemas.openxmlformats.org/officeDocument/2006/relationships/hyperlink" Target="https://www.pricecharting.com/game/one-piece-japanese-promo/sealed-round-1-pack" TargetMode="External" Id="rId283" /><Relationship Type="http://schemas.openxmlformats.org/officeDocument/2006/relationships/hyperlink" Target="https://www.pricecharting.com/game/one-piece-japanese-promo/sealed-standard-battle-pack-vol-12" TargetMode="External" Id="rId284" /><Relationship Type="http://schemas.openxmlformats.org/officeDocument/2006/relationships/hyperlink" Target="https://www.pricecharting.com/game/one-piece-japanese-promo/sealed-standard-battle-pack-vol-13" TargetMode="External" Id="rId285" /><Relationship Type="http://schemas.openxmlformats.org/officeDocument/2006/relationships/hyperlink" Target="https://www.pricecharting.com/game/one-piece-japanese-promo/sealed-standard-battle-pack-vol-16" TargetMode="External" Id="rId286" /><Relationship Type="http://schemas.openxmlformats.org/officeDocument/2006/relationships/hyperlink" Target="https://www.pricecharting.com/game/one-piece-japanese-promo/sealed-top-strongest-pack" TargetMode="External" Id="rId287" /><Relationship Type="http://schemas.openxmlformats.org/officeDocument/2006/relationships/hyperlink" Target="https://www.pricecharting.com/game/one-piece-japanese-promo/sealed-tournament-pack-vol-4" TargetMode="External" Id="rId288" /><Relationship Type="http://schemas.openxmlformats.org/officeDocument/2006/relationships/hyperlink" Target="https://www.pricecharting.com/game/one-piece-japanese-promo/sealed-tournament-pack-vol-5" TargetMode="External" Id="rId289" /><Relationship Type="http://schemas.openxmlformats.org/officeDocument/2006/relationships/hyperlink" Target="https://www.pricecharting.com/game/one-piece-japanese-promo/strongest-three-brothers-pack" TargetMode="External" Id="rId290" /><Relationship Type="http://schemas.openxmlformats.org/officeDocument/2006/relationships/hyperlink" Target="https://www.pricecharting.com/game/one-piece-japanese-romance-dawn/booster-pack" TargetMode="External" Id="rId291" /><Relationship Type="http://schemas.openxmlformats.org/officeDocument/2006/relationships/hyperlink" Target="https://www.pricecharting.com/game/one-piece-japanese-royal-blood/booster-pack" TargetMode="External" Id="rId292" /><Relationship Type="http://schemas.openxmlformats.org/officeDocument/2006/relationships/hyperlink" Target="https://www.pricecharting.com/game/one-piece-japanese-the-time-of-battle/booster-pack" TargetMode="External" Id="rId293" /><Relationship Type="http://schemas.openxmlformats.org/officeDocument/2006/relationships/hyperlink" Target="https://www.pricecharting.com/game/one-piece-japanese-two-legends/booster-pack" TargetMode="External" Id="rId294" /><Relationship Type="http://schemas.openxmlformats.org/officeDocument/2006/relationships/hyperlink" Target="https://www.pricecharting.com/game/one-piece-japanese-ultra-deck-the-three-brothers/bonus-pack" TargetMode="External" Id="rId295" /><Relationship Type="http://schemas.openxmlformats.org/officeDocument/2006/relationships/hyperlink" Target="https://www.pricecharting.com/game/one-piece-japanese-wings-of-the-captain/booster-pack" TargetMode="External" Id="rId296" /><Relationship Type="http://schemas.openxmlformats.org/officeDocument/2006/relationships/hyperlink" Target="https://www.pricecharting.com/game/one-piece-kingdoms-of-intrigue/booster-pack" TargetMode="External" Id="rId297" /><Relationship Type="http://schemas.openxmlformats.org/officeDocument/2006/relationships/hyperlink" Target="https://www.tcgplayer.com/product/485832" TargetMode="External" Id="rId298" /><Relationship Type="http://schemas.openxmlformats.org/officeDocument/2006/relationships/hyperlink" Target="https://www.pricecharting.com/game/one-piece-kingdoms-of-intrigue/dash-pack" TargetMode="External" Id="rId299" /><Relationship Type="http://schemas.openxmlformats.org/officeDocument/2006/relationships/hyperlink" Target="https://www.tcgplayer.com/product/516954" TargetMode="External" Id="rId300" /><Relationship Type="http://schemas.openxmlformats.org/officeDocument/2006/relationships/hyperlink" Target="https://www.pricecharting.com/game/one-piece-kingdoms-of-intrigue/sleeved-booster-pack" TargetMode="External" Id="rId301" /><Relationship Type="http://schemas.openxmlformats.org/officeDocument/2006/relationships/hyperlink" Target="https://www.tcgplayer.com/product/531777" TargetMode="External" Id="rId302" /><Relationship Type="http://schemas.openxmlformats.org/officeDocument/2006/relationships/hyperlink" Target="https://www.pricecharting.com/game/one-piece-kingdoms-of-intrigue/double-pack-dp-01" TargetMode="External" Id="rId303" /><Relationship Type="http://schemas.openxmlformats.org/officeDocument/2006/relationships/hyperlink" Target="https://www.pricecharting.com/game/one-piece-kingdoms-of-intrigue/kingdoms-of-intrigue-pre-release-pack" TargetMode="External" Id="rId304" /><Relationship Type="http://schemas.openxmlformats.org/officeDocument/2006/relationships/hyperlink" Target="https://www.tcgplayer.com/product/521201" TargetMode="External" Id="rId305" /><Relationship Type="http://schemas.openxmlformats.org/officeDocument/2006/relationships/hyperlink" Target="https://www.tcgplayer.com/product/516961" TargetMode="External" Id="rId306" /><Relationship Type="http://schemas.openxmlformats.org/officeDocument/2006/relationships/hyperlink" Target="https://www.pricecharting.com/game/one-piece-legacy-of-the-master/sleeved-booster-pack" TargetMode="External" Id="rId307" /><Relationship Type="http://schemas.openxmlformats.org/officeDocument/2006/relationships/hyperlink" Target="https://www.tcgplayer.com/product/650645" TargetMode="External" Id="rId308" /><Relationship Type="http://schemas.openxmlformats.org/officeDocument/2006/relationships/hyperlink" Target="https://www.pricecharting.com/game/one-piece-legacy-of-the-master/booster-pack" TargetMode="External" Id="rId309" /><Relationship Type="http://schemas.openxmlformats.org/officeDocument/2006/relationships/hyperlink" Target="https://www.tcgplayer.com/product/628345" TargetMode="External" Id="rId310" /><Relationship Type="http://schemas.openxmlformats.org/officeDocument/2006/relationships/hyperlink" Target="https://www.pricecharting.com/game/one-piece-legacy-of-the-master/double-pack-dp-08" TargetMode="External" Id="rId311" /><Relationship Type="http://schemas.openxmlformats.org/officeDocument/2006/relationships/hyperlink" Target="https://www.tcgplayer.com/product/651980" TargetMode="External" Id="rId312" /><Relationship Type="http://schemas.openxmlformats.org/officeDocument/2006/relationships/hyperlink" Target="https://www.tcgplayer.com/product/649244" TargetMode="External" Id="rId313" /><Relationship Type="http://schemas.openxmlformats.org/officeDocument/2006/relationships/hyperlink" Target="https://www.tcgplayer.com/product/545700" TargetMode="External" Id="rId314" /><Relationship Type="http://schemas.openxmlformats.org/officeDocument/2006/relationships/hyperlink" Target="https://www.tcgplayer.com/product/661447" TargetMode="External" Id="rId315" /><Relationship Type="http://schemas.openxmlformats.org/officeDocument/2006/relationships/hyperlink" Target="https://www.tcgplayer.com/product/714348" TargetMode="External" Id="rId316" /><Relationship Type="http://schemas.openxmlformats.org/officeDocument/2006/relationships/hyperlink" Target="https://www.tcgplayer.com/product/580054" TargetMode="External" Id="rId317" /><Relationship Type="http://schemas.openxmlformats.org/officeDocument/2006/relationships/hyperlink" Target="https://www.tcgplayer.com/product/579991" TargetMode="External" Id="rId318" /><Relationship Type="http://schemas.openxmlformats.org/officeDocument/2006/relationships/hyperlink" Target="https://www.tcgplayer.com/product/649629" TargetMode="External" Id="rId319" /><Relationship Type="http://schemas.openxmlformats.org/officeDocument/2006/relationships/hyperlink" Target="https://www.tcgplayer.com/product/649617" TargetMode="External" Id="rId320" /><Relationship Type="http://schemas.openxmlformats.org/officeDocument/2006/relationships/hyperlink" Target="https://www.tcgplayer.com/product/710246" TargetMode="External" Id="rId321" /><Relationship Type="http://schemas.openxmlformats.org/officeDocument/2006/relationships/hyperlink" Target="https://www.tcgplayer.com/product/710211" TargetMode="External" Id="rId322" /><Relationship Type="http://schemas.openxmlformats.org/officeDocument/2006/relationships/hyperlink" Target="https://www.tcgplayer.com/product/660407" TargetMode="External" Id="rId323" /><Relationship Type="http://schemas.openxmlformats.org/officeDocument/2006/relationships/hyperlink" Target="https://www.tcgplayer.com/product/493339" TargetMode="External" Id="rId324" /><Relationship Type="http://schemas.openxmlformats.org/officeDocument/2006/relationships/hyperlink" Target="https://www.tcgplayer.com/product/483165" TargetMode="External" Id="rId325" /><Relationship Type="http://schemas.openxmlformats.org/officeDocument/2006/relationships/hyperlink" Target="https://www.tcgplayer.com/product/483166" TargetMode="External" Id="rId326" /><Relationship Type="http://schemas.openxmlformats.org/officeDocument/2006/relationships/hyperlink" Target="https://www.tcgplayer.com/product/509458" TargetMode="External" Id="rId327" /><Relationship Type="http://schemas.openxmlformats.org/officeDocument/2006/relationships/hyperlink" Target="https://www.tcgplayer.com/product/539179" TargetMode="External" Id="rId328" /><Relationship Type="http://schemas.openxmlformats.org/officeDocument/2006/relationships/hyperlink" Target="https://www.tcgplayer.com/product/544798" TargetMode="External" Id="rId329" /><Relationship Type="http://schemas.openxmlformats.org/officeDocument/2006/relationships/hyperlink" Target="https://www.tcgplayer.com/product/583733" TargetMode="External" Id="rId330" /><Relationship Type="http://schemas.openxmlformats.org/officeDocument/2006/relationships/hyperlink" Target="https://www.tcgplayer.com/product/619193" TargetMode="External" Id="rId331" /><Relationship Type="http://schemas.openxmlformats.org/officeDocument/2006/relationships/hyperlink" Target="https://www.tcgplayer.com/product/646736" TargetMode="External" Id="rId332" /><Relationship Type="http://schemas.openxmlformats.org/officeDocument/2006/relationships/hyperlink" Target="https://www.tcgplayer.com/product/675734" TargetMode="External" Id="rId333" /><Relationship Type="http://schemas.openxmlformats.org/officeDocument/2006/relationships/hyperlink" Target="https://www.tcgplayer.com/product/709534" TargetMode="External" Id="rId334" /><Relationship Type="http://schemas.openxmlformats.org/officeDocument/2006/relationships/hyperlink" Target="https://www.tcgplayer.com/product/676678" TargetMode="External" Id="rId335" /><Relationship Type="http://schemas.openxmlformats.org/officeDocument/2006/relationships/hyperlink" Target="https://www.tcgplayer.com/product/502570" TargetMode="External" Id="rId336" /><Relationship Type="http://schemas.openxmlformats.org/officeDocument/2006/relationships/hyperlink" Target="https://www.tcgplayer.com/product/536257" TargetMode="External" Id="rId337" /><Relationship Type="http://schemas.openxmlformats.org/officeDocument/2006/relationships/hyperlink" Target="https://www.tcgplayer.com/product/544799" TargetMode="External" Id="rId338" /><Relationship Type="http://schemas.openxmlformats.org/officeDocument/2006/relationships/hyperlink" Target="https://www.tcgplayer.com/product/583744" TargetMode="External" Id="rId339" /><Relationship Type="http://schemas.openxmlformats.org/officeDocument/2006/relationships/hyperlink" Target="https://www.tcgplayer.com/product/619194" TargetMode="External" Id="rId340" /><Relationship Type="http://schemas.openxmlformats.org/officeDocument/2006/relationships/hyperlink" Target="https://www.tcgplayer.com/product/641217" TargetMode="External" Id="rId341" /><Relationship Type="http://schemas.openxmlformats.org/officeDocument/2006/relationships/hyperlink" Target="https://www.tcgplayer.com/product/668191" TargetMode="External" Id="rId342" /><Relationship Type="http://schemas.openxmlformats.org/officeDocument/2006/relationships/hyperlink" Target="https://www.tcgplayer.com/product/717406" TargetMode="External" Id="rId343" /><Relationship Type="http://schemas.openxmlformats.org/officeDocument/2006/relationships/hyperlink" Target="https://www.tcgplayer.com/product/539204" TargetMode="External" Id="rId344" /><Relationship Type="http://schemas.openxmlformats.org/officeDocument/2006/relationships/hyperlink" Target="https://www.tcgplayer.com/product/544801" TargetMode="External" Id="rId345" /><Relationship Type="http://schemas.openxmlformats.org/officeDocument/2006/relationships/hyperlink" Target="https://www.tcgplayer.com/product/586031" TargetMode="External" Id="rId346" /><Relationship Type="http://schemas.openxmlformats.org/officeDocument/2006/relationships/hyperlink" Target="https://www.tcgplayer.com/product/619192" TargetMode="External" Id="rId347" /><Relationship Type="http://schemas.openxmlformats.org/officeDocument/2006/relationships/hyperlink" Target="https://www.tcgplayer.com/product/646715" TargetMode="External" Id="rId348" /><Relationship Type="http://schemas.openxmlformats.org/officeDocument/2006/relationships/hyperlink" Target="https://www.tcgplayer.com/product/514200" TargetMode="External" Id="rId349" /><Relationship Type="http://schemas.openxmlformats.org/officeDocument/2006/relationships/hyperlink" Target="https://www.tcgplayer.com/product/488903" TargetMode="External" Id="rId350" /><Relationship Type="http://schemas.openxmlformats.org/officeDocument/2006/relationships/hyperlink" Target="https://www.tcgplayer.com/product/539178" TargetMode="External" Id="rId351" /><Relationship Type="http://schemas.openxmlformats.org/officeDocument/2006/relationships/hyperlink" Target="https://www.tcgplayer.com/product/544800" TargetMode="External" Id="rId352" /><Relationship Type="http://schemas.openxmlformats.org/officeDocument/2006/relationships/hyperlink" Target="https://www.tcgplayer.com/product/585580" TargetMode="External" Id="rId353" /><Relationship Type="http://schemas.openxmlformats.org/officeDocument/2006/relationships/hyperlink" Target="https://www.tcgplayer.com/product/666567" TargetMode="External" Id="rId354" /><Relationship Type="http://schemas.openxmlformats.org/officeDocument/2006/relationships/hyperlink" Target="https://www.tcgplayer.com/product/649735" TargetMode="External" Id="rId355" /><Relationship Type="http://schemas.openxmlformats.org/officeDocument/2006/relationships/hyperlink" Target="https://www.tcgplayer.com/product/457043" TargetMode="External" Id="rId356" /><Relationship Type="http://schemas.openxmlformats.org/officeDocument/2006/relationships/hyperlink" Target="https://www.tcgplayer.com/product/483109" TargetMode="External" Id="rId357" /><Relationship Type="http://schemas.openxmlformats.org/officeDocument/2006/relationships/hyperlink" Target="https://www.tcgplayer.com/product/708202" TargetMode="External" Id="rId358" /><Relationship Type="http://schemas.openxmlformats.org/officeDocument/2006/relationships/hyperlink" Target="https://www.tcgplayer.com/product/588184" TargetMode="External" Id="rId359" /><Relationship Type="http://schemas.openxmlformats.org/officeDocument/2006/relationships/hyperlink" Target="https://www.tcgplayer.com/product/696826" TargetMode="External" Id="rId360" /><Relationship Type="http://schemas.openxmlformats.org/officeDocument/2006/relationships/hyperlink" Target="https://www.tcgplayer.com/product/583731" TargetMode="External" Id="rId361" /><Relationship Type="http://schemas.openxmlformats.org/officeDocument/2006/relationships/hyperlink" Target="https://www.tcgplayer.com/product/609714" TargetMode="External" Id="rId362" /><Relationship Type="http://schemas.openxmlformats.org/officeDocument/2006/relationships/hyperlink" Target="https://www.tcgplayer.com/product/622589" TargetMode="External" Id="rId363" /><Relationship Type="http://schemas.openxmlformats.org/officeDocument/2006/relationships/hyperlink" Target="https://www.tcgplayer.com/product/641169" TargetMode="External" Id="rId364" /><Relationship Type="http://schemas.openxmlformats.org/officeDocument/2006/relationships/hyperlink" Target="https://www.tcgplayer.com/product/655958" TargetMode="External" Id="rId365" /><Relationship Type="http://schemas.openxmlformats.org/officeDocument/2006/relationships/hyperlink" Target="https://www.tcgplayer.com/product/668163" TargetMode="External" Id="rId366" /><Relationship Type="http://schemas.openxmlformats.org/officeDocument/2006/relationships/hyperlink" Target="https://www.tcgplayer.com/product/684308" TargetMode="External" Id="rId367" /><Relationship Type="http://schemas.openxmlformats.org/officeDocument/2006/relationships/hyperlink" Target="https://www.tcgplayer.com/product/708460" TargetMode="External" Id="rId368" /><Relationship Type="http://schemas.openxmlformats.org/officeDocument/2006/relationships/hyperlink" Target="https://www.tcgplayer.com/product/457013" TargetMode="External" Id="rId369" /><Relationship Type="http://schemas.openxmlformats.org/officeDocument/2006/relationships/hyperlink" Target="https://www.tcgplayer.com/product/483112" TargetMode="External" Id="rId370" /><Relationship Type="http://schemas.openxmlformats.org/officeDocument/2006/relationships/hyperlink" Target="https://www.tcgplayer.com/product/497007" TargetMode="External" Id="rId371" /><Relationship Type="http://schemas.openxmlformats.org/officeDocument/2006/relationships/hyperlink" Target="https://www.tcgplayer.com/product/503251" TargetMode="External" Id="rId372" /><Relationship Type="http://schemas.openxmlformats.org/officeDocument/2006/relationships/hyperlink" Target="https://www.tcgplayer.com/product/519829" TargetMode="External" Id="rId373" /><Relationship Type="http://schemas.openxmlformats.org/officeDocument/2006/relationships/hyperlink" Target="https://www.tcgplayer.com/product/537448" TargetMode="External" Id="rId374" /><Relationship Type="http://schemas.openxmlformats.org/officeDocument/2006/relationships/hyperlink" Target="https://www.tcgplayer.com/product/548440" TargetMode="External" Id="rId375" /><Relationship Type="http://schemas.openxmlformats.org/officeDocument/2006/relationships/hyperlink" Target="https://www.tcgplayer.com/product/683970" TargetMode="External" Id="rId376" /><Relationship Type="http://schemas.openxmlformats.org/officeDocument/2006/relationships/hyperlink" Target="https://www.tcgplayer.com/product/558742" TargetMode="External" Id="rId377" /><Relationship Type="http://schemas.openxmlformats.org/officeDocument/2006/relationships/hyperlink" Target="https://www.tcgplayer.com/product/653799" TargetMode="External" Id="rId378" /><Relationship Type="http://schemas.openxmlformats.org/officeDocument/2006/relationships/hyperlink" Target="https://www.tcgplayer.com/product/583732" TargetMode="External" Id="rId379" /><Relationship Type="http://schemas.openxmlformats.org/officeDocument/2006/relationships/hyperlink" Target="https://www.tcgplayer.com/product/609715" TargetMode="External" Id="rId380" /><Relationship Type="http://schemas.openxmlformats.org/officeDocument/2006/relationships/hyperlink" Target="https://www.tcgplayer.com/product/622590" TargetMode="External" Id="rId381" /><Relationship Type="http://schemas.openxmlformats.org/officeDocument/2006/relationships/hyperlink" Target="https://www.tcgplayer.com/product/641167" TargetMode="External" Id="rId382" /><Relationship Type="http://schemas.openxmlformats.org/officeDocument/2006/relationships/hyperlink" Target="https://www.tcgplayer.com/product/655959" TargetMode="External" Id="rId383" /><Relationship Type="http://schemas.openxmlformats.org/officeDocument/2006/relationships/hyperlink" Target="https://www.tcgplayer.com/product/668184" TargetMode="External" Id="rId384" /><Relationship Type="http://schemas.openxmlformats.org/officeDocument/2006/relationships/hyperlink" Target="https://www.tcgplayer.com/product/684301" TargetMode="External" Id="rId385" /><Relationship Type="http://schemas.openxmlformats.org/officeDocument/2006/relationships/hyperlink" Target="https://www.tcgplayer.com/product/708461" TargetMode="External" Id="rId386" /><Relationship Type="http://schemas.openxmlformats.org/officeDocument/2006/relationships/hyperlink" Target="https://www.tcgplayer.com/product/457017" TargetMode="External" Id="rId387" /><Relationship Type="http://schemas.openxmlformats.org/officeDocument/2006/relationships/hyperlink" Target="https://www.tcgplayer.com/product/483164" TargetMode="External" Id="rId388" /><Relationship Type="http://schemas.openxmlformats.org/officeDocument/2006/relationships/hyperlink" Target="https://www.tcgplayer.com/product/497008" TargetMode="External" Id="rId389" /><Relationship Type="http://schemas.openxmlformats.org/officeDocument/2006/relationships/hyperlink" Target="https://www.tcgplayer.com/product/503252" TargetMode="External" Id="rId390" /><Relationship Type="http://schemas.openxmlformats.org/officeDocument/2006/relationships/hyperlink" Target="https://www.tcgplayer.com/product/519831" TargetMode="External" Id="rId391" /><Relationship Type="http://schemas.openxmlformats.org/officeDocument/2006/relationships/hyperlink" Target="https://www.tcgplayer.com/product/537449" TargetMode="External" Id="rId392" /><Relationship Type="http://schemas.openxmlformats.org/officeDocument/2006/relationships/hyperlink" Target="https://www.tcgplayer.com/product/548441" TargetMode="External" Id="rId393" /><Relationship Type="http://schemas.openxmlformats.org/officeDocument/2006/relationships/hyperlink" Target="https://www.pricecharting.com/game/one-piece-paramount-war/booster-pack" TargetMode="External" Id="rId394" /><Relationship Type="http://schemas.openxmlformats.org/officeDocument/2006/relationships/hyperlink" Target="https://www.tcgplayer.com/product/455865" TargetMode="External" Id="rId395" /><Relationship Type="http://schemas.openxmlformats.org/officeDocument/2006/relationships/hyperlink" Target="https://www.pricecharting.com/game/one-piece-paramount-war/sleeved-booster-pack" TargetMode="External" Id="rId396" /><Relationship Type="http://schemas.openxmlformats.org/officeDocument/2006/relationships/hyperlink" Target="https://www.tcgplayer.com/product/531775" TargetMode="External" Id="rId397" /><Relationship Type="http://schemas.openxmlformats.org/officeDocument/2006/relationships/hyperlink" Target="https://www.pricecharting.com/game/one-piece-paramount-war/paramount-war-pre-release-pack" TargetMode="External" Id="rId398" /><Relationship Type="http://schemas.openxmlformats.org/officeDocument/2006/relationships/hyperlink" Target="https://www.pricecharting.com/game/one-piece-paramount-war/revision-pack" TargetMode="External" Id="rId399" /><Relationship Type="http://schemas.openxmlformats.org/officeDocument/2006/relationships/hyperlink" Target="https://www.tcgplayer.com/product/487126" TargetMode="External" Id="rId400" /><Relationship Type="http://schemas.openxmlformats.org/officeDocument/2006/relationships/hyperlink" Target="https://www.tcgplayer.com/product/482217" TargetMode="External" Id="rId401" /><Relationship Type="http://schemas.openxmlformats.org/officeDocument/2006/relationships/hyperlink" Target="https://www.pricecharting.com/game/one-piece-pillars-of-strength/booster-pack" TargetMode="External" Id="rId402" /><Relationship Type="http://schemas.openxmlformats.org/officeDocument/2006/relationships/hyperlink" Target="https://www.tcgplayer.com/product/477175" TargetMode="External" Id="rId403" /><Relationship Type="http://schemas.openxmlformats.org/officeDocument/2006/relationships/hyperlink" Target="https://www.pricecharting.com/game/one-piece-pillars-of-strength/sleeved-booster-pack" TargetMode="External" Id="rId404" /><Relationship Type="http://schemas.openxmlformats.org/officeDocument/2006/relationships/hyperlink" Target="https://www.tcgplayer.com/product/531776" TargetMode="External" Id="rId405" /><Relationship Type="http://schemas.openxmlformats.org/officeDocument/2006/relationships/hyperlink" Target="https://www.pricecharting.com/game/one-piece-pillars-of-strength/pillars-of-strength-pre-release-pack" TargetMode="External" Id="rId406" /><Relationship Type="http://schemas.openxmlformats.org/officeDocument/2006/relationships/hyperlink" Target="https://www.tcgplayer.com/product/502624" TargetMode="External" Id="rId407" /><Relationship Type="http://schemas.openxmlformats.org/officeDocument/2006/relationships/hyperlink" Target="https://www.pricecharting.com/game/one-piece-premium-booster/premium-booster-pack-prb01" TargetMode="External" Id="rId408" /><Relationship Type="http://schemas.openxmlformats.org/officeDocument/2006/relationships/hyperlink" Target="https://www.pricecharting.com/game/one-piece-premium-booster/sleeved-booster-pack" TargetMode="External" Id="rId409" /><Relationship Type="http://schemas.openxmlformats.org/officeDocument/2006/relationships/hyperlink" Target="https://www.tcgplayer.com/product/545398" TargetMode="External" Id="rId410" /><Relationship Type="http://schemas.openxmlformats.org/officeDocument/2006/relationships/hyperlink" Target="https://www.tcgplayer.com/product/622980" TargetMode="External" Id="rId411" /><Relationship Type="http://schemas.openxmlformats.org/officeDocument/2006/relationships/hyperlink" Target="https://www.tcgplayer.com/product/628451" TargetMode="External" Id="rId412" /><Relationship Type="http://schemas.openxmlformats.org/officeDocument/2006/relationships/hyperlink" Target="https://www.tcgplayer.com/product/657211" TargetMode="External" Id="rId413" /><Relationship Type="http://schemas.openxmlformats.org/officeDocument/2006/relationships/hyperlink" Target="https://www.pricecharting.com/game/one-piece-premium-booster-2/booster-pack" TargetMode="External" Id="rId414" /><Relationship Type="http://schemas.openxmlformats.org/officeDocument/2006/relationships/hyperlink" Target="https://www.pricecharting.com/game/one-piece-premium-booster-2/sleeved-booster-pack" TargetMode="External" Id="rId415" /><Relationship Type="http://schemas.openxmlformats.org/officeDocument/2006/relationships/hyperlink" Target="https://www.pricecharting.com/game/one-piece-promo/double-pack-dp-07" TargetMode="External" Id="rId416" /><Relationship Type="http://schemas.openxmlformats.org/officeDocument/2006/relationships/hyperlink" Target="https://www.pricecharting.com/game/one-piece-promo/monkeydluffy-3rd-anniversary-winner-sealed-pack" TargetMode="External" Id="rId417" /><Relationship Type="http://schemas.openxmlformats.org/officeDocument/2006/relationships/hyperlink" Target="https://www.pricecharting.com/game/one-piece-promo/sealed-event-pack-vol-1" TargetMode="External" Id="rId418" /><Relationship Type="http://schemas.openxmlformats.org/officeDocument/2006/relationships/hyperlink" Target="https://www.pricecharting.com/game/one-piece-promo/sealed-event-pack-vol-2" TargetMode="External" Id="rId419" /><Relationship Type="http://schemas.openxmlformats.org/officeDocument/2006/relationships/hyperlink" Target="https://www.pricecharting.com/game/one-piece-promo/sealed-event-pack-vol-5" TargetMode="External" Id="rId420" /><Relationship Type="http://schemas.openxmlformats.org/officeDocument/2006/relationships/hyperlink" Target="https://www.pricecharting.com/game/one-piece-promo/sealed-film-red-uta-promo-pack" TargetMode="External" Id="rId421" /><Relationship Type="http://schemas.openxmlformats.org/officeDocument/2006/relationships/hyperlink" Target="https://www.pricecharting.com/game/one-piece-promo/sealed-judge-pack-vol-1" TargetMode="External" Id="rId422" /><Relationship Type="http://schemas.openxmlformats.org/officeDocument/2006/relationships/hyperlink" Target="https://www.pricecharting.com/game/one-piece-promo/sealed-promotion-pack-2022" TargetMode="External" Id="rId423" /><Relationship Type="http://schemas.openxmlformats.org/officeDocument/2006/relationships/hyperlink" Target="https://www.pricecharting.com/game/one-piece-promo/sealed-promotion-pack-2023" TargetMode="External" Id="rId424" /><Relationship Type="http://schemas.openxmlformats.org/officeDocument/2006/relationships/hyperlink" Target="https://www.pricecharting.com/game/one-piece-promo/sealed-round-1-pack" TargetMode="External" Id="rId425" /><Relationship Type="http://schemas.openxmlformats.org/officeDocument/2006/relationships/hyperlink" Target="https://www.pricecharting.com/game/one-piece-promo/sealed-tournament-pack-vol-1" TargetMode="External" Id="rId426" /><Relationship Type="http://schemas.openxmlformats.org/officeDocument/2006/relationships/hyperlink" Target="https://www.pricecharting.com/game/one-piece-promo/sealed-tournament-pack-vol-2" TargetMode="External" Id="rId427" /><Relationship Type="http://schemas.openxmlformats.org/officeDocument/2006/relationships/hyperlink" Target="https://www.pricecharting.com/game/one-piece-promo/sealed-tournament-pack-vol-3" TargetMode="External" Id="rId428" /><Relationship Type="http://schemas.openxmlformats.org/officeDocument/2006/relationships/hyperlink" Target="https://www.pricecharting.com/game/one-piece-promo/sealed-tournament-pack-vol-4" TargetMode="External" Id="rId429" /><Relationship Type="http://schemas.openxmlformats.org/officeDocument/2006/relationships/hyperlink" Target="https://www.pricecharting.com/game/one-piece-promo/sealed-tournament-pack-vol-5" TargetMode="External" Id="rId430" /><Relationship Type="http://schemas.openxmlformats.org/officeDocument/2006/relationships/hyperlink" Target="https://www.pricecharting.com/game/one-piece-promo/sealed-winner-pack-vol-1" TargetMode="External" Id="rId431" /><Relationship Type="http://schemas.openxmlformats.org/officeDocument/2006/relationships/hyperlink" Target="https://www.pricecharting.com/game/one-piece-promo/sealed-winner-pack-vol-2" TargetMode="External" Id="rId432" /><Relationship Type="http://schemas.openxmlformats.org/officeDocument/2006/relationships/hyperlink" Target="https://www.pricecharting.com/game/one-piece-promo/sealed-winner-pack-vol-3" TargetMode="External" Id="rId433" /><Relationship Type="http://schemas.openxmlformats.org/officeDocument/2006/relationships/hyperlink" Target="https://www.pricecharting.com/game/one-piece-promo/sealed-winner-pack-vol-4" TargetMode="External" Id="rId434" /><Relationship Type="http://schemas.openxmlformats.org/officeDocument/2006/relationships/hyperlink" Target="https://www.pricecharting.com/game/one-piece-promo/sealed-winner-pack-vol-5" TargetMode="External" Id="rId435" /><Relationship Type="http://schemas.openxmlformats.org/officeDocument/2006/relationships/hyperlink" Target="https://www.pricecharting.com/game/one-piece-romance-dawn/booster-pack" TargetMode="External" Id="rId436" /><Relationship Type="http://schemas.openxmlformats.org/officeDocument/2006/relationships/hyperlink" Target="https://www.tcgplayer.com/product/450085" TargetMode="External" Id="rId437" /><Relationship Type="http://schemas.openxmlformats.org/officeDocument/2006/relationships/hyperlink" Target="https://www.pricecharting.com/game/one-piece-romance-dawn/sleeved-booster-pack" TargetMode="External" Id="rId438" /><Relationship Type="http://schemas.openxmlformats.org/officeDocument/2006/relationships/hyperlink" Target="https://www.tcgplayer.com/product/531774" TargetMode="External" Id="rId439" /><Relationship Type="http://schemas.openxmlformats.org/officeDocument/2006/relationships/hyperlink" Target="https://www.pricecharting.com/game/one-piece-royal-blood/sleeved-booster-pack" TargetMode="External" Id="rId440" /><Relationship Type="http://schemas.openxmlformats.org/officeDocument/2006/relationships/hyperlink" Target="https://www.tcgplayer.com/product/624523" TargetMode="External" Id="rId441" /><Relationship Type="http://schemas.openxmlformats.org/officeDocument/2006/relationships/hyperlink" Target="https://www.pricecharting.com/game/one-piece-royal-blood/booster-pack" TargetMode="External" Id="rId442" /><Relationship Type="http://schemas.openxmlformats.org/officeDocument/2006/relationships/hyperlink" Target="https://www.tcgplayer.com/product/586670" TargetMode="External" Id="rId443" /><Relationship Type="http://schemas.openxmlformats.org/officeDocument/2006/relationships/hyperlink" Target="https://www.tcgplayer.com/product/620841" TargetMode="External" Id="rId444" /><Relationship Type="http://schemas.openxmlformats.org/officeDocument/2006/relationships/hyperlink" Target="https://www.pricecharting.com/game/one-piece-starter-deck-29-egghead/sealed-bonus-pack" TargetMode="External" Id="rId445" /><Relationship Type="http://schemas.openxmlformats.org/officeDocument/2006/relationships/hyperlink" Target="https://www.tcgplayer.com/product/675812" TargetMode="External" Id="rId446" /><Relationship Type="http://schemas.openxmlformats.org/officeDocument/2006/relationships/hyperlink" Target="https://www.tcgplayer.com/product/672372" TargetMode="External" Id="rId447" /><Relationship Type="http://schemas.openxmlformats.org/officeDocument/2006/relationships/hyperlink" Target="https://www.tcgplayer.com/product/666577" TargetMode="External" Id="rId448" /><Relationship Type="http://schemas.openxmlformats.org/officeDocument/2006/relationships/hyperlink" Target="https://www.tcgplayer.com/product/666576" TargetMode="External" Id="rId449" /><Relationship Type="http://schemas.openxmlformats.org/officeDocument/2006/relationships/hyperlink" Target="https://www.tcgplayer.com/product/671882" TargetMode="External" Id="rId450" /><Relationship Type="http://schemas.openxmlformats.org/officeDocument/2006/relationships/hyperlink" Target="https://www.tcgplayer.com/product/712904" TargetMode="External" Id="rId451" /><Relationship Type="http://schemas.openxmlformats.org/officeDocument/2006/relationships/hyperlink" Target="https://www.tcgplayer.com/product/712903" TargetMode="External" Id="rId452" /><Relationship Type="http://schemas.openxmlformats.org/officeDocument/2006/relationships/hyperlink" Target="https://www.tcgplayer.com/product/701593" TargetMode="External" Id="rId453" /><Relationship Type="http://schemas.openxmlformats.org/officeDocument/2006/relationships/hyperlink" Target="https://www.pricecharting.com/game/one-piece-the-time-of-battle/booster-pack" TargetMode="External" Id="rId454" /><Relationship Type="http://schemas.openxmlformats.org/officeDocument/2006/relationships/hyperlink" Target="https://www.tcgplayer.com/product/689341" TargetMode="External" Id="rId455" /><Relationship Type="http://schemas.openxmlformats.org/officeDocument/2006/relationships/hyperlink" Target="https://www.pricecharting.com/game/one-piece-the-time-of-battle/sealed-double-pack" TargetMode="External" Id="rId456" /><Relationship Type="http://schemas.openxmlformats.org/officeDocument/2006/relationships/hyperlink" Target="https://www.pricecharting.com/game/one-piece-the-time-of-battle/sleeved-booster-pack" TargetMode="External" Id="rId457" /><Relationship Type="http://schemas.openxmlformats.org/officeDocument/2006/relationships/hyperlink" Target="https://www.tcgplayer.com/product/689347" TargetMode="External" Id="rId458" /><Relationship Type="http://schemas.openxmlformats.org/officeDocument/2006/relationships/hyperlink" Target="https://www.tcgplayer.com/product/697491" TargetMode="External" Id="rId459" /><Relationship Type="http://schemas.openxmlformats.org/officeDocument/2006/relationships/hyperlink" Target="https://www.tcgplayer.com/product/704756" TargetMode="External" Id="rId460" /><Relationship Type="http://schemas.openxmlformats.org/officeDocument/2006/relationships/hyperlink" Target="https://www.tcgplayer.com/product/704755" TargetMode="External" Id="rId461" /><Relationship Type="http://schemas.openxmlformats.org/officeDocument/2006/relationships/hyperlink" Target="https://www.tcgplayer.com/product/712741" TargetMode="External" Id="rId462" /><Relationship Type="http://schemas.openxmlformats.org/officeDocument/2006/relationships/hyperlink" Target="https://www.tcgplayer.com/product/586061" TargetMode="External" Id="rId463" /><Relationship Type="http://schemas.openxmlformats.org/officeDocument/2006/relationships/hyperlink" Target="https://www.pricecharting.com/game/one-piece-two-legends/booster-pack" TargetMode="External" Id="rId464" /><Relationship Type="http://schemas.openxmlformats.org/officeDocument/2006/relationships/hyperlink" Target="https://www.tcgplayer.com/product/542502" TargetMode="External" Id="rId465" /><Relationship Type="http://schemas.openxmlformats.org/officeDocument/2006/relationships/hyperlink" Target="https://www.pricecharting.com/game/one-piece-two-legends/sleeved-booster-pack" TargetMode="External" Id="rId466" /><Relationship Type="http://schemas.openxmlformats.org/officeDocument/2006/relationships/hyperlink" Target="https://www.tcgplayer.com/product/542503" TargetMode="External" Id="rId467" /><Relationship Type="http://schemas.openxmlformats.org/officeDocument/2006/relationships/hyperlink" Target="https://www.pricecharting.com/game/one-piece-two-legends/double-pack-dp-05" TargetMode="External" Id="rId468" /><Relationship Type="http://schemas.openxmlformats.org/officeDocument/2006/relationships/hyperlink" Target="https://www.pricecharting.com/game/one-piece-two-legends/pre-release-pack" TargetMode="External" Id="rId469" /><Relationship Type="http://schemas.openxmlformats.org/officeDocument/2006/relationships/hyperlink" Target="https://www.tcgplayer.com/product/577144" TargetMode="External" Id="rId470" /><Relationship Type="http://schemas.openxmlformats.org/officeDocument/2006/relationships/hyperlink" Target="https://www.pricecharting.com/game/one-piece-ultra-deck-the-three-brothers/bonus-pack" TargetMode="External" Id="rId471" /><Relationship Type="http://schemas.openxmlformats.org/officeDocument/2006/relationships/hyperlink" Target="https://www.tcgplayer.com/product/543906" TargetMode="External" Id="rId472" /><Relationship Type="http://schemas.openxmlformats.org/officeDocument/2006/relationships/hyperlink" Target="https://www.pricecharting.com/game/one-piece-wings-of-the-captain/booster-pack" TargetMode="External" Id="rId473" /><Relationship Type="http://schemas.openxmlformats.org/officeDocument/2006/relationships/hyperlink" Target="https://www.tcgplayer.com/product/515077" TargetMode="External" Id="rId474" /><Relationship Type="http://schemas.openxmlformats.org/officeDocument/2006/relationships/hyperlink" Target="https://www.pricecharting.com/game/one-piece-wings-of-the-captain/sleeved-booster-pack" TargetMode="External" Id="rId475" /><Relationship Type="http://schemas.openxmlformats.org/officeDocument/2006/relationships/hyperlink" Target="https://www.tcgplayer.com/product/543371" TargetMode="External" Id="rId476" /><Relationship Type="http://schemas.openxmlformats.org/officeDocument/2006/relationships/hyperlink" Target="https://www.pricecharting.com/game/one-piece-wings-of-the-captain/double-pack-dp-03" TargetMode="External" Id="rId477" /><Relationship Type="http://schemas.openxmlformats.org/officeDocument/2006/relationships/hyperlink" Target="https://www.tcgplayer.com/product/537437" TargetMode="External" Id="rId478" /><Relationship Type="http://schemas.openxmlformats.org/officeDocument/2006/relationships/hyperlink" Target="https://www.pricecharting.com/game/pokemon-1999-topps-movie/booster-box" TargetMode="External" Id="rId479" /><Relationship Type="http://schemas.openxmlformats.org/officeDocument/2006/relationships/hyperlink" Target="https://www.pricecharting.com/game/pokemon-1999-topps-movie/booster-box-black-logo" TargetMode="External" Id="rId480" /><Relationship Type="http://schemas.openxmlformats.org/officeDocument/2006/relationships/hyperlink" Target="https://www.pricecharting.com/game/pokemon-1999-topps-tv/booster-box" TargetMode="External" Id="rId481" /><Relationship Type="http://schemas.openxmlformats.org/officeDocument/2006/relationships/hyperlink" Target="https://www.pricecharting.com/game/pokemon-2000-topps-tv/booster-box-series-2" TargetMode="External" Id="rId482" /><Relationship Type="http://schemas.openxmlformats.org/officeDocument/2006/relationships/hyperlink" Target="https://www.pricecharting.com/game/pokemon-2000-topps-tv/booster-box-series-3" TargetMode="External" Id="rId483" /><Relationship Type="http://schemas.openxmlformats.org/officeDocument/2006/relationships/hyperlink" Target="https://www.pricecharting.com/game/pokemon-ancient-origins/booster-box" TargetMode="External" Id="rId484" /><Relationship Type="http://schemas.openxmlformats.org/officeDocument/2006/relationships/hyperlink" Target="https://www.pricecharting.com/game/pokemon-aquapolis/booster-box" TargetMode="External" Id="rId485" /><Relationship Type="http://schemas.openxmlformats.org/officeDocument/2006/relationships/hyperlink" Target="https://www.pricecharting.com/game/pokemon-arceus/booster-box" TargetMode="External" Id="rId486" /><Relationship Type="http://schemas.openxmlformats.org/officeDocument/2006/relationships/hyperlink" Target="https://www.tcgplayer.com/product/98593" TargetMode="External" Id="rId487" /><Relationship Type="http://schemas.openxmlformats.org/officeDocument/2006/relationships/hyperlink" Target="https://www.pricecharting.com/game/pokemon-ascended-heroes/booster-bundle-display-box" TargetMode="External" Id="rId488" /><Relationship Type="http://schemas.openxmlformats.org/officeDocument/2006/relationships/hyperlink" Target="https://www.pricecharting.com/game/pokemon-astral-radiance/build-&amp;-battle-display-box" TargetMode="External" Id="rId489" /><Relationship Type="http://schemas.openxmlformats.org/officeDocument/2006/relationships/hyperlink" Target="https://www.pricecharting.com/game/pokemon-base-set/booster-box" TargetMode="External" Id="rId490" /><Relationship Type="http://schemas.openxmlformats.org/officeDocument/2006/relationships/hyperlink" Target="https://www.pricecharting.com/game/pokemon-base-set/booster-box-1st-edition" TargetMode="External" Id="rId491" /><Relationship Type="http://schemas.openxmlformats.org/officeDocument/2006/relationships/hyperlink" Target="https://www.tcgplayer.com/product/185731" TargetMode="External" Id="rId492" /><Relationship Type="http://schemas.openxmlformats.org/officeDocument/2006/relationships/hyperlink" Target="https://www.pricecharting.com/game/pokemon-base-set-2/booster-box" TargetMode="External" Id="rId493" /><Relationship Type="http://schemas.openxmlformats.org/officeDocument/2006/relationships/hyperlink" Target="https://www.tcgplayer.com/product/107610" TargetMode="External" Id="rId494" /><Relationship Type="http://schemas.openxmlformats.org/officeDocument/2006/relationships/hyperlink" Target="https://www.pricecharting.com/game/pokemon-black-bolt/booster-bundle-display-box" TargetMode="External" Id="rId495" /><Relationship Type="http://schemas.openxmlformats.org/officeDocument/2006/relationships/hyperlink" Target="https://www.pricecharting.com/game/pokemon-boundaries-crossed/booster-box" TargetMode="External" Id="rId496" /><Relationship Type="http://schemas.openxmlformats.org/officeDocument/2006/relationships/hyperlink" Target="https://www.tcgplayer.com/product/98555" TargetMode="External" Id="rId497" /><Relationship Type="http://schemas.openxmlformats.org/officeDocument/2006/relationships/hyperlink" Target="https://www.pricecharting.com/game/pokemon-breakpoint/booster-box" TargetMode="External" Id="rId498" /><Relationship Type="http://schemas.openxmlformats.org/officeDocument/2006/relationships/hyperlink" Target="https://www.pricecharting.com/game/pokemon-breakthrough/booster-box" TargetMode="External" Id="rId499" /><Relationship Type="http://schemas.openxmlformats.org/officeDocument/2006/relationships/hyperlink" Target="https://www.pricecharting.com/game/pokemon-brilliant-stars/build-&amp;-battle-display-box" TargetMode="External" Id="rId500" /><Relationship Type="http://schemas.openxmlformats.org/officeDocument/2006/relationships/hyperlink" Target="https://www.pricecharting.com/game/pokemon-burning-shadows/booster-box-prerelease" TargetMode="External" Id="rId501" /><Relationship Type="http://schemas.openxmlformats.org/officeDocument/2006/relationships/hyperlink" Target="https://www.pricecharting.com/game/pokemon-call-of-legends/booster-box" TargetMode="External" Id="rId502" /><Relationship Type="http://schemas.openxmlformats.org/officeDocument/2006/relationships/hyperlink" Target="https://www.tcgplayer.com/product/98514" TargetMode="External" Id="rId503" /><Relationship Type="http://schemas.openxmlformats.org/officeDocument/2006/relationships/hyperlink" Target="https://www.pricecharting.com/game/pokemon-chaos-rising/booster-box" TargetMode="External" Id="rId504" /><Relationship Type="http://schemas.openxmlformats.org/officeDocument/2006/relationships/hyperlink" Target="https://www.pricecharting.com/game/pokemon-chaos-rising/half-booster-box" TargetMode="External" Id="rId505" /><Relationship Type="http://schemas.openxmlformats.org/officeDocument/2006/relationships/hyperlink" Target="https://www.pricecharting.com/game/pokemon-chilling-reign/build-&amp;-battle-display-box" TargetMode="External" Id="rId506" /><Relationship Type="http://schemas.openxmlformats.org/officeDocument/2006/relationships/hyperlink" Target="https://www.pricecharting.com/game/pokemon-chinese-151-collect/booster-box" TargetMode="External" Id="rId507" /><Relationship Type="http://schemas.openxmlformats.org/officeDocument/2006/relationships/hyperlink" Target="https://www.pricecharting.com/game/pokemon-chinese-151-collect/booster-box-surprise-jumbo" TargetMode="External" Id="rId508" /><Relationship Type="http://schemas.openxmlformats.org/officeDocument/2006/relationships/hyperlink" Target="https://www.pricecharting.com/game/pokemon-chinese-151-collect/booster-box-surprise-slim" TargetMode="External" Id="rId509" /><Relationship Type="http://schemas.openxmlformats.org/officeDocument/2006/relationships/hyperlink" Target="https://www.pricecharting.com/game/pokemon-chinese-151-collect/booster-box-volume-4" TargetMode="External" Id="rId510" /><Relationship Type="http://schemas.openxmlformats.org/officeDocument/2006/relationships/hyperlink" Target="https://www.pricecharting.com/game/pokemon-chinese-151-collect/slim-booster-box-hope" TargetMode="External" Id="rId511" /><Relationship Type="http://schemas.openxmlformats.org/officeDocument/2006/relationships/hyperlink" Target="https://www.pricecharting.com/game/pokemon-chinese-csv10c/jumbo-booster-box" TargetMode="External" Id="rId512" /><Relationship Type="http://schemas.openxmlformats.org/officeDocument/2006/relationships/hyperlink" Target="https://www.pricecharting.com/game/pokemon-chinese-csv10c/slim-booster-box" TargetMode="External" Id="rId513" /><Relationship Type="http://schemas.openxmlformats.org/officeDocument/2006/relationships/hyperlink" Target="https://www.pricecharting.com/game/pokemon-chinese-csv4c/booster-box-jumbo" TargetMode="External" Id="rId514" /><Relationship Type="http://schemas.openxmlformats.org/officeDocument/2006/relationships/hyperlink" Target="https://www.pricecharting.com/game/pokemon-chinese-csv4c/booster-box-slim" TargetMode="External" Id="rId515" /><Relationship Type="http://schemas.openxmlformats.org/officeDocument/2006/relationships/hyperlink" Target="https://www.pricecharting.com/game/pokemon-chinese-csv5c/jumbo-booster-box" TargetMode="External" Id="rId516" /><Relationship Type="http://schemas.openxmlformats.org/officeDocument/2006/relationships/hyperlink" Target="https://www.pricecharting.com/game/pokemon-chinese-csv5c/slim-booster-box" TargetMode="External" Id="rId517" /><Relationship Type="http://schemas.openxmlformats.org/officeDocument/2006/relationships/hyperlink" Target="https://www.pricecharting.com/game/pokemon-chinese-csv6c/jumbo-booster-box" TargetMode="External" Id="rId518" /><Relationship Type="http://schemas.openxmlformats.org/officeDocument/2006/relationships/hyperlink" Target="https://www.pricecharting.com/game/pokemon-chinese-csv7c/jumbo-booster-box" TargetMode="External" Id="rId519" /><Relationship Type="http://schemas.openxmlformats.org/officeDocument/2006/relationships/hyperlink" Target="https://www.pricecharting.com/game/pokemon-chinese-csv8c/jumbo-booster-box" TargetMode="External" Id="rId520" /><Relationship Type="http://schemas.openxmlformats.org/officeDocument/2006/relationships/hyperlink" Target="https://www.pricecharting.com/game/pokemon-chinese-csv9c/booster-box" TargetMode="External" Id="rId521" /><Relationship Type="http://schemas.openxmlformats.org/officeDocument/2006/relationships/hyperlink" Target="https://www.pricecharting.com/game/pokemon-chinese-gem-pack/sealed-booster-box" TargetMode="External" Id="rId522" /><Relationship Type="http://schemas.openxmlformats.org/officeDocument/2006/relationships/hyperlink" Target="https://www.pricecharting.com/game/pokemon-chinese-gem-pack-2/booster-box" TargetMode="External" Id="rId523" /><Relationship Type="http://schemas.openxmlformats.org/officeDocument/2006/relationships/hyperlink" Target="https://www.pricecharting.com/game/pokemon-chinese-gem-pack-3/booster-box" TargetMode="External" Id="rId524" /><Relationship Type="http://schemas.openxmlformats.org/officeDocument/2006/relationships/hyperlink" Target="https://www.pricecharting.com/game/pokemon-chinese-gem-pack-4/booster-box" TargetMode="External" Id="rId525" /><Relationship Type="http://schemas.openxmlformats.org/officeDocument/2006/relationships/hyperlink" Target="https://www.pricecharting.com/game/pokemon-chinese-gem-pack-5/booster-box" TargetMode="External" Id="rId526" /><Relationship Type="http://schemas.openxmlformats.org/officeDocument/2006/relationships/hyperlink" Target="https://www.pricecharting.com/game/pokemon-chinese-gem-pack-6/booster-box" TargetMode="External" Id="rId527" /><Relationship Type="http://schemas.openxmlformats.org/officeDocument/2006/relationships/hyperlink" Target="https://www.pricecharting.com/game/pokemon-chinese-promo/151-first-partner-display-box-bulbasaur" TargetMode="External" Id="rId528" /><Relationship Type="http://schemas.openxmlformats.org/officeDocument/2006/relationships/hyperlink" Target="https://www.pricecharting.com/game/pokemon-chinese-promo/151-first-partner-display-box-charmander" TargetMode="External" Id="rId529" /><Relationship Type="http://schemas.openxmlformats.org/officeDocument/2006/relationships/hyperlink" Target="https://www.pricecharting.com/game/pokemon-chinese-promo/151-first-partner-display-box-squirtle" TargetMode="External" Id="rId530" /><Relationship Type="http://schemas.openxmlformats.org/officeDocument/2006/relationships/hyperlink" Target="https://www.pricecharting.com/game/pokemon-cosmic-eclipse/booster-box" TargetMode="External" Id="rId531" /><Relationship Type="http://schemas.openxmlformats.org/officeDocument/2006/relationships/hyperlink" Target="https://www.pricecharting.com/game/pokemon-cosmic-eclipse/booster-box-build-&amp;-battle" TargetMode="External" Id="rId532" /><Relationship Type="http://schemas.openxmlformats.org/officeDocument/2006/relationships/hyperlink" Target="https://www.pricecharting.com/game/pokemon-cosmic-eclipse/build-&amp;-battle-display-box" TargetMode="External" Id="rId533" /><Relationship Type="http://schemas.openxmlformats.org/officeDocument/2006/relationships/hyperlink" Target="https://www.tcgplayer.com/product/660024" TargetMode="External" Id="rId534" /><Relationship Type="http://schemas.openxmlformats.org/officeDocument/2006/relationships/hyperlink" Target="https://www.pricecharting.com/game/pokemon-dark-explorers/booster-box" TargetMode="External" Id="rId535" /><Relationship Type="http://schemas.openxmlformats.org/officeDocument/2006/relationships/hyperlink" Target="https://www.tcgplayer.com/product/98520" TargetMode="External" Id="rId536" /><Relationship Type="http://schemas.openxmlformats.org/officeDocument/2006/relationships/hyperlink" Target="https://www.pricecharting.com/game/pokemon-darkness-ablaze/build-&amp;-battle-display-box" TargetMode="External" Id="rId537" /><Relationship Type="http://schemas.openxmlformats.org/officeDocument/2006/relationships/hyperlink" Target="https://www.pricecharting.com/game/pokemon-destined-rivals/build-&amp;-battle-display-box" TargetMode="External" Id="rId538" /><Relationship Type="http://schemas.openxmlformats.org/officeDocument/2006/relationships/hyperlink" Target="https://www.pricecharting.com/game/pokemon-dragons-exalted/booster-box" TargetMode="External" Id="rId539" /><Relationship Type="http://schemas.openxmlformats.org/officeDocument/2006/relationships/hyperlink" Target="https://www.tcgplayer.com/product/98540" TargetMode="External" Id="rId540" /><Relationship Type="http://schemas.openxmlformats.org/officeDocument/2006/relationships/hyperlink" Target="https://www.pricecharting.com/game/pokemon-evolutions/booster-box" TargetMode="External" Id="rId541" /><Relationship Type="http://schemas.openxmlformats.org/officeDocument/2006/relationships/hyperlink" Target="https://www.pricecharting.com/game/pokemon-evolving-skies/build-&amp;-battle-display-box" TargetMode="External" Id="rId542" /><Relationship Type="http://schemas.openxmlformats.org/officeDocument/2006/relationships/hyperlink" Target="https://www.pricecharting.com/game/pokemon-crystal-guardians/booster-box" TargetMode="External" Id="rId543" /><Relationship Type="http://schemas.openxmlformats.org/officeDocument/2006/relationships/hyperlink" Target="https://www.tcgplayer.com/product/98567" TargetMode="External" Id="rId544" /><Relationship Type="http://schemas.openxmlformats.org/officeDocument/2006/relationships/hyperlink" Target="https://www.pricecharting.com/game/pokemon-delta-species/booster-box" TargetMode="External" Id="rId545" /><Relationship Type="http://schemas.openxmlformats.org/officeDocument/2006/relationships/hyperlink" Target="https://www.tcgplayer.com/product/98943" TargetMode="External" Id="rId546" /><Relationship Type="http://schemas.openxmlformats.org/officeDocument/2006/relationships/hyperlink" Target="https://www.pricecharting.com/game/pokemon-deoxys/booster-box" TargetMode="External" Id="rId547" /><Relationship Type="http://schemas.openxmlformats.org/officeDocument/2006/relationships/hyperlink" Target="https://www.tcgplayer.com/product/98563" TargetMode="External" Id="rId548" /><Relationship Type="http://schemas.openxmlformats.org/officeDocument/2006/relationships/hyperlink" Target="https://www.pricecharting.com/game/pokemon-dragon-frontiers/booster-box" TargetMode="External" Id="rId549" /><Relationship Type="http://schemas.openxmlformats.org/officeDocument/2006/relationships/hyperlink" Target="https://www.tcgplayer.com/product/98532" TargetMode="External" Id="rId550" /><Relationship Type="http://schemas.openxmlformats.org/officeDocument/2006/relationships/hyperlink" Target="https://www.pricecharting.com/game/pokemon-emerald/booster-box" TargetMode="External" Id="rId551" /><Relationship Type="http://schemas.openxmlformats.org/officeDocument/2006/relationships/hyperlink" Target="https://www.tcgplayer.com/product/98547" TargetMode="External" Id="rId552" /><Relationship Type="http://schemas.openxmlformats.org/officeDocument/2006/relationships/hyperlink" Target="https://www.pricecharting.com/game/pokemon-hidden-legends/booster-box" TargetMode="External" Id="rId553" /><Relationship Type="http://schemas.openxmlformats.org/officeDocument/2006/relationships/hyperlink" Target="https://www.tcgplayer.com/product/98596" TargetMode="External" Id="rId554" /><Relationship Type="http://schemas.openxmlformats.org/officeDocument/2006/relationships/hyperlink" Target="https://www.pricecharting.com/game/pokemon-holon-phantoms/booster-box" TargetMode="External" Id="rId555" /><Relationship Type="http://schemas.openxmlformats.org/officeDocument/2006/relationships/hyperlink" Target="https://www.tcgplayer.com/product/98523" TargetMode="External" Id="rId556" /><Relationship Type="http://schemas.openxmlformats.org/officeDocument/2006/relationships/hyperlink" Target="https://www.pricecharting.com/game/pokemon-legend-maker/booster-box" TargetMode="External" Id="rId557" /><Relationship Type="http://schemas.openxmlformats.org/officeDocument/2006/relationships/hyperlink" Target="https://www.tcgplayer.com/product/98556" TargetMode="External" Id="rId558" /><Relationship Type="http://schemas.openxmlformats.org/officeDocument/2006/relationships/hyperlink" Target="https://www.pricecharting.com/game/pokemon-power-keepers/booster-box" TargetMode="External" Id="rId559" /><Relationship Type="http://schemas.openxmlformats.org/officeDocument/2006/relationships/hyperlink" Target="https://www.tcgplayer.com/product/98528" TargetMode="External" Id="rId560" /><Relationship Type="http://schemas.openxmlformats.org/officeDocument/2006/relationships/hyperlink" Target="https://www.pricecharting.com/game/pokemon-team-rocket-returns/booster-box" TargetMode="External" Id="rId561" /><Relationship Type="http://schemas.openxmlformats.org/officeDocument/2006/relationships/hyperlink" Target="https://www.tcgplayer.com/product/98579" TargetMode="External" Id="rId562" /><Relationship Type="http://schemas.openxmlformats.org/officeDocument/2006/relationships/hyperlink" Target="https://www.pricecharting.com/game/pokemon-unseen-forces/booster-box" TargetMode="External" Id="rId563" /><Relationship Type="http://schemas.openxmlformats.org/officeDocument/2006/relationships/hyperlink" Target="https://www.tcgplayer.com/product/98576" TargetMode="External" Id="rId564" /><Relationship Type="http://schemas.openxmlformats.org/officeDocument/2006/relationships/hyperlink" Target="https://www.pricecharting.com/game/pokemon-expedition/booster-box" TargetMode="External" Id="rId565" /><Relationship Type="http://schemas.openxmlformats.org/officeDocument/2006/relationships/hyperlink" Target="https://www.pricecharting.com/game/pokemon-fates-collide/booster-box" TargetMode="External" Id="rId566" /><Relationship Type="http://schemas.openxmlformats.org/officeDocument/2006/relationships/hyperlink" Target="https://www.pricecharting.com/game/pokemon-forbidden-light/booster-box" TargetMode="External" Id="rId567" /><Relationship Type="http://schemas.openxmlformats.org/officeDocument/2006/relationships/hyperlink" Target="https://www.pricecharting.com/game/pokemon-fossil/booster-box" TargetMode="External" Id="rId568" /><Relationship Type="http://schemas.openxmlformats.org/officeDocument/2006/relationships/hyperlink" Target="https://www.pricecharting.com/game/pokemon-fossil/booster-box-1st-edition" TargetMode="External" Id="rId569" /><Relationship Type="http://schemas.openxmlformats.org/officeDocument/2006/relationships/hyperlink" Target="https://www.pricecharting.com/game/pokemon-fusion-strike/half-booster-box" TargetMode="External" Id="rId570" /><Relationship Type="http://schemas.openxmlformats.org/officeDocument/2006/relationships/hyperlink" Target="https://www.pricecharting.com/game/pokemon-great-encounters/booster-box" TargetMode="External" Id="rId571" /><Relationship Type="http://schemas.openxmlformats.org/officeDocument/2006/relationships/hyperlink" Target="https://www.tcgplayer.com/product/98544" TargetMode="External" Id="rId572" /><Relationship Type="http://schemas.openxmlformats.org/officeDocument/2006/relationships/hyperlink" Target="https://www.pricecharting.com/game/pokemon-guardians-rising/booster-box" TargetMode="External" Id="rId573" /><Relationship Type="http://schemas.openxmlformats.org/officeDocument/2006/relationships/hyperlink" Target="https://www.pricecharting.com/game/pokemon-gym-challenge/booster-box" TargetMode="External" Id="rId574" /><Relationship Type="http://schemas.openxmlformats.org/officeDocument/2006/relationships/hyperlink" Target="https://www.pricecharting.com/game/pokemon-gym-challenge/booster-box-1st-edition" TargetMode="External" Id="rId575" /><Relationship Type="http://schemas.openxmlformats.org/officeDocument/2006/relationships/hyperlink" Target="https://www.tcgplayer.com/product/276588" TargetMode="External" Id="rId576" /><Relationship Type="http://schemas.openxmlformats.org/officeDocument/2006/relationships/hyperlink" Target="https://www.pricecharting.com/game/pokemon-gym-heroes/booster-box" TargetMode="External" Id="rId577" /><Relationship Type="http://schemas.openxmlformats.org/officeDocument/2006/relationships/hyperlink" Target="https://www.pricecharting.com/game/pokemon-gym-heroes/booster-box-1st-edition" TargetMode="External" Id="rId578" /><Relationship Type="http://schemas.openxmlformats.org/officeDocument/2006/relationships/hyperlink" Target="https://www.tcgplayer.com/product/208707" TargetMode="External" Id="rId579" /><Relationship Type="http://schemas.openxmlformats.org/officeDocument/2006/relationships/hyperlink" Target="https://www.pricecharting.com/game/pokemon-japanese-20th-anniversary/booster-box" TargetMode="External" Id="rId580" /><Relationship Type="http://schemas.openxmlformats.org/officeDocument/2006/relationships/hyperlink" Target="https://www.pricecharting.com/game/pokemon-japanese-25th-anniversary-collection/booster-box" TargetMode="External" Id="rId581" /><Relationship Type="http://schemas.openxmlformats.org/officeDocument/2006/relationships/hyperlink" Target="https://www.pricecharting.com/game/pokemon-japanese-30th-celebration/booster-box" TargetMode="External" Id="rId582" /><Relationship Type="http://schemas.openxmlformats.org/officeDocument/2006/relationships/hyperlink" Target="https://www.pricecharting.com/game/pokemon-japanese-abyss-eye/booster-box" TargetMode="External" Id="rId583" /><Relationship Type="http://schemas.openxmlformats.org/officeDocument/2006/relationships/hyperlink" Target="https://www.pricecharting.com/game/pokemon-japanese-alolan-moonlight/booster-box" TargetMode="External" Id="rId584" /><Relationship Type="http://schemas.openxmlformats.org/officeDocument/2006/relationships/hyperlink" Target="https://www.pricecharting.com/game/pokemon-japanese-alter-genesis/booster-box" TargetMode="External" Id="rId585" /><Relationship Type="http://schemas.openxmlformats.org/officeDocument/2006/relationships/hyperlink" Target="https://www.pricecharting.com/game/pokemon-japanese-amazing-volt-tackle/booster-box" TargetMode="External" Id="rId586" /><Relationship Type="http://schemas.openxmlformats.org/officeDocument/2006/relationships/hyperlink" Target="https://www.pricecharting.com/game/pokemon-japanese-ancient-roar/booster-box" TargetMode="External" Id="rId587" /><Relationship Type="http://schemas.openxmlformats.org/officeDocument/2006/relationships/hyperlink" Target="https://www.pricecharting.com/game/pokemon-japanese-bandit-ring/booster-box" TargetMode="External" Id="rId588" /><Relationship Type="http://schemas.openxmlformats.org/officeDocument/2006/relationships/hyperlink" Target="https://www.pricecharting.com/game/pokemon-japanese-battle-partners/booster-box" TargetMode="External" Id="rId589" /><Relationship Type="http://schemas.openxmlformats.org/officeDocument/2006/relationships/hyperlink" Target="https://www.pricecharting.com/game/pokemon-japanese-battle-region/booster-box" TargetMode="External" Id="rId590" /><Relationship Type="http://schemas.openxmlformats.org/officeDocument/2006/relationships/hyperlink" Target="https://www.pricecharting.com/game/pokemon-japanese-best-of-xy/booster-box" TargetMode="External" Id="rId591" /><Relationship Type="http://schemas.openxmlformats.org/officeDocument/2006/relationships/hyperlink" Target="https://www.pricecharting.com/game/pokemon-japanese-black-bolt/booster-box" TargetMode="External" Id="rId592" /><Relationship Type="http://schemas.openxmlformats.org/officeDocument/2006/relationships/hyperlink" Target="https://www.pricecharting.com/game/pokemon-japanese-black-bolt/deluxe-booster-box" TargetMode="External" Id="rId593" /><Relationship Type="http://schemas.openxmlformats.org/officeDocument/2006/relationships/hyperlink" Target="https://www.pricecharting.com/game/pokemon-japanese-blue-sky-stream/booster-box" TargetMode="External" Id="rId594" /><Relationship Type="http://schemas.openxmlformats.org/officeDocument/2006/relationships/hyperlink" Target="https://www.pricecharting.com/game/pokemon-japanese-cd-promo/booster-box" TargetMode="External" Id="rId595" /><Relationship Type="http://schemas.openxmlformats.org/officeDocument/2006/relationships/hyperlink" Target="https://www.pricecharting.com/game/pokemon-japanese-challenge-from-the-darkness/booster-box" TargetMode="External" Id="rId596" /><Relationship Type="http://schemas.openxmlformats.org/officeDocument/2006/relationships/hyperlink" Target="https://www.pricecharting.com/game/pokemon-japanese-clay-burst/booster-box" TargetMode="External" Id="rId597" /><Relationship Type="http://schemas.openxmlformats.org/officeDocument/2006/relationships/hyperlink" Target="https://www.pricecharting.com/game/pokemon-japanese-crimson-haze/booster-box" TargetMode="External" Id="rId598" /><Relationship Type="http://schemas.openxmlformats.org/officeDocument/2006/relationships/hyperlink" Target="https://www.pricecharting.com/game/pokemon-japanese-crossing-the-ruins/booster-box" TargetMode="External" Id="rId599" /><Relationship Type="http://schemas.openxmlformats.org/officeDocument/2006/relationships/hyperlink" Target="https://www.pricecharting.com/game/pokemon-japanese-cyber-judge/booster-box" TargetMode="External" Id="rId600" /><Relationship Type="http://schemas.openxmlformats.org/officeDocument/2006/relationships/hyperlink" Target="https://www.pricecharting.com/game/pokemon-japanese-dark-phantasma/booster-box" TargetMode="External" Id="rId601" /><Relationship Type="http://schemas.openxmlformats.org/officeDocument/2006/relationships/hyperlink" Target="https://www.pricecharting.com/game/pokemon-japanese-double-blaze/booster-box" TargetMode="External" Id="rId602" /><Relationship Type="http://schemas.openxmlformats.org/officeDocument/2006/relationships/hyperlink" Target="https://www.pricecharting.com/game/pokemon-japanese-dream-league/booster-box" TargetMode="External" Id="rId603" /><Relationship Type="http://schemas.openxmlformats.org/officeDocument/2006/relationships/hyperlink" Target="https://www.pricecharting.com/game/pokemon-japanese-dream-shine-collection/booster-box" TargetMode="External" Id="rId604" /><Relationship Type="http://schemas.openxmlformats.org/officeDocument/2006/relationships/hyperlink" Target="https://www.pricecharting.com/game/pokemon-japanese-eevee-heroes/booster-box" TargetMode="External" Id="rId605" /><Relationship Type="http://schemas.openxmlformats.org/officeDocument/2006/relationships/hyperlink" Target="https://www.pricecharting.com/game/pokemon-japanese-expansion-pack/booster-box-base-set" TargetMode="External" Id="rId606" /><Relationship Type="http://schemas.openxmlformats.org/officeDocument/2006/relationships/hyperlink" Target="https://www.pricecharting.com/game/pokemon-japanese-fusion-arts/booster-box" TargetMode="External" Id="rId607" /><Relationship Type="http://schemas.openxmlformats.org/officeDocument/2006/relationships/hyperlink" Target="https://www.pricecharting.com/game/pokemon-japanese-future-flash/booster-box" TargetMode="External" Id="rId608" /><Relationship Type="http://schemas.openxmlformats.org/officeDocument/2006/relationships/hyperlink" Target="https://www.pricecharting.com/game/pokemon-japanese-glory-of-team-rocket/booster-box" TargetMode="External" Id="rId609" /><Relationship Type="http://schemas.openxmlformats.org/officeDocument/2006/relationships/hyperlink" Target="https://www.pricecharting.com/game/pokemon-japanese-go/booster-box" TargetMode="External" Id="rId610" /><Relationship Type="http://schemas.openxmlformats.org/officeDocument/2006/relationships/hyperlink" Target="https://www.pricecharting.com/game/pokemon-japanese-gold-silver-new-world/booster-box" TargetMode="External" Id="rId611" /><Relationship Type="http://schemas.openxmlformats.org/officeDocument/2006/relationships/hyperlink" Target="https://www.pricecharting.com/game/pokemon-japanese-gx-battle-boost/booster-box-version-1" TargetMode="External" Id="rId612" /><Relationship Type="http://schemas.openxmlformats.org/officeDocument/2006/relationships/hyperlink" Target="https://www.pricecharting.com/game/pokemon-japanese-gx-ultra-shiny/booster-box" TargetMode="External" Id="rId613" /><Relationship Type="http://schemas.openxmlformats.org/officeDocument/2006/relationships/hyperlink" Target="https://www.pricecharting.com/game/pokemon-japanese-heat-wave-arena/booster-box" TargetMode="External" Id="rId614" /><Relationship Type="http://schemas.openxmlformats.org/officeDocument/2006/relationships/hyperlink" Target="https://www.pricecharting.com/game/pokemon-japanese-incandescent-arcana/booster-box" TargetMode="External" Id="rId615" /><Relationship Type="http://schemas.openxmlformats.org/officeDocument/2006/relationships/hyperlink" Target="https://www.pricecharting.com/game/pokemon-japanese-inferno-x/booster-box" TargetMode="External" Id="rId616" /><Relationship Type="http://schemas.openxmlformats.org/officeDocument/2006/relationships/hyperlink" Target="https://www.pricecharting.com/game/pokemon-japanese-jungle/booster-box" TargetMode="External" Id="rId617" /><Relationship Type="http://schemas.openxmlformats.org/officeDocument/2006/relationships/hyperlink" Target="https://www.pricecharting.com/game/pokemon-japanese-legendary-shine-collection/booster-box" TargetMode="External" Id="rId618" /><Relationship Type="http://schemas.openxmlformats.org/officeDocument/2006/relationships/hyperlink" Target="https://www.pricecharting.com/game/pokemon-japanese-lost-abyss/booster-box" TargetMode="External" Id="rId619" /><Relationship Type="http://schemas.openxmlformats.org/officeDocument/2006/relationships/hyperlink" Target="https://www.pricecharting.com/game/pokemon-japanese-mask-of-change/booster-box" TargetMode="External" Id="rId620" /><Relationship Type="http://schemas.openxmlformats.org/officeDocument/2006/relationships/hyperlink" Target="https://www.pricecharting.com/game/pokemon-japanese-mega-brave/booster-box" TargetMode="External" Id="rId621" /><Relationship Type="http://schemas.openxmlformats.org/officeDocument/2006/relationships/hyperlink" Target="https://www.pricecharting.com/game/pokemon-japanese-mega-dream-ex/booster-box" TargetMode="External" Id="rId622" /><Relationship Type="http://schemas.openxmlformats.org/officeDocument/2006/relationships/hyperlink" Target="https://www.pricecharting.com/game/pokemon-japanese-mega-symphonia/booster-box" TargetMode="External" Id="rId623" /><Relationship Type="http://schemas.openxmlformats.org/officeDocument/2006/relationships/hyperlink" Target="https://www.pricecharting.com/game/pokemon-japanese-miracle-twins/booster-box" TargetMode="External" Id="rId624" /><Relationship Type="http://schemas.openxmlformats.org/officeDocument/2006/relationships/hyperlink" Target="https://www.pricecharting.com/game/pokemon-japanese-mystery-of-the-fossils/booster-box" TargetMode="External" Id="rId625" /><Relationship Type="http://schemas.openxmlformats.org/officeDocument/2006/relationships/hyperlink" Target="https://www.pricecharting.com/game/pokemon-japanese-night-wanderer/booster-box" TargetMode="External" Id="rId626" /><Relationship Type="http://schemas.openxmlformats.org/officeDocument/2006/relationships/hyperlink" Target="https://www.pricecharting.com/game/pokemon-japanese-nihil-zero/booster-box" TargetMode="External" Id="rId627" /><Relationship Type="http://schemas.openxmlformats.org/officeDocument/2006/relationships/hyperlink" Target="https://www.pricecharting.com/game/pokemon-japanese-ninja-spinner/booster-box" TargetMode="External" Id="rId628" /><Relationship Type="http://schemas.openxmlformats.org/officeDocument/2006/relationships/hyperlink" Target="https://www.pricecharting.com/game/pokemon-japanese-paradigm-trigger/booster-box" TargetMode="External" Id="rId629" /><Relationship Type="http://schemas.openxmlformats.org/officeDocument/2006/relationships/hyperlink" Target="https://www.pricecharting.com/game/pokemon-japanese-paradise-dragona/booster-box" TargetMode="External" Id="rId630" /><Relationship Type="http://schemas.openxmlformats.org/officeDocument/2006/relationships/hyperlink" Target="https://www.pricecharting.com/game/pokemon-japanese-pokekyun-collection/booster-box" TargetMode="External" Id="rId631" /><Relationship Type="http://schemas.openxmlformats.org/officeDocument/2006/relationships/hyperlink" Target="https://www.pricecharting.com/game/pokemon-japanese-raging-surf/booster-box" TargetMode="External" Id="rId632" /><Relationship Type="http://schemas.openxmlformats.org/officeDocument/2006/relationships/hyperlink" Target="https://www.pricecharting.com/game/pokemon-japanese-remix-bout/booster-box" TargetMode="External" Id="rId633" /><Relationship Type="http://schemas.openxmlformats.org/officeDocument/2006/relationships/hyperlink" Target="https://www.pricecharting.com/game/pokemon-japanese-rocket-gang/booster-box" TargetMode="External" Id="rId634" /><Relationship Type="http://schemas.openxmlformats.org/officeDocument/2006/relationships/hyperlink" Target="https://www.pricecharting.com/game/pokemon-japanese-rocket-gang-strikes-back/booster-box" TargetMode="External" Id="rId635" /><Relationship Type="http://schemas.openxmlformats.org/officeDocument/2006/relationships/hyperlink" Target="https://www.pricecharting.com/game/pokemon-japanese-ruler-of-the-black-flame/booster-box" TargetMode="External" Id="rId636" /><Relationship Type="http://schemas.openxmlformats.org/officeDocument/2006/relationships/hyperlink" Target="https://www.pricecharting.com/game/pokemon-japanese-scarlet-ex/booster-box" TargetMode="External" Id="rId637" /><Relationship Type="http://schemas.openxmlformats.org/officeDocument/2006/relationships/hyperlink" Target="https://www.pricecharting.com/game/pokemon-japanese-shining-legends/booster-box" TargetMode="External" Id="rId638" /><Relationship Type="http://schemas.openxmlformats.org/officeDocument/2006/relationships/hyperlink" Target="https://www.pricecharting.com/game/pokemon-japanese-shiny-collection/booster-box" TargetMode="External" Id="rId639" /><Relationship Type="http://schemas.openxmlformats.org/officeDocument/2006/relationships/hyperlink" Target="https://www.pricecharting.com/game/pokemon-japanese-shiny-star-v/booster-box" TargetMode="External" Id="rId640" /><Relationship Type="http://schemas.openxmlformats.org/officeDocument/2006/relationships/hyperlink" Target="https://www.pricecharting.com/game/pokemon-japanese-shiny-star-v/booster-box-1st-edition" TargetMode="External" Id="rId641" /><Relationship Type="http://schemas.openxmlformats.org/officeDocument/2006/relationships/hyperlink" Target="https://www.pricecharting.com/game/pokemon-japanese-shiny-treasure-ex/booster-box" TargetMode="External" Id="rId642" /><Relationship Type="http://schemas.openxmlformats.org/officeDocument/2006/relationships/hyperlink" Target="https://www.pricecharting.com/game/pokemon-japanese-snow-hazard/booster-box" TargetMode="External" Id="rId643" /><Relationship Type="http://schemas.openxmlformats.org/officeDocument/2006/relationships/hyperlink" Target="https://www.pricecharting.com/game/pokemon-japanese-star-birth/booster-box" TargetMode="External" Id="rId644" /><Relationship Type="http://schemas.openxmlformats.org/officeDocument/2006/relationships/hyperlink" Target="https://www.pricecharting.com/game/pokemon-japanese-stellar-miracle/booster-box" TargetMode="External" Id="rId645" /><Relationship Type="http://schemas.openxmlformats.org/officeDocument/2006/relationships/hyperlink" Target="https://www.pricecharting.com/game/pokemon-japanese-storm-emeralda/booster-box" TargetMode="External" Id="rId646" /><Relationship Type="http://schemas.openxmlformats.org/officeDocument/2006/relationships/hyperlink" Target="https://www.pricecharting.com/game/pokemon-japanese-super-electric-breaker/booster-box" TargetMode="External" Id="rId647" /><Relationship Type="http://schemas.openxmlformats.org/officeDocument/2006/relationships/hyperlink" Target="https://www.pricecharting.com/game/pokemon-japanese-tag-all-stars/booster-box" TargetMode="External" Id="rId648" /><Relationship Type="http://schemas.openxmlformats.org/officeDocument/2006/relationships/hyperlink" Target="https://www.pricecharting.com/game/pokemon-japanese-tag-bolt/booster-box" TargetMode="External" Id="rId649" /><Relationship Type="http://schemas.openxmlformats.org/officeDocument/2006/relationships/hyperlink" Target="https://www.pricecharting.com/game/pokemon-japanese-terastal-festival/booster-box" TargetMode="External" Id="rId650" /><Relationship Type="http://schemas.openxmlformats.org/officeDocument/2006/relationships/hyperlink" Target="https://www.pricecharting.com/game/pokemon-japanese-triplet-beat/booster-box" TargetMode="External" Id="rId651" /><Relationship Type="http://schemas.openxmlformats.org/officeDocument/2006/relationships/hyperlink" Target="https://www.pricecharting.com/game/pokemon-japanese-violet-ex/booster-box" TargetMode="External" Id="rId652" /><Relationship Type="http://schemas.openxmlformats.org/officeDocument/2006/relationships/hyperlink" Target="https://www.pricecharting.com/game/pokemon-japanese-vmax-climax/booster-box" TargetMode="External" Id="rId653" /><Relationship Type="http://schemas.openxmlformats.org/officeDocument/2006/relationships/hyperlink" Target="https://www.pricecharting.com/game/pokemon-japanese-vstar-universe/booster-box" TargetMode="External" Id="rId654" /><Relationship Type="http://schemas.openxmlformats.org/officeDocument/2006/relationships/hyperlink" Target="https://www.pricecharting.com/game/pokemon-japanese-white-flare/booster-box" TargetMode="External" Id="rId655" /><Relationship Type="http://schemas.openxmlformats.org/officeDocument/2006/relationships/hyperlink" Target="https://www.pricecharting.com/game/pokemon-japanese-white-flare/deluxe-booster-box" TargetMode="External" Id="rId656" /><Relationship Type="http://schemas.openxmlformats.org/officeDocument/2006/relationships/hyperlink" Target="https://www.pricecharting.com/game/pokemon-japanese-wild-force/booster-box" TargetMode="External" Id="rId657" /><Relationship Type="http://schemas.openxmlformats.org/officeDocument/2006/relationships/hyperlink" Target="https://www.pricecharting.com/game/pokemon-japanese-wind-from-the-sea/booster-box" TargetMode="External" Id="rId658" /><Relationship Type="http://schemas.openxmlformats.org/officeDocument/2006/relationships/hyperlink" Target="https://www.pricecharting.com/game/pokemon-journey-together/booster-box-enhanced" TargetMode="External" Id="rId659" /><Relationship Type="http://schemas.openxmlformats.org/officeDocument/2006/relationships/hyperlink" Target="https://www.pricecharting.com/game/pokemon-journey-together/build-&amp;-battle-display-box" TargetMode="External" Id="rId660" /><Relationship Type="http://schemas.openxmlformats.org/officeDocument/2006/relationships/hyperlink" Target="https://www.pricecharting.com/game/pokemon-jungle/booster-box" TargetMode="External" Id="rId661" /><Relationship Type="http://schemas.openxmlformats.org/officeDocument/2006/relationships/hyperlink" Target="https://www.pricecharting.com/game/pokemon-jungle/booster-box-1st-edition" TargetMode="External" Id="rId662" /><Relationship Type="http://schemas.openxmlformats.org/officeDocument/2006/relationships/hyperlink" Target="https://www.tcgplayer.com/product/107599" TargetMode="External" Id="rId663" /><Relationship Type="http://schemas.openxmlformats.org/officeDocument/2006/relationships/hyperlink" Target="https://www.pricecharting.com/game/pokemon-korean-terastal-festival-ex/booster-box" TargetMode="External" Id="rId664" /><Relationship Type="http://schemas.openxmlformats.org/officeDocument/2006/relationships/hyperlink" Target="https://www.pricecharting.com/game/pokemon-legendary-collection/booster-box" TargetMode="External" Id="rId665" /><Relationship Type="http://schemas.openxmlformats.org/officeDocument/2006/relationships/hyperlink" Target="https://www.tcgplayer.com/product/691155" TargetMode="External" Id="rId666" /><Relationship Type="http://schemas.openxmlformats.org/officeDocument/2006/relationships/hyperlink" Target="https://www.pricecharting.com/game/pokemon-legendary-treasures/booster-box" TargetMode="External" Id="rId667" /><Relationship Type="http://schemas.openxmlformats.org/officeDocument/2006/relationships/hyperlink" Target="https://www.pricecharting.com/game/pokemon-legends-awakened/booster-box" TargetMode="External" Id="rId668" /><Relationship Type="http://schemas.openxmlformats.org/officeDocument/2006/relationships/hyperlink" Target="https://www.tcgplayer.com/product/98536" TargetMode="External" Id="rId669" /><Relationship Type="http://schemas.openxmlformats.org/officeDocument/2006/relationships/hyperlink" Target="https://www.pricecharting.com/game/pokemon-lost-origin/build-&amp;-battle-display-box" TargetMode="External" Id="rId670" /><Relationship Type="http://schemas.openxmlformats.org/officeDocument/2006/relationships/hyperlink" Target="https://www.pricecharting.com/game/pokemon-lost-origin/half-booster-box" TargetMode="External" Id="rId671" /><Relationship Type="http://schemas.openxmlformats.org/officeDocument/2006/relationships/hyperlink" Target="https://www.tcgplayer.com/product/647500" TargetMode="External" Id="rId672" /><Relationship Type="http://schemas.openxmlformats.org/officeDocument/2006/relationships/hyperlink" Target="https://www.tcgplayer.com/product/647501" TargetMode="External" Id="rId673" /><Relationship Type="http://schemas.openxmlformats.org/officeDocument/2006/relationships/hyperlink" Target="https://www.tcgplayer.com/product/655968" TargetMode="External" Id="rId674" /><Relationship Type="http://schemas.openxmlformats.org/officeDocument/2006/relationships/hyperlink" Target="https://www.tcgplayer.com/product/666254" TargetMode="External" Id="rId675" /><Relationship Type="http://schemas.openxmlformats.org/officeDocument/2006/relationships/hyperlink" Target="https://www.tcgplayer.com/product/674449" TargetMode="External" Id="rId676" /><Relationship Type="http://schemas.openxmlformats.org/officeDocument/2006/relationships/hyperlink" Target="https://www.tcgplayer.com/product/683774" TargetMode="External" Id="rId677" /><Relationship Type="http://schemas.openxmlformats.org/officeDocument/2006/relationships/hyperlink" Target="https://www.tcgplayer.com/product/695112" TargetMode="External" Id="rId678" /><Relationship Type="http://schemas.openxmlformats.org/officeDocument/2006/relationships/hyperlink" Target="https://www.tcgplayer.com/product/709110" TargetMode="External" Id="rId679" /><Relationship Type="http://schemas.openxmlformats.org/officeDocument/2006/relationships/hyperlink" Target="https://www.tcgplayer.com/product/718620" TargetMode="External" Id="rId680" /><Relationship Type="http://schemas.openxmlformats.org/officeDocument/2006/relationships/hyperlink" Target="https://www.pricecharting.com/game/pokemon-majestic-dawn/booster-box" TargetMode="External" Id="rId681" /><Relationship Type="http://schemas.openxmlformats.org/officeDocument/2006/relationships/hyperlink" Target="https://www.tcgplayer.com/product/98584" TargetMode="External" Id="rId682" /><Relationship Type="http://schemas.openxmlformats.org/officeDocument/2006/relationships/hyperlink" Target="https://www.tcgplayer.com/product/644298" TargetMode="External" Id="rId683" /><Relationship Type="http://schemas.openxmlformats.org/officeDocument/2006/relationships/hyperlink" Target="https://www.tcgplayer.com/product/644300" TargetMode="External" Id="rId684" /><Relationship Type="http://schemas.openxmlformats.org/officeDocument/2006/relationships/hyperlink" Target="https://www.tcgplayer.com/product/644351" TargetMode="External" Id="rId685" /><Relationship Type="http://schemas.openxmlformats.org/officeDocument/2006/relationships/hyperlink" Target="https://www.tcgplayer.com/product/654137" TargetMode="External" Id="rId686" /><Relationship Type="http://schemas.openxmlformats.org/officeDocument/2006/relationships/hyperlink" Target="https://www.tcgplayer.com/product/672394" TargetMode="External" Id="rId687" /><Relationship Type="http://schemas.openxmlformats.org/officeDocument/2006/relationships/hyperlink" Target="https://www.tcgplayer.com/product/684444" TargetMode="External" Id="rId688" /><Relationship Type="http://schemas.openxmlformats.org/officeDocument/2006/relationships/hyperlink" Target="https://www.tcgplayer.com/product/692939" TargetMode="External" Id="rId689" /><Relationship Type="http://schemas.openxmlformats.org/officeDocument/2006/relationships/hyperlink" Target="https://www.tcgplayer.com/product/712094" TargetMode="External" Id="rId690" /><Relationship Type="http://schemas.openxmlformats.org/officeDocument/2006/relationships/hyperlink" Target="https://www.pricecharting.com/game/pokemon-mega-evolution/booster-box" TargetMode="External" Id="rId691" /><Relationship Type="http://schemas.openxmlformats.org/officeDocument/2006/relationships/hyperlink" Target="https://www.pricecharting.com/game/pokemon-mega-evolution/enhanced-booster-box" TargetMode="External" Id="rId692" /><Relationship Type="http://schemas.openxmlformats.org/officeDocument/2006/relationships/hyperlink" Target="https://www.pricecharting.com/game/pokemon-mega-evolution/half-booster-box" TargetMode="External" Id="rId693" /><Relationship Type="http://schemas.openxmlformats.org/officeDocument/2006/relationships/hyperlink" Target="https://www.pricecharting.com/game/pokemon-mysterious-treasures/booster-box" TargetMode="External" Id="rId694" /><Relationship Type="http://schemas.openxmlformats.org/officeDocument/2006/relationships/hyperlink" Target="https://www.tcgplayer.com/product/98560" TargetMode="External" Id="rId695" /><Relationship Type="http://schemas.openxmlformats.org/officeDocument/2006/relationships/hyperlink" Target="https://www.pricecharting.com/game/pokemon-neo-destiny/booster-box" TargetMode="External" Id="rId696" /><Relationship Type="http://schemas.openxmlformats.org/officeDocument/2006/relationships/hyperlink" Target="https://www.pricecharting.com/game/pokemon-neo-destiny/booster-box-1st-edition" TargetMode="External" Id="rId697" /><Relationship Type="http://schemas.openxmlformats.org/officeDocument/2006/relationships/hyperlink" Target="https://www.tcgplayer.com/product/563754" TargetMode="External" Id="rId698" /><Relationship Type="http://schemas.openxmlformats.org/officeDocument/2006/relationships/hyperlink" Target="https://www.pricecharting.com/game/pokemon-neo-discovery/booster-box" TargetMode="External" Id="rId699" /><Relationship Type="http://schemas.openxmlformats.org/officeDocument/2006/relationships/hyperlink" Target="https://www.pricecharting.com/game/pokemon-neo-discovery/booster-box-1st-edition" TargetMode="External" Id="rId700" /><Relationship Type="http://schemas.openxmlformats.org/officeDocument/2006/relationships/hyperlink" Target="https://www.pricecharting.com/game/pokemon-neo-genesis/booster-box" TargetMode="External" Id="rId701" /><Relationship Type="http://schemas.openxmlformats.org/officeDocument/2006/relationships/hyperlink" Target="https://www.pricecharting.com/game/pokemon-neo-genesis/booster-box-1st-edition" TargetMode="External" Id="rId702" /><Relationship Type="http://schemas.openxmlformats.org/officeDocument/2006/relationships/hyperlink" Target="https://www.tcgplayer.com/product/193334" TargetMode="External" Id="rId703" /><Relationship Type="http://schemas.openxmlformats.org/officeDocument/2006/relationships/hyperlink" Target="https://www.tcgplayer.com/product/193335" TargetMode="External" Id="rId704" /><Relationship Type="http://schemas.openxmlformats.org/officeDocument/2006/relationships/hyperlink" Target="https://www.pricecharting.com/game/pokemon-neo-revelation/booster-box" TargetMode="External" Id="rId705" /><Relationship Type="http://schemas.openxmlformats.org/officeDocument/2006/relationships/hyperlink" Target="https://www.pricecharting.com/game/pokemon-neo-revelation/booster-box-1st-edition" TargetMode="External" Id="rId706" /><Relationship Type="http://schemas.openxmlformats.org/officeDocument/2006/relationships/hyperlink" Target="https://www.tcgplayer.com/product/634445" TargetMode="External" Id="rId707" /><Relationship Type="http://schemas.openxmlformats.org/officeDocument/2006/relationships/hyperlink" Target="https://www.pricecharting.com/game/pokemon-next-destinies/booster-box" TargetMode="External" Id="rId708" /><Relationship Type="http://schemas.openxmlformats.org/officeDocument/2006/relationships/hyperlink" Target="https://www.tcgplayer.com/product/98539" TargetMode="External" Id="rId709" /><Relationship Type="http://schemas.openxmlformats.org/officeDocument/2006/relationships/hyperlink" Target="https://www.pricecharting.com/game/pokemon-noble-victories/booster-box" TargetMode="External" Id="rId710" /><Relationship Type="http://schemas.openxmlformats.org/officeDocument/2006/relationships/hyperlink" Target="https://www.tcgplayer.com/product/98571" TargetMode="External" Id="rId711" /><Relationship Type="http://schemas.openxmlformats.org/officeDocument/2006/relationships/hyperlink" Target="https://www.pricecharting.com/game/pokemon-obsidian-flames/build-&amp;-battle-display-box" TargetMode="External" Id="rId712" /><Relationship Type="http://schemas.openxmlformats.org/officeDocument/2006/relationships/hyperlink" Target="https://www.pricecharting.com/game/pokemon-obsidian-flames/half-booster-box" TargetMode="External" Id="rId713" /><Relationship Type="http://schemas.openxmlformats.org/officeDocument/2006/relationships/hyperlink" Target="https://www.pricecharting.com/game/pokemon-paldea-evolved/build-&amp;-battle-display-box" TargetMode="External" Id="rId714" /><Relationship Type="http://schemas.openxmlformats.org/officeDocument/2006/relationships/hyperlink" Target="https://www.pricecharting.com/game/pokemon-paldean-fates/sealed-mini-tin-display-box" TargetMode="External" Id="rId715" /><Relationship Type="http://schemas.openxmlformats.org/officeDocument/2006/relationships/hyperlink" Target="https://www.pricecharting.com/game/pokemon-paradox-rift/build-&amp;-battle-display-box" TargetMode="External" Id="rId716" /><Relationship Type="http://schemas.openxmlformats.org/officeDocument/2006/relationships/hyperlink" Target="https://www.pricecharting.com/game/pokemon-perfect-order/booster-box" TargetMode="External" Id="rId717" /><Relationship Type="http://schemas.openxmlformats.org/officeDocument/2006/relationships/hyperlink" Target="https://www.pricecharting.com/game/pokemon-perfect-order/half-booster-box" TargetMode="External" Id="rId718" /><Relationship Type="http://schemas.openxmlformats.org/officeDocument/2006/relationships/hyperlink" Target="https://www.pricecharting.com/game/pokemon-phantasmal-flames/booster-box" TargetMode="External" Id="rId719" /><Relationship Type="http://schemas.openxmlformats.org/officeDocument/2006/relationships/hyperlink" Target="https://www.pricecharting.com/game/pokemon-phantasmal-flames/half-booster-box" TargetMode="External" Id="rId720" /><Relationship Type="http://schemas.openxmlformats.org/officeDocument/2006/relationships/hyperlink" Target="https://www.pricecharting.com/game/pokemon-phantom-forces/booster-box" TargetMode="External" Id="rId721" /><Relationship Type="http://schemas.openxmlformats.org/officeDocument/2006/relationships/hyperlink" Target="https://www.pricecharting.com/game/pokemon-pitch-black/booster-box" TargetMode="External" Id="rId722" /><Relationship Type="http://schemas.openxmlformats.org/officeDocument/2006/relationships/hyperlink" Target="https://www.pricecharting.com/game/pokemon-pitch-black/half-booster-box" TargetMode="External" Id="rId723" /><Relationship Type="http://schemas.openxmlformats.org/officeDocument/2006/relationships/hyperlink" Target="https://www.pricecharting.com/game/pokemon-plasma-blast/booster-box" TargetMode="External" Id="rId724" /><Relationship Type="http://schemas.openxmlformats.org/officeDocument/2006/relationships/hyperlink" Target="https://www.tcgplayer.com/product/98572" TargetMode="External" Id="rId725" /><Relationship Type="http://schemas.openxmlformats.org/officeDocument/2006/relationships/hyperlink" Target="https://www.pricecharting.com/game/pokemon-plasma-freeze/booster-box" TargetMode="External" Id="rId726" /><Relationship Type="http://schemas.openxmlformats.org/officeDocument/2006/relationships/hyperlink" Target="https://www.pricecharting.com/game/pokemon-plasma-storm/booster-box" TargetMode="External" Id="rId727" /><Relationship Type="http://schemas.openxmlformats.org/officeDocument/2006/relationships/hyperlink" Target="https://www.tcgplayer.com/product/98527" TargetMode="External" Id="rId728" /><Relationship Type="http://schemas.openxmlformats.org/officeDocument/2006/relationships/hyperlink" Target="https://www.pricecharting.com/game/pokemon-platinum/booster-box" TargetMode="External" Id="rId729" /><Relationship Type="http://schemas.openxmlformats.org/officeDocument/2006/relationships/hyperlink" Target="https://www.tcgplayer.com/product/98592" TargetMode="External" Id="rId730" /><Relationship Type="http://schemas.openxmlformats.org/officeDocument/2006/relationships/hyperlink" Target="https://www.pricecharting.com/game/pokemon-primal-clash/booster-box" TargetMode="External" Id="rId731" /><Relationship Type="http://schemas.openxmlformats.org/officeDocument/2006/relationships/hyperlink" Target="https://www.pricecharting.com/game/pokemon-prismatic-evolutions/booster-bundle-display-box" TargetMode="External" Id="rId732" /><Relationship Type="http://schemas.openxmlformats.org/officeDocument/2006/relationships/hyperlink" Target="https://www.pricecharting.com/game/pokemon-rebel-clash/half-booster-box" TargetMode="External" Id="rId733" /><Relationship Type="http://schemas.openxmlformats.org/officeDocument/2006/relationships/hyperlink" Target="https://www.pricecharting.com/game/pokemon-rising-rivals/booster-box" TargetMode="External" Id="rId734" /><Relationship Type="http://schemas.openxmlformats.org/officeDocument/2006/relationships/hyperlink" Target="https://www.tcgplayer.com/product/98543" TargetMode="External" Id="rId735" /><Relationship Type="http://schemas.openxmlformats.org/officeDocument/2006/relationships/hyperlink" Target="https://www.pricecharting.com/game/pokemon-roaring-skies/booster-box" TargetMode="External" Id="rId736" /><Relationship Type="http://schemas.openxmlformats.org/officeDocument/2006/relationships/hyperlink" Target="https://www.tcgplayer.com/product/575042" TargetMode="External" Id="rId737" /><Relationship Type="http://schemas.openxmlformats.org/officeDocument/2006/relationships/hyperlink" Target="https://www.tcgplayer.com/product/575040" TargetMode="External" Id="rId738" /><Relationship Type="http://schemas.openxmlformats.org/officeDocument/2006/relationships/hyperlink" Target="https://www.tcgplayer.com/product/571832" TargetMode="External" Id="rId739" /><Relationship Type="http://schemas.openxmlformats.org/officeDocument/2006/relationships/hyperlink" Target="https://www.tcgplayer.com/product/575036" TargetMode="External" Id="rId740" /><Relationship Type="http://schemas.openxmlformats.org/officeDocument/2006/relationships/hyperlink" Target="https://www.tcgplayer.com/product/574954" TargetMode="External" Id="rId741" /><Relationship Type="http://schemas.openxmlformats.org/officeDocument/2006/relationships/hyperlink" Target="https://www.tcgplayer.com/product/574876" TargetMode="External" Id="rId742" /><Relationship Type="http://schemas.openxmlformats.org/officeDocument/2006/relationships/hyperlink" Target="https://www.tcgplayer.com/product/565250" TargetMode="External" Id="rId743" /><Relationship Type="http://schemas.openxmlformats.org/officeDocument/2006/relationships/hyperlink" Target="https://www.tcgplayer.com/product/565252" TargetMode="External" Id="rId744" /><Relationship Type="http://schemas.openxmlformats.org/officeDocument/2006/relationships/hyperlink" Target="https://www.tcgplayer.com/product/574874" TargetMode="External" Id="rId745" /><Relationship Type="http://schemas.openxmlformats.org/officeDocument/2006/relationships/hyperlink" Target="https://www.tcgplayer.com/product/574796" TargetMode="External" Id="rId746" /><Relationship Type="http://schemas.openxmlformats.org/officeDocument/2006/relationships/hyperlink" Target="https://www.tcgplayer.com/product/574371" TargetMode="External" Id="rId747" /><Relationship Type="http://schemas.openxmlformats.org/officeDocument/2006/relationships/hyperlink" Target="https://www.tcgplayer.com/product/571840" TargetMode="External" Id="rId748" /><Relationship Type="http://schemas.openxmlformats.org/officeDocument/2006/relationships/hyperlink" Target="https://www.tcgplayer.com/product/571838" TargetMode="External" Id="rId749" /><Relationship Type="http://schemas.openxmlformats.org/officeDocument/2006/relationships/hyperlink" Target="https://www.tcgplayer.com/product/571836" TargetMode="External" Id="rId750" /><Relationship Type="http://schemas.openxmlformats.org/officeDocument/2006/relationships/hyperlink" Target="https://www.tcgplayer.com/product/565373" TargetMode="External" Id="rId751" /><Relationship Type="http://schemas.openxmlformats.org/officeDocument/2006/relationships/hyperlink" Target="https://www.tcgplayer.com/product/565369" TargetMode="External" Id="rId752" /><Relationship Type="http://schemas.openxmlformats.org/officeDocument/2006/relationships/hyperlink" Target="https://www.tcgplayer.com/product/565362" TargetMode="External" Id="rId753" /><Relationship Type="http://schemas.openxmlformats.org/officeDocument/2006/relationships/hyperlink" Target="https://www.tcgplayer.com/product/565361" TargetMode="External" Id="rId754" /><Relationship Type="http://schemas.openxmlformats.org/officeDocument/2006/relationships/hyperlink" Target="https://www.tcgplayer.com/product/565358" TargetMode="External" Id="rId755" /><Relationship Type="http://schemas.openxmlformats.org/officeDocument/2006/relationships/hyperlink" Target="https://www.tcgplayer.com/product/565351" TargetMode="External" Id="rId756" /><Relationship Type="http://schemas.openxmlformats.org/officeDocument/2006/relationships/hyperlink" Target="https://www.tcgplayer.com/product/565348" TargetMode="External" Id="rId757" /><Relationship Type="http://schemas.openxmlformats.org/officeDocument/2006/relationships/hyperlink" Target="https://www.tcgplayer.com/product/565347" TargetMode="External" Id="rId758" /><Relationship Type="http://schemas.openxmlformats.org/officeDocument/2006/relationships/hyperlink" Target="https://www.tcgplayer.com/product/565344" TargetMode="External" Id="rId759" /><Relationship Type="http://schemas.openxmlformats.org/officeDocument/2006/relationships/hyperlink" Target="https://www.tcgplayer.com/product/565343" TargetMode="External" Id="rId760" /><Relationship Type="http://schemas.openxmlformats.org/officeDocument/2006/relationships/hyperlink" Target="https://www.tcgplayer.com/product/565262" TargetMode="External" Id="rId761" /><Relationship Type="http://schemas.openxmlformats.org/officeDocument/2006/relationships/hyperlink" Target="https://www.tcgplayer.com/product/565260" TargetMode="External" Id="rId762" /><Relationship Type="http://schemas.openxmlformats.org/officeDocument/2006/relationships/hyperlink" Target="https://www.tcgplayer.com/product/565259" TargetMode="External" Id="rId763" /><Relationship Type="http://schemas.openxmlformats.org/officeDocument/2006/relationships/hyperlink" Target="https://www.tcgplayer.com/product/565256" TargetMode="External" Id="rId764" /><Relationship Type="http://schemas.openxmlformats.org/officeDocument/2006/relationships/hyperlink" Target="https://www.tcgplayer.com/product/565255" TargetMode="External" Id="rId765" /><Relationship Type="http://schemas.openxmlformats.org/officeDocument/2006/relationships/hyperlink" Target="https://www.pricecharting.com/game/pokemon-secret-wonders/booster-box" TargetMode="External" Id="rId766" /><Relationship Type="http://schemas.openxmlformats.org/officeDocument/2006/relationships/hyperlink" Target="https://www.tcgplayer.com/product/98568" TargetMode="External" Id="rId767" /><Relationship Type="http://schemas.openxmlformats.org/officeDocument/2006/relationships/hyperlink" Target="https://www.pricecharting.com/game/pokemon-shining-fates/mini-tins-display-box" TargetMode="External" Id="rId768" /><Relationship Type="http://schemas.openxmlformats.org/officeDocument/2006/relationships/hyperlink" Target="https://www.pricecharting.com/game/pokemon-shrouded-fable/booster-bundle-display-box" TargetMode="External" Id="rId769" /><Relationship Type="http://schemas.openxmlformats.org/officeDocument/2006/relationships/hyperlink" Target="https://www.pricecharting.com/game/pokemon-silver-tempest/half-booster-box" TargetMode="External" Id="rId770" /><Relationship Type="http://schemas.openxmlformats.org/officeDocument/2006/relationships/hyperlink" Target="https://www.pricecharting.com/game/pokemon-skyridge/booster-box" TargetMode="External" Id="rId771" /><Relationship Type="http://schemas.openxmlformats.org/officeDocument/2006/relationships/hyperlink" Target="https://www.pricecharting.com/game/pokemon-burning-shadows/booster-box" TargetMode="External" Id="rId772" /><Relationship Type="http://schemas.openxmlformats.org/officeDocument/2006/relationships/hyperlink" Target="https://www.tcgplayer.com/product/133773" TargetMode="External" Id="rId773" /><Relationship Type="http://schemas.openxmlformats.org/officeDocument/2006/relationships/hyperlink" Target="https://www.pricecharting.com/game/pokemon-celestial-storm/booster-box" TargetMode="External" Id="rId774" /><Relationship Type="http://schemas.openxmlformats.org/officeDocument/2006/relationships/hyperlink" Target="https://www.tcgplayer.com/product/170273" TargetMode="External" Id="rId775" /><Relationship Type="http://schemas.openxmlformats.org/officeDocument/2006/relationships/hyperlink" Target="https://www.pricecharting.com/game/pokemon-crimson-invasion/booster-box" TargetMode="External" Id="rId776" /><Relationship Type="http://schemas.openxmlformats.org/officeDocument/2006/relationships/hyperlink" Target="https://www.tcgplayer.com/product/146995" TargetMode="External" Id="rId777" /><Relationship Type="http://schemas.openxmlformats.org/officeDocument/2006/relationships/hyperlink" Target="https://www.pricecharting.com/game/pokemon-lost-thunder/booster-box" TargetMode="External" Id="rId778" /><Relationship Type="http://schemas.openxmlformats.org/officeDocument/2006/relationships/hyperlink" Target="https://www.tcgplayer.com/product/175509" TargetMode="External" Id="rId779" /><Relationship Type="http://schemas.openxmlformats.org/officeDocument/2006/relationships/hyperlink" Target="https://www.pricecharting.com/game/pokemon-team-up/booster-box" TargetMode="External" Id="rId780" /><Relationship Type="http://schemas.openxmlformats.org/officeDocument/2006/relationships/hyperlink" Target="https://www.tcgplayer.com/product/181698" TargetMode="External" Id="rId781" /><Relationship Type="http://schemas.openxmlformats.org/officeDocument/2006/relationships/hyperlink" Target="https://www.pricecharting.com/game/pokemon-unbroken-bonds/booster-box" TargetMode="External" Id="rId782" /><Relationship Type="http://schemas.openxmlformats.org/officeDocument/2006/relationships/hyperlink" Target="https://www.tcgplayer.com/product/185717" TargetMode="External" Id="rId783" /><Relationship Type="http://schemas.openxmlformats.org/officeDocument/2006/relationships/hyperlink" Target="https://www.pricecharting.com/game/pokemon-unified-minds/booster-box" TargetMode="External" Id="rId784" /><Relationship Type="http://schemas.openxmlformats.org/officeDocument/2006/relationships/hyperlink" Target="https://www.tcgplayer.com/product/191882" TargetMode="External" Id="rId785" /><Relationship Type="http://schemas.openxmlformats.org/officeDocument/2006/relationships/hyperlink" Target="https://www.tcgplayer.com/product/126048" TargetMode="External" Id="rId786" /><Relationship Type="http://schemas.openxmlformats.org/officeDocument/2006/relationships/hyperlink" Target="https://www.tcgplayer.com/product/576914" TargetMode="External" Id="rId787" /><Relationship Type="http://schemas.openxmlformats.org/officeDocument/2006/relationships/hyperlink" Target="https://www.tcgplayer.com/product/576951" TargetMode="External" Id="rId788" /><Relationship Type="http://schemas.openxmlformats.org/officeDocument/2006/relationships/hyperlink" Target="https://www.tcgplayer.com/product/576953" TargetMode="External" Id="rId789" /><Relationship Type="http://schemas.openxmlformats.org/officeDocument/2006/relationships/hyperlink" Target="https://www.tcgplayer.com/product/576917" TargetMode="External" Id="rId790" /><Relationship Type="http://schemas.openxmlformats.org/officeDocument/2006/relationships/hyperlink" Target="https://www.tcgplayer.com/product/576955" TargetMode="External" Id="rId791" /><Relationship Type="http://schemas.openxmlformats.org/officeDocument/2006/relationships/hyperlink" Target="https://www.tcgplayer.com/product/576957" TargetMode="External" Id="rId792" /><Relationship Type="http://schemas.openxmlformats.org/officeDocument/2006/relationships/hyperlink" Target="https://www.tcgplayer.com/product/576919" TargetMode="External" Id="rId793" /><Relationship Type="http://schemas.openxmlformats.org/officeDocument/2006/relationships/hyperlink" Target="https://www.tcgplayer.com/product/576964" TargetMode="External" Id="rId794" /><Relationship Type="http://schemas.openxmlformats.org/officeDocument/2006/relationships/hyperlink" Target="https://www.tcgplayer.com/product/576927" TargetMode="External" Id="rId795" /><Relationship Type="http://schemas.openxmlformats.org/officeDocument/2006/relationships/hyperlink" Target="https://www.tcgplayer.com/product/576902" TargetMode="External" Id="rId796" /><Relationship Type="http://schemas.openxmlformats.org/officeDocument/2006/relationships/hyperlink" Target="https://www.tcgplayer.com/product/576929" TargetMode="External" Id="rId797" /><Relationship Type="http://schemas.openxmlformats.org/officeDocument/2006/relationships/hyperlink" Target="https://www.tcgplayer.com/product/576931" TargetMode="External" Id="rId798" /><Relationship Type="http://schemas.openxmlformats.org/officeDocument/2006/relationships/hyperlink" Target="https://www.tcgplayer.com/product/576908" TargetMode="External" Id="rId799" /><Relationship Type="http://schemas.openxmlformats.org/officeDocument/2006/relationships/hyperlink" Target="https://www.tcgplayer.com/product/576940" TargetMode="External" Id="rId800" /><Relationship Type="http://schemas.openxmlformats.org/officeDocument/2006/relationships/hyperlink" Target="https://www.tcgplayer.com/product/576942" TargetMode="External" Id="rId801" /><Relationship Type="http://schemas.openxmlformats.org/officeDocument/2006/relationships/hyperlink" Target="https://www.tcgplayer.com/product/576910" TargetMode="External" Id="rId802" /><Relationship Type="http://schemas.openxmlformats.org/officeDocument/2006/relationships/hyperlink" Target="https://www.tcgplayer.com/product/576944" TargetMode="External" Id="rId803" /><Relationship Type="http://schemas.openxmlformats.org/officeDocument/2006/relationships/hyperlink" Target="https://www.tcgplayer.com/product/576912" TargetMode="External" Id="rId804" /><Relationship Type="http://schemas.openxmlformats.org/officeDocument/2006/relationships/hyperlink" Target="https://www.tcgplayer.com/product/576948" TargetMode="External" Id="rId805" /><Relationship Type="http://schemas.openxmlformats.org/officeDocument/2006/relationships/hyperlink" Target="https://www.tcgplayer.com/product/656901" TargetMode="External" Id="rId806" /><Relationship Type="http://schemas.openxmlformats.org/officeDocument/2006/relationships/hyperlink" Target="https://www.pricecharting.com/game/pokemon-steam-siege/booster-box" TargetMode="External" Id="rId807" /><Relationship Type="http://schemas.openxmlformats.org/officeDocument/2006/relationships/hyperlink" Target="https://www.pricecharting.com/game/pokemon-stellar-crown/booster-box" TargetMode="External" Id="rId808" /><Relationship Type="http://schemas.openxmlformats.org/officeDocument/2006/relationships/hyperlink" Target="https://www.pricecharting.com/game/pokemon-stellar-crown/build-&amp;-battle-display-box" TargetMode="External" Id="rId809" /><Relationship Type="http://schemas.openxmlformats.org/officeDocument/2006/relationships/hyperlink" Target="https://www.pricecharting.com/game/pokemon-stellar-crown/half-booster-box" TargetMode="External" Id="rId810" /><Relationship Type="http://schemas.openxmlformats.org/officeDocument/2006/relationships/hyperlink" Target="https://www.pricecharting.com/game/pokemon-stormfront/booster-box" TargetMode="External" Id="rId811" /><Relationship Type="http://schemas.openxmlformats.org/officeDocument/2006/relationships/hyperlink" Target="https://www.pricecharting.com/game/pokemon-supreme-victors/booster-box" TargetMode="External" Id="rId812" /><Relationship Type="http://schemas.openxmlformats.org/officeDocument/2006/relationships/hyperlink" Target="https://www.tcgplayer.com/product/98575" TargetMode="External" Id="rId813" /><Relationship Type="http://schemas.openxmlformats.org/officeDocument/2006/relationships/hyperlink" Target="https://www.pricecharting.com/game/pokemon-surging-sparks/build-&amp;-battle-display-box" TargetMode="External" Id="rId814" /><Relationship Type="http://schemas.openxmlformats.org/officeDocument/2006/relationships/hyperlink" Target="https://www.tcgplayer.com/product/476452" TargetMode="External" Id="rId815" /><Relationship Type="http://schemas.openxmlformats.org/officeDocument/2006/relationships/hyperlink" Target="https://www.pricecharting.com/game/pokemon-paldea-evolved/booster-box" TargetMode="External" Id="rId816" /><Relationship Type="http://schemas.openxmlformats.org/officeDocument/2006/relationships/hyperlink" Target="https://www.tcgplayer.com/product/493975" TargetMode="External" Id="rId817" /><Relationship Type="http://schemas.openxmlformats.org/officeDocument/2006/relationships/hyperlink" Target="https://www.pricecharting.com/game/pokemon-paldea-evolved/half-booster-box" TargetMode="External" Id="rId818" /><Relationship Type="http://schemas.openxmlformats.org/officeDocument/2006/relationships/hyperlink" Target="https://www.tcgplayer.com/product/649413" TargetMode="External" Id="rId819" /><Relationship Type="http://schemas.openxmlformats.org/officeDocument/2006/relationships/hyperlink" Target="https://www.pricecharting.com/game/pokemon-obsidian-flames/booster-box" TargetMode="External" Id="rId820" /><Relationship Type="http://schemas.openxmlformats.org/officeDocument/2006/relationships/hyperlink" Target="https://www.tcgplayer.com/product/501257" TargetMode="External" Id="rId821" /><Relationship Type="http://schemas.openxmlformats.org/officeDocument/2006/relationships/hyperlink" Target="https://www.pricecharting.com/game/pokemon-paradox-rift/booster-box" TargetMode="External" Id="rId822" /><Relationship Type="http://schemas.openxmlformats.org/officeDocument/2006/relationships/hyperlink" Target="https://www.tcgplayer.com/product/512821" TargetMode="External" Id="rId823" /><Relationship Type="http://schemas.openxmlformats.org/officeDocument/2006/relationships/hyperlink" Target="https://www.pricecharting.com/game/pokemon-paradox-rift/half-booster-box" TargetMode="External" Id="rId824" /><Relationship Type="http://schemas.openxmlformats.org/officeDocument/2006/relationships/hyperlink" Target="https://www.tcgplayer.com/product/649417" TargetMode="External" Id="rId825" /><Relationship Type="http://schemas.openxmlformats.org/officeDocument/2006/relationships/hyperlink" Target="https://www.pricecharting.com/game/pokemon-temporal-forces/booster-box" TargetMode="External" Id="rId826" /><Relationship Type="http://schemas.openxmlformats.org/officeDocument/2006/relationships/hyperlink" Target="https://www.tcgplayer.com/product/536225" TargetMode="External" Id="rId827" /><Relationship Type="http://schemas.openxmlformats.org/officeDocument/2006/relationships/hyperlink" Target="https://www.pricecharting.com/game/pokemon-temporal-forces/half-booster-box" TargetMode="External" Id="rId828" /><Relationship Type="http://schemas.openxmlformats.org/officeDocument/2006/relationships/hyperlink" Target="https://www.tcgplayer.com/product/649416" TargetMode="External" Id="rId829" /><Relationship Type="http://schemas.openxmlformats.org/officeDocument/2006/relationships/hyperlink" Target="https://www.tcgplayer.com/product/649421" TargetMode="External" Id="rId830" /><Relationship Type="http://schemas.openxmlformats.org/officeDocument/2006/relationships/hyperlink" Target="https://www.pricecharting.com/game/pokemon-twilight-masquerade/booster-box" TargetMode="External" Id="rId831" /><Relationship Type="http://schemas.openxmlformats.org/officeDocument/2006/relationships/hyperlink" Target="https://www.tcgplayer.com/product/543846" TargetMode="External" Id="rId832" /><Relationship Type="http://schemas.openxmlformats.org/officeDocument/2006/relationships/hyperlink" Target="https://www.tcgplayer.com/product/557354" TargetMode="External" Id="rId833" /><Relationship Type="http://schemas.openxmlformats.org/officeDocument/2006/relationships/hyperlink" Target="https://www.tcgplayer.com/product/649420" TargetMode="External" Id="rId834" /><Relationship Type="http://schemas.openxmlformats.org/officeDocument/2006/relationships/hyperlink" Target="https://www.pricecharting.com/game/pokemon-surging-sparks/booster-box" TargetMode="External" Id="rId835" /><Relationship Type="http://schemas.openxmlformats.org/officeDocument/2006/relationships/hyperlink" Target="https://www.tcgplayer.com/product/565606" TargetMode="External" Id="rId836" /><Relationship Type="http://schemas.openxmlformats.org/officeDocument/2006/relationships/hyperlink" Target="https://www.pricecharting.com/game/pokemon-surging-sparks/half-booster-box" TargetMode="External" Id="rId837" /><Relationship Type="http://schemas.openxmlformats.org/officeDocument/2006/relationships/hyperlink" Target="https://www.tcgplayer.com/product/646039" TargetMode="External" Id="rId838" /><Relationship Type="http://schemas.openxmlformats.org/officeDocument/2006/relationships/hyperlink" Target="https://www.pricecharting.com/game/pokemon-journey-together/booster-box" TargetMode="External" Id="rId839" /><Relationship Type="http://schemas.openxmlformats.org/officeDocument/2006/relationships/hyperlink" Target="https://www.tcgplayer.com/product/610931" TargetMode="External" Id="rId840" /><Relationship Type="http://schemas.openxmlformats.org/officeDocument/2006/relationships/hyperlink" Target="https://www.tcgplayer.com/product/623628" TargetMode="External" Id="rId841" /><Relationship Type="http://schemas.openxmlformats.org/officeDocument/2006/relationships/hyperlink" Target="https://www.pricecharting.com/game/pokemon-journey-together/half-booster-box" TargetMode="External" Id="rId842" /><Relationship Type="http://schemas.openxmlformats.org/officeDocument/2006/relationships/hyperlink" Target="https://www.tcgplayer.com/product/649492" TargetMode="External" Id="rId843" /><Relationship Type="http://schemas.openxmlformats.org/officeDocument/2006/relationships/hyperlink" Target="https://www.pricecharting.com/game/pokemon-destined-rivals/booster-box" TargetMode="External" Id="rId844" /><Relationship Type="http://schemas.openxmlformats.org/officeDocument/2006/relationships/hyperlink" Target="https://www.tcgplayer.com/product/624679" TargetMode="External" Id="rId845" /><Relationship Type="http://schemas.openxmlformats.org/officeDocument/2006/relationships/hyperlink" Target="https://www.pricecharting.com/game/pokemon-destined-rivals/half-booster-box" TargetMode="External" Id="rId846" /><Relationship Type="http://schemas.openxmlformats.org/officeDocument/2006/relationships/hyperlink" Target="https://www.tcgplayer.com/product/624681" TargetMode="External" Id="rId847" /><Relationship Type="http://schemas.openxmlformats.org/officeDocument/2006/relationships/hyperlink" Target="https://www.tcgplayer.com/product/629197" TargetMode="External" Id="rId848" /><Relationship Type="http://schemas.openxmlformats.org/officeDocument/2006/relationships/hyperlink" Target="https://www.tcgplayer.com/product/637384" TargetMode="External" Id="rId849" /><Relationship Type="http://schemas.openxmlformats.org/officeDocument/2006/relationships/hyperlink" Target="https://www.tcgplayer.com/product/637491" TargetMode="External" Id="rId850" /><Relationship Type="http://schemas.openxmlformats.org/officeDocument/2006/relationships/hyperlink" Target="https://www.tcgplayer.com/product/637386" TargetMode="External" Id="rId851" /><Relationship Type="http://schemas.openxmlformats.org/officeDocument/2006/relationships/hyperlink" Target="https://www.tcgplayer.com/product/637492" TargetMode="External" Id="rId852" /><Relationship Type="http://schemas.openxmlformats.org/officeDocument/2006/relationships/hyperlink" Target="https://www.tcgplayer.com/product/565248" TargetMode="External" Id="rId853" /><Relationship Type="http://schemas.openxmlformats.org/officeDocument/2006/relationships/hyperlink" Target="https://www.tcgplayer.com/product/565247" TargetMode="External" Id="rId854" /><Relationship Type="http://schemas.openxmlformats.org/officeDocument/2006/relationships/hyperlink" Target="https://www.tcgplayer.com/product/565244" TargetMode="External" Id="rId855" /><Relationship Type="http://schemas.openxmlformats.org/officeDocument/2006/relationships/hyperlink" Target="https://www.tcgplayer.com/product/565243" TargetMode="External" Id="rId856" /><Relationship Type="http://schemas.openxmlformats.org/officeDocument/2006/relationships/hyperlink" Target="https://www.tcgplayer.com/product/565240" TargetMode="External" Id="rId857" /><Relationship Type="http://schemas.openxmlformats.org/officeDocument/2006/relationships/hyperlink" Target="https://www.tcgplayer.com/product/565239" TargetMode="External" Id="rId858" /><Relationship Type="http://schemas.openxmlformats.org/officeDocument/2006/relationships/hyperlink" Target="https://www.tcgplayer.com/product/565236" TargetMode="External" Id="rId859" /><Relationship Type="http://schemas.openxmlformats.org/officeDocument/2006/relationships/hyperlink" Target="https://www.tcgplayer.com/product/565235" TargetMode="External" Id="rId860" /><Relationship Type="http://schemas.openxmlformats.org/officeDocument/2006/relationships/hyperlink" Target="https://www.tcgplayer.com/product/565232" TargetMode="External" Id="rId861" /><Relationship Type="http://schemas.openxmlformats.org/officeDocument/2006/relationships/hyperlink" Target="https://www.tcgplayer.com/product/565231" TargetMode="External" Id="rId862" /><Relationship Type="http://schemas.openxmlformats.org/officeDocument/2006/relationships/hyperlink" Target="https://www.tcgplayer.com/product/565228" TargetMode="External" Id="rId863" /><Relationship Type="http://schemas.openxmlformats.org/officeDocument/2006/relationships/hyperlink" Target="https://www.tcgplayer.com/product/565226" TargetMode="External" Id="rId864" /><Relationship Type="http://schemas.openxmlformats.org/officeDocument/2006/relationships/hyperlink" Target="https://www.tcgplayer.com/product/565225" TargetMode="External" Id="rId865" /><Relationship Type="http://schemas.openxmlformats.org/officeDocument/2006/relationships/hyperlink" Target="https://www.tcgplayer.com/product/565222" TargetMode="External" Id="rId866" /><Relationship Type="http://schemas.openxmlformats.org/officeDocument/2006/relationships/hyperlink" Target="https://www.tcgplayer.com/product/565221" TargetMode="External" Id="rId867" /><Relationship Type="http://schemas.openxmlformats.org/officeDocument/2006/relationships/hyperlink" Target="https://www.tcgplayer.com/product/565218" TargetMode="External" Id="rId868" /><Relationship Type="http://schemas.openxmlformats.org/officeDocument/2006/relationships/hyperlink" Target="https://www.tcgplayer.com/product/565217" TargetMode="External" Id="rId869" /><Relationship Type="http://schemas.openxmlformats.org/officeDocument/2006/relationships/hyperlink" Target="https://www.tcgplayer.com/product/580709" TargetMode="External" Id="rId870" /><Relationship Type="http://schemas.openxmlformats.org/officeDocument/2006/relationships/hyperlink" Target="https://www.tcgplayer.com/product/587728" TargetMode="External" Id="rId871" /><Relationship Type="http://schemas.openxmlformats.org/officeDocument/2006/relationships/hyperlink" Target="https://www.tcgplayer.com/product/603428" TargetMode="External" Id="rId872" /><Relationship Type="http://schemas.openxmlformats.org/officeDocument/2006/relationships/hyperlink" Target="https://www.tcgplayer.com/product/614707" TargetMode="External" Id="rId873" /><Relationship Type="http://schemas.openxmlformats.org/officeDocument/2006/relationships/hyperlink" Target="https://www.tcgplayer.com/product/623310" TargetMode="External" Id="rId874" /><Relationship Type="http://schemas.openxmlformats.org/officeDocument/2006/relationships/hyperlink" Target="https://www.tcgplayer.com/product/206027" TargetMode="External" Id="rId875" /><Relationship Type="http://schemas.openxmlformats.org/officeDocument/2006/relationships/hyperlink" Target="https://www.pricecharting.com/game/pokemon-rebel-clash/booster-box" TargetMode="External" Id="rId876" /><Relationship Type="http://schemas.openxmlformats.org/officeDocument/2006/relationships/hyperlink" Target="https://www.tcgplayer.com/product/210561" TargetMode="External" Id="rId877" /><Relationship Type="http://schemas.openxmlformats.org/officeDocument/2006/relationships/hyperlink" Target="https://www.pricecharting.com/game/pokemon-darkness-ablaze/booster-box" TargetMode="External" Id="rId878" /><Relationship Type="http://schemas.openxmlformats.org/officeDocument/2006/relationships/hyperlink" Target="https://www.tcgplayer.com/product/216853" TargetMode="External" Id="rId879" /><Relationship Type="http://schemas.openxmlformats.org/officeDocument/2006/relationships/hyperlink" Target="https://www.pricecharting.com/game/pokemon-vivid-voltage/booster-box" TargetMode="External" Id="rId880" /><Relationship Type="http://schemas.openxmlformats.org/officeDocument/2006/relationships/hyperlink" Target="https://www.tcgplayer.com/product/221313" TargetMode="External" Id="rId881" /><Relationship Type="http://schemas.openxmlformats.org/officeDocument/2006/relationships/hyperlink" Target="https://www.pricecharting.com/game/pokemon-battle-styles/booster-box" TargetMode="External" Id="rId882" /><Relationship Type="http://schemas.openxmlformats.org/officeDocument/2006/relationships/hyperlink" Target="https://www.tcgplayer.com/product/229277" TargetMode="External" Id="rId883" /><Relationship Type="http://schemas.openxmlformats.org/officeDocument/2006/relationships/hyperlink" Target="https://www.pricecharting.com/game/pokemon-chilling-reign/booster-box" TargetMode="External" Id="rId884" /><Relationship Type="http://schemas.openxmlformats.org/officeDocument/2006/relationships/hyperlink" Target="https://www.tcgplayer.com/product/236258" TargetMode="External" Id="rId885" /><Relationship Type="http://schemas.openxmlformats.org/officeDocument/2006/relationships/hyperlink" Target="https://www.pricecharting.com/game/pokemon-evolving-skies/booster-box" TargetMode="External" Id="rId886" /><Relationship Type="http://schemas.openxmlformats.org/officeDocument/2006/relationships/hyperlink" Target="https://www.tcgplayer.com/product/242436" TargetMode="External" Id="rId887" /><Relationship Type="http://schemas.openxmlformats.org/officeDocument/2006/relationships/hyperlink" Target="https://www.pricecharting.com/game/pokemon-evolving-skies/half-booster-box" TargetMode="External" Id="rId888" /><Relationship Type="http://schemas.openxmlformats.org/officeDocument/2006/relationships/hyperlink" Target="https://www.tcgplayer.com/product/641794" TargetMode="External" Id="rId889" /><Relationship Type="http://schemas.openxmlformats.org/officeDocument/2006/relationships/hyperlink" Target="https://www.pricecharting.com/game/pokemon-fusion-strike/booster-box" TargetMode="External" Id="rId890" /><Relationship Type="http://schemas.openxmlformats.org/officeDocument/2006/relationships/hyperlink" Target="https://www.tcgplayer.com/product/247654" TargetMode="External" Id="rId891" /><Relationship Type="http://schemas.openxmlformats.org/officeDocument/2006/relationships/hyperlink" Target="https://www.pricecharting.com/game/pokemon-brilliant-stars/booster-box" TargetMode="External" Id="rId892" /><Relationship Type="http://schemas.openxmlformats.org/officeDocument/2006/relationships/hyperlink" Target="https://www.tcgplayer.com/product/256141" TargetMode="External" Id="rId893" /><Relationship Type="http://schemas.openxmlformats.org/officeDocument/2006/relationships/hyperlink" Target="https://www.pricecharting.com/game/pokemon-astral-radiance/booster-box" TargetMode="External" Id="rId894" /><Relationship Type="http://schemas.openxmlformats.org/officeDocument/2006/relationships/hyperlink" Target="https://www.tcgplayer.com/product/265519" TargetMode="External" Id="rId895" /><Relationship Type="http://schemas.openxmlformats.org/officeDocument/2006/relationships/hyperlink" Target="https://www.tcgplayer.com/product/704916" TargetMode="External" Id="rId896" /><Relationship Type="http://schemas.openxmlformats.org/officeDocument/2006/relationships/hyperlink" Target="https://www.pricecharting.com/game/pokemon-lost-origin/booster-box" TargetMode="External" Id="rId897" /><Relationship Type="http://schemas.openxmlformats.org/officeDocument/2006/relationships/hyperlink" Target="https://www.tcgplayer.com/product/277324" TargetMode="External" Id="rId898" /><Relationship Type="http://schemas.openxmlformats.org/officeDocument/2006/relationships/hyperlink" Target="https://www.pricecharting.com/game/pokemon-silver-tempest/booster-box" TargetMode="External" Id="rId899" /><Relationship Type="http://schemas.openxmlformats.org/officeDocument/2006/relationships/hyperlink" Target="https://www.tcgplayer.com/product/283389" TargetMode="External" Id="rId900" /><Relationship Type="http://schemas.openxmlformats.org/officeDocument/2006/relationships/hyperlink" Target="https://www.pricecharting.com/game/pokemon-team-rocket/booster-box" TargetMode="External" Id="rId901" /><Relationship Type="http://schemas.openxmlformats.org/officeDocument/2006/relationships/hyperlink" Target="https://www.pricecharting.com/game/pokemon-team-rocket/booster-box-1st-edition" TargetMode="External" Id="rId902" /><Relationship Type="http://schemas.openxmlformats.org/officeDocument/2006/relationships/hyperlink" Target="https://www.tcgplayer.com/product/209436" TargetMode="External" Id="rId903" /><Relationship Type="http://schemas.openxmlformats.org/officeDocument/2006/relationships/hyperlink" Target="https://www.tcgplayer.com/product/209437" TargetMode="External" Id="rId904" /><Relationship Type="http://schemas.openxmlformats.org/officeDocument/2006/relationships/hyperlink" Target="https://www.pricecharting.com/game/pokemon-team-up/build-&amp;-battle-display-box" TargetMode="External" Id="rId905" /><Relationship Type="http://schemas.openxmlformats.org/officeDocument/2006/relationships/hyperlink" Target="https://www.pricecharting.com/game/pokemon-triumphant/booster-box" TargetMode="External" Id="rId906" /><Relationship Type="http://schemas.openxmlformats.org/officeDocument/2006/relationships/hyperlink" Target="https://www.tcgplayer.com/product/98535" TargetMode="External" Id="rId907" /><Relationship Type="http://schemas.openxmlformats.org/officeDocument/2006/relationships/hyperlink" Target="https://www.pricecharting.com/game/pokemon-twilight-masquerade/build-&amp;-battle-display-box" TargetMode="External" Id="rId908" /><Relationship Type="http://schemas.openxmlformats.org/officeDocument/2006/relationships/hyperlink" Target="https://www.pricecharting.com/game/pokemon-twilight-masquerade/half-booster-box" TargetMode="External" Id="rId909" /><Relationship Type="http://schemas.openxmlformats.org/officeDocument/2006/relationships/hyperlink" Target="https://www.pricecharting.com/game/pokemon-ultra-prism/booster-box" TargetMode="External" Id="rId910" /><Relationship Type="http://schemas.openxmlformats.org/officeDocument/2006/relationships/hyperlink" Target="https://www.pricecharting.com/game/pokemon-undaunted/booster-box" TargetMode="External" Id="rId911" /><Relationship Type="http://schemas.openxmlformats.org/officeDocument/2006/relationships/hyperlink" Target="https://www.tcgplayer.com/product/98587" TargetMode="External" Id="rId912" /><Relationship Type="http://schemas.openxmlformats.org/officeDocument/2006/relationships/hyperlink" Target="https://www.pricecharting.com/game/pokemon-unleashed/booster-box" TargetMode="External" Id="rId913" /><Relationship Type="http://schemas.openxmlformats.org/officeDocument/2006/relationships/hyperlink" Target="https://www.tcgplayer.com/product/98583" TargetMode="External" Id="rId914" /><Relationship Type="http://schemas.openxmlformats.org/officeDocument/2006/relationships/hyperlink" Target="https://www.pricecharting.com/game/pokemon-vivid-voltage/build-&amp;-battle-display-box" TargetMode="External" Id="rId915" /><Relationship Type="http://schemas.openxmlformats.org/officeDocument/2006/relationships/hyperlink" Target="https://www.pricecharting.com/game/pokemon-white-flare/booster-bundle-display-box" TargetMode="External" Id="rId916" /><Relationship Type="http://schemas.openxmlformats.org/officeDocument/2006/relationships/hyperlink" Target="https://www.pricecharting.com/game/pokemon-xy/booster-box" TargetMode="External" Id="rId917" /><Relationship Type="http://schemas.openxmlformats.org/officeDocument/2006/relationships/hyperlink" Target="https://www.tcgplayer.com/product/100489" TargetMode="External" Id="rId918" /><Relationship Type="http://schemas.openxmlformats.org/officeDocument/2006/relationships/hyperlink" Target="https://www.tcgplayer.com/product/111278" TargetMode="External" Id="rId919" /><Relationship Type="http://schemas.openxmlformats.org/officeDocument/2006/relationships/hyperlink" Target="https://www.tcgplayer.com/product/107101" TargetMode="External" Id="rId920" /><Relationship Type="http://schemas.openxmlformats.org/officeDocument/2006/relationships/hyperlink" Target="https://www.tcgplayer.com/product/123446" TargetMode="External" Id="rId921" /><Relationship Type="http://schemas.openxmlformats.org/officeDocument/2006/relationships/hyperlink" Target="https://www.tcgplayer.com/product/117478" TargetMode="External" Id="rId922" /><Relationship Type="http://schemas.openxmlformats.org/officeDocument/2006/relationships/hyperlink" Target="https://www.pricecharting.com/game/pokemon-flashfire/booster-box" TargetMode="External" Id="rId923" /><Relationship Type="http://schemas.openxmlformats.org/officeDocument/2006/relationships/hyperlink" Target="https://www.tcgplayer.com/product/91594" TargetMode="External" Id="rId924" /><Relationship Type="http://schemas.openxmlformats.org/officeDocument/2006/relationships/hyperlink" Target="https://www.pricecharting.com/game/pokemon-furious-fists/booster-box" TargetMode="External" Id="rId925" /><Relationship Type="http://schemas.openxmlformats.org/officeDocument/2006/relationships/hyperlink" Target="https://www.tcgplayer.com/product/92168" TargetMode="External" Id="rId926" /><Relationship Type="http://schemas.openxmlformats.org/officeDocument/2006/relationships/hyperlink" Target="https://www.tcgplayer.com/product/97750" TargetMode="External" Id="rId927" /><Relationship Type="http://schemas.openxmlformats.org/officeDocument/2006/relationships/hyperlink" Target="https://www.tcgplayer.com/product/98026" TargetMode="External" Id="rId928" /><Relationship Type="http://schemas.openxmlformats.org/officeDocument/2006/relationships/hyperlink" Target="https://www.tcgplayer.com/product/120076" TargetMode="External" Id="rId929" /><Relationship Type="http://schemas.openxmlformats.org/officeDocument/2006/relationships/hyperlink" Target="https://www.pricecharting.com/game/pokemon-30th-celebration/elite-trainer-box-pokemon-center" TargetMode="External" Id="rId930" /><Relationship Type="http://schemas.openxmlformats.org/officeDocument/2006/relationships/hyperlink" Target="https://www.pricecharting.com/game/pokemon-30th-celebration/sealed-tin-greninja-ex" TargetMode="External" Id="rId931" /><Relationship Type="http://schemas.openxmlformats.org/officeDocument/2006/relationships/hyperlink" Target="https://www.pricecharting.com/game/pokemon-30th-celebration/sealed-tin-sylveon-ex" TargetMode="External" Id="rId932" /><Relationship Type="http://schemas.openxmlformats.org/officeDocument/2006/relationships/hyperlink" Target="https://www.tcgplayer.com/product/148226" TargetMode="External" Id="rId933" /><Relationship Type="http://schemas.openxmlformats.org/officeDocument/2006/relationships/hyperlink" Target="https://www.pricecharting.com/game/pokemon-ancient-origins/rayquaza-pin-collection" TargetMode="External" Id="rId934" /><Relationship Type="http://schemas.openxmlformats.org/officeDocument/2006/relationships/hyperlink" Target="https://www.pricecharting.com/game/pokemon-ancient-origins/tyranitar-pin-collection" TargetMode="External" Id="rId935" /><Relationship Type="http://schemas.openxmlformats.org/officeDocument/2006/relationships/hyperlink" Target="https://www.pricecharting.com/game/pokemon-arceus/darkrai-3-pack-blister" TargetMode="External" Id="rId936" /><Relationship Type="http://schemas.openxmlformats.org/officeDocument/2006/relationships/hyperlink" Target="https://www.pricecharting.com/game/pokemon-ascended-heroes/2-pack-blister-collection-erika" TargetMode="External" Id="rId937" /><Relationship Type="http://schemas.openxmlformats.org/officeDocument/2006/relationships/hyperlink" Target="https://www.pricecharting.com/game/pokemon-ascended-heroes/2-pack-blister-collection-larry" TargetMode="External" Id="rId938" /><Relationship Type="http://schemas.openxmlformats.org/officeDocument/2006/relationships/hyperlink" Target="https://www.pricecharting.com/game/pokemon-ascended-heroes/elite-trainer-box-pokemon-center" TargetMode="External" Id="rId939" /><Relationship Type="http://schemas.openxmlformats.org/officeDocument/2006/relationships/hyperlink" Target="https://www.pricecharting.com/game/pokemon-ascended-heroes/sealed-premium-poster-collection-mega-gardevoir" TargetMode="External" Id="rId940" /><Relationship Type="http://schemas.openxmlformats.org/officeDocument/2006/relationships/hyperlink" Target="https://www.pricecharting.com/game/pokemon-ascended-heroes/tech-sticker-collection-charmander" TargetMode="External" Id="rId941" /><Relationship Type="http://schemas.openxmlformats.org/officeDocument/2006/relationships/hyperlink" Target="https://www.pricecharting.com/game/pokemon-ascended-heroes/tech-sticker-collection-gastly" TargetMode="External" Id="rId942" /><Relationship Type="http://schemas.openxmlformats.org/officeDocument/2006/relationships/hyperlink" Target="https://www.pricecharting.com/game/pokemon-astral-radiance/back-to-school-eevee-eraser-2-pack-blister" TargetMode="External" Id="rId943" /><Relationship Type="http://schemas.openxmlformats.org/officeDocument/2006/relationships/hyperlink" Target="https://www.pricecharting.com/game/pokemon-astral-radiance/eevee-3-pack-blister" TargetMode="External" Id="rId944" /><Relationship Type="http://schemas.openxmlformats.org/officeDocument/2006/relationships/hyperlink" Target="https://www.pricecharting.com/game/pokemon-astral-radiance/elite-trainer-box-pokemon-center" TargetMode="External" Id="rId945" /><Relationship Type="http://schemas.openxmlformats.org/officeDocument/2006/relationships/hyperlink" Target="https://www.pricecharting.com/game/pokemon-astral-radiance/hanger-box" TargetMode="External" Id="rId946" /><Relationship Type="http://schemas.openxmlformats.org/officeDocument/2006/relationships/hyperlink" Target="https://www.pricecharting.com/game/pokemon-astral-radiance/jirachi-v-box" TargetMode="External" Id="rId947" /><Relationship Type="http://schemas.openxmlformats.org/officeDocument/2006/relationships/hyperlink" Target="https://www.pricecharting.com/game/pokemon-astral-radiance/sylveon-3-pack-blister" TargetMode="External" Id="rId948" /><Relationship Type="http://schemas.openxmlformats.org/officeDocument/2006/relationships/hyperlink" Target="https://www.pricecharting.com/game/pokemon-astral-radiance/toxel-1-pack-blister" TargetMode="External" Id="rId949" /><Relationship Type="http://schemas.openxmlformats.org/officeDocument/2006/relationships/hyperlink" Target="https://www.pricecharting.com/game/pokemon-battle-styles/blastoise-vmax-battle-box" TargetMode="External" Id="rId950" /><Relationship Type="http://schemas.openxmlformats.org/officeDocument/2006/relationships/hyperlink" Target="https://www.pricecharting.com/game/pokemon-battle-styles/dragonite-v-box" TargetMode="External" Id="rId951" /><Relationship Type="http://schemas.openxmlformats.org/officeDocument/2006/relationships/hyperlink" Target="https://www.pricecharting.com/game/pokemon-battle-styles/eevee-3-pack-blister" TargetMode="External" Id="rId952" /><Relationship Type="http://schemas.openxmlformats.org/officeDocument/2006/relationships/hyperlink" Target="https://www.pricecharting.com/game/pokemon-battle-styles/elite-trainer-box-rapid-strike-urshifu" TargetMode="External" Id="rId953" /><Relationship Type="http://schemas.openxmlformats.org/officeDocument/2006/relationships/hyperlink" Target="https://www.pricecharting.com/game/pokemon-battle-styles/elite-trainer-box-single-strike-urshifu" TargetMode="External" Id="rId954" /><Relationship Type="http://schemas.openxmlformats.org/officeDocument/2006/relationships/hyperlink" Target="https://www.pricecharting.com/game/pokemon-battle-styles/jolteon-3-pack-blister" TargetMode="External" Id="rId955" /><Relationship Type="http://schemas.openxmlformats.org/officeDocument/2006/relationships/hyperlink" Target="https://www.pricecharting.com/game/pokemon-battle-styles/spring-2021-collector-chest" TargetMode="External" Id="rId956" /><Relationship Type="http://schemas.openxmlformats.org/officeDocument/2006/relationships/hyperlink" Target="https://www.pricecharting.com/game/pokemon-battle-styles/v-powers-tin-eevee-v" TargetMode="External" Id="rId957" /><Relationship Type="http://schemas.openxmlformats.org/officeDocument/2006/relationships/hyperlink" Target="https://www.pricecharting.com/game/pokemon-battle-styles/v-powers-tin-eternatus-v" TargetMode="External" Id="rId958" /><Relationship Type="http://schemas.openxmlformats.org/officeDocument/2006/relationships/hyperlink" Target="https://www.pricecharting.com/game/pokemon-battle-styles/v-powers-tin-eternatus-v-international" TargetMode="External" Id="rId959" /><Relationship Type="http://schemas.openxmlformats.org/officeDocument/2006/relationships/hyperlink" Target="https://www.pricecharting.com/game/pokemon-battle-styles/v-powers-tin-pikachu-v" TargetMode="External" Id="rId960" /><Relationship Type="http://schemas.openxmlformats.org/officeDocument/2006/relationships/hyperlink" Target="https://www.pricecharting.com/game/pokemon-battle-styles/v-strikers-tin-empoleon" TargetMode="External" Id="rId961" /><Relationship Type="http://schemas.openxmlformats.org/officeDocument/2006/relationships/hyperlink" Target="https://www.pricecharting.com/game/pokemon-battle-styles/v-strikers-tin-empoleon-international" TargetMode="External" Id="rId962" /><Relationship Type="http://schemas.openxmlformats.org/officeDocument/2006/relationships/hyperlink" Target="https://www.pricecharting.com/game/pokemon-battle-styles/v-strikers-tin-tyranitar" TargetMode="External" Id="rId963" /><Relationship Type="http://schemas.openxmlformats.org/officeDocument/2006/relationships/hyperlink" Target="https://www.pricecharting.com/game/pokemon-battle-styles/v-strikers-tin-tyranitar-international" TargetMode="External" Id="rId964" /><Relationship Type="http://schemas.openxmlformats.org/officeDocument/2006/relationships/hyperlink" Target="https://www.pricecharting.com/game/pokemon-battle-styles/venusaur-vmax-battle-box" TargetMode="External" Id="rId965" /><Relationship Type="http://schemas.openxmlformats.org/officeDocument/2006/relationships/hyperlink" Target="https://www.pricecharting.com/game/pokemon-black-bolt/elite-trainer-box-pokemon-center" TargetMode="External" Id="rId966" /><Relationship Type="http://schemas.openxmlformats.org/officeDocument/2006/relationships/hyperlink" Target="https://www.pricecharting.com/game/pokemon-black-bolt/unova-mini-tin-alomomola-&amp;-axew" TargetMode="External" Id="rId967" /><Relationship Type="http://schemas.openxmlformats.org/officeDocument/2006/relationships/hyperlink" Target="https://www.pricecharting.com/game/pokemon-black-bolt/unova-mini-tin-garbodor-&amp;-amoonguss" TargetMode="External" Id="rId968" /><Relationship Type="http://schemas.openxmlformats.org/officeDocument/2006/relationships/hyperlink" Target="https://www.pricecharting.com/game/pokemon-breakpoint/elite-trainer-box" TargetMode="External" Id="rId969" /><Relationship Type="http://schemas.openxmlformats.org/officeDocument/2006/relationships/hyperlink" Target="https://www.pricecharting.com/game/pokemon-breakpoint/triple-power-tin-gyarados" TargetMode="External" Id="rId970" /><Relationship Type="http://schemas.openxmlformats.org/officeDocument/2006/relationships/hyperlink" Target="https://www.pricecharting.com/game/pokemon-breakpoint/triple-power-tin-mewtwo" TargetMode="External" Id="rId971" /><Relationship Type="http://schemas.openxmlformats.org/officeDocument/2006/relationships/hyperlink" Target="https://www.pricecharting.com/game/pokemon-breakpoint/triple-powers-tin-machamp" TargetMode="External" Id="rId972" /><Relationship Type="http://schemas.openxmlformats.org/officeDocument/2006/relationships/hyperlink" Target="https://www.pricecharting.com/game/pokemon-breakthrough/elite-trainer-box-mewtwo-x" TargetMode="External" Id="rId973" /><Relationship Type="http://schemas.openxmlformats.org/officeDocument/2006/relationships/hyperlink" Target="https://www.pricecharting.com/game/pokemon-breakthrough/elite-trainer-box-mewtwo-y" TargetMode="External" Id="rId974" /><Relationship Type="http://schemas.openxmlformats.org/officeDocument/2006/relationships/hyperlink" Target="https://www.pricecharting.com/game/pokemon-brilliant-stars/arceus-spring-2022-collector's-chest" TargetMode="External" Id="rId975" /><Relationship Type="http://schemas.openxmlformats.org/officeDocument/2006/relationships/hyperlink" Target="https://www.pricecharting.com/game/pokemon-brilliant-stars/arceus-vstar-premium-collection" TargetMode="External" Id="rId976" /><Relationship Type="http://schemas.openxmlformats.org/officeDocument/2006/relationships/hyperlink" Target="https://www.pricecharting.com/game/pokemon-brilliant-stars/arceus-vstar-ultra-premium-collection-box" TargetMode="External" Id="rId977" /><Relationship Type="http://schemas.openxmlformats.org/officeDocument/2006/relationships/hyperlink" Target="https://www.pricecharting.com/game/pokemon-brilliant-stars/boltund-v-box" TargetMode="External" Id="rId978" /><Relationship Type="http://schemas.openxmlformats.org/officeDocument/2006/relationships/hyperlink" Target="https://www.pricecharting.com/game/pokemon-brilliant-stars/build-&amp;-battle-kit" TargetMode="External" Id="rId979" /><Relationship Type="http://schemas.openxmlformats.org/officeDocument/2006/relationships/hyperlink" Target="https://www.pricecharting.com/game/pokemon-brilliant-stars/eevee-1-pack-blister" TargetMode="External" Id="rId980" /><Relationship Type="http://schemas.openxmlformats.org/officeDocument/2006/relationships/hyperlink" Target="https://www.pricecharting.com/game/pokemon-brilliant-stars/elite-trainer-box-pokemon-center" TargetMode="External" Id="rId981" /><Relationship Type="http://schemas.openxmlformats.org/officeDocument/2006/relationships/hyperlink" Target="https://www.pricecharting.com/game/pokemon-brilliant-stars/flapple-1-pack-blister" TargetMode="External" Id="rId982" /><Relationship Type="http://schemas.openxmlformats.org/officeDocument/2006/relationships/hyperlink" Target="https://www.pricecharting.com/game/pokemon-brilliant-stars/glaceon-3-pack-blister" TargetMode="External" Id="rId983" /><Relationship Type="http://schemas.openxmlformats.org/officeDocument/2006/relationships/hyperlink" Target="https://www.pricecharting.com/game/pokemon-brilliant-stars/leafeon-3-pack-blister" TargetMode="External" Id="rId984" /><Relationship Type="http://schemas.openxmlformats.org/officeDocument/2006/relationships/hyperlink" Target="https://www.pricecharting.com/game/pokemon-brilliant-stars/leafeon-vstar-special-collection" TargetMode="External" Id="rId985" /><Relationship Type="http://schemas.openxmlformats.org/officeDocument/2006/relationships/hyperlink" Target="https://www.pricecharting.com/game/pokemon-brilliant-stars/lucario-vstar-premium-collection-box" TargetMode="External" Id="rId986" /><Relationship Type="http://schemas.openxmlformats.org/officeDocument/2006/relationships/hyperlink" Target="https://www.pricecharting.com/game/pokemon-brilliant-stars/pikachu-v-box" TargetMode="External" Id="rId987" /><Relationship Type="http://schemas.openxmlformats.org/officeDocument/2006/relationships/hyperlink" Target="https://www.pricecharting.com/game/pokemon-brilliant-stars/v-heroes-epseon-tin" TargetMode="External" Id="rId988" /><Relationship Type="http://schemas.openxmlformats.org/officeDocument/2006/relationships/hyperlink" Target="https://www.pricecharting.com/game/pokemon-brilliant-stars/v-heroes-sylveon-tin" TargetMode="External" Id="rId989" /><Relationship Type="http://schemas.openxmlformats.org/officeDocument/2006/relationships/hyperlink" Target="https://www.pricecharting.com/game/pokemon-brilliant-stars/v-heroes-umbreon-tin" TargetMode="External" Id="rId990" /><Relationship Type="http://schemas.openxmlformats.org/officeDocument/2006/relationships/hyperlink" Target="https://www.pricecharting.com/game/pokemon-burning-shadows/cosmog-3-pack-blister" TargetMode="External" Id="rId991" /><Relationship Type="http://schemas.openxmlformats.org/officeDocument/2006/relationships/hyperlink" Target="https://www.pricecharting.com/game/pokemon-burning-shadows/mysterious-powers-tin-ho-oh-gx" TargetMode="External" Id="rId992" /><Relationship Type="http://schemas.openxmlformats.org/officeDocument/2006/relationships/hyperlink" Target="https://www.pricecharting.com/game/pokemon-burning-shadows/team-skull-pin-collection-box" TargetMode="External" Id="rId993" /><Relationship Type="http://schemas.openxmlformats.org/officeDocument/2006/relationships/hyperlink" Target="https://www.tcgplayer.com/product/242809" TargetMode="External" Id="rId994" /><Relationship Type="http://schemas.openxmlformats.org/officeDocument/2006/relationships/hyperlink" Target="https://www.tcgplayer.com/product/242807" TargetMode="External" Id="rId995" /><Relationship Type="http://schemas.openxmlformats.org/officeDocument/2006/relationships/hyperlink" Target="https://www.tcgplayer.com/product/242808" TargetMode="External" Id="rId996" /><Relationship Type="http://schemas.openxmlformats.org/officeDocument/2006/relationships/hyperlink" Target="https://www.tcgplayer.com/product/244726" TargetMode="External" Id="rId997" /><Relationship Type="http://schemas.openxmlformats.org/officeDocument/2006/relationships/hyperlink" Target="https://www.pricecharting.com/game/pokemon-celebrations/collector-chest" TargetMode="External" Id="rId998" /><Relationship Type="http://schemas.openxmlformats.org/officeDocument/2006/relationships/hyperlink" Target="https://www.tcgplayer.com/product/244727" TargetMode="External" Id="rId999" /><Relationship Type="http://schemas.openxmlformats.org/officeDocument/2006/relationships/hyperlink" Target="https://www.pricecharting.com/game/pokemon-celebrations/dark-sylveon-tin" TargetMode="External" Id="rId1000" /><Relationship Type="http://schemas.openxmlformats.org/officeDocument/2006/relationships/hyperlink" Target="https://www.pricecharting.com/game/pokemon-celebrations/dark-sylveon-tin-international" TargetMode="External" Id="rId1001" /><Relationship Type="http://schemas.openxmlformats.org/officeDocument/2006/relationships/hyperlink" Target="https://www.pricecharting.com/game/pokemon-celebrations/dark-sylveon-v-box" TargetMode="External" Id="rId1002" /><Relationship Type="http://schemas.openxmlformats.org/officeDocument/2006/relationships/hyperlink" Target="https://www.tcgplayer.com/product/242810" TargetMode="External" Id="rId1003" /><Relationship Type="http://schemas.openxmlformats.org/officeDocument/2006/relationships/hyperlink" Target="https://www.pricecharting.com/game/pokemon-celebrations/deluxe-pin-collection-box" TargetMode="External" Id="rId1004" /><Relationship Type="http://schemas.openxmlformats.org/officeDocument/2006/relationships/hyperlink" Target="https://www.pricecharting.com/game/pokemon-celebrations/dragapult-prime-box" TargetMode="External" Id="rId1005" /><Relationship Type="http://schemas.openxmlformats.org/officeDocument/2006/relationships/hyperlink" Target="https://www.pricecharting.com/game/pokemon-celebrations/elite-trainer-box" TargetMode="External" Id="rId1006" /><Relationship Type="http://schemas.openxmlformats.org/officeDocument/2006/relationships/hyperlink" Target="https://www.tcgplayer.com/product/242811" TargetMode="External" Id="rId1007" /><Relationship Type="http://schemas.openxmlformats.org/officeDocument/2006/relationships/hyperlink" Target="https://www.pricecharting.com/game/pokemon-celebrations/elite-trainer-box-pokemon-center" TargetMode="External" Id="rId1008" /><Relationship Type="http://schemas.openxmlformats.org/officeDocument/2006/relationships/hyperlink" Target="https://www.pricecharting.com/game/pokemon-celebrations/genesect-mythical-collection-box" TargetMode="External" Id="rId1009" /><Relationship Type="http://schemas.openxmlformats.org/officeDocument/2006/relationships/hyperlink" Target="https://www.pricecharting.com/game/pokemon-celebrations/keldeo-mythical-collection-box" TargetMode="External" Id="rId1010" /><Relationship Type="http://schemas.openxmlformats.org/officeDocument/2006/relationships/hyperlink" Target="https://www.pricecharting.com/game/pokemon-celebrations/lance's-charizard-v-big-tin" TargetMode="External" Id="rId1011" /><Relationship Type="http://schemas.openxmlformats.org/officeDocument/2006/relationships/hyperlink" Target="https://www.pricecharting.com/game/pokemon-celebrations/lance's-charizard-v-box" TargetMode="External" Id="rId1012" /><Relationship Type="http://schemas.openxmlformats.org/officeDocument/2006/relationships/hyperlink" Target="https://www.pricecharting.com/game/pokemon-celebrations/lance's-charizard-v-tin" TargetMode="External" Id="rId1013" /><Relationship Type="http://schemas.openxmlformats.org/officeDocument/2006/relationships/hyperlink" Target="https://www.pricecharting.com/game/pokemon-celebrations/manaphy-mythical-collection-box" TargetMode="External" Id="rId1014" /><Relationship Type="http://schemas.openxmlformats.org/officeDocument/2006/relationships/hyperlink" Target="https://www.pricecharting.com/game/pokemon-celebrations/meloetta-mythical-collection-box" TargetMode="External" Id="rId1015" /><Relationship Type="http://schemas.openxmlformats.org/officeDocument/2006/relationships/hyperlink" Target="https://www.tcgplayer.com/product/242819" TargetMode="External" Id="rId1016" /><Relationship Type="http://schemas.openxmlformats.org/officeDocument/2006/relationships/hyperlink" Target="https://www.tcgplayer.com/product/242820" TargetMode="External" Id="rId1017" /><Relationship Type="http://schemas.openxmlformats.org/officeDocument/2006/relationships/hyperlink" Target="https://www.tcgplayer.com/product/242815" TargetMode="External" Id="rId1018" /><Relationship Type="http://schemas.openxmlformats.org/officeDocument/2006/relationships/hyperlink" Target="https://www.tcgplayer.com/product/242814" TargetMode="External" Id="rId1019" /><Relationship Type="http://schemas.openxmlformats.org/officeDocument/2006/relationships/hyperlink" Target="https://www.tcgplayer.com/product/242818" TargetMode="External" Id="rId1020" /><Relationship Type="http://schemas.openxmlformats.org/officeDocument/2006/relationships/hyperlink" Target="https://www.pricecharting.com/game/pokemon-celebrations/mini-tin-kanto" TargetMode="External" Id="rId1021" /><Relationship Type="http://schemas.openxmlformats.org/officeDocument/2006/relationships/hyperlink" Target="https://www.tcgplayer.com/product/242813" TargetMode="External" Id="rId1022" /><Relationship Type="http://schemas.openxmlformats.org/officeDocument/2006/relationships/hyperlink" Target="https://www.tcgplayer.com/product/242816" TargetMode="External" Id="rId1023" /><Relationship Type="http://schemas.openxmlformats.org/officeDocument/2006/relationships/hyperlink" Target="https://www.tcgplayer.com/product/242817" TargetMode="External" Id="rId1024" /><Relationship Type="http://schemas.openxmlformats.org/officeDocument/2006/relationships/hyperlink" Target="https://www.tcgplayer.com/product/251199" TargetMode="External" Id="rId1025" /><Relationship Type="http://schemas.openxmlformats.org/officeDocument/2006/relationships/hyperlink" Target="https://www.tcgplayer.com/product/245139" TargetMode="External" Id="rId1026" /><Relationship Type="http://schemas.openxmlformats.org/officeDocument/2006/relationships/hyperlink" Target="https://www.pricecharting.com/game/pokemon-celebrations/premium-figure-collection-pikachu-vmax-box" TargetMode="External" Id="rId1027" /><Relationship Type="http://schemas.openxmlformats.org/officeDocument/2006/relationships/hyperlink" Target="https://www.tcgplayer.com/product/251217" TargetMode="External" Id="rId1028" /><Relationship Type="http://schemas.openxmlformats.org/officeDocument/2006/relationships/hyperlink" Target="https://www.pricecharting.com/game/pokemon-celebrations/celebrations-premium-playmat-collection-box-pikachu-v-union" TargetMode="External" Id="rId1029" /><Relationship Type="http://schemas.openxmlformats.org/officeDocument/2006/relationships/hyperlink" Target="https://www.pricecharting.com/game/pokemon-celebrations/prime-collection" TargetMode="External" Id="rId1030" /><Relationship Type="http://schemas.openxmlformats.org/officeDocument/2006/relationships/hyperlink" Target="https://www.tcgplayer.com/product/252416" TargetMode="External" Id="rId1031" /><Relationship Type="http://schemas.openxmlformats.org/officeDocument/2006/relationships/hyperlink" Target="https://www.tcgplayer.com/product/247470" TargetMode="External" Id="rId1032" /><Relationship Type="http://schemas.openxmlformats.org/officeDocument/2006/relationships/hyperlink" Target="https://www.pricecharting.com/game/pokemon-celebrations/special-collection-pikachu-v-union-box" TargetMode="External" Id="rId1033" /><Relationship Type="http://schemas.openxmlformats.org/officeDocument/2006/relationships/hyperlink" Target="https://www.pricecharting.com/game/pokemon-celebrations/ultra-premium-collection-box" TargetMode="External" Id="rId1034" /><Relationship Type="http://schemas.openxmlformats.org/officeDocument/2006/relationships/hyperlink" Target="https://www.tcgplayer.com/product/245140" TargetMode="External" Id="rId1035" /><Relationship Type="http://schemas.openxmlformats.org/officeDocument/2006/relationships/hyperlink" Target="https://www.pricecharting.com/game/pokemon-celebrations/v-memories-collection-box" TargetMode="External" Id="rId1036" /><Relationship Type="http://schemas.openxmlformats.org/officeDocument/2006/relationships/hyperlink" Target="https://www.pricecharting.com/game/pokemon-celebrations/victini-mythical-collection-box" TargetMode="External" Id="rId1037" /><Relationship Type="http://schemas.openxmlformats.org/officeDocument/2006/relationships/hyperlink" Target="https://www.tcgplayer.com/product/251988" TargetMode="External" Id="rId1038" /><Relationship Type="http://schemas.openxmlformats.org/officeDocument/2006/relationships/hyperlink" Target="https://www.tcgplayer.com/product/251987" TargetMode="External" Id="rId1039" /><Relationship Type="http://schemas.openxmlformats.org/officeDocument/2006/relationships/hyperlink" Target="https://www.tcgplayer.com/product/251989" TargetMode="External" Id="rId1040" /><Relationship Type="http://schemas.openxmlformats.org/officeDocument/2006/relationships/hyperlink" Target="https://www.tcgplayer.com/product/251986" TargetMode="External" Id="rId1041" /><Relationship Type="http://schemas.openxmlformats.org/officeDocument/2006/relationships/hyperlink" Target="https://www.pricecharting.com/game/pokemon-celestial-storm/elite-trainer-box" TargetMode="External" Id="rId1042" /><Relationship Type="http://schemas.openxmlformats.org/officeDocument/2006/relationships/hyperlink" Target="https://www.pricecharting.com/game/pokemon-celestial-storm/evolution-celebration-tin-leafeon-gx" TargetMode="External" Id="rId1043" /><Relationship Type="http://schemas.openxmlformats.org/officeDocument/2006/relationships/hyperlink" Target="https://www.tcgplayer.com/product/265318" TargetMode="External" Id="rId1044" /><Relationship Type="http://schemas.openxmlformats.org/officeDocument/2006/relationships/hyperlink" Target="https://www.tcgplayer.com/product/218806" TargetMode="External" Id="rId1045" /><Relationship Type="http://schemas.openxmlformats.org/officeDocument/2006/relationships/hyperlink" Target="https://www.tcgplayer.com/product/218804" TargetMode="External" Id="rId1046" /><Relationship Type="http://schemas.openxmlformats.org/officeDocument/2006/relationships/hyperlink" Target="https://www.tcgplayer.com/product/218791" TargetMode="External" Id="rId1047" /><Relationship Type="http://schemas.openxmlformats.org/officeDocument/2006/relationships/hyperlink" Target="https://www.tcgplayer.com/product/218799" TargetMode="External" Id="rId1048" /><Relationship Type="http://schemas.openxmlformats.org/officeDocument/2006/relationships/hyperlink" Target="https://www.tcgplayer.com/product/218794" TargetMode="External" Id="rId1049" /><Relationship Type="http://schemas.openxmlformats.org/officeDocument/2006/relationships/hyperlink" Target="https://www.tcgplayer.com/product/218796" TargetMode="External" Id="rId1050" /><Relationship Type="http://schemas.openxmlformats.org/officeDocument/2006/relationships/hyperlink" Target="https://www.tcgplayer.com/product/218800" TargetMode="External" Id="rId1051" /><Relationship Type="http://schemas.openxmlformats.org/officeDocument/2006/relationships/hyperlink" Target="https://www.tcgplayer.com/product/218797" TargetMode="External" Id="rId1052" /><Relationship Type="http://schemas.openxmlformats.org/officeDocument/2006/relationships/hyperlink" Target="https://www.tcgplayer.com/product/218807" TargetMode="External" Id="rId1053" /><Relationship Type="http://schemas.openxmlformats.org/officeDocument/2006/relationships/hyperlink" Target="https://www.tcgplayer.com/product/218803" TargetMode="External" Id="rId1054" /><Relationship Type="http://schemas.openxmlformats.org/officeDocument/2006/relationships/hyperlink" Target="https://www.tcgplayer.com/product/218802" TargetMode="External" Id="rId1055" /><Relationship Type="http://schemas.openxmlformats.org/officeDocument/2006/relationships/hyperlink" Target="https://www.pricecharting.com/game/pokemon-chaos-rising/booster-bundle" TargetMode="External" Id="rId1056" /><Relationship Type="http://schemas.openxmlformats.org/officeDocument/2006/relationships/hyperlink" Target="https://www.pricecharting.com/game/pokemon-chaos-rising/build-&amp;-battle-box" TargetMode="External" Id="rId1057" /><Relationship Type="http://schemas.openxmlformats.org/officeDocument/2006/relationships/hyperlink" Target="https://www.pricecharting.com/game/pokemon-chaos-rising/elite-trainer-box" TargetMode="External" Id="rId1058" /><Relationship Type="http://schemas.openxmlformats.org/officeDocument/2006/relationships/hyperlink" Target="https://www.pricecharting.com/game/pokemon-chaos-rising/elite-trainer-box-pokemon-center" TargetMode="External" Id="rId1059" /><Relationship Type="http://schemas.openxmlformats.org/officeDocument/2006/relationships/hyperlink" Target="https://www.pricecharting.com/game/pokemon-chilling-reign/elite-trainer-box-ice-rider-pokemon-center" TargetMode="External" Id="rId1060" /><Relationship Type="http://schemas.openxmlformats.org/officeDocument/2006/relationships/hyperlink" Target="https://www.pricecharting.com/game/pokemon-chilling-reign/elite-trainer-box-ice-rider" TargetMode="External" Id="rId1061" /><Relationship Type="http://schemas.openxmlformats.org/officeDocument/2006/relationships/hyperlink" Target="https://www.pricecharting.com/game/pokemon-chilling-reign/elite-trainer-box-shadow-rider-pokemon-center" TargetMode="External" Id="rId1062" /><Relationship Type="http://schemas.openxmlformats.org/officeDocument/2006/relationships/hyperlink" Target="https://www.pricecharting.com/game/pokemon-chilling-reign/elite-trainer-box-shadow-rider" TargetMode="External" Id="rId1063" /><Relationship Type="http://schemas.openxmlformats.org/officeDocument/2006/relationships/hyperlink" Target="https://www.pricecharting.com/game/pokemon-chinese-151-collect/chinese-new-year-collection-box" TargetMode="External" Id="rId1064" /><Relationship Type="http://schemas.openxmlformats.org/officeDocument/2006/relationships/hyperlink" Target="https://www.pricecharting.com/game/pokemon-chinese-cs4ac/eeveelution-gift-box-flareon" TargetMode="External" Id="rId1065" /><Relationship Type="http://schemas.openxmlformats.org/officeDocument/2006/relationships/hyperlink" Target="https://www.pricecharting.com/game/pokemon-chinese-cs4ac/eeveelution-gift-box-jolteon" TargetMode="External" Id="rId1066" /><Relationship Type="http://schemas.openxmlformats.org/officeDocument/2006/relationships/hyperlink" Target="https://www.pricecharting.com/game/pokemon-chinese-cs4ac/eeveelution-gift-box-vaporeon" TargetMode="External" Id="rId1067" /><Relationship Type="http://schemas.openxmlformats.org/officeDocument/2006/relationships/hyperlink" Target="https://www.pricecharting.com/game/pokemon-chinese-gem-pack/gem-pack-badge-collection" TargetMode="External" Id="rId1068" /><Relationship Type="http://schemas.openxmlformats.org/officeDocument/2006/relationships/hyperlink" Target="https://www.pricecharting.com/game/pokemon-chinese-promo/2026-lunar-new-year-gift-box" TargetMode="External" Id="rId1069" /><Relationship Type="http://schemas.openxmlformats.org/officeDocument/2006/relationships/hyperlink" Target="https://www.pricecharting.com/game/pokemon-chinese-promo/chinese-pokemon-5th-anniversary-gift-box" TargetMode="External" Id="rId1070" /><Relationship Type="http://schemas.openxmlformats.org/officeDocument/2006/relationships/hyperlink" Target="https://www.pricecharting.com/game/pokemon-chinese-promo/metal-pack-storage-box-set" TargetMode="External" Id="rId1071" /><Relationship Type="http://schemas.openxmlformats.org/officeDocument/2006/relationships/hyperlink" Target="https://www.pricecharting.com/game/pokemon-chinese-promo/pikachu-v-union-gift-box" TargetMode="External" Id="rId1072" /><Relationship Type="http://schemas.openxmlformats.org/officeDocument/2006/relationships/hyperlink" Target="https://www.pricecharting.com/game/pokemon-cosmic-eclipse/2-pack-blister" TargetMode="External" Id="rId1073" /><Relationship Type="http://schemas.openxmlformats.org/officeDocument/2006/relationships/hyperlink" Target="https://www.pricecharting.com/game/pokemon-cosmic-eclipse/3-pack-blister" TargetMode="External" Id="rId1074" /><Relationship Type="http://schemas.openxmlformats.org/officeDocument/2006/relationships/hyperlink" Target="https://www.pricecharting.com/game/pokemon-cosmic-eclipse/elite-trainer-box" TargetMode="External" Id="rId1075" /><Relationship Type="http://schemas.openxmlformats.org/officeDocument/2006/relationships/hyperlink" Target="https://www.pricecharting.com/game/pokemon-cosmic-eclipse/galarian-sirfetch'd-v-box" TargetMode="External" Id="rId1076" /><Relationship Type="http://schemas.openxmlformats.org/officeDocument/2006/relationships/hyperlink" Target="https://www.pricecharting.com/game/pokemon-cosmic-eclipse/tag-team-powers-collection-box-espeon-&amp;-deoxys-gx" TargetMode="External" Id="rId1077" /><Relationship Type="http://schemas.openxmlformats.org/officeDocument/2006/relationships/hyperlink" Target="https://www.pricecharting.com/game/pokemon-cosmic-eclipse/tag-team-powers-collection-box-umbreon-&amp;-darkrai-gx" TargetMode="External" Id="rId1078" /><Relationship Type="http://schemas.openxmlformats.org/officeDocument/2006/relationships/hyperlink" Target="https://www.pricecharting.com/game/pokemon-crimson-invasion/legends-of-johto-gx-collection" TargetMode="External" Id="rId1079" /><Relationship Type="http://schemas.openxmlformats.org/officeDocument/2006/relationships/hyperlink" Target="https://www.pricecharting.com/game/pokemon-crown-zenith/elite-trainer-box-plus" TargetMode="External" Id="rId1080" /><Relationship Type="http://schemas.openxmlformats.org/officeDocument/2006/relationships/hyperlink" Target="https://www.pricecharting.com/game/pokemon-crown-zenith/galarian-articuno-tin" TargetMode="External" Id="rId1081" /><Relationship Type="http://schemas.openxmlformats.org/officeDocument/2006/relationships/hyperlink" Target="https://www.pricecharting.com/game/pokemon-crown-zenith/galarian-articuno-tin-international" TargetMode="External" Id="rId1082" /><Relationship Type="http://schemas.openxmlformats.org/officeDocument/2006/relationships/hyperlink" Target="https://www.pricecharting.com/game/pokemon-crown-zenith/galarian-moltres-tin-none" TargetMode="External" Id="rId1083" /><Relationship Type="http://schemas.openxmlformats.org/officeDocument/2006/relationships/hyperlink" Target="https://www.pricecharting.com/game/pokemon-crown-zenith/galarian-zapdos-tin-none" TargetMode="External" Id="rId1084" /><Relationship Type="http://schemas.openxmlformats.org/officeDocument/2006/relationships/hyperlink" Target="https://www.pricecharting.com/game/pokemon-crown-zenith/hisuian-zoroark-vstar-premium-collection-box" TargetMode="External" Id="rId1085" /><Relationship Type="http://schemas.openxmlformats.org/officeDocument/2006/relationships/hyperlink" Target="https://www.pricecharting.com/game/pokemon-crown-zenith/lugia-v-&amp;-unown-v-special-collection" TargetMode="External" Id="rId1086" /><Relationship Type="http://schemas.openxmlformats.org/officeDocument/2006/relationships/hyperlink" Target="https://www.pricecharting.com/game/pokemon-crown-zenith/mini-tin-bede" TargetMode="External" Id="rId1087" /><Relationship Type="http://schemas.openxmlformats.org/officeDocument/2006/relationships/hyperlink" Target="https://www.pricecharting.com/game/pokemon-crown-zenith/mini-tin-hop" TargetMode="External" Id="rId1088" /><Relationship Type="http://schemas.openxmlformats.org/officeDocument/2006/relationships/hyperlink" Target="https://www.pricecharting.com/game/pokemon-crown-zenith/morpeko-v-union-premium-treasures-collection" TargetMode="External" Id="rId1089" /><Relationship Type="http://schemas.openxmlformats.org/officeDocument/2006/relationships/hyperlink" Target="https://www.pricecharting.com/game/pokemon-crown-zenith/morpeko-v-union-premium-playmat-collection-box" TargetMode="External" Id="rId1090" /><Relationship Type="http://schemas.openxmlformats.org/officeDocument/2006/relationships/hyperlink" Target="https://www.pricecharting.com/game/pokemon-crown-zenith/pin-collection-inteleon" TargetMode="External" Id="rId1091" /><Relationship Type="http://schemas.openxmlformats.org/officeDocument/2006/relationships/hyperlink" Target="https://www.pricecharting.com/game/pokemon-crown-zenith/regidrago-v-collection" TargetMode="External" Id="rId1092" /><Relationship Type="http://schemas.openxmlformats.org/officeDocument/2006/relationships/hyperlink" Target="https://www.pricecharting.com/game/pokemon-crown-zenith/regieleki-v-collection" TargetMode="External" Id="rId1093" /><Relationship Type="http://schemas.openxmlformats.org/officeDocument/2006/relationships/hyperlink" Target="https://www.pricecharting.com/game/pokemon-crown-zenith/sea-and-sky-premium-collection-box" TargetMode="External" Id="rId1094" /><Relationship Type="http://schemas.openxmlformats.org/officeDocument/2006/relationships/hyperlink" Target="https://www.pricecharting.com/game/pokemon-crown-zenith/shiny-zacian-premium-figure-collection-box" TargetMode="External" Id="rId1095" /><Relationship Type="http://schemas.openxmlformats.org/officeDocument/2006/relationships/hyperlink" Target="https://www.pricecharting.com/game/pokemon-crown-zenith/shiny-zamazenta-premium-figure-collection-box" TargetMode="External" Id="rId1096" /><Relationship Type="http://schemas.openxmlformats.org/officeDocument/2006/relationships/hyperlink" Target="https://www.pricecharting.com/game/pokemon-dark-explorers/luxray-3-pack-blister" TargetMode="External" Id="rId1097" /><Relationship Type="http://schemas.openxmlformats.org/officeDocument/2006/relationships/hyperlink" Target="https://www.pricecharting.com/game/pokemon-darkness-ablaze/eevee-3-pack-blister" TargetMode="External" Id="rId1098" /><Relationship Type="http://schemas.openxmlformats.org/officeDocument/2006/relationships/hyperlink" Target="https://www.pricecharting.com/game/pokemon-darkness-ablaze/eternatus-vmax-premium-collection-box" TargetMode="External" Id="rId1099" /><Relationship Type="http://schemas.openxmlformats.org/officeDocument/2006/relationships/hyperlink" Target="https://www.pricecharting.com/game/pokemon-destined-rivals/elite-trainer-box-pokemon-center" TargetMode="External" Id="rId1100" /><Relationship Type="http://schemas.openxmlformats.org/officeDocument/2006/relationships/hyperlink" Target="https://www.pricecharting.com/game/pokemon-destined-rivals/team-rocket-tin-mewtwo-ex" TargetMode="External" Id="rId1101" /><Relationship Type="http://schemas.openxmlformats.org/officeDocument/2006/relationships/hyperlink" Target="https://www.pricecharting.com/game/pokemon-destined-rivals/team-rocket-tin-mewtwo-ex-international" TargetMode="External" Id="rId1102" /><Relationship Type="http://schemas.openxmlformats.org/officeDocument/2006/relationships/hyperlink" Target="https://www.pricecharting.com/game/pokemon-destined-rivals/team-rocket-tin-nidoking-ex" TargetMode="External" Id="rId1103" /><Relationship Type="http://schemas.openxmlformats.org/officeDocument/2006/relationships/hyperlink" Target="https://www.pricecharting.com/game/pokemon-destined-rivals/team-rocket-tin-nidoking-ex-international" TargetMode="External" Id="rId1104" /><Relationship Type="http://schemas.openxmlformats.org/officeDocument/2006/relationships/hyperlink" Target="https://www.pricecharting.com/game/pokemon-destined-rivals/team-rocket-tin-persian-ex" TargetMode="External" Id="rId1105" /><Relationship Type="http://schemas.openxmlformats.org/officeDocument/2006/relationships/hyperlink" Target="https://www.pricecharting.com/game/pokemon-destined-rivals/team-rocket-tin-persian-ex-international" TargetMode="External" Id="rId1106" /><Relationship Type="http://schemas.openxmlformats.org/officeDocument/2006/relationships/hyperlink" Target="https://www.pricecharting.com/game/pokemon-destined-rivals/team-rocket's-mewtwo-ex-box" TargetMode="External" Id="rId1107" /><Relationship Type="http://schemas.openxmlformats.org/officeDocument/2006/relationships/hyperlink" Target="https://www.tcgplayer.com/product/264420" TargetMode="External" Id="rId1108" /><Relationship Type="http://schemas.openxmlformats.org/officeDocument/2006/relationships/hyperlink" Target="https://www.pricecharting.com/game/pokemon-detective-pikachu/detective-pikachu-collectors-chest" TargetMode="External" Id="rId1109" /><Relationship Type="http://schemas.openxmlformats.org/officeDocument/2006/relationships/hyperlink" Target="https://www.tcgplayer.com/product/502477" TargetMode="External" Id="rId1110" /><Relationship Type="http://schemas.openxmlformats.org/officeDocument/2006/relationships/hyperlink" Target="https://www.pricecharting.com/game/pokemon-detective-pikachu/detective-pikachu-tin-mewtwo" TargetMode="External" Id="rId1111" /><Relationship Type="http://schemas.openxmlformats.org/officeDocument/2006/relationships/hyperlink" Target="https://www.tcgplayer.com/product/502478" TargetMode="External" Id="rId1112" /><Relationship Type="http://schemas.openxmlformats.org/officeDocument/2006/relationships/hyperlink" Target="https://www.tcgplayer.com/product/185244" TargetMode="External" Id="rId1113" /><Relationship Type="http://schemas.openxmlformats.org/officeDocument/2006/relationships/hyperlink" Target="https://www.pricecharting.com/game/pokemon-double-crisis/4-pack-blister-pack" TargetMode="External" Id="rId1114" /><Relationship Type="http://schemas.openxmlformats.org/officeDocument/2006/relationships/hyperlink" Target="https://www.pricecharting.com/game/pokemon-dragon-majesty/elite-trainer-box" TargetMode="External" Id="rId1115" /><Relationship Type="http://schemas.openxmlformats.org/officeDocument/2006/relationships/hyperlink" Target="https://www.tcgplayer.com/product/173393" TargetMode="External" Id="rId1116" /><Relationship Type="http://schemas.openxmlformats.org/officeDocument/2006/relationships/hyperlink" Target="https://www.pricecharting.com/game/pokemon-dragon-majesty/legends-of-unova-gx-collection-box" TargetMode="External" Id="rId1117" /><Relationship Type="http://schemas.openxmlformats.org/officeDocument/2006/relationships/hyperlink" Target="https://www.tcgplayer.com/product/175062" TargetMode="External" Id="rId1118" /><Relationship Type="http://schemas.openxmlformats.org/officeDocument/2006/relationships/hyperlink" Target="https://www.pricecharting.com/game/pokemon-dragon-majesty/pin-collection-box-latias" TargetMode="External" Id="rId1119" /><Relationship Type="http://schemas.openxmlformats.org/officeDocument/2006/relationships/hyperlink" Target="https://www.pricecharting.com/game/pokemon-dragon-majesty/pin-collection-box-latios" TargetMode="External" Id="rId1120" /><Relationship Type="http://schemas.openxmlformats.org/officeDocument/2006/relationships/hyperlink" Target="https://www.tcgplayer.com/product/180522" TargetMode="External" Id="rId1121" /><Relationship Type="http://schemas.openxmlformats.org/officeDocument/2006/relationships/hyperlink" Target="https://www.tcgplayer.com/product/180526" TargetMode="External" Id="rId1122" /><Relationship Type="http://schemas.openxmlformats.org/officeDocument/2006/relationships/hyperlink" Target="https://www.pricecharting.com/game/pokemon-dragon-majesty/super-premium-collection-box" TargetMode="External" Id="rId1123" /><Relationship Type="http://schemas.openxmlformats.org/officeDocument/2006/relationships/hyperlink" Target="https://www.tcgplayer.com/product/175560" TargetMode="External" Id="rId1124" /><Relationship Type="http://schemas.openxmlformats.org/officeDocument/2006/relationships/hyperlink" Target="https://www.pricecharting.com/game/pokemon-dragon-majesty/ultra-necrozma-gx-box" TargetMode="External" Id="rId1125" /><Relationship Type="http://schemas.openxmlformats.org/officeDocument/2006/relationships/hyperlink" Target="https://www.tcgplayer.com/product/179033" TargetMode="External" Id="rId1126" /><Relationship Type="http://schemas.openxmlformats.org/officeDocument/2006/relationships/hyperlink" Target="https://www.pricecharting.com/game/pokemon-dragon-majesty/ultra-necrozma-gx-figure-collection" TargetMode="External" Id="rId1127" /><Relationship Type="http://schemas.openxmlformats.org/officeDocument/2006/relationships/hyperlink" Target="https://www.tcgplayer.com/product/179038" TargetMode="External" Id="rId1128" /><Relationship Type="http://schemas.openxmlformats.org/officeDocument/2006/relationships/hyperlink" Target="https://www.pricecharting.com/game/pokemon-dragons-exalted/3-pack-blister" TargetMode="External" Id="rId1129" /><Relationship Type="http://schemas.openxmlformats.org/officeDocument/2006/relationships/hyperlink" Target="https://www.pricecharting.com/game/pokemon-evolutions/elite-trainer-box-blastoise" TargetMode="External" Id="rId1130" /><Relationship Type="http://schemas.openxmlformats.org/officeDocument/2006/relationships/hyperlink" Target="https://www.pricecharting.com/game/pokemon-evolutions/elite-trainer-box-charizard" TargetMode="External" Id="rId1131" /><Relationship Type="http://schemas.openxmlformats.org/officeDocument/2006/relationships/hyperlink" Target="https://www.pricecharting.com/game/pokemon-evolutions/espeon-gx-premium-collection-box" TargetMode="External" Id="rId1132" /><Relationship Type="http://schemas.openxmlformats.org/officeDocument/2006/relationships/hyperlink" Target="https://www.pricecharting.com/game/pokemon-evolutions/kanto-power-collection-box" TargetMode="External" Id="rId1133" /><Relationship Type="http://schemas.openxmlformats.org/officeDocument/2006/relationships/hyperlink" Target="https://www.pricecharting.com/game/pokemon-evolutions/prerelease-kit" TargetMode="External" Id="rId1134" /><Relationship Type="http://schemas.openxmlformats.org/officeDocument/2006/relationships/hyperlink" Target="https://www.pricecharting.com/game/pokemon-evolutions/sealed-mewtwo-ex-box" TargetMode="External" Id="rId1135" /><Relationship Type="http://schemas.openxmlformats.org/officeDocument/2006/relationships/hyperlink" Target="https://www.pricecharting.com/game/pokemon-evolutions/volcanion-mythical-collection-box" TargetMode="External" Id="rId1136" /><Relationship Type="http://schemas.openxmlformats.org/officeDocument/2006/relationships/hyperlink" Target="https://www.pricecharting.com/game/pokemon-evolving-skies/2-pack-blister" TargetMode="External" Id="rId1137" /><Relationship Type="http://schemas.openxmlformats.org/officeDocument/2006/relationships/hyperlink" Target="https://www.pricecharting.com/game/pokemon-evolving-skies/build-&amp;-battle-stadium" TargetMode="External" Id="rId1138" /><Relationship Type="http://schemas.openxmlformats.org/officeDocument/2006/relationships/hyperlink" Target="https://www.pricecharting.com/game/pokemon-evolving-skies/dragonite-v-box" TargetMode="External" Id="rId1139" /><Relationship Type="http://schemas.openxmlformats.org/officeDocument/2006/relationships/hyperlink" Target="https://www.pricecharting.com/game/pokemon-evolving-skies/elite-trainer-box-&amp;-tin-costco-bundle" TargetMode="External" Id="rId1140" /><Relationship Type="http://schemas.openxmlformats.org/officeDocument/2006/relationships/hyperlink" Target="https://www.pricecharting.com/game/pokemon-evolving-skies/elite-trainer-box-jolteon" TargetMode="External" Id="rId1141" /><Relationship Type="http://schemas.openxmlformats.org/officeDocument/2006/relationships/hyperlink" Target="https://www.pricecharting.com/game/pokemon-evolving-skies/elite-trainer-box-jolteon-pokemon-center" TargetMode="External" Id="rId1142" /><Relationship Type="http://schemas.openxmlformats.org/officeDocument/2006/relationships/hyperlink" Target="https://www.pricecharting.com/game/pokemon-evolving-skies/elite-trainer-box-vaporeon" TargetMode="External" Id="rId1143" /><Relationship Type="http://schemas.openxmlformats.org/officeDocument/2006/relationships/hyperlink" Target="https://www.pricecharting.com/game/pokemon-evolving-skies/elite-trainer-box-vaporeon-pokemon-center" TargetMode="External" Id="rId1144" /><Relationship Type="http://schemas.openxmlformats.org/officeDocument/2006/relationships/hyperlink" Target="https://www.pricecharting.com/game/pokemon-evolving-skies/flareon-vmax-premium-collection-box" TargetMode="External" Id="rId1145" /><Relationship Type="http://schemas.openxmlformats.org/officeDocument/2006/relationships/hyperlink" Target="https://www.pricecharting.com/game/pokemon-evolving-skies/hanger-box" TargetMode="External" Id="rId1146" /><Relationship Type="http://schemas.openxmlformats.org/officeDocument/2006/relationships/hyperlink" Target="https://www.pricecharting.com/game/pokemon-evolving-skies/jolteon-vmax-premium-collection-box" TargetMode="External" Id="rId1147" /><Relationship Type="http://schemas.openxmlformats.org/officeDocument/2006/relationships/hyperlink" Target="https://www.pricecharting.com/game/pokemon-evolving-skies/mythical-squishy-premium-collection" TargetMode="External" Id="rId1148" /><Relationship Type="http://schemas.openxmlformats.org/officeDocument/2006/relationships/hyperlink" Target="https://www.pricecharting.com/game/pokemon-evolving-skies/vaporeon-vmax-premium-collection-box" TargetMode="External" Id="rId1149" /><Relationship Type="http://schemas.openxmlformats.org/officeDocument/2006/relationships/hyperlink" Target="https://www.pricecharting.com/game/pokemon-evolving-skies/vmax-dragons-premium-collection-box" TargetMode="External" Id="rId1150" /><Relationship Type="http://schemas.openxmlformats.org/officeDocument/2006/relationships/hyperlink" Target="https://www.pricecharting.com/game/pokemon-fates-collide/3-pack-pin-blister-mega-alakazam" TargetMode="External" Id="rId1151" /><Relationship Type="http://schemas.openxmlformats.org/officeDocument/2006/relationships/hyperlink" Target="https://www.pricecharting.com/game/pokemon-fates-collide/build-battle-kit-prerelease" TargetMode="External" Id="rId1152" /><Relationship Type="http://schemas.openxmlformats.org/officeDocument/2006/relationships/hyperlink" Target="https://www.tcgplayer.com/product/694977" TargetMode="External" Id="rId1153" /><Relationship Type="http://schemas.openxmlformats.org/officeDocument/2006/relationships/hyperlink" Target="https://www.tcgplayer.com/product/701484" TargetMode="External" Id="rId1154" /><Relationship Type="http://schemas.openxmlformats.org/officeDocument/2006/relationships/hyperlink" Target="https://www.tcgplayer.com/product/701485" TargetMode="External" Id="rId1155" /><Relationship Type="http://schemas.openxmlformats.org/officeDocument/2006/relationships/hyperlink" Target="https://www.tcgplayer.com/product/673436" TargetMode="External" Id="rId1156" /><Relationship Type="http://schemas.openxmlformats.org/officeDocument/2006/relationships/hyperlink" Target="https://www.tcgplayer.com/product/688712" TargetMode="External" Id="rId1157" /><Relationship Type="http://schemas.openxmlformats.org/officeDocument/2006/relationships/hyperlink" Target="https://www.tcgplayer.com/product/695400" TargetMode="External" Id="rId1158" /><Relationship Type="http://schemas.openxmlformats.org/officeDocument/2006/relationships/hyperlink" Target="https://www.pricecharting.com/game/pokemon-flashfire/kalos-power-tin-delphox" TargetMode="External" Id="rId1159" /><Relationship Type="http://schemas.openxmlformats.org/officeDocument/2006/relationships/hyperlink" Target="https://www.pricecharting.com/game/pokemon-fossil/thunderstorm-gift-box" TargetMode="External" Id="rId1160" /><Relationship Type="http://schemas.openxmlformats.org/officeDocument/2006/relationships/hyperlink" Target="https://www.pricecharting.com/game/pokemon-furious-fists/2-pack-blister" TargetMode="External" Id="rId1161" /><Relationship Type="http://schemas.openxmlformats.org/officeDocument/2006/relationships/hyperlink" Target="https://www.pricecharting.com/game/pokemon-furious-fists/slurpuff-3-pack-blister" TargetMode="External" Id="rId1162" /><Relationship Type="http://schemas.openxmlformats.org/officeDocument/2006/relationships/hyperlink" Target="https://www.pricecharting.com/game/pokemon-fusion-strike/eevee-3-pack-blister" TargetMode="External" Id="rId1163" /><Relationship Type="http://schemas.openxmlformats.org/officeDocument/2006/relationships/hyperlink" Target="https://www.pricecharting.com/game/pokemon-fusion-strike/elite-trainer-box-pokemon-center" TargetMode="External" Id="rId1164" /><Relationship Type="http://schemas.openxmlformats.org/officeDocument/2006/relationships/hyperlink" Target="https://www.pricecharting.com/game/pokemon-fusion-strike/espeon-3-pack-blister" TargetMode="External" Id="rId1165" /><Relationship Type="http://schemas.openxmlformats.org/officeDocument/2006/relationships/hyperlink" Target="https://www.pricecharting.com/game/pokemon-fusion-strike/rapid-strike-urshifu-vmax-premium-collection" TargetMode="External" Id="rId1166" /><Relationship Type="http://schemas.openxmlformats.org/officeDocument/2006/relationships/hyperlink" Target="https://www.pricecharting.com/game/pokemon-generations/arceus-mythical-collection-box" TargetMode="External" Id="rId1167" /><Relationship Type="http://schemas.openxmlformats.org/officeDocument/2006/relationships/hyperlink" Target="https://www.pricecharting.com/game/pokemon-generations/blastoise-ex-red-and-blue-collection" TargetMode="External" Id="rId1168" /><Relationship Type="http://schemas.openxmlformats.org/officeDocument/2006/relationships/hyperlink" Target="https://www.pricecharting.com/game/pokemon-generations/celebi-mythical-collection-box" TargetMode="External" Id="rId1169" /><Relationship Type="http://schemas.openxmlformats.org/officeDocument/2006/relationships/hyperlink" Target="https://www.pricecharting.com/game/pokemon-generations/charizard-ex-red-and-blue-collection" TargetMode="External" Id="rId1170" /><Relationship Type="http://schemas.openxmlformats.org/officeDocument/2006/relationships/hyperlink" Target="https://www.pricecharting.com/game/pokemon-generations/charizard-ex-red-and-blue-collection-jumbo" TargetMode="External" Id="rId1171" /><Relationship Type="http://schemas.openxmlformats.org/officeDocument/2006/relationships/hyperlink" Target="https://www.pricecharting.com/game/pokemon-generations/darkrai-mythical-collection-box" TargetMode="External" Id="rId1172" /><Relationship Type="http://schemas.openxmlformats.org/officeDocument/2006/relationships/hyperlink" Target="https://www.pricecharting.com/game/pokemon-generations/elite-trainer-box" TargetMode="External" Id="rId1173" /><Relationship Type="http://schemas.openxmlformats.org/officeDocument/2006/relationships/hyperlink" Target="https://www.tcgplayer.com/product/123741" TargetMode="External" Id="rId1174" /><Relationship Type="http://schemas.openxmlformats.org/officeDocument/2006/relationships/hyperlink" Target="https://www.pricecharting.com/game/pokemon-generations/jirachi-mythical-collection-box" TargetMode="External" Id="rId1175" /><Relationship Type="http://schemas.openxmlformats.org/officeDocument/2006/relationships/hyperlink" Target="https://www.pricecharting.com/game/pokemon-generations/mew-mythical-collection-box" TargetMode="External" Id="rId1176" /><Relationship Type="http://schemas.openxmlformats.org/officeDocument/2006/relationships/hyperlink" Target="https://www.pricecharting.com/game/pokemon-generations/pikachu-ex-red-and-blue-collection" TargetMode="External" Id="rId1177" /><Relationship Type="http://schemas.openxmlformats.org/officeDocument/2006/relationships/hyperlink" Target="https://www.pricecharting.com/game/pokemon-generations/shaymin-mythical-collection-box" TargetMode="External" Id="rId1178" /><Relationship Type="http://schemas.openxmlformats.org/officeDocument/2006/relationships/hyperlink" Target="https://www.pricecharting.com/game/pokemon-generations/super-premium-collection-box-mew-and-mewtwo" TargetMode="External" Id="rId1179" /><Relationship Type="http://schemas.openxmlformats.org/officeDocument/2006/relationships/hyperlink" Target="https://www.pricecharting.com/game/pokemon-generations/tag-team-premium-collection-box" TargetMode="External" Id="rId1180" /><Relationship Type="http://schemas.openxmlformats.org/officeDocument/2006/relationships/hyperlink" Target="https://www.pricecharting.com/game/pokemon-generations/venusaur-ex-red-and-blue-collection" TargetMode="External" Id="rId1181" /><Relationship Type="http://schemas.openxmlformats.org/officeDocument/2006/relationships/hyperlink" Target="https://www.tcgplayer.com/product/121363" TargetMode="External" Id="rId1182" /><Relationship Type="http://schemas.openxmlformats.org/officeDocument/2006/relationships/hyperlink" Target="https://www.tcgplayer.com/product/114525" TargetMode="External" Id="rId1183" /><Relationship Type="http://schemas.openxmlformats.org/officeDocument/2006/relationships/hyperlink" Target="https://www.tcgplayer.com/product/118342" TargetMode="External" Id="rId1184" /><Relationship Type="http://schemas.openxmlformats.org/officeDocument/2006/relationships/hyperlink" Target="https://www.tcgplayer.com/product/123740" TargetMode="External" Id="rId1185" /><Relationship Type="http://schemas.openxmlformats.org/officeDocument/2006/relationships/hyperlink" Target="https://www.tcgplayer.com/product/118796" TargetMode="External" Id="rId1186" /><Relationship Type="http://schemas.openxmlformats.org/officeDocument/2006/relationships/hyperlink" Target="https://www.tcgplayer.com/product/126568" TargetMode="External" Id="rId1187" /><Relationship Type="http://schemas.openxmlformats.org/officeDocument/2006/relationships/hyperlink" Target="https://www.tcgplayer.com/product/113774" TargetMode="External" Id="rId1188" /><Relationship Type="http://schemas.openxmlformats.org/officeDocument/2006/relationships/hyperlink" Target="https://www.tcgplayer.com/product/120114" TargetMode="External" Id="rId1189" /><Relationship Type="http://schemas.openxmlformats.org/officeDocument/2006/relationships/hyperlink" Target="https://www.tcgplayer.com/product/118795" TargetMode="External" Id="rId1190" /><Relationship Type="http://schemas.openxmlformats.org/officeDocument/2006/relationships/hyperlink" Target="https://www.tcgplayer.com/product/115598" TargetMode="External" Id="rId1191" /><Relationship Type="http://schemas.openxmlformats.org/officeDocument/2006/relationships/hyperlink" Target="https://www.tcgplayer.com/product/123432" TargetMode="External" Id="rId1192" /><Relationship Type="http://schemas.openxmlformats.org/officeDocument/2006/relationships/hyperlink" Target="https://www.tcgplayer.com/product/147223" TargetMode="External" Id="rId1193" /><Relationship Type="http://schemas.openxmlformats.org/officeDocument/2006/relationships/hyperlink" Target="https://www.pricecharting.com/game/pokemon-go/alolan-exeggutor-v-collection-box" TargetMode="External" Id="rId1194" /><Relationship Type="http://schemas.openxmlformats.org/officeDocument/2006/relationships/hyperlink" Target="https://www.pricecharting.com/game/pokemon-go/blissey-tin" TargetMode="External" Id="rId1195" /><Relationship Type="http://schemas.openxmlformats.org/officeDocument/2006/relationships/hyperlink" Target="https://www.pricecharting.com/game/pokemon-go/bulbasaur-pin-collection" TargetMode="External" Id="rId1196" /><Relationship Type="http://schemas.openxmlformats.org/officeDocument/2006/relationships/hyperlink" Target="https://www.pricecharting.com/game/pokemon-go/charmander-pin-collection" TargetMode="External" Id="rId1197" /><Relationship Type="http://schemas.openxmlformats.org/officeDocument/2006/relationships/hyperlink" Target="https://www.pricecharting.com/game/pokemon-go/eevee-tin" TargetMode="External" Id="rId1198" /><Relationship Type="http://schemas.openxmlformats.org/officeDocument/2006/relationships/hyperlink" Target="https://www.pricecharting.com/game/pokemon-go/elite-trainer-box" TargetMode="External" Id="rId1199" /><Relationship Type="http://schemas.openxmlformats.org/officeDocument/2006/relationships/hyperlink" Target="https://www.pricecharting.com/game/pokemon-go/elite-trainer-box-plus-pokemon-center" TargetMode="External" Id="rId1200" /><Relationship Type="http://schemas.openxmlformats.org/officeDocument/2006/relationships/hyperlink" Target="https://www.pricecharting.com/game/pokemon-go/magikarp-tin" TargetMode="External" Id="rId1201" /><Relationship Type="http://schemas.openxmlformats.org/officeDocument/2006/relationships/hyperlink" Target="https://www.pricecharting.com/game/pokemon-go/mini-tin-pikachu" TargetMode="External" Id="rId1202" /><Relationship Type="http://schemas.openxmlformats.org/officeDocument/2006/relationships/hyperlink" Target="https://www.pricecharting.com/game/pokemon-go/pikachu-tin" TargetMode="External" Id="rId1203" /><Relationship Type="http://schemas.openxmlformats.org/officeDocument/2006/relationships/hyperlink" Target="https://www.pricecharting.com/game/pokemon-go/poke-ball-tin" TargetMode="External" Id="rId1204" /><Relationship Type="http://schemas.openxmlformats.org/officeDocument/2006/relationships/hyperlink" Target="https://www.pricecharting.com/game/pokemon-go/poke-ball-tin-ultra-ball" TargetMode="External" Id="rId1205" /><Relationship Type="http://schemas.openxmlformats.org/officeDocument/2006/relationships/hyperlink" Target="https://www.pricecharting.com/game/pokemon-go/radiant-eevee-premium-collection-box" TargetMode="External" Id="rId1206" /><Relationship Type="http://schemas.openxmlformats.org/officeDocument/2006/relationships/hyperlink" Target="https://www.pricecharting.com/game/pokemon-go/snorlax-tin" TargetMode="External" Id="rId1207" /><Relationship Type="http://schemas.openxmlformats.org/officeDocument/2006/relationships/hyperlink" Target="https://www.pricecharting.com/game/pokemon-go/squirtle-pin-collection" TargetMode="External" Id="rId1208" /><Relationship Type="http://schemas.openxmlformats.org/officeDocument/2006/relationships/hyperlink" Target="https://www.pricecharting.com/game/pokemon-go/team-instinct-special-collection-box" TargetMode="External" Id="rId1209" /><Relationship Type="http://schemas.openxmlformats.org/officeDocument/2006/relationships/hyperlink" Target="https://www.pricecharting.com/game/pokemon-go/team-mystic-special-collection-box" TargetMode="External" Id="rId1210" /><Relationship Type="http://schemas.openxmlformats.org/officeDocument/2006/relationships/hyperlink" Target="https://www.pricecharting.com/game/pokemon-go/team-valor-special-collection-box" TargetMode="External" Id="rId1211" /><Relationship Type="http://schemas.openxmlformats.org/officeDocument/2006/relationships/hyperlink" Target="https://www.pricecharting.com/game/pokemon-go/v-battle-deck-bundle-mewtwo-vs-melmetal" TargetMode="External" Id="rId1212" /><Relationship Type="http://schemas.openxmlformats.org/officeDocument/2006/relationships/hyperlink" Target="https://www.tcgplayer.com/product/545766" TargetMode="External" Id="rId1213" /><Relationship Type="http://schemas.openxmlformats.org/officeDocument/2006/relationships/hyperlink" Target="https://www.pricecharting.com/game/pokemon-hidden-fates/charizard-gx-hidden-fates-tin" TargetMode="External" Id="rId1214" /><Relationship Type="http://schemas.openxmlformats.org/officeDocument/2006/relationships/hyperlink" Target="https://www.pricecharting.com/game/pokemon-hidden-fates/hidden-fates-collection-charizard-gx" TargetMode="External" Id="rId1215" /><Relationship Type="http://schemas.openxmlformats.org/officeDocument/2006/relationships/hyperlink" Target="https://www.tcgplayer.com/product/205159" TargetMode="External" Id="rId1216" /><Relationship Type="http://schemas.openxmlformats.org/officeDocument/2006/relationships/hyperlink" Target="https://www.pricecharting.com/game/pokemon-hidden-fates/hidden-fates-collection-gyarados-gx" TargetMode="External" Id="rId1217" /><Relationship Type="http://schemas.openxmlformats.org/officeDocument/2006/relationships/hyperlink" Target="https://www.tcgplayer.com/product/205160" TargetMode="External" Id="rId1218" /><Relationship Type="http://schemas.openxmlformats.org/officeDocument/2006/relationships/hyperlink" Target="https://www.pricecharting.com/game/pokemon-hidden-fates/hidden-fates-collection-raichu-gx" TargetMode="External" Id="rId1219" /><Relationship Type="http://schemas.openxmlformats.org/officeDocument/2006/relationships/hyperlink" Target="https://www.tcgplayer.com/product/205161" TargetMode="External" Id="rId1220" /><Relationship Type="http://schemas.openxmlformats.org/officeDocument/2006/relationships/hyperlink" Target="https://www.pricecharting.com/game/pokemon-hidden-fates/elite-trainer-box" TargetMode="External" Id="rId1221" /><Relationship Type="http://schemas.openxmlformats.org/officeDocument/2006/relationships/hyperlink" Target="https://www.tcgplayer.com/product/194729" TargetMode="External" Id="rId1222" /><Relationship Type="http://schemas.openxmlformats.org/officeDocument/2006/relationships/hyperlink" Target="https://www.pricecharting.com/game/pokemon-hidden-fates/great-ball-collection" TargetMode="External" Id="rId1223" /><Relationship Type="http://schemas.openxmlformats.org/officeDocument/2006/relationships/hyperlink" Target="https://www.pricecharting.com/game/pokemon-hidden-fates/gyrados-gx-hidden-fates-tin" TargetMode="External" Id="rId1224" /><Relationship Type="http://schemas.openxmlformats.org/officeDocument/2006/relationships/hyperlink" Target="https://www.tcgplayer.com/product/193439" TargetMode="External" Id="rId1225" /><Relationship Type="http://schemas.openxmlformats.org/officeDocument/2006/relationships/hyperlink" Target="https://www.tcgplayer.com/product/193440" TargetMode="External" Id="rId1226" /><Relationship Type="http://schemas.openxmlformats.org/officeDocument/2006/relationships/hyperlink" Target="https://www.tcgplayer.com/product/198525" TargetMode="External" Id="rId1227" /><Relationship Type="http://schemas.openxmlformats.org/officeDocument/2006/relationships/hyperlink" Target="https://www.tcgplayer.com/product/198524" TargetMode="External" Id="rId1228" /><Relationship Type="http://schemas.openxmlformats.org/officeDocument/2006/relationships/hyperlink" Target="https://www.tcgplayer.com/product/198523" TargetMode="External" Id="rId1229" /><Relationship Type="http://schemas.openxmlformats.org/officeDocument/2006/relationships/hyperlink" Target="https://www.pricecharting.com/game/pokemon-hidden-fates/premium-powers-collection" TargetMode="External" Id="rId1230" /><Relationship Type="http://schemas.openxmlformats.org/officeDocument/2006/relationships/hyperlink" Target="https://www.tcgplayer.com/product/206302" TargetMode="External" Id="rId1231" /><Relationship Type="http://schemas.openxmlformats.org/officeDocument/2006/relationships/hyperlink" Target="https://www.pricecharting.com/game/pokemon-hidden-fates/raichu-gx-hidden-fates-tin" TargetMode="External" Id="rId1232" /><Relationship Type="http://schemas.openxmlformats.org/officeDocument/2006/relationships/hyperlink" Target="https://www.tcgplayer.com/product/193437" TargetMode="External" Id="rId1233" /><Relationship Type="http://schemas.openxmlformats.org/officeDocument/2006/relationships/hyperlink" Target="https://www.tcgplayer.com/product/193436" TargetMode="External" Id="rId1234" /><Relationship Type="http://schemas.openxmlformats.org/officeDocument/2006/relationships/hyperlink" Target="https://www.tcgplayer.com/product/193438" TargetMode="External" Id="rId1235" /><Relationship Type="http://schemas.openxmlformats.org/officeDocument/2006/relationships/hyperlink" Target="https://www.tcgplayer.com/product/213476" TargetMode="External" Id="rId1236" /><Relationship Type="http://schemas.openxmlformats.org/officeDocument/2006/relationships/hyperlink" Target="https://www.pricecharting.com/game/pokemon-hidden-fates/ultra-ball-collection" TargetMode="External" Id="rId1237" /><Relationship Type="http://schemas.openxmlformats.org/officeDocument/2006/relationships/hyperlink" Target="https://www.pricecharting.com/game/pokemon-hidden-fates/ultra-premium-collection-box" TargetMode="External" Id="rId1238" /><Relationship Type="http://schemas.openxmlformats.org/officeDocument/2006/relationships/hyperlink" Target="https://www.tcgplayer.com/product/199466" TargetMode="External" Id="rId1239" /><Relationship Type="http://schemas.openxmlformats.org/officeDocument/2006/relationships/hyperlink" Target="https://www.pricecharting.com/game/pokemon-japanese-10th-movie-commemoration-promo/commemoration-set" TargetMode="External" Id="rId1240" /><Relationship Type="http://schemas.openxmlformats.org/officeDocument/2006/relationships/hyperlink" Target="https://www.pricecharting.com/game/pokemon-japanese-20th-anniversary/3-pack-blister" TargetMode="External" Id="rId1241" /><Relationship Type="http://schemas.openxmlformats.org/officeDocument/2006/relationships/hyperlink" Target="https://www.pricecharting.com/game/pokemon-japanese-25th-anniversary-collection/special-collection-box" TargetMode="External" Id="rId1242" /><Relationship Type="http://schemas.openxmlformats.org/officeDocument/2006/relationships/hyperlink" Target="https://www.pricecharting.com/game/pokemon-japanese-25th-anniversary-golden-box/sealed-25th-anniversary-golden-box" TargetMode="External" Id="rId1243" /><Relationship Type="http://schemas.openxmlformats.org/officeDocument/2006/relationships/hyperlink" Target="https://www.pricecharting.com/game/pokemon-japanese-battle-partners/lillie's-file-set-collection" TargetMode="External" Id="rId1244" /><Relationship Type="http://schemas.openxmlformats.org/officeDocument/2006/relationships/hyperlink" Target="https://www.pricecharting.com/game/pokemon-japanese-battle-partners/n's-file-set-collection" TargetMode="External" Id="rId1245" /><Relationship Type="http://schemas.openxmlformats.org/officeDocument/2006/relationships/hyperlink" Target="https://www.pricecharting.com/game/pokemon-japanese-darkness-and-to-light/energy-stadium" TargetMode="External" Id="rId1246" /><Relationship Type="http://schemas.openxmlformats.org/officeDocument/2006/relationships/hyperlink" Target="https://www.pricecharting.com/game/pokemon-japanese-darkness-and-to-light/lucky-stadium" TargetMode="External" Id="rId1247" /><Relationship Type="http://schemas.openxmlformats.org/officeDocument/2006/relationships/hyperlink" Target="https://www.pricecharting.com/game/pokemon-japanese-eevee-heroes/gym-box" TargetMode="External" Id="rId1248" /><Relationship Type="http://schemas.openxmlformats.org/officeDocument/2006/relationships/hyperlink" Target="https://www.pricecharting.com/game/pokemon-japanese-eevee-heroes/sealed-promo-box" TargetMode="External" Id="rId1249" /><Relationship Type="http://schemas.openxmlformats.org/officeDocument/2006/relationships/hyperlink" Target="https://www.pricecharting.com/game/pokemon-japanese-go/card-file-set" TargetMode="External" Id="rId1250" /><Relationship Type="http://schemas.openxmlformats.org/officeDocument/2006/relationships/hyperlink" Target="https://www.pricecharting.com/game/pokemon-japanese-go/sealed-special-set" TargetMode="External" Id="rId1251" /><Relationship Type="http://schemas.openxmlformats.org/officeDocument/2006/relationships/hyperlink" Target="https://www.pricecharting.com/game/pokemon-japanese-mask-of-change/special-jumbo-card-set-ogerpon" TargetMode="External" Id="rId1252" /><Relationship Type="http://schemas.openxmlformats.org/officeDocument/2006/relationships/hyperlink" Target="https://www.pricecharting.com/game/pokemon-japanese-mega-brave/pokemon-center-set" TargetMode="External" Id="rId1253" /><Relationship Type="http://schemas.openxmlformats.org/officeDocument/2006/relationships/hyperlink" Target="https://www.pricecharting.com/game/pokemon-japanese-mega-brave/premium-trainer-box-mega" TargetMode="External" Id="rId1254" /><Relationship Type="http://schemas.openxmlformats.org/officeDocument/2006/relationships/hyperlink" Target="https://www.pricecharting.com/game/pokemon-japanese-mega-symphonia/pokemon-center-set" TargetMode="External" Id="rId1255" /><Relationship Type="http://schemas.openxmlformats.org/officeDocument/2006/relationships/hyperlink" Target="https://www.pricecharting.com/game/pokemon-japanese-neo-premium-file/premium-file-folder-1" TargetMode="External" Id="rId1256" /><Relationship Type="http://schemas.openxmlformats.org/officeDocument/2006/relationships/hyperlink" Target="https://www.pricecharting.com/game/pokemon-japanese-neo-premium-file/premium-file-folder-2" TargetMode="External" Id="rId1257" /><Relationship Type="http://schemas.openxmlformats.org/officeDocument/2006/relationships/hyperlink" Target="https://www.pricecharting.com/game/pokemon-japanese-neo-premium-file/premium-file-folder-3" TargetMode="External" Id="rId1258" /><Relationship Type="http://schemas.openxmlformats.org/officeDocument/2006/relationships/hyperlink" Target="https://www.pricecharting.com/game/pokemon-japanese-nihil-zero/mega-gallade-ex-special-card-set" TargetMode="External" Id="rId1259" /><Relationship Type="http://schemas.openxmlformats.org/officeDocument/2006/relationships/hyperlink" Target="https://www.pricecharting.com/game/pokemon-japanese-paradigm-trigger/mystery-box" TargetMode="External" Id="rId1260" /><Relationship Type="http://schemas.openxmlformats.org/officeDocument/2006/relationships/hyperlink" Target="https://www.pricecharting.com/game/pokemon-japanese-promo/151-card-file-set" TargetMode="External" Id="rId1261" /><Relationship Type="http://schemas.openxmlformats.org/officeDocument/2006/relationships/hyperlink" Target="https://www.pricecharting.com/game/pokemon-japanese-promo/brock-trainer-battle-box" TargetMode="External" Id="rId1262" /><Relationship Type="http://schemas.openxmlformats.org/officeDocument/2006/relationships/hyperlink" Target="https://www.pricecharting.com/game/pokemon-japanese-promo/ex-generations-special-battle-set" TargetMode="External" Id="rId1263" /><Relationship Type="http://schemas.openxmlformats.org/officeDocument/2006/relationships/hyperlink" Target="https://www.pricecharting.com/game/pokemon-japanese-promo/lucky-stadium-chugoku-shikoku" TargetMode="External" Id="rId1264" /><Relationship Type="http://schemas.openxmlformats.org/officeDocument/2006/relationships/hyperlink" Target="https://www.pricecharting.com/game/pokemon-japanese-promo/lucky-stadium-ch&#363;bu" TargetMode="External" Id="rId1265" /><Relationship Type="http://schemas.openxmlformats.org/officeDocument/2006/relationships/hyperlink" Target="https://www.pricecharting.com/game/pokemon-japanese-promo/lucky-stadium-hokkaid&#333;" TargetMode="External" Id="rId1266" /><Relationship Type="http://schemas.openxmlformats.org/officeDocument/2006/relationships/hyperlink" Target="https://www.pricecharting.com/game/pokemon-japanese-promo/lucky-stadium-kansai" TargetMode="External" Id="rId1267" /><Relationship Type="http://schemas.openxmlformats.org/officeDocument/2006/relationships/hyperlink" Target="https://www.pricecharting.com/game/pokemon-japanese-promo/lucky-stadium-kant&#333;" TargetMode="External" Id="rId1268" /><Relationship Type="http://schemas.openxmlformats.org/officeDocument/2006/relationships/hyperlink" Target="https://www.pricecharting.com/game/pokemon-japanese-promo/lucky-stadium-ky&#363;sh&#363;" TargetMode="External" Id="rId1269" /><Relationship Type="http://schemas.openxmlformats.org/officeDocument/2006/relationships/hyperlink" Target="https://www.pricecharting.com/game/pokemon-japanese-promo/lucky-stadium-t&#333;hoku" TargetMode="External" Id="rId1270" /><Relationship Type="http://schemas.openxmlformats.org/officeDocument/2006/relationships/hyperlink" Target="https://www.pricecharting.com/game/pokemon-japanese-promo/lucky-stadium-hokushin'etsu" TargetMode="External" Id="rId1271" /><Relationship Type="http://schemas.openxmlformats.org/officeDocument/2006/relationships/hyperlink" Target="https://www.pricecharting.com/game/pokemon-japanese-promo/sealed-fukuoka-special-box" TargetMode="External" Id="rId1272" /><Relationship Type="http://schemas.openxmlformats.org/officeDocument/2006/relationships/hyperlink" Target="https://www.pricecharting.com/game/pokemon-japanese-promo/sealed-hiroshima-special-box" TargetMode="External" Id="rId1273" /><Relationship Type="http://schemas.openxmlformats.org/officeDocument/2006/relationships/hyperlink" Target="https://www.pricecharting.com/game/pokemon-japanese-promo/sealed-japanese-stamp-box" TargetMode="External" Id="rId1274" /><Relationship Type="http://schemas.openxmlformats.org/officeDocument/2006/relationships/hyperlink" Target="https://www.pricecharting.com/game/pokemon-japanese-promo/sealed-limited-collection-master-battle-set" TargetMode="External" Id="rId1275" /><Relationship Type="http://schemas.openxmlformats.org/officeDocument/2006/relationships/hyperlink" Target="https://www.pricecharting.com/game/pokemon-japanese-promo/sealed-special-box-mario-pikachu" TargetMode="External" Id="rId1276" /><Relationship Type="http://schemas.openxmlformats.org/officeDocument/2006/relationships/hyperlink" Target="https://www.pricecharting.com/game/pokemon-japanese-promo/sealed-tohoku-special-box" TargetMode="External" Id="rId1277" /><Relationship Type="http://schemas.openxmlformats.org/officeDocument/2006/relationships/hyperlink" Target="https://www.pricecharting.com/game/pokemon-japanese-promo/special-box-15th-anniversary" TargetMode="External" Id="rId1278" /><Relationship Type="http://schemas.openxmlformats.org/officeDocument/2006/relationships/hyperlink" Target="https://www.pricecharting.com/game/pokemon-japanese-promo/special-box-arora-&amp;-locon" TargetMode="External" Id="rId1279" /><Relationship Type="http://schemas.openxmlformats.org/officeDocument/2006/relationships/hyperlink" Target="https://www.pricecharting.com/game/pokemon-japanese-promo/special-box-lillie-&amp;-cosmog" TargetMode="External" Id="rId1280" /><Relationship Type="http://schemas.openxmlformats.org/officeDocument/2006/relationships/hyperlink" Target="https://www.pricecharting.com/game/pokemon-japanese-promo/special-box-luigi-pikachu" TargetMode="External" Id="rId1281" /><Relationship Type="http://schemas.openxmlformats.org/officeDocument/2006/relationships/hyperlink" Target="https://www.pricecharting.com/game/pokemon-japanese-promo/special-box-mimikyu-dayo" TargetMode="External" Id="rId1282" /><Relationship Type="http://schemas.openxmlformats.org/officeDocument/2006/relationships/hyperlink" Target="https://www.pricecharting.com/game/pokemon-japanese-promo/special-box-pokemon-center-kanazawa" TargetMode="External" Id="rId1283" /><Relationship Type="http://schemas.openxmlformats.org/officeDocument/2006/relationships/hyperlink" Target="https://www.pricecharting.com/game/pokemon-japanese-promo/special-box-pokemon-center-yokohama" TargetMode="External" Id="rId1284" /><Relationship Type="http://schemas.openxmlformats.org/officeDocument/2006/relationships/hyperlink" Target="https://www.pricecharting.com/game/pokemon-japanese-promo/special-box-poncho-magikarp-&amp;-gyarados" TargetMode="External" Id="rId1285" /><Relationship Type="http://schemas.openxmlformats.org/officeDocument/2006/relationships/hyperlink" Target="https://www.pricecharting.com/game/pokemon-japanese-promo/special-box-poncho-pikachu-mega-charizard-x" TargetMode="External" Id="rId1286" /><Relationship Type="http://schemas.openxmlformats.org/officeDocument/2006/relationships/hyperlink" Target="https://www.pricecharting.com/game/pokemon-japanese-promo/special-box-poncho-pikachu-mega-charizard-y" TargetMode="External" Id="rId1287" /><Relationship Type="http://schemas.openxmlformats.org/officeDocument/2006/relationships/hyperlink" Target="https://www.pricecharting.com/game/pokemon-japanese-promo/special-box-poncho-rayquaza" TargetMode="External" Id="rId1288" /><Relationship Type="http://schemas.openxmlformats.org/officeDocument/2006/relationships/hyperlink" Target="https://www.pricecharting.com/game/pokemon-japanese-promo/special-box-rokon's-crystal-season" TargetMode="External" Id="rId1289" /><Relationship Type="http://schemas.openxmlformats.org/officeDocument/2006/relationships/hyperlink" Target="https://www.pricecharting.com/game/pokemon-japanese-promo/special-box-tokyo-dx" TargetMode="External" Id="rId1290" /><Relationship Type="http://schemas.openxmlformats.org/officeDocument/2006/relationships/hyperlink" Target="https://www.pricecharting.com/game/pokemon-japanese-promo/yu-nagaba-eevee's-special-box" TargetMode="External" Id="rId1291" /><Relationship Type="http://schemas.openxmlformats.org/officeDocument/2006/relationships/hyperlink" Target="https://www.pricecharting.com/game/pokemon-japanese-promo/yu-nagaba-special-box" TargetMode="External" Id="rId1292" /><Relationship Type="http://schemas.openxmlformats.org/officeDocument/2006/relationships/hyperlink" Target="https://www.pricecharting.com/game/pokemon-japanese-shiny-star-v/crobat-v-shiny-box" TargetMode="External" Id="rId1293" /><Relationship Type="http://schemas.openxmlformats.org/officeDocument/2006/relationships/hyperlink" Target="https://www.pricecharting.com/game/pokemon-japanese-shiny-star-v/nessa-shiny-star-v-set" TargetMode="External" Id="rId1294" /><Relationship Type="http://schemas.openxmlformats.org/officeDocument/2006/relationships/hyperlink" Target="https://www.pricecharting.com/game/pokemon-japanese-snow-hazard/gym-box-pokemon-center" TargetMode="External" Id="rId1295" /><Relationship Type="http://schemas.openxmlformats.org/officeDocument/2006/relationships/hyperlink" Target="https://www.pricecharting.com/game/pokemon-japanese-southern-islands/tropical-island-beach-box" TargetMode="External" Id="rId1296" /><Relationship Type="http://schemas.openxmlformats.org/officeDocument/2006/relationships/hyperlink" Target="https://www.pricecharting.com/game/pokemon-japanese-southern-islands/tropical-island-box" TargetMode="External" Id="rId1297" /><Relationship Type="http://schemas.openxmlformats.org/officeDocument/2006/relationships/hyperlink" Target="https://www.pricecharting.com/game/pokemon-japanese-taruka/sealed-box" TargetMode="External" Id="rId1298" /><Relationship Type="http://schemas.openxmlformats.org/officeDocument/2006/relationships/hyperlink" Target="https://www.pricecharting.com/game/pokemon-japanese-vstar-universe/diamond-clan-special-set" TargetMode="External" Id="rId1299" /><Relationship Type="http://schemas.openxmlformats.org/officeDocument/2006/relationships/hyperlink" Target="https://www.pricecharting.com/game/pokemon-japanese-vstar-universe/pearl-clan-special-set" TargetMode="External" Id="rId1300" /><Relationship Type="http://schemas.openxmlformats.org/officeDocument/2006/relationships/hyperlink" Target="https://www.pricecharting.com/game/pokemon-journey-together/elite-trainer-box-pokemon-center" TargetMode="External" Id="rId1301" /><Relationship Type="http://schemas.openxmlformats.org/officeDocument/2006/relationships/hyperlink" Target="https://www.pricecharting.com/game/pokemon-journey-together/hops-zacian-ex-sealed-box" TargetMode="External" Id="rId1302" /><Relationship Type="http://schemas.openxmlformats.org/officeDocument/2006/relationships/hyperlink" Target="https://www.pricecharting.com/game/pokemon-journey-together/mimikyu-ex-&amp;-alcremie-ex-premium-collection" TargetMode="External" Id="rId1303" /><Relationship Type="http://schemas.openxmlformats.org/officeDocument/2006/relationships/hyperlink" Target="https://www.pricecharting.com/game/pokemon-lost-origin/3-pack-blister" TargetMode="External" Id="rId1304" /><Relationship Type="http://schemas.openxmlformats.org/officeDocument/2006/relationships/hyperlink" Target="https://www.pricecharting.com/game/pokemon-lost-origin/booster-bundle" TargetMode="External" Id="rId1305" /><Relationship Type="http://schemas.openxmlformats.org/officeDocument/2006/relationships/hyperlink" Target="https://www.pricecharting.com/game/pokemon-lost-origin/darkness-stacking-tin" TargetMode="External" Id="rId1306" /><Relationship Type="http://schemas.openxmlformats.org/officeDocument/2006/relationships/hyperlink" Target="https://www.pricecharting.com/game/pokemon-lost-origin/eevee-evolutions-premium-collection-box" TargetMode="External" Id="rId1307" /><Relationship Type="http://schemas.openxmlformats.org/officeDocument/2006/relationships/hyperlink" Target="https://www.pricecharting.com/game/pokemon-lost-origin/elite-trainer-box-pokemon-center" TargetMode="External" Id="rId1308" /><Relationship Type="http://schemas.openxmlformats.org/officeDocument/2006/relationships/hyperlink" Target="https://www.pricecharting.com/game/pokemon-lost-origin/fighting-stacking-tin" TargetMode="External" Id="rId1309" /><Relationship Type="http://schemas.openxmlformats.org/officeDocument/2006/relationships/hyperlink" Target="https://www.pricecharting.com/game/pokemon-lost-origin/fire-stacking-tin" TargetMode="External" Id="rId1310" /><Relationship Type="http://schemas.openxmlformats.org/officeDocument/2006/relationships/hyperlink" Target="https://www.pricecharting.com/game/pokemon-lost-origin/infernape-v-collection-box" TargetMode="External" Id="rId1311" /><Relationship Type="http://schemas.openxmlformats.org/officeDocument/2006/relationships/hyperlink" Target="https://www.pricecharting.com/game/pokemon-lost-origin/weavile-3-pack-blister" TargetMode="External" Id="rId1312" /><Relationship Type="http://schemas.openxmlformats.org/officeDocument/2006/relationships/hyperlink" Target="https://www.pricecharting.com/game/pokemon-lost-thunder/alolan-exeggutor-3-pack-blister" TargetMode="External" Id="rId1313" /><Relationship Type="http://schemas.openxmlformats.org/officeDocument/2006/relationships/hyperlink" Target="https://www.pricecharting.com/game/pokemon-lost-thunder/altaria-3-pack-blister" TargetMode="External" Id="rId1314" /><Relationship Type="http://schemas.openxmlformats.org/officeDocument/2006/relationships/hyperlink" Target="https://www.tcgplayer.com/product/648589" TargetMode="External" Id="rId1315" /><Relationship Type="http://schemas.openxmlformats.org/officeDocument/2006/relationships/hyperlink" Target="https://www.tcgplayer.com/product/674457" TargetMode="External" Id="rId1316" /><Relationship Type="http://schemas.openxmlformats.org/officeDocument/2006/relationships/hyperlink" Target="https://www.tcgplayer.com/product/696837" TargetMode="External" Id="rId1317" /><Relationship Type="http://schemas.openxmlformats.org/officeDocument/2006/relationships/hyperlink" Target="https://www.tcgplayer.com/product/644362" TargetMode="External" Id="rId1318" /><Relationship Type="http://schemas.openxmlformats.org/officeDocument/2006/relationships/hyperlink" Target="https://www.tcgplayer.com/product/657875" TargetMode="External" Id="rId1319" /><Relationship Type="http://schemas.openxmlformats.org/officeDocument/2006/relationships/hyperlink" Target="https://www.tcgplayer.com/product/644363" TargetMode="External" Id="rId1320" /><Relationship Type="http://schemas.openxmlformats.org/officeDocument/2006/relationships/hyperlink" Target="https://www.tcgplayer.com/product/644279" TargetMode="External" Id="rId1321" /><Relationship Type="http://schemas.openxmlformats.org/officeDocument/2006/relationships/hyperlink" Target="https://www.tcgplayer.com/product/648394" TargetMode="External" Id="rId1322" /><Relationship Type="http://schemas.openxmlformats.org/officeDocument/2006/relationships/hyperlink" Target="https://www.tcgplayer.com/product/648415" TargetMode="External" Id="rId1323" /><Relationship Type="http://schemas.openxmlformats.org/officeDocument/2006/relationships/hyperlink" Target="https://www.tcgplayer.com/product/644282" TargetMode="External" Id="rId1324" /><Relationship Type="http://schemas.openxmlformats.org/officeDocument/2006/relationships/hyperlink" Target="https://www.tcgplayer.com/product/644355" TargetMode="External" Id="rId1325" /><Relationship Type="http://schemas.openxmlformats.org/officeDocument/2006/relationships/hyperlink" Target="https://www.tcgplayer.com/product/649394" TargetMode="External" Id="rId1326" /><Relationship Type="http://schemas.openxmlformats.org/officeDocument/2006/relationships/hyperlink" Target="https://www.tcgplayer.com/product/649395" TargetMode="External" Id="rId1327" /><Relationship Type="http://schemas.openxmlformats.org/officeDocument/2006/relationships/hyperlink" Target="https://www.tcgplayer.com/product/649397" TargetMode="External" Id="rId1328" /><Relationship Type="http://schemas.openxmlformats.org/officeDocument/2006/relationships/hyperlink" Target="https://www.tcgplayer.com/product/649400" TargetMode="External" Id="rId1329" /><Relationship Type="http://schemas.openxmlformats.org/officeDocument/2006/relationships/hyperlink" Target="https://www.tcgplayer.com/product/649401" TargetMode="External" Id="rId1330" /><Relationship Type="http://schemas.openxmlformats.org/officeDocument/2006/relationships/hyperlink" Target="https://www.tcgplayer.com/product/654160" TargetMode="External" Id="rId1331" /><Relationship Type="http://schemas.openxmlformats.org/officeDocument/2006/relationships/hyperlink" Target="https://www.tcgplayer.com/product/654174" TargetMode="External" Id="rId1332" /><Relationship Type="http://schemas.openxmlformats.org/officeDocument/2006/relationships/hyperlink" Target="https://www.tcgplayer.com/product/662725" TargetMode="External" Id="rId1333" /><Relationship Type="http://schemas.openxmlformats.org/officeDocument/2006/relationships/hyperlink" Target="https://www.tcgplayer.com/product/654136" TargetMode="External" Id="rId1334" /><Relationship Type="http://schemas.openxmlformats.org/officeDocument/2006/relationships/hyperlink" Target="https://www.tcgplayer.com/product/654135" TargetMode="External" Id="rId1335" /><Relationship Type="http://schemas.openxmlformats.org/officeDocument/2006/relationships/hyperlink" Target="https://www.tcgplayer.com/product/664903" TargetMode="External" Id="rId1336" /><Relationship Type="http://schemas.openxmlformats.org/officeDocument/2006/relationships/hyperlink" Target="https://www.tcgplayer.com/product/672396" TargetMode="External" Id="rId1337" /><Relationship Type="http://schemas.openxmlformats.org/officeDocument/2006/relationships/hyperlink" Target="https://www.tcgplayer.com/product/672399" TargetMode="External" Id="rId1338" /><Relationship Type="http://schemas.openxmlformats.org/officeDocument/2006/relationships/hyperlink" Target="https://www.tcgplayer.com/product/672400" TargetMode="External" Id="rId1339" /><Relationship Type="http://schemas.openxmlformats.org/officeDocument/2006/relationships/hyperlink" Target="https://www.tcgplayer.com/product/672401" TargetMode="External" Id="rId1340" /><Relationship Type="http://schemas.openxmlformats.org/officeDocument/2006/relationships/hyperlink" Target="https://www.tcgplayer.com/product/672404" TargetMode="External" Id="rId1341" /><Relationship Type="http://schemas.openxmlformats.org/officeDocument/2006/relationships/hyperlink" Target="https://www.tcgplayer.com/product/672413" TargetMode="External" Id="rId1342" /><Relationship Type="http://schemas.openxmlformats.org/officeDocument/2006/relationships/hyperlink" Target="https://www.tcgplayer.com/product/684458" TargetMode="External" Id="rId1343" /><Relationship Type="http://schemas.openxmlformats.org/officeDocument/2006/relationships/hyperlink" Target="https://www.tcgplayer.com/product/684456" TargetMode="External" Id="rId1344" /><Relationship Type="http://schemas.openxmlformats.org/officeDocument/2006/relationships/hyperlink" Target="https://www.tcgplayer.com/product/684447" TargetMode="External" Id="rId1345" /><Relationship Type="http://schemas.openxmlformats.org/officeDocument/2006/relationships/hyperlink" Target="https://www.tcgplayer.com/product/684454" TargetMode="External" Id="rId1346" /><Relationship Type="http://schemas.openxmlformats.org/officeDocument/2006/relationships/hyperlink" Target="https://www.tcgplayer.com/product/684450" TargetMode="External" Id="rId1347" /><Relationship Type="http://schemas.openxmlformats.org/officeDocument/2006/relationships/hyperlink" Target="https://www.tcgplayer.com/product/684452" TargetMode="External" Id="rId1348" /><Relationship Type="http://schemas.openxmlformats.org/officeDocument/2006/relationships/hyperlink" Target="https://www.tcgplayer.com/product/684449" TargetMode="External" Id="rId1349" /><Relationship Type="http://schemas.openxmlformats.org/officeDocument/2006/relationships/hyperlink" Target="https://www.tcgplayer.com/product/692938" TargetMode="External" Id="rId1350" /><Relationship Type="http://schemas.openxmlformats.org/officeDocument/2006/relationships/hyperlink" Target="https://www.tcgplayer.com/product/692942" TargetMode="External" Id="rId1351" /><Relationship Type="http://schemas.openxmlformats.org/officeDocument/2006/relationships/hyperlink" Target="https://www.tcgplayer.com/product/692945" TargetMode="External" Id="rId1352" /><Relationship Type="http://schemas.openxmlformats.org/officeDocument/2006/relationships/hyperlink" Target="https://www.tcgplayer.com/product/692946" TargetMode="External" Id="rId1353" /><Relationship Type="http://schemas.openxmlformats.org/officeDocument/2006/relationships/hyperlink" Target="https://www.tcgplayer.com/product/692947" TargetMode="External" Id="rId1354" /><Relationship Type="http://schemas.openxmlformats.org/officeDocument/2006/relationships/hyperlink" Target="https://www.tcgplayer.com/product/692949" TargetMode="External" Id="rId1355" /><Relationship Type="http://schemas.openxmlformats.org/officeDocument/2006/relationships/hyperlink" Target="https://www.tcgplayer.com/product/692958" TargetMode="External" Id="rId1356" /><Relationship Type="http://schemas.openxmlformats.org/officeDocument/2006/relationships/hyperlink" Target="https://www.tcgplayer.com/product/712097" TargetMode="External" Id="rId1357" /><Relationship Type="http://schemas.openxmlformats.org/officeDocument/2006/relationships/hyperlink" Target="https://www.tcgplayer.com/product/712100" TargetMode="External" Id="rId1358" /><Relationship Type="http://schemas.openxmlformats.org/officeDocument/2006/relationships/hyperlink" Target="https://www.tcgplayer.com/product/712101" TargetMode="External" Id="rId1359" /><Relationship Type="http://schemas.openxmlformats.org/officeDocument/2006/relationships/hyperlink" Target="https://www.tcgplayer.com/product/712102" TargetMode="External" Id="rId1360" /><Relationship Type="http://schemas.openxmlformats.org/officeDocument/2006/relationships/hyperlink" Target="https://www.tcgplayer.com/product/712104" TargetMode="External" Id="rId1361" /><Relationship Type="http://schemas.openxmlformats.org/officeDocument/2006/relationships/hyperlink" Target="https://www.tcgplayer.com/product/712113" TargetMode="External" Id="rId1362" /><Relationship Type="http://schemas.openxmlformats.org/officeDocument/2006/relationships/hyperlink" Target="https://www.pricecharting.com/game/pokemon-30th-celebration/2-pack-blister" TargetMode="External" Id="rId1363" /><Relationship Type="http://schemas.openxmlformats.org/officeDocument/2006/relationships/hyperlink" Target="https://www.tcgplayer.com/product/704148" TargetMode="External" Id="rId1364" /><Relationship Type="http://schemas.openxmlformats.org/officeDocument/2006/relationships/hyperlink" Target="https://www.pricecharting.com/game/pokemon-30th-celebration/binder-collection" TargetMode="External" Id="rId1365" /><Relationship Type="http://schemas.openxmlformats.org/officeDocument/2006/relationships/hyperlink" Target="https://www.tcgplayer.com/product/704169" TargetMode="External" Id="rId1366" /><Relationship Type="http://schemas.openxmlformats.org/officeDocument/2006/relationships/hyperlink" Target="https://www.pricecharting.com/game/pokemon-30th-celebration/booster-bundle" TargetMode="External" Id="rId1367" /><Relationship Type="http://schemas.openxmlformats.org/officeDocument/2006/relationships/hyperlink" Target="https://www.tcgplayer.com/product/704171" TargetMode="External" Id="rId1368" /><Relationship Type="http://schemas.openxmlformats.org/officeDocument/2006/relationships/hyperlink" Target="https://www.pricecharting.com/game/pokemon-30th-celebration/classic-collection-pack" TargetMode="External" Id="rId1369" /><Relationship Type="http://schemas.openxmlformats.org/officeDocument/2006/relationships/hyperlink" Target="https://www.tcgplayer.com/product/704192" TargetMode="External" Id="rId1370" /><Relationship Type="http://schemas.openxmlformats.org/officeDocument/2006/relationships/hyperlink" Target="https://www.pricecharting.com/game/pokemon-30th-celebration/ditto-premium-collection" TargetMode="External" Id="rId1371" /><Relationship Type="http://schemas.openxmlformats.org/officeDocument/2006/relationships/hyperlink" Target="https://www.tcgplayer.com/product/704189" TargetMode="External" Id="rId1372" /><Relationship Type="http://schemas.openxmlformats.org/officeDocument/2006/relationships/hyperlink" Target="https://www.pricecharting.com/game/pokemon-30th-celebration/elite-trainer-box" TargetMode="External" Id="rId1373" /><Relationship Type="http://schemas.openxmlformats.org/officeDocument/2006/relationships/hyperlink" Target="https://www.tcgplayer.com/product/704143" TargetMode="External" Id="rId1374" /><Relationship Type="http://schemas.openxmlformats.org/officeDocument/2006/relationships/hyperlink" Target="https://www.tcgplayer.com/product/704150" TargetMode="External" Id="rId1375" /><Relationship Type="http://schemas.openxmlformats.org/officeDocument/2006/relationships/hyperlink" Target="https://www.tcgplayer.com/product/718673" TargetMode="External" Id="rId1376" /><Relationship Type="http://schemas.openxmlformats.org/officeDocument/2006/relationships/hyperlink" Target="https://www.tcgplayer.com/product/704151" TargetMode="External" Id="rId1377" /><Relationship Type="http://schemas.openxmlformats.org/officeDocument/2006/relationships/hyperlink" Target="https://www.tcgplayer.com/product/718675" TargetMode="External" Id="rId1378" /><Relationship Type="http://schemas.openxmlformats.org/officeDocument/2006/relationships/hyperlink" Target="https://www.tcgplayer.com/product/704149" TargetMode="External" Id="rId1379" /><Relationship Type="http://schemas.openxmlformats.org/officeDocument/2006/relationships/hyperlink" Target="https://www.tcgplayer.com/product/718674" TargetMode="External" Id="rId1380" /><Relationship Type="http://schemas.openxmlformats.org/officeDocument/2006/relationships/hyperlink" Target="https://www.pricecharting.com/game/pokemon-30th-celebration/figure-collection-mew" TargetMode="External" Id="rId1381" /><Relationship Type="http://schemas.openxmlformats.org/officeDocument/2006/relationships/hyperlink" Target="https://www.tcgplayer.com/product/704193" TargetMode="External" Id="rId1382" /><Relationship Type="http://schemas.openxmlformats.org/officeDocument/2006/relationships/hyperlink" Target="https://www.pricecharting.com/game/pokemon-30th-celebration/figure-collection-mewtwo" TargetMode="External" Id="rId1383" /><Relationship Type="http://schemas.openxmlformats.org/officeDocument/2006/relationships/hyperlink" Target="https://www.tcgplayer.com/product/704194" TargetMode="External" Id="rId1384" /><Relationship Type="http://schemas.openxmlformats.org/officeDocument/2006/relationships/hyperlink" Target="https://www.pricecharting.com/game/pokemon-30th-celebration/greninja-ex-box" TargetMode="External" Id="rId1385" /><Relationship Type="http://schemas.openxmlformats.org/officeDocument/2006/relationships/hyperlink" Target="https://www.tcgplayer.com/product/704168" TargetMode="External" Id="rId1386" /><Relationship Type="http://schemas.openxmlformats.org/officeDocument/2006/relationships/hyperlink" Target="https://www.pricecharting.com/game/pokemon-30th-celebration/knock-out-collection" TargetMode="External" Id="rId1387" /><Relationship Type="http://schemas.openxmlformats.org/officeDocument/2006/relationships/hyperlink" Target="https://www.tcgplayer.com/product/704152" TargetMode="External" Id="rId1388" /><Relationship Type="http://schemas.openxmlformats.org/officeDocument/2006/relationships/hyperlink" Target="https://www.pricecharting.com/game/pokemon-30th-celebration/mini-tin-day-pikachu" TargetMode="External" Id="rId1389" /><Relationship Type="http://schemas.openxmlformats.org/officeDocument/2006/relationships/hyperlink" Target="https://www.tcgplayer.com/product/704177" TargetMode="External" Id="rId1390" /><Relationship Type="http://schemas.openxmlformats.org/officeDocument/2006/relationships/hyperlink" Target="https://www.pricecharting.com/game/pokemon-30th-celebration/mini-tin-espeon" TargetMode="External" Id="rId1391" /><Relationship Type="http://schemas.openxmlformats.org/officeDocument/2006/relationships/hyperlink" Target="https://www.tcgplayer.com/product/704176" TargetMode="External" Id="rId1392" /><Relationship Type="http://schemas.openxmlformats.org/officeDocument/2006/relationships/hyperlink" Target="https://www.pricecharting.com/game/pokemon-30th-celebration/mini-tin-greninja" TargetMode="External" Id="rId1393" /><Relationship Type="http://schemas.openxmlformats.org/officeDocument/2006/relationships/hyperlink" Target="https://www.tcgplayer.com/product/704185" TargetMode="External" Id="rId1394" /><Relationship Type="http://schemas.openxmlformats.org/officeDocument/2006/relationships/hyperlink" Target="https://www.pricecharting.com/game/pokemon-30th-celebration/mini-tin-lapras" TargetMode="External" Id="rId1395" /><Relationship Type="http://schemas.openxmlformats.org/officeDocument/2006/relationships/hyperlink" Target="https://www.tcgplayer.com/product/704179" TargetMode="External" Id="rId1396" /><Relationship Type="http://schemas.openxmlformats.org/officeDocument/2006/relationships/hyperlink" Target="https://www.pricecharting.com/game/pokemon-30th-celebration/mini-tin-mew" TargetMode="External" Id="rId1397" /><Relationship Type="http://schemas.openxmlformats.org/officeDocument/2006/relationships/hyperlink" Target="https://www.tcgplayer.com/product/704178" TargetMode="External" Id="rId1398" /><Relationship Type="http://schemas.openxmlformats.org/officeDocument/2006/relationships/hyperlink" Target="https://www.pricecharting.com/game/pokemon-30th-celebration/mini-tin-mewtwo" TargetMode="External" Id="rId1399" /><Relationship Type="http://schemas.openxmlformats.org/officeDocument/2006/relationships/hyperlink" Target="https://www.tcgplayer.com/product/704183" TargetMode="External" Id="rId1400" /><Relationship Type="http://schemas.openxmlformats.org/officeDocument/2006/relationships/hyperlink" Target="https://www.pricecharting.com/game/pokemon-30th-celebration/mini-tin-moltres" TargetMode="External" Id="rId1401" /><Relationship Type="http://schemas.openxmlformats.org/officeDocument/2006/relationships/hyperlink" Target="https://www.tcgplayer.com/product/704180" TargetMode="External" Id="rId1402" /><Relationship Type="http://schemas.openxmlformats.org/officeDocument/2006/relationships/hyperlink" Target="https://www.pricecharting.com/game/pokemon-30th-celebration/mini-tin-night-pikachu" TargetMode="External" Id="rId1403" /><Relationship Type="http://schemas.openxmlformats.org/officeDocument/2006/relationships/hyperlink" Target="https://www.tcgplayer.com/product/704184" TargetMode="External" Id="rId1404" /><Relationship Type="http://schemas.openxmlformats.org/officeDocument/2006/relationships/hyperlink" Target="https://www.pricecharting.com/game/pokemon-30th-celebration/mini-tin-umbreon" TargetMode="External" Id="rId1405" /><Relationship Type="http://schemas.openxmlformats.org/officeDocument/2006/relationships/hyperlink" Target="https://www.tcgplayer.com/product/704182" TargetMode="External" Id="rId1406" /><Relationship Type="http://schemas.openxmlformats.org/officeDocument/2006/relationships/hyperlink" Target="https://www.pricecharting.com/game/pokemon-30th-celebration/mini-tin-zapdos" TargetMode="External" Id="rId1407" /><Relationship Type="http://schemas.openxmlformats.org/officeDocument/2006/relationships/hyperlink" Target="https://www.tcgplayer.com/product/704181" TargetMode="External" Id="rId1408" /><Relationship Type="http://schemas.openxmlformats.org/officeDocument/2006/relationships/hyperlink" Target="https://www.tcgplayer.com/product/704144" TargetMode="External" Id="rId1409" /><Relationship Type="http://schemas.openxmlformats.org/officeDocument/2006/relationships/hyperlink" Target="https://www.pricecharting.com/game/pokemon-30th-celebration/poster-collection" TargetMode="External" Id="rId1410" /><Relationship Type="http://schemas.openxmlformats.org/officeDocument/2006/relationships/hyperlink" Target="https://www.tcgplayer.com/product/704153" TargetMode="External" Id="rId1411" /><Relationship Type="http://schemas.openxmlformats.org/officeDocument/2006/relationships/hyperlink" Target="https://www.pricecharting.com/game/pokemon-30th-celebration/sylveon-ex-box" TargetMode="External" Id="rId1412" /><Relationship Type="http://schemas.openxmlformats.org/officeDocument/2006/relationships/hyperlink" Target="https://www.tcgplayer.com/product/704155" TargetMode="External" Id="rId1413" /><Relationship Type="http://schemas.openxmlformats.org/officeDocument/2006/relationships/hyperlink" Target="https://www.pricecharting.com/game/pokemon-30th-celebration/tech-sticker-collection-alolan-exeggutor" TargetMode="External" Id="rId1414" /><Relationship Type="http://schemas.openxmlformats.org/officeDocument/2006/relationships/hyperlink" Target="https://www.tcgplayer.com/product/704145" TargetMode="External" Id="rId1415" /><Relationship Type="http://schemas.openxmlformats.org/officeDocument/2006/relationships/hyperlink" Target="https://www.pricecharting.com/game/pokemon-30th-celebration/tech-sticker-collection-lucario" TargetMode="External" Id="rId1416" /><Relationship Type="http://schemas.openxmlformats.org/officeDocument/2006/relationships/hyperlink" Target="https://www.tcgplayer.com/product/704146" TargetMode="External" Id="rId1417" /><Relationship Type="http://schemas.openxmlformats.org/officeDocument/2006/relationships/hyperlink" Target="https://www.tcgplayer.com/product/704147" TargetMode="External" Id="rId1418" /><Relationship Type="http://schemas.openxmlformats.org/officeDocument/2006/relationships/hyperlink" Target="https://www.pricecharting.com/game/pokemon-30th-celebration/ultra-premium-collection-day" TargetMode="External" Id="rId1419" /><Relationship Type="http://schemas.openxmlformats.org/officeDocument/2006/relationships/hyperlink" Target="https://www.tcgplayer.com/product/704190" TargetMode="External" Id="rId1420" /><Relationship Type="http://schemas.openxmlformats.org/officeDocument/2006/relationships/hyperlink" Target="https://www.pricecharting.com/game/pokemon-30th-celebration/ultra-premium-collection-night" TargetMode="External" Id="rId1421" /><Relationship Type="http://schemas.openxmlformats.org/officeDocument/2006/relationships/hyperlink" Target="https://www.tcgplayer.com/product/704191" TargetMode="External" Id="rId1422" /><Relationship Type="http://schemas.openxmlformats.org/officeDocument/2006/relationships/hyperlink" Target="https://www.pricecharting.com/game/pokemon-ascended-heroes/booster-bundle" TargetMode="External" Id="rId1423" /><Relationship Type="http://schemas.openxmlformats.org/officeDocument/2006/relationships/hyperlink" Target="https://www.tcgplayer.com/product/668541" TargetMode="External" Id="rId1424" /><Relationship Type="http://schemas.openxmlformats.org/officeDocument/2006/relationships/hyperlink" Target="https://www.pricecharting.com/game/pokemon-ascended-heroes/elite-trainer-box" TargetMode="External" Id="rId1425" /><Relationship Type="http://schemas.openxmlformats.org/officeDocument/2006/relationships/hyperlink" Target="https://www.tcgplayer.com/product/668496" TargetMode="External" Id="rId1426" /><Relationship Type="http://schemas.openxmlformats.org/officeDocument/2006/relationships/hyperlink" Target="https://www.pricecharting.com/game/pokemon-ascended-heroes/first-partners-deluxe-pin-collection" TargetMode="External" Id="rId1427" /><Relationship Type="http://schemas.openxmlformats.org/officeDocument/2006/relationships/hyperlink" Target="https://www.tcgplayer.com/product/672391" TargetMode="External" Id="rId1428" /><Relationship Type="http://schemas.openxmlformats.org/officeDocument/2006/relationships/hyperlink" Target="https://www.tcgplayer.com/product/706959" TargetMode="External" Id="rId1429" /><Relationship Type="http://schemas.openxmlformats.org/officeDocument/2006/relationships/hyperlink" Target="https://www.pricecharting.com/game/pokemon-ascended-heroes/mega-emboar-ex-box" TargetMode="External" Id="rId1430" /><Relationship Type="http://schemas.openxmlformats.org/officeDocument/2006/relationships/hyperlink" Target="https://www.tcgplayer.com/product/672734" TargetMode="External" Id="rId1431" /><Relationship Type="http://schemas.openxmlformats.org/officeDocument/2006/relationships/hyperlink" Target="https://www.pricecharting.com/game/pokemon-ascended-heroes/mega-feraligatr-ex-box" TargetMode="External" Id="rId1432" /><Relationship Type="http://schemas.openxmlformats.org/officeDocument/2006/relationships/hyperlink" Target="https://www.tcgplayer.com/product/672735" TargetMode="External" Id="rId1433" /><Relationship Type="http://schemas.openxmlformats.org/officeDocument/2006/relationships/hyperlink" Target="https://www.pricecharting.com/game/pokemon-ascended-heroes/mega-meganium-ex-box" TargetMode="External" Id="rId1434" /><Relationship Type="http://schemas.openxmlformats.org/officeDocument/2006/relationships/hyperlink" Target="https://www.tcgplayer.com/product/672733" TargetMode="External" Id="rId1435" /><Relationship Type="http://schemas.openxmlformats.org/officeDocument/2006/relationships/hyperlink" Target="https://www.pricecharting.com/game/pokemon-ascended-heroes/mini-tin-clefairy-&amp;-chikorita" TargetMode="External" Id="rId1436" /><Relationship Type="http://schemas.openxmlformats.org/officeDocument/2006/relationships/hyperlink" Target="https://www.tcgplayer.com/product/668535" TargetMode="External" Id="rId1437" /><Relationship Type="http://schemas.openxmlformats.org/officeDocument/2006/relationships/hyperlink" Target="https://www.pricecharting.com/game/pokemon-ascended-heroes/mini-tin-pikachu-&amp;-tepig" TargetMode="External" Id="rId1438" /><Relationship Type="http://schemas.openxmlformats.org/officeDocument/2006/relationships/hyperlink" Target="https://www.tcgplayer.com/product/668531" TargetMode="External" Id="rId1439" /><Relationship Type="http://schemas.openxmlformats.org/officeDocument/2006/relationships/hyperlink" Target="https://www.pricecharting.com/game/pokemon-ascended-heroes/mini-tin-riolu-&amp;-darumaka" TargetMode="External" Id="rId1440" /><Relationship Type="http://schemas.openxmlformats.org/officeDocument/2006/relationships/hyperlink" Target="https://www.tcgplayer.com/product/668532" TargetMode="External" Id="rId1441" /><Relationship Type="http://schemas.openxmlformats.org/officeDocument/2006/relationships/hyperlink" Target="https://www.pricecharting.com/game/pokemon-ascended-heroes/mini-tin-togepi-&amp;-totodile" TargetMode="External" Id="rId1442" /><Relationship Type="http://schemas.openxmlformats.org/officeDocument/2006/relationships/hyperlink" Target="https://www.tcgplayer.com/product/668534" TargetMode="External" Id="rId1443" /><Relationship Type="http://schemas.openxmlformats.org/officeDocument/2006/relationships/hyperlink" Target="https://www.pricecharting.com/game/pokemon-ascended-heroes/mini-tin-zorua-&amp;-cramorant" TargetMode="External" Id="rId1444" /><Relationship Type="http://schemas.openxmlformats.org/officeDocument/2006/relationships/hyperlink" Target="https://www.tcgplayer.com/product/668533" TargetMode="External" Id="rId1445" /><Relationship Type="http://schemas.openxmlformats.org/officeDocument/2006/relationships/hyperlink" Target="https://www.tcgplayer.com/product/668530" TargetMode="External" Id="rId1446" /><Relationship Type="http://schemas.openxmlformats.org/officeDocument/2006/relationships/hyperlink" Target="https://www.tcgplayer.com/product/668497" TargetMode="External" Id="rId1447" /><Relationship Type="http://schemas.openxmlformats.org/officeDocument/2006/relationships/hyperlink" Target="https://www.tcgplayer.com/product/702496" TargetMode="External" Id="rId1448" /><Relationship Type="http://schemas.openxmlformats.org/officeDocument/2006/relationships/hyperlink" Target="https://www.tcgplayer.com/product/702497" TargetMode="External" Id="rId1449" /><Relationship Type="http://schemas.openxmlformats.org/officeDocument/2006/relationships/hyperlink" Target="https://www.tcgplayer.com/product/702498" TargetMode="External" Id="rId1450" /><Relationship Type="http://schemas.openxmlformats.org/officeDocument/2006/relationships/hyperlink" Target="https://www.tcgplayer.com/product/702500" TargetMode="External" Id="rId1451" /><Relationship Type="http://schemas.openxmlformats.org/officeDocument/2006/relationships/hyperlink" Target="https://www.tcgplayer.com/product/692541" TargetMode="External" Id="rId1452" /><Relationship Type="http://schemas.openxmlformats.org/officeDocument/2006/relationships/hyperlink" Target="https://www.tcgplayer.com/product/666906" TargetMode="External" Id="rId1453" /><Relationship Type="http://schemas.openxmlformats.org/officeDocument/2006/relationships/hyperlink" Target="https://www.tcgplayer.com/product/709097" TargetMode="External" Id="rId1454" /><Relationship Type="http://schemas.openxmlformats.org/officeDocument/2006/relationships/hyperlink" Target="https://www.tcgplayer.com/product/666907" TargetMode="External" Id="rId1455" /><Relationship Type="http://schemas.openxmlformats.org/officeDocument/2006/relationships/hyperlink" Target="https://www.tcgplayer.com/product/691923" TargetMode="External" Id="rId1456" /><Relationship Type="http://schemas.openxmlformats.org/officeDocument/2006/relationships/hyperlink" Target="https://www.tcgplayer.com/product/666908" TargetMode="External" Id="rId1457" /><Relationship Type="http://schemas.openxmlformats.org/officeDocument/2006/relationships/hyperlink" Target="https://www.tcgplayer.com/product/666909" TargetMode="External" Id="rId1458" /><Relationship Type="http://schemas.openxmlformats.org/officeDocument/2006/relationships/hyperlink" Target="https://www.tcgplayer.com/product/668537" TargetMode="External" Id="rId1459" /><Relationship Type="http://schemas.openxmlformats.org/officeDocument/2006/relationships/hyperlink" Target="https://www.pricecharting.com/game/pokemon-ascended-heroes/premium-poster-collection-mega-lucario" TargetMode="External" Id="rId1460" /><Relationship Type="http://schemas.openxmlformats.org/officeDocument/2006/relationships/hyperlink" Target="https://www.tcgplayer.com/product/668536" TargetMode="External" Id="rId1461" /><Relationship Type="http://schemas.openxmlformats.org/officeDocument/2006/relationships/hyperlink" Target="https://www.pricecharting.com/game/pokemon-mega-evolution/booster-bundle" TargetMode="External" Id="rId1462" /><Relationship Type="http://schemas.openxmlformats.org/officeDocument/2006/relationships/hyperlink" Target="https://www.pricecharting.com/game/pokemon-mega-evolution/build-&amp;-battle-box" TargetMode="External" Id="rId1463" /><Relationship Type="http://schemas.openxmlformats.org/officeDocument/2006/relationships/hyperlink" Target="https://www.pricecharting.com/game/pokemon-mega-evolution/elite-trainer-box-mega-gardevoir" TargetMode="External" Id="rId1464" /><Relationship Type="http://schemas.openxmlformats.org/officeDocument/2006/relationships/hyperlink" Target="https://www.pricecharting.com/game/pokemon-mega-evolution/elite-trainer-box-mega-lucario" TargetMode="External" Id="rId1465" /><Relationship Type="http://schemas.openxmlformats.org/officeDocument/2006/relationships/hyperlink" Target="https://www.pricecharting.com/game/pokemon-mega-evolution/elite-trainer-box-pokemon-center-gardevoir" TargetMode="External" Id="rId1466" /><Relationship Type="http://schemas.openxmlformats.org/officeDocument/2006/relationships/hyperlink" Target="https://www.pricecharting.com/game/pokemon-mega-evolution/elite-trainer-box-pokemon-center-lucario" TargetMode="External" Id="rId1467" /><Relationship Type="http://schemas.openxmlformats.org/officeDocument/2006/relationships/hyperlink" Target="https://www.pricecharting.com/game/pokemon-mega-evolution/mega-heroes-mini-tin-mega-gardevoir" TargetMode="External" Id="rId1468" /><Relationship Type="http://schemas.openxmlformats.org/officeDocument/2006/relationships/hyperlink" Target="https://www.pricecharting.com/game/pokemon-mega-evolution/mega-heroes-mini-tin-mega-kangaskhan" TargetMode="External" Id="rId1469" /><Relationship Type="http://schemas.openxmlformats.org/officeDocument/2006/relationships/hyperlink" Target="https://www.pricecharting.com/game/pokemon-mega-evolution/mega-heroes-mini-tin-mega-latias" TargetMode="External" Id="rId1470" /><Relationship Type="http://schemas.openxmlformats.org/officeDocument/2006/relationships/hyperlink" Target="https://www.pricecharting.com/game/pokemon-mega-evolution/mega-heroes-mini-tin-mega-lucario" TargetMode="External" Id="rId1471" /><Relationship Type="http://schemas.openxmlformats.org/officeDocument/2006/relationships/hyperlink" Target="https://www.pricecharting.com/game/pokemon-mega-evolution/mega-heroes-mini-tin-mega-venusaur" TargetMode="External" Id="rId1472" /><Relationship Type="http://schemas.openxmlformats.org/officeDocument/2006/relationships/hyperlink" Target="https://www.pricecharting.com/game/pokemon-mega-evolution/mega-lucario-ex-premium-figure-collection" TargetMode="External" Id="rId1473" /><Relationship Type="http://schemas.openxmlformats.org/officeDocument/2006/relationships/hyperlink" Target="https://www.tcgplayer.com/product/671274" TargetMode="External" Id="rId1474" /><Relationship Type="http://schemas.openxmlformats.org/officeDocument/2006/relationships/hyperlink" Target="https://www.tcgplayer.com/product/671271" TargetMode="External" Id="rId1475" /><Relationship Type="http://schemas.openxmlformats.org/officeDocument/2006/relationships/hyperlink" Target="https://www.tcgplayer.com/product/714504" TargetMode="External" Id="rId1476" /><Relationship Type="http://schemas.openxmlformats.org/officeDocument/2006/relationships/hyperlink" Target="https://www.tcgplayer.com/product/706250" TargetMode="External" Id="rId1477" /><Relationship Type="http://schemas.openxmlformats.org/officeDocument/2006/relationships/hyperlink" Target="https://www.tcgplayer.com/product/482320" TargetMode="External" Id="rId1478" /><Relationship Type="http://schemas.openxmlformats.org/officeDocument/2006/relationships/hyperlink" Target="https://www.tcgplayer.com/product/683264" TargetMode="External" Id="rId1479" /><Relationship Type="http://schemas.openxmlformats.org/officeDocument/2006/relationships/hyperlink" Target="https://www.tcgplayer.com/product/477178" TargetMode="External" Id="rId1480" /><Relationship Type="http://schemas.openxmlformats.org/officeDocument/2006/relationships/hyperlink" Target="https://www.tcgplayer.com/product/656995" TargetMode="External" Id="rId1481" /><Relationship Type="http://schemas.openxmlformats.org/officeDocument/2006/relationships/hyperlink" Target="https://www.tcgplayer.com/product/264259" TargetMode="External" Id="rId1482" /><Relationship Type="http://schemas.openxmlformats.org/officeDocument/2006/relationships/hyperlink" Target="https://www.tcgplayer.com/product/205384" TargetMode="External" Id="rId1483" /><Relationship Type="http://schemas.openxmlformats.org/officeDocument/2006/relationships/hyperlink" Target="https://www.tcgplayer.com/product/497177" TargetMode="External" Id="rId1484" /><Relationship Type="http://schemas.openxmlformats.org/officeDocument/2006/relationships/hyperlink" Target="https://www.tcgplayer.com/product/656955" TargetMode="External" Id="rId1485" /><Relationship Type="http://schemas.openxmlformats.org/officeDocument/2006/relationships/hyperlink" Target="https://www.tcgplayer.com/product/539305" TargetMode="External" Id="rId1486" /><Relationship Type="http://schemas.openxmlformats.org/officeDocument/2006/relationships/hyperlink" Target="https://www.tcgplayer.com/product/616291" TargetMode="External" Id="rId1487" /><Relationship Type="http://schemas.openxmlformats.org/officeDocument/2006/relationships/hyperlink" Target="https://www.tcgplayer.com/product/628094" TargetMode="External" Id="rId1488" /><Relationship Type="http://schemas.openxmlformats.org/officeDocument/2006/relationships/hyperlink" Target="https://www.tcgplayer.com/product/616292" TargetMode="External" Id="rId1489" /><Relationship Type="http://schemas.openxmlformats.org/officeDocument/2006/relationships/hyperlink" Target="https://www.tcgplayer.com/product/633082" TargetMode="External" Id="rId1490" /><Relationship Type="http://schemas.openxmlformats.org/officeDocument/2006/relationships/hyperlink" Target="https://www.tcgplayer.com/product/616293" TargetMode="External" Id="rId1491" /><Relationship Type="http://schemas.openxmlformats.org/officeDocument/2006/relationships/hyperlink" Target="https://www.tcgplayer.com/product/633083" TargetMode="External" Id="rId1492" /><Relationship Type="http://schemas.openxmlformats.org/officeDocument/2006/relationships/hyperlink" Target="https://www.tcgplayer.com/product/619075" TargetMode="External" Id="rId1493" /><Relationship Type="http://schemas.openxmlformats.org/officeDocument/2006/relationships/hyperlink" Target="https://www.tcgplayer.com/product/633084" TargetMode="External" Id="rId1494" /><Relationship Type="http://schemas.openxmlformats.org/officeDocument/2006/relationships/hyperlink" Target="https://www.tcgplayer.com/product/549454" TargetMode="External" Id="rId1495" /><Relationship Type="http://schemas.openxmlformats.org/officeDocument/2006/relationships/hyperlink" Target="https://www.tcgplayer.com/product/662745" TargetMode="External" Id="rId1496" /><Relationship Type="http://schemas.openxmlformats.org/officeDocument/2006/relationships/hyperlink" Target="https://www.tcgplayer.com/product/231295" TargetMode="External" Id="rId1497" /><Relationship Type="http://schemas.openxmlformats.org/officeDocument/2006/relationships/hyperlink" Target="https://www.tcgplayer.com/product/650229" TargetMode="External" Id="rId1498" /><Relationship Type="http://schemas.openxmlformats.org/officeDocument/2006/relationships/hyperlink" Target="https://www.tcgplayer.com/product/575897" TargetMode="External" Id="rId1499" /><Relationship Type="http://schemas.openxmlformats.org/officeDocument/2006/relationships/hyperlink" Target="https://www.tcgplayer.com/product/262968" TargetMode="External" Id="rId1500" /><Relationship Type="http://schemas.openxmlformats.org/officeDocument/2006/relationships/hyperlink" Target="https://www.tcgplayer.com/product/516576" TargetMode="External" Id="rId1501" /><Relationship Type="http://schemas.openxmlformats.org/officeDocument/2006/relationships/hyperlink" Target="https://www.tcgplayer.com/product/616305" TargetMode="External" Id="rId1502" /><Relationship Type="http://schemas.openxmlformats.org/officeDocument/2006/relationships/hyperlink" Target="https://www.tcgplayer.com/product/560625" TargetMode="External" Id="rId1503" /><Relationship Type="http://schemas.openxmlformats.org/officeDocument/2006/relationships/hyperlink" Target="https://www.tcgplayer.com/product/598499" TargetMode="External" Id="rId1504" /><Relationship Type="http://schemas.openxmlformats.org/officeDocument/2006/relationships/hyperlink" Target="https://www.tcgplayer.com/product/653625" TargetMode="External" Id="rId1505" /><Relationship Type="http://schemas.openxmlformats.org/officeDocument/2006/relationships/hyperlink" Target="https://www.tcgplayer.com/product/650144" TargetMode="External" Id="rId1506" /><Relationship Type="http://schemas.openxmlformats.org/officeDocument/2006/relationships/hyperlink" Target="https://www.tcgplayer.com/product/489632" TargetMode="External" Id="rId1507" /><Relationship Type="http://schemas.openxmlformats.org/officeDocument/2006/relationships/hyperlink" Target="https://www.tcgplayer.com/product/650148" TargetMode="External" Id="rId1508" /><Relationship Type="http://schemas.openxmlformats.org/officeDocument/2006/relationships/hyperlink" Target="https://www.tcgplayer.com/product/456111" TargetMode="External" Id="rId1509" /><Relationship Type="http://schemas.openxmlformats.org/officeDocument/2006/relationships/hyperlink" Target="https://www.tcgplayer.com/product/456118" TargetMode="External" Id="rId1510" /><Relationship Type="http://schemas.openxmlformats.org/officeDocument/2006/relationships/hyperlink" Target="https://www.tcgplayer.com/product/713198" TargetMode="External" Id="rId1511" /><Relationship Type="http://schemas.openxmlformats.org/officeDocument/2006/relationships/hyperlink" Target="https://www.tcgplayer.com/product/532385" TargetMode="External" Id="rId1512" /><Relationship Type="http://schemas.openxmlformats.org/officeDocument/2006/relationships/hyperlink" Target="https://www.tcgplayer.com/product/685924" TargetMode="External" Id="rId1513" /><Relationship Type="http://schemas.openxmlformats.org/officeDocument/2006/relationships/hyperlink" Target="https://www.tcgplayer.com/product/719650" TargetMode="External" Id="rId1514" /><Relationship Type="http://schemas.openxmlformats.org/officeDocument/2006/relationships/hyperlink" Target="https://www.tcgplayer.com/product/702637" TargetMode="External" Id="rId1515" /><Relationship Type="http://schemas.openxmlformats.org/officeDocument/2006/relationships/hyperlink" Target="https://www.tcgplayer.com/product/701600" TargetMode="External" Id="rId1516" /><Relationship Type="http://schemas.openxmlformats.org/officeDocument/2006/relationships/hyperlink" Target="https://www.tcgplayer.com/product/636312" TargetMode="External" Id="rId1517" /><Relationship Type="http://schemas.openxmlformats.org/officeDocument/2006/relationships/hyperlink" Target="https://www.tcgplayer.com/product/256408" TargetMode="External" Id="rId1518" /><Relationship Type="http://schemas.openxmlformats.org/officeDocument/2006/relationships/hyperlink" Target="https://www.tcgplayer.com/product/587750" TargetMode="External" Id="rId1519" /><Relationship Type="http://schemas.openxmlformats.org/officeDocument/2006/relationships/hyperlink" Target="https://www.tcgplayer.com/product/610741" TargetMode="External" Id="rId1520" /><Relationship Type="http://schemas.openxmlformats.org/officeDocument/2006/relationships/hyperlink" Target="https://www.tcgplayer.com/product/650885" TargetMode="External" Id="rId1521" /><Relationship Type="http://schemas.openxmlformats.org/officeDocument/2006/relationships/hyperlink" Target="https://www.tcgplayer.com/product/636740" TargetMode="External" Id="rId1522" /><Relationship Type="http://schemas.openxmlformats.org/officeDocument/2006/relationships/hyperlink" Target="https://www.tcgplayer.com/product/587747" TargetMode="External" Id="rId1523" /><Relationship Type="http://schemas.openxmlformats.org/officeDocument/2006/relationships/hyperlink" Target="https://www.tcgplayer.com/product/587746" TargetMode="External" Id="rId1524" /><Relationship Type="http://schemas.openxmlformats.org/officeDocument/2006/relationships/hyperlink" Target="https://www.tcgplayer.com/product/594729" TargetMode="External" Id="rId1525" /><Relationship Type="http://schemas.openxmlformats.org/officeDocument/2006/relationships/hyperlink" Target="https://www.tcgplayer.com/product/650397" TargetMode="External" Id="rId1526" /><Relationship Type="http://schemas.openxmlformats.org/officeDocument/2006/relationships/hyperlink" Target="https://www.tcgplayer.com/product/653892" TargetMode="External" Id="rId1527" /><Relationship Type="http://schemas.openxmlformats.org/officeDocument/2006/relationships/hyperlink" Target="https://www.tcgplayer.com/product/484372" TargetMode="External" Id="rId1528" /><Relationship Type="http://schemas.openxmlformats.org/officeDocument/2006/relationships/hyperlink" Target="https://www.tcgplayer.com/product/625952" TargetMode="External" Id="rId1529" /><Relationship Type="http://schemas.openxmlformats.org/officeDocument/2006/relationships/hyperlink" Target="https://www.tcgplayer.com/product/477286" TargetMode="External" Id="rId1530" /><Relationship Type="http://schemas.openxmlformats.org/officeDocument/2006/relationships/hyperlink" Target="https://www.tcgplayer.com/product/477288" TargetMode="External" Id="rId1531" /><Relationship Type="http://schemas.openxmlformats.org/officeDocument/2006/relationships/hyperlink" Target="https://www.tcgplayer.com/product/558746" TargetMode="External" Id="rId1532" /><Relationship Type="http://schemas.openxmlformats.org/officeDocument/2006/relationships/hyperlink" Target="https://www.tcgplayer.com/product/604493" TargetMode="External" Id="rId1533" /><Relationship Type="http://schemas.openxmlformats.org/officeDocument/2006/relationships/hyperlink" Target="https://www.tcgplayer.com/product/282002" TargetMode="External" Id="rId1534" /><Relationship Type="http://schemas.openxmlformats.org/officeDocument/2006/relationships/hyperlink" Target="https://www.tcgplayer.com/product/282004" TargetMode="External" Id="rId1535" /><Relationship Type="http://schemas.openxmlformats.org/officeDocument/2006/relationships/hyperlink" Target="https://www.tcgplayer.com/product/271941" TargetMode="External" Id="rId1536" /><Relationship Type="http://schemas.openxmlformats.org/officeDocument/2006/relationships/hyperlink" Target="https://www.tcgplayer.com/product/271942" TargetMode="External" Id="rId1537" /><Relationship Type="http://schemas.openxmlformats.org/officeDocument/2006/relationships/hyperlink" Target="https://www.tcgplayer.com/product/271939" TargetMode="External" Id="rId1538" /><Relationship Type="http://schemas.openxmlformats.org/officeDocument/2006/relationships/hyperlink" Target="https://www.tcgplayer.com/product/271943" TargetMode="External" Id="rId1539" /><Relationship Type="http://schemas.openxmlformats.org/officeDocument/2006/relationships/hyperlink" Target="https://www.tcgplayer.com/product/271944" TargetMode="External" Id="rId1540" /><Relationship Type="http://schemas.openxmlformats.org/officeDocument/2006/relationships/hyperlink" Target="https://www.tcgplayer.com/product/272521" TargetMode="External" Id="rId1541" /><Relationship Type="http://schemas.openxmlformats.org/officeDocument/2006/relationships/hyperlink" Target="https://www.tcgplayer.com/product/218437" TargetMode="External" Id="rId1542" /><Relationship Type="http://schemas.openxmlformats.org/officeDocument/2006/relationships/hyperlink" Target="https://www.tcgplayer.com/product/594414" TargetMode="External" Id="rId1543" /><Relationship Type="http://schemas.openxmlformats.org/officeDocument/2006/relationships/hyperlink" Target="https://www.tcgplayer.com/product/249713" TargetMode="External" Id="rId1544" /><Relationship Type="http://schemas.openxmlformats.org/officeDocument/2006/relationships/hyperlink" Target="https://www.tcgplayer.com/product/286470" TargetMode="External" Id="rId1545" /><Relationship Type="http://schemas.openxmlformats.org/officeDocument/2006/relationships/hyperlink" Target="https://www.tcgplayer.com/product/243562" TargetMode="External" Id="rId1546" /><Relationship Type="http://schemas.openxmlformats.org/officeDocument/2006/relationships/hyperlink" Target="https://www.tcgplayer.com/product/243561" TargetMode="External" Id="rId1547" /><Relationship Type="http://schemas.openxmlformats.org/officeDocument/2006/relationships/hyperlink" Target="https://www.tcgplayer.com/product/243571" TargetMode="External" Id="rId1548" /><Relationship Type="http://schemas.openxmlformats.org/officeDocument/2006/relationships/hyperlink" Target="https://www.tcgplayer.com/product/243559" TargetMode="External" Id="rId1549" /><Relationship Type="http://schemas.openxmlformats.org/officeDocument/2006/relationships/hyperlink" Target="https://www.tcgplayer.com/product/251014" TargetMode="External" Id="rId1550" /><Relationship Type="http://schemas.openxmlformats.org/officeDocument/2006/relationships/hyperlink" Target="https://www.tcgplayer.com/product/199787" TargetMode="External" Id="rId1551" /><Relationship Type="http://schemas.openxmlformats.org/officeDocument/2006/relationships/hyperlink" Target="https://www.tcgplayer.com/product/199789" TargetMode="External" Id="rId1552" /><Relationship Type="http://schemas.openxmlformats.org/officeDocument/2006/relationships/hyperlink" Target="https://www.tcgplayer.com/product/199788" TargetMode="External" Id="rId1553" /><Relationship Type="http://schemas.openxmlformats.org/officeDocument/2006/relationships/hyperlink" Target="https://www.tcgplayer.com/product/616953" TargetMode="External" Id="rId1554" /><Relationship Type="http://schemas.openxmlformats.org/officeDocument/2006/relationships/hyperlink" Target="https://www.tcgplayer.com/product/714361" TargetMode="External" Id="rId1555" /><Relationship Type="http://schemas.openxmlformats.org/officeDocument/2006/relationships/hyperlink" Target="https://www.tcgplayer.com/product/616951" TargetMode="External" Id="rId1556" /><Relationship Type="http://schemas.openxmlformats.org/officeDocument/2006/relationships/hyperlink" Target="https://www.tcgplayer.com/product/616940" TargetMode="External" Id="rId1557" /><Relationship Type="http://schemas.openxmlformats.org/officeDocument/2006/relationships/hyperlink" Target="https://www.tcgplayer.com/product/520353" TargetMode="External" Id="rId1558" /><Relationship Type="http://schemas.openxmlformats.org/officeDocument/2006/relationships/hyperlink" Target="https://www.tcgplayer.com/product/200142" TargetMode="External" Id="rId1559" /><Relationship Type="http://schemas.openxmlformats.org/officeDocument/2006/relationships/hyperlink" Target="https://www.tcgplayer.com/product/263031" TargetMode="External" Id="rId1560" /><Relationship Type="http://schemas.openxmlformats.org/officeDocument/2006/relationships/hyperlink" Target="https://www.tcgplayer.com/product/263033" TargetMode="External" Id="rId1561" /><Relationship Type="http://schemas.openxmlformats.org/officeDocument/2006/relationships/hyperlink" Target="https://www.tcgplayer.com/product/263030" TargetMode="External" Id="rId1562" /><Relationship Type="http://schemas.openxmlformats.org/officeDocument/2006/relationships/hyperlink" Target="https://www.tcgplayer.com/product/263029" TargetMode="External" Id="rId1563" /><Relationship Type="http://schemas.openxmlformats.org/officeDocument/2006/relationships/hyperlink" Target="https://www.tcgplayer.com/product/263034" TargetMode="External" Id="rId1564" /><Relationship Type="http://schemas.openxmlformats.org/officeDocument/2006/relationships/hyperlink" Target="https://www.tcgplayer.com/product/516647" TargetMode="External" Id="rId1565" /><Relationship Type="http://schemas.openxmlformats.org/officeDocument/2006/relationships/hyperlink" Target="https://www.tcgplayer.com/product/575706" TargetMode="External" Id="rId1566" /><Relationship Type="http://schemas.openxmlformats.org/officeDocument/2006/relationships/hyperlink" Target="https://www.tcgplayer.com/product/654593" TargetMode="External" Id="rId1567" /><Relationship Type="http://schemas.openxmlformats.org/officeDocument/2006/relationships/hyperlink" Target="https://www.tcgplayer.com/product/249705" TargetMode="External" Id="rId1568" /><Relationship Type="http://schemas.openxmlformats.org/officeDocument/2006/relationships/hyperlink" Target="https://www.tcgplayer.com/product/690199" TargetMode="External" Id="rId1569" /><Relationship Type="http://schemas.openxmlformats.org/officeDocument/2006/relationships/hyperlink" Target="https://www.tcgplayer.com/product/220289" TargetMode="External" Id="rId1570" /><Relationship Type="http://schemas.openxmlformats.org/officeDocument/2006/relationships/hyperlink" Target="https://www.tcgplayer.com/product/220291" TargetMode="External" Id="rId1571" /><Relationship Type="http://schemas.openxmlformats.org/officeDocument/2006/relationships/hyperlink" Target="https://www.tcgplayer.com/product/199786" TargetMode="External" Id="rId1572" /><Relationship Type="http://schemas.openxmlformats.org/officeDocument/2006/relationships/hyperlink" Target="https://www.tcgplayer.com/product/199785" TargetMode="External" Id="rId1573" /><Relationship Type="http://schemas.openxmlformats.org/officeDocument/2006/relationships/hyperlink" Target="https://www.tcgplayer.com/product/207986" TargetMode="External" Id="rId1574" /><Relationship Type="http://schemas.openxmlformats.org/officeDocument/2006/relationships/hyperlink" Target="https://www.tcgplayer.com/product/207987" TargetMode="External" Id="rId1575" /><Relationship Type="http://schemas.openxmlformats.org/officeDocument/2006/relationships/hyperlink" Target="https://www.tcgplayer.com/product/207988" TargetMode="External" Id="rId1576" /><Relationship Type="http://schemas.openxmlformats.org/officeDocument/2006/relationships/hyperlink" Target="https://www.tcgplayer.com/product/207992" TargetMode="External" Id="rId1577" /><Relationship Type="http://schemas.openxmlformats.org/officeDocument/2006/relationships/hyperlink" Target="https://www.tcgplayer.com/product/207989" TargetMode="External" Id="rId1578" /><Relationship Type="http://schemas.openxmlformats.org/officeDocument/2006/relationships/hyperlink" Target="https://www.tcgplayer.com/product/207990" TargetMode="External" Id="rId1579" /><Relationship Type="http://schemas.openxmlformats.org/officeDocument/2006/relationships/hyperlink" Target="https://www.tcgplayer.com/product/218854" TargetMode="External" Id="rId1580" /><Relationship Type="http://schemas.openxmlformats.org/officeDocument/2006/relationships/hyperlink" Target="https://www.tcgplayer.com/product/218857" TargetMode="External" Id="rId1581" /><Relationship Type="http://schemas.openxmlformats.org/officeDocument/2006/relationships/hyperlink" Target="https://www.tcgplayer.com/product/218856" TargetMode="External" Id="rId1582" /><Relationship Type="http://schemas.openxmlformats.org/officeDocument/2006/relationships/hyperlink" Target="https://www.tcgplayer.com/product/218855" TargetMode="External" Id="rId1583" /><Relationship Type="http://schemas.openxmlformats.org/officeDocument/2006/relationships/hyperlink" Target="https://www.tcgplayer.com/product/449727" TargetMode="External" Id="rId1584" /><Relationship Type="http://schemas.openxmlformats.org/officeDocument/2006/relationships/hyperlink" Target="https://www.tcgplayer.com/product/218858" TargetMode="External" Id="rId1585" /><Relationship Type="http://schemas.openxmlformats.org/officeDocument/2006/relationships/hyperlink" Target="https://www.tcgplayer.com/product/594896" TargetMode="External" Id="rId1586" /><Relationship Type="http://schemas.openxmlformats.org/officeDocument/2006/relationships/hyperlink" Target="https://www.tcgplayer.com/product/656950" TargetMode="External" Id="rId1587" /><Relationship Type="http://schemas.openxmlformats.org/officeDocument/2006/relationships/hyperlink" Target="https://www.tcgplayer.com/product/594491" TargetMode="External" Id="rId1588" /><Relationship Type="http://schemas.openxmlformats.org/officeDocument/2006/relationships/hyperlink" Target="https://www.tcgplayer.com/product/526914" TargetMode="External" Id="rId1589" /><Relationship Type="http://schemas.openxmlformats.org/officeDocument/2006/relationships/hyperlink" Target="https://www.tcgplayer.com/product/529698" TargetMode="External" Id="rId1590" /><Relationship Type="http://schemas.openxmlformats.org/officeDocument/2006/relationships/hyperlink" Target="https://www.tcgplayer.com/product/281982" TargetMode="External" Id="rId1591" /><Relationship Type="http://schemas.openxmlformats.org/officeDocument/2006/relationships/hyperlink" Target="https://www.tcgplayer.com/product/281984" TargetMode="External" Id="rId1592" /><Relationship Type="http://schemas.openxmlformats.org/officeDocument/2006/relationships/hyperlink" Target="https://www.tcgplayer.com/product/281981" TargetMode="External" Id="rId1593" /><Relationship Type="http://schemas.openxmlformats.org/officeDocument/2006/relationships/hyperlink" Target="https://www.tcgplayer.com/product/281993" TargetMode="External" Id="rId1594" /><Relationship Type="http://schemas.openxmlformats.org/officeDocument/2006/relationships/hyperlink" Target="https://www.tcgplayer.com/product/616303" TargetMode="External" Id="rId1595" /><Relationship Type="http://schemas.openxmlformats.org/officeDocument/2006/relationships/hyperlink" Target="https://www.tcgplayer.com/product/561521" TargetMode="External" Id="rId1596" /><Relationship Type="http://schemas.openxmlformats.org/officeDocument/2006/relationships/hyperlink" Target="https://www.tcgplayer.com/product/653199" TargetMode="External" Id="rId1597" /><Relationship Type="http://schemas.openxmlformats.org/officeDocument/2006/relationships/hyperlink" Target="https://www.tcgplayer.com/product/664092" TargetMode="External" Id="rId1598" /><Relationship Type="http://schemas.openxmlformats.org/officeDocument/2006/relationships/hyperlink" Target="https://www.tcgplayer.com/product/277568" TargetMode="External" Id="rId1599" /><Relationship Type="http://schemas.openxmlformats.org/officeDocument/2006/relationships/hyperlink" Target="https://www.tcgplayer.com/product/545403" TargetMode="External" Id="rId1600" /><Relationship Type="http://schemas.openxmlformats.org/officeDocument/2006/relationships/hyperlink" Target="https://www.tcgplayer.com/product/616304" TargetMode="External" Id="rId1601" /><Relationship Type="http://schemas.openxmlformats.org/officeDocument/2006/relationships/hyperlink" Target="https://www.tcgplayer.com/product/516578" TargetMode="External" Id="rId1602" /><Relationship Type="http://schemas.openxmlformats.org/officeDocument/2006/relationships/hyperlink" Target="https://www.tcgplayer.com/product/226133" TargetMode="External" Id="rId1603" /><Relationship Type="http://schemas.openxmlformats.org/officeDocument/2006/relationships/hyperlink" Target="https://www.tcgplayer.com/product/583776" TargetMode="External" Id="rId1604" /><Relationship Type="http://schemas.openxmlformats.org/officeDocument/2006/relationships/hyperlink" Target="https://www.tcgplayer.com/product/249693" TargetMode="External" Id="rId1605" /><Relationship Type="http://schemas.openxmlformats.org/officeDocument/2006/relationships/hyperlink" Target="https://www.tcgplayer.com/product/185261" TargetMode="External" Id="rId1606" /><Relationship Type="http://schemas.openxmlformats.org/officeDocument/2006/relationships/hyperlink" Target="https://www.tcgplayer.com/product/185264" TargetMode="External" Id="rId1607" /><Relationship Type="http://schemas.openxmlformats.org/officeDocument/2006/relationships/hyperlink" Target="https://www.tcgplayer.com/product/185263" TargetMode="External" Id="rId1608" /><Relationship Type="http://schemas.openxmlformats.org/officeDocument/2006/relationships/hyperlink" Target="https://www.tcgplayer.com/product/185262" TargetMode="External" Id="rId1609" /><Relationship Type="http://schemas.openxmlformats.org/officeDocument/2006/relationships/hyperlink" Target="https://www.tcgplayer.com/product/550688" TargetMode="External" Id="rId1610" /><Relationship Type="http://schemas.openxmlformats.org/officeDocument/2006/relationships/hyperlink" Target="https://www.tcgplayer.com/product/185265" TargetMode="External" Id="rId1611" /><Relationship Type="http://schemas.openxmlformats.org/officeDocument/2006/relationships/hyperlink" Target="https://www.tcgplayer.com/product/253839" TargetMode="External" Id="rId1612" /><Relationship Type="http://schemas.openxmlformats.org/officeDocument/2006/relationships/hyperlink" Target="https://www.tcgplayer.com/product/198431" TargetMode="External" Id="rId1613" /><Relationship Type="http://schemas.openxmlformats.org/officeDocument/2006/relationships/hyperlink" Target="https://www.tcgplayer.com/product/198434" TargetMode="External" Id="rId1614" /><Relationship Type="http://schemas.openxmlformats.org/officeDocument/2006/relationships/hyperlink" Target="https://www.tcgplayer.com/product/198437" TargetMode="External" Id="rId1615" /><Relationship Type="http://schemas.openxmlformats.org/officeDocument/2006/relationships/hyperlink" Target="https://www.tcgplayer.com/product/198438" TargetMode="External" Id="rId1616" /><Relationship Type="http://schemas.openxmlformats.org/officeDocument/2006/relationships/hyperlink" Target="https://www.tcgplayer.com/product/198439" TargetMode="External" Id="rId1617" /><Relationship Type="http://schemas.openxmlformats.org/officeDocument/2006/relationships/hyperlink" Target="https://www.tcgplayer.com/product/477284" TargetMode="External" Id="rId1618" /><Relationship Type="http://schemas.openxmlformats.org/officeDocument/2006/relationships/hyperlink" Target="https://www.tcgplayer.com/product/270478" TargetMode="External" Id="rId1619" /><Relationship Type="http://schemas.openxmlformats.org/officeDocument/2006/relationships/hyperlink" Target="https://www.tcgplayer.com/product/637464" TargetMode="External" Id="rId1620" /><Relationship Type="http://schemas.openxmlformats.org/officeDocument/2006/relationships/hyperlink" Target="https://www.tcgplayer.com/product/532560" TargetMode="External" Id="rId1621" /><Relationship Type="http://schemas.openxmlformats.org/officeDocument/2006/relationships/hyperlink" Target="https://www.tcgplayer.com/product/628493" TargetMode="External" Id="rId1622" /><Relationship Type="http://schemas.openxmlformats.org/officeDocument/2006/relationships/hyperlink" Target="https://www.tcgplayer.com/product/264422" TargetMode="External" Id="rId1623" /><Relationship Type="http://schemas.openxmlformats.org/officeDocument/2006/relationships/hyperlink" Target="https://www.tcgplayer.com/product/628494" TargetMode="External" Id="rId1624" /><Relationship Type="http://schemas.openxmlformats.org/officeDocument/2006/relationships/hyperlink" Target="https://www.tcgplayer.com/product/477475" TargetMode="External" Id="rId1625" /><Relationship Type="http://schemas.openxmlformats.org/officeDocument/2006/relationships/hyperlink" Target="https://www.tcgplayer.com/product/603323" TargetMode="External" Id="rId1626" /><Relationship Type="http://schemas.openxmlformats.org/officeDocument/2006/relationships/hyperlink" Target="https://www.tcgplayer.com/product/670782" TargetMode="External" Id="rId1627" /><Relationship Type="http://schemas.openxmlformats.org/officeDocument/2006/relationships/hyperlink" Target="https://www.tcgplayer.com/product/186994" TargetMode="External" Id="rId1628" /><Relationship Type="http://schemas.openxmlformats.org/officeDocument/2006/relationships/hyperlink" Target="https://www.tcgplayer.com/product/543172" TargetMode="External" Id="rId1629" /><Relationship Type="http://schemas.openxmlformats.org/officeDocument/2006/relationships/hyperlink" Target="https://www.tcgplayer.com/product/670783" TargetMode="External" Id="rId1630" /><Relationship Type="http://schemas.openxmlformats.org/officeDocument/2006/relationships/hyperlink" Target="https://www.tcgplayer.com/product/264416" TargetMode="External" Id="rId1631" /><Relationship Type="http://schemas.openxmlformats.org/officeDocument/2006/relationships/hyperlink" Target="https://www.tcgplayer.com/product/186984" TargetMode="External" Id="rId1632" /><Relationship Type="http://schemas.openxmlformats.org/officeDocument/2006/relationships/hyperlink" Target="https://www.tcgplayer.com/product/286477" TargetMode="External" Id="rId1633" /><Relationship Type="http://schemas.openxmlformats.org/officeDocument/2006/relationships/hyperlink" Target="https://www.tcgplayer.com/product/594495" TargetMode="External" Id="rId1634" /><Relationship Type="http://schemas.openxmlformats.org/officeDocument/2006/relationships/hyperlink" Target="https://www.tcgplayer.com/product/228813" TargetMode="External" Id="rId1635" /><Relationship Type="http://schemas.openxmlformats.org/officeDocument/2006/relationships/hyperlink" Target="https://www.tcgplayer.com/product/202117" TargetMode="External" Id="rId1636" /><Relationship Type="http://schemas.openxmlformats.org/officeDocument/2006/relationships/hyperlink" Target="https://www.tcgplayer.com/product/626605" TargetMode="External" Id="rId1637" /><Relationship Type="http://schemas.openxmlformats.org/officeDocument/2006/relationships/hyperlink" Target="https://www.tcgplayer.com/product/262637" TargetMode="External" Id="rId1638" /><Relationship Type="http://schemas.openxmlformats.org/officeDocument/2006/relationships/hyperlink" Target="https://www.tcgplayer.com/product/497728" TargetMode="External" Id="rId1639" /><Relationship Type="http://schemas.openxmlformats.org/officeDocument/2006/relationships/hyperlink" Target="https://www.tcgplayer.com/product/655739" TargetMode="External" Id="rId1640" /><Relationship Type="http://schemas.openxmlformats.org/officeDocument/2006/relationships/hyperlink" Target="https://www.tcgplayer.com/product/685577" TargetMode="External" Id="rId1641" /><Relationship Type="http://schemas.openxmlformats.org/officeDocument/2006/relationships/hyperlink" Target="https://www.tcgplayer.com/product/685578" TargetMode="External" Id="rId1642" /><Relationship Type="http://schemas.openxmlformats.org/officeDocument/2006/relationships/hyperlink" Target="https://www.tcgplayer.com/product/685579" TargetMode="External" Id="rId1643" /><Relationship Type="http://schemas.openxmlformats.org/officeDocument/2006/relationships/hyperlink" Target="https://www.tcgplayer.com/product/685576" TargetMode="External" Id="rId1644" /><Relationship Type="http://schemas.openxmlformats.org/officeDocument/2006/relationships/hyperlink" Target="https://www.tcgplayer.com/product/685575" TargetMode="External" Id="rId1645" /><Relationship Type="http://schemas.openxmlformats.org/officeDocument/2006/relationships/hyperlink" Target="https://www.tcgplayer.com/product/685580" TargetMode="External" Id="rId1646" /><Relationship Type="http://schemas.openxmlformats.org/officeDocument/2006/relationships/hyperlink" Target="https://www.tcgplayer.com/product/531572" TargetMode="External" Id="rId1647" /><Relationship Type="http://schemas.openxmlformats.org/officeDocument/2006/relationships/hyperlink" Target="https://www.tcgplayer.com/product/241093" TargetMode="External" Id="rId1648" /><Relationship Type="http://schemas.openxmlformats.org/officeDocument/2006/relationships/hyperlink" Target="https://www.tcgplayer.com/product/236549" TargetMode="External" Id="rId1649" /><Relationship Type="http://schemas.openxmlformats.org/officeDocument/2006/relationships/hyperlink" Target="https://www.tcgplayer.com/product/629647" TargetMode="External" Id="rId1650" /><Relationship Type="http://schemas.openxmlformats.org/officeDocument/2006/relationships/hyperlink" Target="https://www.tcgplayer.com/product/606605" TargetMode="External" Id="rId1651" /><Relationship Type="http://schemas.openxmlformats.org/officeDocument/2006/relationships/hyperlink" Target="https://www.tcgplayer.com/product/671250" TargetMode="External" Id="rId1652" /><Relationship Type="http://schemas.openxmlformats.org/officeDocument/2006/relationships/hyperlink" Target="https://www.tcgplayer.com/product/671249" TargetMode="External" Id="rId1653" /><Relationship Type="http://schemas.openxmlformats.org/officeDocument/2006/relationships/hyperlink" Target="https://www.tcgplayer.com/product/654213" TargetMode="External" Id="rId1654" /><Relationship Type="http://schemas.openxmlformats.org/officeDocument/2006/relationships/hyperlink" Target="https://www.tcgplayer.com/product/702506" TargetMode="External" Id="rId1655" /><Relationship Type="http://schemas.openxmlformats.org/officeDocument/2006/relationships/hyperlink" Target="https://www.tcgplayer.com/product/702505" TargetMode="External" Id="rId1656" /><Relationship Type="http://schemas.openxmlformats.org/officeDocument/2006/relationships/hyperlink" Target="https://www.tcgplayer.com/product/702507" TargetMode="External" Id="rId1657" /><Relationship Type="http://schemas.openxmlformats.org/officeDocument/2006/relationships/hyperlink" Target="https://www.tcgplayer.com/product/702508" TargetMode="External" Id="rId1658" /><Relationship Type="http://schemas.openxmlformats.org/officeDocument/2006/relationships/hyperlink" Target="https://www.tcgplayer.com/product/690660" TargetMode="External" Id="rId1659" /><Relationship Type="http://schemas.openxmlformats.org/officeDocument/2006/relationships/hyperlink" Target="https://www.tcgplayer.com/product/654211" TargetMode="External" Id="rId1660" /><Relationship Type="http://schemas.openxmlformats.org/officeDocument/2006/relationships/hyperlink" Target="https://www.tcgplayer.com/product/654188" TargetMode="External" Id="rId1661" /><Relationship Type="http://schemas.openxmlformats.org/officeDocument/2006/relationships/hyperlink" Target="https://www.tcgplayer.com/product/656487" TargetMode="External" Id="rId1662" /><Relationship Type="http://schemas.openxmlformats.org/officeDocument/2006/relationships/hyperlink" Target="https://www.tcgplayer.com/product/686438" TargetMode="External" Id="rId1663" /><Relationship Type="http://schemas.openxmlformats.org/officeDocument/2006/relationships/hyperlink" Target="https://www.tcgplayer.com/product/686437" TargetMode="External" Id="rId1664" /><Relationship Type="http://schemas.openxmlformats.org/officeDocument/2006/relationships/hyperlink" Target="https://www.tcgplayer.com/product/654212" TargetMode="External" Id="rId1665" /><Relationship Type="http://schemas.openxmlformats.org/officeDocument/2006/relationships/hyperlink" Target="https://www.tcgplayer.com/product/682939" TargetMode="External" Id="rId1666" /><Relationship Type="http://schemas.openxmlformats.org/officeDocument/2006/relationships/hyperlink" Target="https://www.tcgplayer.com/product/662750" TargetMode="External" Id="rId1667" /><Relationship Type="http://schemas.openxmlformats.org/officeDocument/2006/relationships/hyperlink" Target="https://www.tcgplayer.com/product/205464" TargetMode="External" Id="rId1668" /><Relationship Type="http://schemas.openxmlformats.org/officeDocument/2006/relationships/hyperlink" Target="https://www.tcgplayer.com/product/286476" TargetMode="External" Id="rId1669" /><Relationship Type="http://schemas.openxmlformats.org/officeDocument/2006/relationships/hyperlink" Target="https://www.tcgplayer.com/product/247819" TargetMode="External" Id="rId1670" /><Relationship Type="http://schemas.openxmlformats.org/officeDocument/2006/relationships/hyperlink" Target="https://www.tcgplayer.com/product/247818" TargetMode="External" Id="rId1671" /><Relationship Type="http://schemas.openxmlformats.org/officeDocument/2006/relationships/hyperlink" Target="https://www.tcgplayer.com/product/247820" TargetMode="External" Id="rId1672" /><Relationship Type="http://schemas.openxmlformats.org/officeDocument/2006/relationships/hyperlink" Target="https://www.tcgplayer.com/product/648586" TargetMode="External" Id="rId1673" /><Relationship Type="http://schemas.openxmlformats.org/officeDocument/2006/relationships/hyperlink" Target="https://www.tcgplayer.com/product/655747" TargetMode="External" Id="rId1674" /><Relationship Type="http://schemas.openxmlformats.org/officeDocument/2006/relationships/hyperlink" Target="https://www.tcgplayer.com/product/475802" TargetMode="External" Id="rId1675" /><Relationship Type="http://schemas.openxmlformats.org/officeDocument/2006/relationships/hyperlink" Target="https://www.tcgplayer.com/product/262646" TargetMode="External" Id="rId1676" /><Relationship Type="http://schemas.openxmlformats.org/officeDocument/2006/relationships/hyperlink" Target="https://www.tcgplayer.com/product/517119" TargetMode="External" Id="rId1677" /><Relationship Type="http://schemas.openxmlformats.org/officeDocument/2006/relationships/hyperlink" Target="https://www.tcgplayer.com/product/517120" TargetMode="External" Id="rId1678" /><Relationship Type="http://schemas.openxmlformats.org/officeDocument/2006/relationships/hyperlink" Target="https://www.tcgplayer.com/product/248205" TargetMode="External" Id="rId1679" /><Relationship Type="http://schemas.openxmlformats.org/officeDocument/2006/relationships/hyperlink" Target="https://www.tcgplayer.com/product/576482" TargetMode="External" Id="rId1680" /><Relationship Type="http://schemas.openxmlformats.org/officeDocument/2006/relationships/hyperlink" Target="https://www.tcgplayer.com/product/527801" TargetMode="External" Id="rId1681" /><Relationship Type="http://schemas.openxmlformats.org/officeDocument/2006/relationships/hyperlink" Target="https://www.tcgplayer.com/product/547129" TargetMode="External" Id="rId1682" /><Relationship Type="http://schemas.openxmlformats.org/officeDocument/2006/relationships/hyperlink" Target="https://www.tcgplayer.com/product/451119" TargetMode="External" Id="rId1683" /><Relationship Type="http://schemas.openxmlformats.org/officeDocument/2006/relationships/hyperlink" Target="https://www.tcgplayer.com/product/477170" TargetMode="External" Id="rId1684" /><Relationship Type="http://schemas.openxmlformats.org/officeDocument/2006/relationships/hyperlink" Target="https://www.tcgplayer.com/product/477171" TargetMode="External" Id="rId1685" /><Relationship Type="http://schemas.openxmlformats.org/officeDocument/2006/relationships/hyperlink" Target="https://www.tcgplayer.com/product/451120" TargetMode="External" Id="rId1686" /><Relationship Type="http://schemas.openxmlformats.org/officeDocument/2006/relationships/hyperlink" Target="https://www.tcgplayer.com/product/477173" TargetMode="External" Id="rId1687" /><Relationship Type="http://schemas.openxmlformats.org/officeDocument/2006/relationships/hyperlink" Target="https://www.tcgplayer.com/product/451121" TargetMode="External" Id="rId1688" /><Relationship Type="http://schemas.openxmlformats.org/officeDocument/2006/relationships/hyperlink" Target="https://www.tcgplayer.com/product/477174" TargetMode="External" Id="rId1689" /><Relationship Type="http://schemas.openxmlformats.org/officeDocument/2006/relationships/hyperlink" Target="https://www.tcgplayer.com/product/451118" TargetMode="External" Id="rId1690" /><Relationship Type="http://schemas.openxmlformats.org/officeDocument/2006/relationships/hyperlink" Target="https://www.tcgplayer.com/product/484357" TargetMode="External" Id="rId1691" /><Relationship Type="http://schemas.openxmlformats.org/officeDocument/2006/relationships/hyperlink" Target="https://www.tcgplayer.com/product/484362" TargetMode="External" Id="rId1692" /><Relationship Type="http://schemas.openxmlformats.org/officeDocument/2006/relationships/hyperlink" Target="https://www.tcgplayer.com/product/484358" TargetMode="External" Id="rId1693" /><Relationship Type="http://schemas.openxmlformats.org/officeDocument/2006/relationships/hyperlink" Target="https://www.tcgplayer.com/product/484359" TargetMode="External" Id="rId1694" /><Relationship Type="http://schemas.openxmlformats.org/officeDocument/2006/relationships/hyperlink" Target="https://www.tcgplayer.com/product/484363" TargetMode="External" Id="rId1695" /><Relationship Type="http://schemas.openxmlformats.org/officeDocument/2006/relationships/hyperlink" Target="https://www.tcgplayer.com/product/484360" TargetMode="External" Id="rId1696" /><Relationship Type="http://schemas.openxmlformats.org/officeDocument/2006/relationships/hyperlink" Target="https://www.tcgplayer.com/product/633085" TargetMode="External" Id="rId1697" /><Relationship Type="http://schemas.openxmlformats.org/officeDocument/2006/relationships/hyperlink" Target="https://www.tcgplayer.com/product/497390" TargetMode="External" Id="rId1698" /><Relationship Type="http://schemas.openxmlformats.org/officeDocument/2006/relationships/hyperlink" Target="https://www.tcgplayer.com/product/497387" TargetMode="External" Id="rId1699" /><Relationship Type="http://schemas.openxmlformats.org/officeDocument/2006/relationships/hyperlink" Target="https://www.tcgplayer.com/product/497389" TargetMode="External" Id="rId1700" /><Relationship Type="http://schemas.openxmlformats.org/officeDocument/2006/relationships/hyperlink" Target="https://www.tcgplayer.com/product/497388" TargetMode="External" Id="rId1701" /><Relationship Type="http://schemas.openxmlformats.org/officeDocument/2006/relationships/hyperlink" Target="https://www.tcgplayer.com/product/509570" TargetMode="External" Id="rId1702" /><Relationship Type="http://schemas.openxmlformats.org/officeDocument/2006/relationships/hyperlink" Target="https://www.tcgplayer.com/product/543171" TargetMode="External" Id="rId1703" /><Relationship Type="http://schemas.openxmlformats.org/officeDocument/2006/relationships/hyperlink" Target="https://www.tcgplayer.com/product/504330" TargetMode="External" Id="rId1704" /><Relationship Type="http://schemas.openxmlformats.org/officeDocument/2006/relationships/hyperlink" Target="https://www.tcgplayer.com/product/504332" TargetMode="External" Id="rId1705" /><Relationship Type="http://schemas.openxmlformats.org/officeDocument/2006/relationships/hyperlink" Target="https://www.tcgplayer.com/product/504438" TargetMode="External" Id="rId1706" /><Relationship Type="http://schemas.openxmlformats.org/officeDocument/2006/relationships/hyperlink" Target="https://www.tcgplayer.com/product/517101" TargetMode="External" Id="rId1707" /><Relationship Type="http://schemas.openxmlformats.org/officeDocument/2006/relationships/hyperlink" Target="https://www.tcgplayer.com/product/544241" TargetMode="External" Id="rId1708" /><Relationship Type="http://schemas.openxmlformats.org/officeDocument/2006/relationships/hyperlink" Target="https://www.tcgplayer.com/product/544239" TargetMode="External" Id="rId1709" /><Relationship Type="http://schemas.openxmlformats.org/officeDocument/2006/relationships/hyperlink" Target="https://www.tcgplayer.com/product/562358" TargetMode="External" Id="rId1710" /><Relationship Type="http://schemas.openxmlformats.org/officeDocument/2006/relationships/hyperlink" Target="https://www.tcgplayer.com/product/562356" TargetMode="External" Id="rId1711" /><Relationship Type="http://schemas.openxmlformats.org/officeDocument/2006/relationships/hyperlink" Target="https://www.tcgplayer.com/product/562354" TargetMode="External" Id="rId1712" /><Relationship Type="http://schemas.openxmlformats.org/officeDocument/2006/relationships/hyperlink" Target="https://www.tcgplayer.com/product/562357" TargetMode="External" Id="rId1713" /><Relationship Type="http://schemas.openxmlformats.org/officeDocument/2006/relationships/hyperlink" Target="https://www.tcgplayer.com/product/562360" TargetMode="External" Id="rId1714" /><Relationship Type="http://schemas.openxmlformats.org/officeDocument/2006/relationships/hyperlink" Target="https://www.tcgplayer.com/product/575185" TargetMode="External" Id="rId1715" /><Relationship Type="http://schemas.openxmlformats.org/officeDocument/2006/relationships/hyperlink" Target="https://www.tcgplayer.com/product/621096" TargetMode="External" Id="rId1716" /><Relationship Type="http://schemas.openxmlformats.org/officeDocument/2006/relationships/hyperlink" Target="https://www.tcgplayer.com/product/179376" TargetMode="External" Id="rId1717" /><Relationship Type="http://schemas.openxmlformats.org/officeDocument/2006/relationships/hyperlink" Target="https://www.tcgplayer.com/product/253396" TargetMode="External" Id="rId1718" /><Relationship Type="http://schemas.openxmlformats.org/officeDocument/2006/relationships/hyperlink" Target="https://www.tcgplayer.com/product/260709" TargetMode="External" Id="rId1719" /><Relationship Type="http://schemas.openxmlformats.org/officeDocument/2006/relationships/hyperlink" Target="https://www.tcgplayer.com/product/683004" TargetMode="External" Id="rId1720" /><Relationship Type="http://schemas.openxmlformats.org/officeDocument/2006/relationships/hyperlink" Target="https://www.tcgplayer.com/product/245519" TargetMode="External" Id="rId1721" /><Relationship Type="http://schemas.openxmlformats.org/officeDocument/2006/relationships/hyperlink" Target="https://www.tcgplayer.com/product/245518" TargetMode="External" Id="rId1722" /><Relationship Type="http://schemas.openxmlformats.org/officeDocument/2006/relationships/hyperlink" Target="https://www.tcgplayer.com/product/245517" TargetMode="External" Id="rId1723" /><Relationship Type="http://schemas.openxmlformats.org/officeDocument/2006/relationships/hyperlink" Target="https://www.tcgplayer.com/product/245520" TargetMode="External" Id="rId1724" /><Relationship Type="http://schemas.openxmlformats.org/officeDocument/2006/relationships/hyperlink" Target="https://www.tcgplayer.com/product/245521" TargetMode="External" Id="rId1725" /><Relationship Type="http://schemas.openxmlformats.org/officeDocument/2006/relationships/hyperlink" Target="https://www.tcgplayer.com/product/210170" TargetMode="External" Id="rId1726" /><Relationship Type="http://schemas.openxmlformats.org/officeDocument/2006/relationships/hyperlink" Target="https://www.tcgplayer.com/product/214268" TargetMode="External" Id="rId1727" /><Relationship Type="http://schemas.openxmlformats.org/officeDocument/2006/relationships/hyperlink" Target="https://www.tcgplayer.com/product/198519" TargetMode="External" Id="rId1728" /><Relationship Type="http://schemas.openxmlformats.org/officeDocument/2006/relationships/hyperlink" Target="https://www.tcgplayer.com/product/587366" TargetMode="External" Id="rId1729" /><Relationship Type="http://schemas.openxmlformats.org/officeDocument/2006/relationships/hyperlink" Target="https://www.tcgplayer.com/product/688966" TargetMode="External" Id="rId1730" /><Relationship Type="http://schemas.openxmlformats.org/officeDocument/2006/relationships/hyperlink" Target="https://www.tcgplayer.com/product/231292" TargetMode="External" Id="rId1731" /><Relationship Type="http://schemas.openxmlformats.org/officeDocument/2006/relationships/hyperlink" Target="https://www.tcgplayer.com/product/271585" TargetMode="External" Id="rId1732" /><Relationship Type="http://schemas.openxmlformats.org/officeDocument/2006/relationships/hyperlink" Target="https://www.tcgplayer.com/product/516987" TargetMode="External" Id="rId1733" /><Relationship Type="http://schemas.openxmlformats.org/officeDocument/2006/relationships/hyperlink" Target="https://www.tcgplayer.com/product/198520" TargetMode="External" Id="rId1734" /><Relationship Type="http://schemas.openxmlformats.org/officeDocument/2006/relationships/hyperlink" Target="https://www.tcgplayer.com/product/587369" TargetMode="External" Id="rId1735" /><Relationship Type="http://schemas.openxmlformats.org/officeDocument/2006/relationships/hyperlink" Target="https://www.tcgplayer.com/product/181267" TargetMode="External" Id="rId1736" /><Relationship Type="http://schemas.openxmlformats.org/officeDocument/2006/relationships/hyperlink" Target="https://www.tcgplayer.com/product/587365" TargetMode="External" Id="rId1737" /><Relationship Type="http://schemas.openxmlformats.org/officeDocument/2006/relationships/hyperlink" Target="https://www.tcgplayer.com/product/688964" TargetMode="External" Id="rId1738" /><Relationship Type="http://schemas.openxmlformats.org/officeDocument/2006/relationships/hyperlink" Target="https://www.tcgplayer.com/product/198522" TargetMode="External" Id="rId1739" /><Relationship Type="http://schemas.openxmlformats.org/officeDocument/2006/relationships/hyperlink" Target="https://www.tcgplayer.com/product/587367" TargetMode="External" Id="rId1740" /><Relationship Type="http://schemas.openxmlformats.org/officeDocument/2006/relationships/hyperlink" Target="https://www.tcgplayer.com/product/688967" TargetMode="External" Id="rId1741" /><Relationship Type="http://schemas.openxmlformats.org/officeDocument/2006/relationships/hyperlink" Target="https://www.tcgplayer.com/product/181268" TargetMode="External" Id="rId1742" /><Relationship Type="http://schemas.openxmlformats.org/officeDocument/2006/relationships/hyperlink" Target="https://www.tcgplayer.com/product/668648" TargetMode="External" Id="rId1743" /><Relationship Type="http://schemas.openxmlformats.org/officeDocument/2006/relationships/hyperlink" Target="https://www.tcgplayer.com/product/688968" TargetMode="External" Id="rId1744" /><Relationship Type="http://schemas.openxmlformats.org/officeDocument/2006/relationships/hyperlink" Target="https://www.tcgplayer.com/product/210169" TargetMode="External" Id="rId1745" /><Relationship Type="http://schemas.openxmlformats.org/officeDocument/2006/relationships/hyperlink" Target="https://www.tcgplayer.com/product/587368" TargetMode="External" Id="rId1746" /><Relationship Type="http://schemas.openxmlformats.org/officeDocument/2006/relationships/hyperlink" Target="https://www.tcgplayer.com/product/688965" TargetMode="External" Id="rId1747" /><Relationship Type="http://schemas.openxmlformats.org/officeDocument/2006/relationships/hyperlink" Target="https://www.tcgplayer.com/product/668590" TargetMode="External" Id="rId1748" /><Relationship Type="http://schemas.openxmlformats.org/officeDocument/2006/relationships/hyperlink" Target="https://www.tcgplayer.com/product/541175" TargetMode="External" Id="rId1749" /><Relationship Type="http://schemas.openxmlformats.org/officeDocument/2006/relationships/hyperlink" Target="https://www.tcgplayer.com/product/260866" TargetMode="External" Id="rId1750" /><Relationship Type="http://schemas.openxmlformats.org/officeDocument/2006/relationships/hyperlink" Target="https://www.tcgplayer.com/product/541171" TargetMode="External" Id="rId1751" /><Relationship Type="http://schemas.openxmlformats.org/officeDocument/2006/relationships/hyperlink" Target="https://www.tcgplayer.com/product/616296" TargetMode="External" Id="rId1752" /><Relationship Type="http://schemas.openxmlformats.org/officeDocument/2006/relationships/hyperlink" Target="https://www.tcgplayer.com/product/616295" TargetMode="External" Id="rId1753" /><Relationship Type="http://schemas.openxmlformats.org/officeDocument/2006/relationships/hyperlink" Target="https://www.tcgplayer.com/product/541168" TargetMode="External" Id="rId1754" /><Relationship Type="http://schemas.openxmlformats.org/officeDocument/2006/relationships/hyperlink" Target="https://www.tcgplayer.com/product/616294" TargetMode="External" Id="rId1755" /><Relationship Type="http://schemas.openxmlformats.org/officeDocument/2006/relationships/hyperlink" Target="https://www.tcgplayer.com/product/260865" TargetMode="External" Id="rId1756" /><Relationship Type="http://schemas.openxmlformats.org/officeDocument/2006/relationships/hyperlink" Target="https://www.tcgplayer.com/product/260869" TargetMode="External" Id="rId1757" /><Relationship Type="http://schemas.openxmlformats.org/officeDocument/2006/relationships/hyperlink" Target="https://www.tcgplayer.com/product/541205" TargetMode="External" Id="rId1758" /><Relationship Type="http://schemas.openxmlformats.org/officeDocument/2006/relationships/hyperlink" Target="https://www.tcgplayer.com/product/260868" TargetMode="External" Id="rId1759" /><Relationship Type="http://schemas.openxmlformats.org/officeDocument/2006/relationships/hyperlink" Target="https://www.tcgplayer.com/product/616297" TargetMode="External" Id="rId1760" /><Relationship Type="http://schemas.openxmlformats.org/officeDocument/2006/relationships/hyperlink" Target="https://www.tcgplayer.com/product/209322" TargetMode="External" Id="rId1761" /><Relationship Type="http://schemas.openxmlformats.org/officeDocument/2006/relationships/hyperlink" Target="https://www.tcgplayer.com/product/644852" TargetMode="External" Id="rId1762" /><Relationship Type="http://schemas.openxmlformats.org/officeDocument/2006/relationships/hyperlink" Target="https://www.tcgplayer.com/product/648365" TargetMode="External" Id="rId1763" /><Relationship Type="http://schemas.openxmlformats.org/officeDocument/2006/relationships/hyperlink" Target="https://www.tcgplayer.com/product/268713" TargetMode="External" Id="rId1764" /><Relationship Type="http://schemas.openxmlformats.org/officeDocument/2006/relationships/hyperlink" Target="https://www.tcgplayer.com/product/670267" TargetMode="External" Id="rId1765" /><Relationship Type="http://schemas.openxmlformats.org/officeDocument/2006/relationships/hyperlink" Target="https://www.tcgplayer.com/product/248208" TargetMode="External" Id="rId1766" /><Relationship Type="http://schemas.openxmlformats.org/officeDocument/2006/relationships/hyperlink" Target="https://www.tcgplayer.com/product/666512" TargetMode="External" Id="rId1767" /><Relationship Type="http://schemas.openxmlformats.org/officeDocument/2006/relationships/hyperlink" Target="https://www.tcgplayer.com/product/616737" TargetMode="External" Id="rId1768" /><Relationship Type="http://schemas.openxmlformats.org/officeDocument/2006/relationships/hyperlink" Target="https://www.tcgplayer.com/product/218438" TargetMode="External" Id="rId1769" /><Relationship Type="http://schemas.openxmlformats.org/officeDocument/2006/relationships/hyperlink" Target="https://www.tcgplayer.com/product/653899" TargetMode="External" Id="rId1770" /><Relationship Type="http://schemas.openxmlformats.org/officeDocument/2006/relationships/hyperlink" Target="https://www.tcgplayer.com/product/286619" TargetMode="External" Id="rId1771" /><Relationship Type="http://schemas.openxmlformats.org/officeDocument/2006/relationships/hyperlink" Target="https://www.tcgplayer.com/product/262642" TargetMode="External" Id="rId1772" /><Relationship Type="http://schemas.openxmlformats.org/officeDocument/2006/relationships/hyperlink" Target="https://www.tcgplayer.com/product/262638" TargetMode="External" Id="rId1773" /><Relationship Type="http://schemas.openxmlformats.org/officeDocument/2006/relationships/hyperlink" Target="https://www.tcgplayer.com/product/262639" TargetMode="External" Id="rId1774" /><Relationship Type="http://schemas.openxmlformats.org/officeDocument/2006/relationships/hyperlink" Target="https://www.tcgplayer.com/product/263258" TargetMode="External" Id="rId1775" /><Relationship Type="http://schemas.openxmlformats.org/officeDocument/2006/relationships/hyperlink" Target="https://www.tcgplayer.com/product/262640" TargetMode="External" Id="rId1776" /><Relationship Type="http://schemas.openxmlformats.org/officeDocument/2006/relationships/hyperlink" Target="https://www.tcgplayer.com/product/532539" TargetMode="External" Id="rId1777" /><Relationship Type="http://schemas.openxmlformats.org/officeDocument/2006/relationships/hyperlink" Target="https://www.tcgplayer.com/product/623647" TargetMode="External" Id="rId1778" /><Relationship Type="http://schemas.openxmlformats.org/officeDocument/2006/relationships/hyperlink" Target="https://www.tcgplayer.com/product/623648" TargetMode="External" Id="rId1779" /><Relationship Type="http://schemas.openxmlformats.org/officeDocument/2006/relationships/hyperlink" Target="https://www.tcgplayer.com/product/226128" TargetMode="External" Id="rId1780" /><Relationship Type="http://schemas.openxmlformats.org/officeDocument/2006/relationships/hyperlink" Target="https://www.tcgplayer.com/product/653192" TargetMode="External" Id="rId1781" /><Relationship Type="http://schemas.openxmlformats.org/officeDocument/2006/relationships/hyperlink" Target="https://www.tcgplayer.com/product/662770" TargetMode="External" Id="rId1782" /><Relationship Type="http://schemas.openxmlformats.org/officeDocument/2006/relationships/hyperlink" Target="https://www.tcgplayer.com/product/261779" TargetMode="External" Id="rId1783" /><Relationship Type="http://schemas.openxmlformats.org/officeDocument/2006/relationships/hyperlink" Target="https://www.tcgplayer.com/product/265252" TargetMode="External" Id="rId1784" /><Relationship Type="http://schemas.openxmlformats.org/officeDocument/2006/relationships/hyperlink" Target="https://www.tcgplayer.com/product/229748" TargetMode="External" Id="rId1785" /><Relationship Type="http://schemas.openxmlformats.org/officeDocument/2006/relationships/hyperlink" Target="https://www.tcgplayer.com/product/229747" TargetMode="External" Id="rId1786" /><Relationship Type="http://schemas.openxmlformats.org/officeDocument/2006/relationships/hyperlink" Target="https://www.tcgplayer.com/product/497870" TargetMode="External" Id="rId1787" /><Relationship Type="http://schemas.openxmlformats.org/officeDocument/2006/relationships/hyperlink" Target="https://www.tcgplayer.com/product/226136" TargetMode="External" Id="rId1788" /><Relationship Type="http://schemas.openxmlformats.org/officeDocument/2006/relationships/hyperlink" Target="https://www.tcgplayer.com/product/200172" TargetMode="External" Id="rId1789" /><Relationship Type="http://schemas.openxmlformats.org/officeDocument/2006/relationships/hyperlink" Target="https://www.tcgplayer.com/product/209532" TargetMode="External" Id="rId1790" /><Relationship Type="http://schemas.openxmlformats.org/officeDocument/2006/relationships/hyperlink" Target="https://www.tcgplayer.com/product/209533" TargetMode="External" Id="rId1791" /><Relationship Type="http://schemas.openxmlformats.org/officeDocument/2006/relationships/hyperlink" Target="https://www.tcgplayer.com/product/230426" TargetMode="External" Id="rId1792" /><Relationship Type="http://schemas.openxmlformats.org/officeDocument/2006/relationships/hyperlink" Target="https://www.tcgplayer.com/product/653216" TargetMode="External" Id="rId1793" /><Relationship Type="http://schemas.openxmlformats.org/officeDocument/2006/relationships/hyperlink" Target="https://www.tcgplayer.com/product/649193" TargetMode="External" Id="rId1794" /><Relationship Type="http://schemas.openxmlformats.org/officeDocument/2006/relationships/hyperlink" Target="https://www.tcgplayer.com/product/649194" TargetMode="External" Id="rId1795" /><Relationship Type="http://schemas.openxmlformats.org/officeDocument/2006/relationships/hyperlink" Target="https://www.tcgplayer.com/product/649199" TargetMode="External" Id="rId1796" /><Relationship Type="http://schemas.openxmlformats.org/officeDocument/2006/relationships/hyperlink" Target="https://www.tcgplayer.com/product/649195" TargetMode="External" Id="rId1797" /><Relationship Type="http://schemas.openxmlformats.org/officeDocument/2006/relationships/hyperlink" Target="https://www.tcgplayer.com/product/649197" TargetMode="External" Id="rId1798" /><Relationship Type="http://schemas.openxmlformats.org/officeDocument/2006/relationships/hyperlink" Target="https://www.tcgplayer.com/product/625695" TargetMode="External" Id="rId1799" /><Relationship Type="http://schemas.openxmlformats.org/officeDocument/2006/relationships/hyperlink" Target="https://www.tcgplayer.com/product/656997" TargetMode="External" Id="rId1800" /><Relationship Type="http://schemas.openxmlformats.org/officeDocument/2006/relationships/hyperlink" Target="https://www.tcgplayer.com/product/594539" TargetMode="External" Id="rId1801" /><Relationship Type="http://schemas.openxmlformats.org/officeDocument/2006/relationships/hyperlink" Target="https://www.tcgplayer.com/product/575198" TargetMode="External" Id="rId1802" /><Relationship Type="http://schemas.openxmlformats.org/officeDocument/2006/relationships/hyperlink" Target="https://www.tcgplayer.com/product/477255" TargetMode="External" Id="rId1803" /><Relationship Type="http://schemas.openxmlformats.org/officeDocument/2006/relationships/hyperlink" Target="https://www.tcgplayer.com/product/477254" TargetMode="External" Id="rId1804" /><Relationship Type="http://schemas.openxmlformats.org/officeDocument/2006/relationships/hyperlink" Target="https://www.tcgplayer.com/product/591146" TargetMode="External" Id="rId1805" /><Relationship Type="http://schemas.openxmlformats.org/officeDocument/2006/relationships/hyperlink" Target="https://www.tcgplayer.com/product/591147" TargetMode="External" Id="rId1806" /><Relationship Type="http://schemas.openxmlformats.org/officeDocument/2006/relationships/hyperlink" Target="https://www.tcgplayer.com/product/591145" TargetMode="External" Id="rId1807" /><Relationship Type="http://schemas.openxmlformats.org/officeDocument/2006/relationships/hyperlink" Target="https://www.tcgplayer.com/product/648588" TargetMode="External" Id="rId1808" /><Relationship Type="http://schemas.openxmlformats.org/officeDocument/2006/relationships/hyperlink" Target="https://www.tcgplayer.com/product/596518" TargetMode="External" Id="rId1809" /><Relationship Type="http://schemas.openxmlformats.org/officeDocument/2006/relationships/hyperlink" Target="https://www.tcgplayer.com/product/280864" TargetMode="External" Id="rId1810" /><Relationship Type="http://schemas.openxmlformats.org/officeDocument/2006/relationships/hyperlink" Target="https://www.tcgplayer.com/product/263542" TargetMode="External" Id="rId1811" /><Relationship Type="http://schemas.openxmlformats.org/officeDocument/2006/relationships/hyperlink" Target="https://www.tcgplayer.com/product/245728" TargetMode="External" Id="rId1812" /><Relationship Type="http://schemas.openxmlformats.org/officeDocument/2006/relationships/hyperlink" Target="https://www.tcgplayer.com/product/230394" TargetMode="External" Id="rId1813" /><Relationship Type="http://schemas.openxmlformats.org/officeDocument/2006/relationships/hyperlink" Target="https://www.tcgplayer.com/product/233354" TargetMode="External" Id="rId1814" /><Relationship Type="http://schemas.openxmlformats.org/officeDocument/2006/relationships/hyperlink" Target="https://www.tcgplayer.com/product/230402" TargetMode="External" Id="rId1815" /><Relationship Type="http://schemas.openxmlformats.org/officeDocument/2006/relationships/hyperlink" Target="https://www.tcgplayer.com/product/230403" TargetMode="External" Id="rId1816" /><Relationship Type="http://schemas.openxmlformats.org/officeDocument/2006/relationships/hyperlink" Target="https://www.tcgplayer.com/product/262969" TargetMode="External" Id="rId1817" /><Relationship Type="http://schemas.openxmlformats.org/officeDocument/2006/relationships/hyperlink" Target="https://www.tcgplayer.com/product/270153" TargetMode="External" Id="rId1818" /><Relationship Type="http://schemas.openxmlformats.org/officeDocument/2006/relationships/hyperlink" Target="https://www.tcgplayer.com/product/262972" TargetMode="External" Id="rId1819" /><Relationship Type="http://schemas.openxmlformats.org/officeDocument/2006/relationships/hyperlink" Target="https://www.tcgplayer.com/product/270154" TargetMode="External" Id="rId1820" /><Relationship Type="http://schemas.openxmlformats.org/officeDocument/2006/relationships/hyperlink" Target="https://www.tcgplayer.com/product/262970" TargetMode="External" Id="rId1821" /><Relationship Type="http://schemas.openxmlformats.org/officeDocument/2006/relationships/hyperlink" Target="https://www.tcgplayer.com/product/270151" TargetMode="External" Id="rId1822" /><Relationship Type="http://schemas.openxmlformats.org/officeDocument/2006/relationships/hyperlink" Target="https://www.tcgplayer.com/product/262971" TargetMode="External" Id="rId1823" /><Relationship Type="http://schemas.openxmlformats.org/officeDocument/2006/relationships/hyperlink" Target="https://www.tcgplayer.com/product/270152" TargetMode="External" Id="rId1824" /><Relationship Type="http://schemas.openxmlformats.org/officeDocument/2006/relationships/hyperlink" Target="https://www.tcgplayer.com/product/220310" TargetMode="External" Id="rId1825" /><Relationship Type="http://schemas.openxmlformats.org/officeDocument/2006/relationships/hyperlink" Target="https://www.tcgplayer.com/product/256831" TargetMode="External" Id="rId1826" /><Relationship Type="http://schemas.openxmlformats.org/officeDocument/2006/relationships/hyperlink" Target="https://www.tcgplayer.com/product/220311" TargetMode="External" Id="rId1827" /><Relationship Type="http://schemas.openxmlformats.org/officeDocument/2006/relationships/hyperlink" Target="https://www.tcgplayer.com/product/256832" TargetMode="External" Id="rId1828" /><Relationship Type="http://schemas.openxmlformats.org/officeDocument/2006/relationships/hyperlink" Target="https://www.tcgplayer.com/product/220308" TargetMode="External" Id="rId1829" /><Relationship Type="http://schemas.openxmlformats.org/officeDocument/2006/relationships/hyperlink" Target="https://www.tcgplayer.com/product/256830" TargetMode="External" Id="rId1830" /><Relationship Type="http://schemas.openxmlformats.org/officeDocument/2006/relationships/hyperlink" Target="https://www.tcgplayer.com/product/221761" TargetMode="External" Id="rId1831" /><Relationship Type="http://schemas.openxmlformats.org/officeDocument/2006/relationships/hyperlink" Target="https://www.tcgplayer.com/product/256833" TargetMode="External" Id="rId1832" /><Relationship Type="http://schemas.openxmlformats.org/officeDocument/2006/relationships/hyperlink" Target="https://www.tcgplayer.com/product/249689" TargetMode="External" Id="rId1833" /><Relationship Type="http://schemas.openxmlformats.org/officeDocument/2006/relationships/hyperlink" Target="https://www.tcgplayer.com/product/635621" TargetMode="External" Id="rId1834" /><Relationship Type="http://schemas.openxmlformats.org/officeDocument/2006/relationships/hyperlink" Target="https://www.tcgplayer.com/product/231294" TargetMode="External" Id="rId1835" /><Relationship Type="http://schemas.openxmlformats.org/officeDocument/2006/relationships/hyperlink" Target="https://www.tcgplayer.com/product/554181" TargetMode="External" Id="rId1836" /><Relationship Type="http://schemas.openxmlformats.org/officeDocument/2006/relationships/hyperlink" Target="https://www.tcgplayer.com/product/554183" TargetMode="External" Id="rId1837" /><Relationship Type="http://schemas.openxmlformats.org/officeDocument/2006/relationships/hyperlink" Target="https://www.tcgplayer.com/product/554179" TargetMode="External" Id="rId1838" /><Relationship Type="http://schemas.openxmlformats.org/officeDocument/2006/relationships/hyperlink" Target="https://www.tcgplayer.com/product/554180" TargetMode="External" Id="rId1839" /><Relationship Type="http://schemas.openxmlformats.org/officeDocument/2006/relationships/hyperlink" Target="https://www.tcgplayer.com/product/554182" TargetMode="External" Id="rId1840" /><Relationship Type="http://schemas.openxmlformats.org/officeDocument/2006/relationships/hyperlink" Target="https://www.tcgplayer.com/product/280847" TargetMode="External" Id="rId1841" /><Relationship Type="http://schemas.openxmlformats.org/officeDocument/2006/relationships/hyperlink" Target="https://www.tcgplayer.com/product/287228" TargetMode="External" Id="rId1842" /><Relationship Type="http://schemas.openxmlformats.org/officeDocument/2006/relationships/hyperlink" Target="https://www.tcgplayer.com/product/282003" TargetMode="External" Id="rId1843" /><Relationship Type="http://schemas.openxmlformats.org/officeDocument/2006/relationships/hyperlink" Target="https://www.pricecharting.com/game/pokemon-neo-destiny/2-pack-blister" TargetMode="External" Id="rId1844" /><Relationship Type="http://schemas.openxmlformats.org/officeDocument/2006/relationships/hyperlink" Target="https://www.pricecharting.com/game/pokemon-neo-discovery/2-pack-blister" TargetMode="External" Id="rId1845" /><Relationship Type="http://schemas.openxmlformats.org/officeDocument/2006/relationships/hyperlink" Target="https://www.pricecharting.com/game/pokemon-neo-genesis/2-pack-blister" TargetMode="External" Id="rId1846" /><Relationship Type="http://schemas.openxmlformats.org/officeDocument/2006/relationships/hyperlink" Target="https://www.tcgplayer.com/product/703888" TargetMode="External" Id="rId1847" /><Relationship Type="http://schemas.openxmlformats.org/officeDocument/2006/relationships/hyperlink" Target="https://www.pricecharting.com/game/pokemon-neo-revelation/2-pack-blister" TargetMode="External" Id="rId1848" /><Relationship Type="http://schemas.openxmlformats.org/officeDocument/2006/relationships/hyperlink" Target="https://www.tcgplayer.com/product/98637" TargetMode="External" Id="rId1849" /><Relationship Type="http://schemas.openxmlformats.org/officeDocument/2006/relationships/hyperlink" Target="https://www.pricecharting.com/game/pokemon-next-destinies/2-pack-blister" TargetMode="External" Id="rId1850" /><Relationship Type="http://schemas.openxmlformats.org/officeDocument/2006/relationships/hyperlink" Target="https://www.pricecharting.com/game/pokemon-next-destinies/black-kyurem-box" TargetMode="External" Id="rId1851" /><Relationship Type="http://schemas.openxmlformats.org/officeDocument/2006/relationships/hyperlink" Target="https://www.pricecharting.com/game/pokemon-noble-victories/scraggy-2-pack-blister" TargetMode="External" Id="rId1852" /><Relationship Type="http://schemas.openxmlformats.org/officeDocument/2006/relationships/hyperlink" Target="https://www.pricecharting.com/game/pokemon-obsidian-flames/eevee-3-pack-blister" TargetMode="External" Id="rId1853" /><Relationship Type="http://schemas.openxmlformats.org/officeDocument/2006/relationships/hyperlink" Target="https://www.pricecharting.com/game/pokemon-obsidian-flames/elite-trainer-box-pokemon-center" TargetMode="External" Id="rId1854" /><Relationship Type="http://schemas.openxmlformats.org/officeDocument/2006/relationships/hyperlink" Target="https://www.pricecharting.com/game/pokemon-obsidian-flames/gyarados-ex-premium-collection" TargetMode="External" Id="rId1855" /><Relationship Type="http://schemas.openxmlformats.org/officeDocument/2006/relationships/hyperlink" Target="https://www.pricecharting.com/game/pokemon-obsidian-flames/hanger-box" TargetMode="External" Id="rId1856" /><Relationship Type="http://schemas.openxmlformats.org/officeDocument/2006/relationships/hyperlink" Target="https://www.pricecharting.com/game/pokemon-paldea-evolved/elite-trainer-box-pokemon-center" TargetMode="External" Id="rId1857" /><Relationship Type="http://schemas.openxmlformats.org/officeDocument/2006/relationships/hyperlink" Target="https://www.pricecharting.com/game/pokemon-paldea-evolved/koraidon-ex-tin" TargetMode="External" Id="rId1858" /><Relationship Type="http://schemas.openxmlformats.org/officeDocument/2006/relationships/hyperlink" Target="https://www.pricecharting.com/game/pokemon-paldea-evolved/paldea-legends-koraidon-tin" TargetMode="External" Id="rId1859" /><Relationship Type="http://schemas.openxmlformats.org/officeDocument/2006/relationships/hyperlink" Target="https://www.pricecharting.com/game/pokemon-paldea-evolved/paldea-legends-miraidon-tin" TargetMode="External" Id="rId1860" /><Relationship Type="http://schemas.openxmlformats.org/officeDocument/2006/relationships/hyperlink" Target="https://www.pricecharting.com/game/pokemon-paldean-fates/5-mini-tin-set" TargetMode="External" Id="rId1861" /><Relationship Type="http://schemas.openxmlformats.org/officeDocument/2006/relationships/hyperlink" Target="https://www.pricecharting.com/game/pokemon-paldean-fates/elite-trainer-box-pokemon-center" TargetMode="External" Id="rId1862" /><Relationship Type="http://schemas.openxmlformats.org/officeDocument/2006/relationships/hyperlink" Target="https://www.pricecharting.com/game/pokemon-paldean-fates/international-tin-iron-treads-ex" TargetMode="External" Id="rId1863" /><Relationship Type="http://schemas.openxmlformats.org/officeDocument/2006/relationships/hyperlink" Target="https://www.pricecharting.com/game/pokemon-paldean-fates/meowscarada-ex-premium-collection-box" TargetMode="External" Id="rId1864" /><Relationship Type="http://schemas.openxmlformats.org/officeDocument/2006/relationships/hyperlink" Target="https://www.pricecharting.com/game/pokemon-paldean-fates/quaquaval-ex-premium-collection-box" TargetMode="External" Id="rId1865" /><Relationship Type="http://schemas.openxmlformats.org/officeDocument/2006/relationships/hyperlink" Target="https://www.pricecharting.com/game/pokemon-paldean-fates/sealed-charizard-ex-tin" TargetMode="External" Id="rId1866" /><Relationship Type="http://schemas.openxmlformats.org/officeDocument/2006/relationships/hyperlink" Target="https://www.pricecharting.com/game/pokemon-paldean-fates/sealed-great-tusk-ex-tin" TargetMode="External" Id="rId1867" /><Relationship Type="http://schemas.openxmlformats.org/officeDocument/2006/relationships/hyperlink" Target="https://www.pricecharting.com/game/pokemon-paldean-fates/sealed-iron-treads-ex-tin" TargetMode="External" Id="rId1868" /><Relationship Type="http://schemas.openxmlformats.org/officeDocument/2006/relationships/hyperlink" Target="https://www.pricecharting.com/game/pokemon-paldean-fates/skeledirge-ex-premium-collection-box" TargetMode="External" Id="rId1869" /><Relationship Type="http://schemas.openxmlformats.org/officeDocument/2006/relationships/hyperlink" Target="https://www.pricecharting.com/game/pokemon-paradox-rift/arctibax-3-pack-blister" TargetMode="External" Id="rId1870" /><Relationship Type="http://schemas.openxmlformats.org/officeDocument/2006/relationships/hyperlink" Target="https://www.pricecharting.com/game/pokemon-paradox-rift/combined-powers-premium-collection-box" TargetMode="External" Id="rId1871" /><Relationship Type="http://schemas.openxmlformats.org/officeDocument/2006/relationships/hyperlink" Target="https://www.pricecharting.com/game/pokemon-paradox-rift/elite-trainer-box-iron-valiant-pokemon-center" TargetMode="External" Id="rId1872" /><Relationship Type="http://schemas.openxmlformats.org/officeDocument/2006/relationships/hyperlink" Target="https://www.pricecharting.com/game/pokemon-paradox-rift/elite-trainer-box-roaring-moon-pokemon-center" TargetMode="External" Id="rId1873" /><Relationship Type="http://schemas.openxmlformats.org/officeDocument/2006/relationships/hyperlink" Target="https://www.pricecharting.com/game/pokemon-paradox-rift/triple-whammy-tin-darkrai" TargetMode="External" Id="rId1874" /><Relationship Type="http://schemas.openxmlformats.org/officeDocument/2006/relationships/hyperlink" Target="https://www.pricecharting.com/game/pokemon-paradox-rift/triple-whammy-tin-slaking" TargetMode="External" Id="rId1875" /><Relationship Type="http://schemas.openxmlformats.org/officeDocument/2006/relationships/hyperlink" Target="https://www.pricecharting.com/game/pokemon-paradox-rift/triple-whammy-tin-tyranitar" TargetMode="External" Id="rId1876" /><Relationship Type="http://schemas.openxmlformats.org/officeDocument/2006/relationships/hyperlink" Target="https://www.pricecharting.com/game/pokemon-perfect-order/booster-bundle" TargetMode="External" Id="rId1877" /><Relationship Type="http://schemas.openxmlformats.org/officeDocument/2006/relationships/hyperlink" Target="https://www.pricecharting.com/game/pokemon-perfect-order/build-&amp;-battle-box" TargetMode="External" Id="rId1878" /><Relationship Type="http://schemas.openxmlformats.org/officeDocument/2006/relationships/hyperlink" Target="https://www.pricecharting.com/game/pokemon-perfect-order/elite-trainer-box" TargetMode="External" Id="rId1879" /><Relationship Type="http://schemas.openxmlformats.org/officeDocument/2006/relationships/hyperlink" Target="https://www.pricecharting.com/game/pokemon-perfect-order/elite-trainer-box-pokemon-center" TargetMode="External" Id="rId1880" /><Relationship Type="http://schemas.openxmlformats.org/officeDocument/2006/relationships/hyperlink" Target="https://www.pricecharting.com/game/pokemon-phantasmal-flames/booster-bundle" TargetMode="External" Id="rId1881" /><Relationship Type="http://schemas.openxmlformats.org/officeDocument/2006/relationships/hyperlink" Target="https://www.pricecharting.com/game/pokemon-phantasmal-flames/build-&amp;-battle-box" TargetMode="External" Id="rId1882" /><Relationship Type="http://schemas.openxmlformats.org/officeDocument/2006/relationships/hyperlink" Target="https://www.pricecharting.com/game/pokemon-phantasmal-flames/elite-trainer-box" TargetMode="External" Id="rId1883" /><Relationship Type="http://schemas.openxmlformats.org/officeDocument/2006/relationships/hyperlink" Target="https://www.pricecharting.com/game/pokemon-phantasmal-flames/elite-trainer-box-pokemon-center" TargetMode="External" Id="rId1884" /><Relationship Type="http://schemas.openxmlformats.org/officeDocument/2006/relationships/hyperlink" Target="https://www.pricecharting.com/game/pokemon-phantasmal-flames/mega-charizard-x-ex-ultra-premium-collection" TargetMode="External" Id="rId1885" /><Relationship Type="http://schemas.openxmlformats.org/officeDocument/2006/relationships/hyperlink" Target="https://www.pricecharting.com/game/pokemon-phantom-forces/3-pack-blister" TargetMode="External" Id="rId1886" /><Relationship Type="http://schemas.openxmlformats.org/officeDocument/2006/relationships/hyperlink" Target="https://www.tcgplayer.com/product/215162" TargetMode="External" Id="rId1887" /><Relationship Type="http://schemas.openxmlformats.org/officeDocument/2006/relationships/hyperlink" Target="https://www.pricecharting.com/game/pokemon-pitch-black/3-pack-blister" TargetMode="External" Id="rId1888" /><Relationship Type="http://schemas.openxmlformats.org/officeDocument/2006/relationships/hyperlink" Target="https://www.pricecharting.com/game/pokemon-pitch-black/booster-bundle" TargetMode="External" Id="rId1889" /><Relationship Type="http://schemas.openxmlformats.org/officeDocument/2006/relationships/hyperlink" Target="https://www.pricecharting.com/game/pokemon-pitch-black/build-&amp;-battle-box" TargetMode="External" Id="rId1890" /><Relationship Type="http://schemas.openxmlformats.org/officeDocument/2006/relationships/hyperlink" Target="https://www.pricecharting.com/game/pokemon-pitch-black/elite-trainer-box" TargetMode="External" Id="rId1891" /><Relationship Type="http://schemas.openxmlformats.org/officeDocument/2006/relationships/hyperlink" Target="https://www.pricecharting.com/game/pokemon-pitch-black/elite-trainer-box-pokemon-center" TargetMode="External" Id="rId1892" /><Relationship Type="http://schemas.openxmlformats.org/officeDocument/2006/relationships/hyperlink" Target="https://www.pricecharting.com/game/pokemon-plasma-blast/elite-trainer-box" TargetMode="External" Id="rId1893" /><Relationship Type="http://schemas.openxmlformats.org/officeDocument/2006/relationships/hyperlink" Target="https://www.tcgplayer.com/product/137096" TargetMode="External" Id="rId1894" /><Relationship Type="http://schemas.openxmlformats.org/officeDocument/2006/relationships/hyperlink" Target="https://www.tcgplayer.com/product/137095" TargetMode="External" Id="rId1895" /><Relationship Type="http://schemas.openxmlformats.org/officeDocument/2006/relationships/hyperlink" Target="https://www.pricecharting.com/game/pokemon-plasma-storm/2-pack-blister" TargetMode="External" Id="rId1896" /><Relationship Type="http://schemas.openxmlformats.org/officeDocument/2006/relationships/hyperlink" Target="https://www.pricecharting.com/game/pokemon-plasma-storm/elite-trainer-box" TargetMode="External" Id="rId1897" /><Relationship Type="http://schemas.openxmlformats.org/officeDocument/2006/relationships/hyperlink" Target="https://www.pricecharting.com/game/pokemon-plasma-storm/garchomp-ex-collection-box" TargetMode="External" Id="rId1898" /><Relationship Type="http://schemas.openxmlformats.org/officeDocument/2006/relationships/hyperlink" Target="https://www.pricecharting.com/game/pokemon-platinum/platinum-series-collection" TargetMode="External" Id="rId1899" /><Relationship Type="http://schemas.openxmlformats.org/officeDocument/2006/relationships/hyperlink" Target="https://www.tcgplayer.com/product/270716" TargetMode="External" Id="rId1900" /><Relationship Type="http://schemas.openxmlformats.org/officeDocument/2006/relationships/hyperlink" Target="https://www.tcgplayer.com/product/270708" TargetMode="External" Id="rId1901" /><Relationship Type="http://schemas.openxmlformats.org/officeDocument/2006/relationships/hyperlink" Target="https://www.tcgplayer.com/product/270729" TargetMode="External" Id="rId1902" /><Relationship Type="http://schemas.openxmlformats.org/officeDocument/2006/relationships/hyperlink" Target="https://www.tcgplayer.com/product/270731" TargetMode="External" Id="rId1903" /><Relationship Type="http://schemas.openxmlformats.org/officeDocument/2006/relationships/hyperlink" Target="https://www.tcgplayer.com/product/270728" TargetMode="External" Id="rId1904" /><Relationship Type="http://schemas.openxmlformats.org/officeDocument/2006/relationships/hyperlink" Target="https://www.tcgplayer.com/product/270730" TargetMode="External" Id="rId1905" /><Relationship Type="http://schemas.openxmlformats.org/officeDocument/2006/relationships/hyperlink" Target="https://www.tcgplayer.com/product/270732" TargetMode="External" Id="rId1906" /><Relationship Type="http://schemas.openxmlformats.org/officeDocument/2006/relationships/hyperlink" Target="https://www.tcgplayer.com/product/275825" TargetMode="External" Id="rId1907" /><Relationship Type="http://schemas.openxmlformats.org/officeDocument/2006/relationships/hyperlink" Target="https://www.tcgplayer.com/product/275826" TargetMode="External" Id="rId1908" /><Relationship Type="http://schemas.openxmlformats.org/officeDocument/2006/relationships/hyperlink" Target="https://www.tcgplayer.com/product/275827" TargetMode="External" Id="rId1909" /><Relationship Type="http://schemas.openxmlformats.org/officeDocument/2006/relationships/hyperlink" Target="https://www.tcgplayer.com/product/270733" TargetMode="External" Id="rId1910" /><Relationship Type="http://schemas.openxmlformats.org/officeDocument/2006/relationships/hyperlink" Target="https://www.tcgplayer.com/product/270735" TargetMode="External" Id="rId1911" /><Relationship Type="http://schemas.openxmlformats.org/officeDocument/2006/relationships/hyperlink" Target="https://www.tcgplayer.com/product/270709" TargetMode="External" Id="rId1912" /><Relationship Type="http://schemas.openxmlformats.org/officeDocument/2006/relationships/hyperlink" Target="https://www.tcgplayer.com/product/270717" TargetMode="External" Id="rId1913" /><Relationship Type="http://schemas.openxmlformats.org/officeDocument/2006/relationships/hyperlink" Target="https://www.tcgplayer.com/product/270713" TargetMode="External" Id="rId1914" /><Relationship Type="http://schemas.openxmlformats.org/officeDocument/2006/relationships/hyperlink" Target="https://www.tcgplayer.com/product/270714" TargetMode="External" Id="rId1915" /><Relationship Type="http://schemas.openxmlformats.org/officeDocument/2006/relationships/hyperlink" Target="https://www.tcgplayer.com/product/270715" TargetMode="External" Id="rId1916" /><Relationship Type="http://schemas.openxmlformats.org/officeDocument/2006/relationships/hyperlink" Target="https://www.tcgplayer.com/product/271502" TargetMode="External" Id="rId1917" /><Relationship Type="http://schemas.openxmlformats.org/officeDocument/2006/relationships/hyperlink" Target="https://www.tcgplayer.com/product/270725" TargetMode="External" Id="rId1918" /><Relationship Type="http://schemas.openxmlformats.org/officeDocument/2006/relationships/hyperlink" Target="https://www.tcgplayer.com/product/270726" TargetMode="External" Id="rId1919" /><Relationship Type="http://schemas.openxmlformats.org/officeDocument/2006/relationships/hyperlink" Target="https://www.tcgplayer.com/product/271503" TargetMode="External" Id="rId1920" /><Relationship Type="http://schemas.openxmlformats.org/officeDocument/2006/relationships/hyperlink" Target="https://www.tcgplayer.com/product/270727" TargetMode="External" Id="rId1921" /><Relationship Type="http://schemas.openxmlformats.org/officeDocument/2006/relationships/hyperlink" Target="https://www.tcgplayer.com/product/270712" TargetMode="External" Id="rId1922" /><Relationship Type="http://schemas.openxmlformats.org/officeDocument/2006/relationships/hyperlink" Target="https://www.pricecharting.com/game/pokemon-primal-clash/primal-groudon-collection-box" TargetMode="External" Id="rId1923" /><Relationship Type="http://schemas.openxmlformats.org/officeDocument/2006/relationships/hyperlink" Target="https://www.pricecharting.com/game/pokemon-primal-clash/primal-kyogre-collection-box" TargetMode="External" Id="rId1924" /><Relationship Type="http://schemas.openxmlformats.org/officeDocument/2006/relationships/hyperlink" Target="https://www.pricecharting.com/game/pokemon-prismatic-evolutions/collectors-chest" TargetMode="External" Id="rId1925" /><Relationship Type="http://schemas.openxmlformats.org/officeDocument/2006/relationships/hyperlink" Target="https://www.pricecharting.com/game/pokemon-prismatic-evolutions/costco-2-pack-trainer-box-&amp;-booster-bundle" TargetMode="External" Id="rId1926" /><Relationship Type="http://schemas.openxmlformats.org/officeDocument/2006/relationships/hyperlink" Target="https://www.pricecharting.com/game/pokemon-prismatic-evolutions/costco-8-pack-mini-tins" TargetMode="External" Id="rId1927" /><Relationship Type="http://schemas.openxmlformats.org/officeDocument/2006/relationships/hyperlink" Target="https://www.pricecharting.com/game/pokemon-prismatic-evolutions/elite-trainer-box-pokemon-center" TargetMode="External" Id="rId1928" /><Relationship Type="http://schemas.openxmlformats.org/officeDocument/2006/relationships/hyperlink" Target="https://www.pricecharting.com/game/pokemon-prismatic-evolutions/lucario-ex-&amp;-tyranitar-ex-premium-collection" TargetMode="External" Id="rId1929" /><Relationship Type="http://schemas.openxmlformats.org/officeDocument/2006/relationships/hyperlink" Target="https://www.pricecharting.com/game/pokemon-prismatic-evolutions/sam's-club-elite-trainer-box-and-pokeball" TargetMode="External" Id="rId1930" /><Relationship Type="http://schemas.openxmlformats.org/officeDocument/2006/relationships/hyperlink" Target="https://www.pricecharting.com/game/pokemon-prismatic-evolutions/sealed-poster-collection" TargetMode="External" Id="rId1931" /><Relationship Type="http://schemas.openxmlformats.org/officeDocument/2006/relationships/hyperlink" Target="https://www.pricecharting.com/game/pokemon-prismatic-evolutions/super-premium-collection-box" TargetMode="External" Id="rId1932" /><Relationship Type="http://schemas.openxmlformats.org/officeDocument/2006/relationships/hyperlink" Target="https://www.pricecharting.com/game/pokemon-prismatic-evolutions/surprise-box-+-booster-bundle" TargetMode="External" Id="rId1933" /><Relationship Type="http://schemas.openxmlformats.org/officeDocument/2006/relationships/hyperlink" Target="https://www.pricecharting.com/game/pokemon-promo/2-pack-blister-raikou" TargetMode="External" Id="rId1934" /><Relationship Type="http://schemas.openxmlformats.org/officeDocument/2006/relationships/hyperlink" Target="https://www.pricecharting.com/game/pokemon-promo/2-pack-blister-vileplume" TargetMode="External" Id="rId1935" /><Relationship Type="http://schemas.openxmlformats.org/officeDocument/2006/relationships/hyperlink" Target="https://www.pricecharting.com/game/pokemon-promo/2-pack-blister-pack-team-rocket's-articuno-zapdos-&amp;-tyranitar" TargetMode="External" Id="rId1936" /><Relationship Type="http://schemas.openxmlformats.org/officeDocument/2006/relationships/hyperlink" Target="https://www.pricecharting.com/game/pokemon-promo/2-pack-blister-zarude" TargetMode="External" Id="rId1937" /><Relationship Type="http://schemas.openxmlformats.org/officeDocument/2006/relationships/hyperlink" Target="https://www.pricecharting.com/game/pokemon-promo/2025-holiday-calendar-box-costco" TargetMode="External" Id="rId1938" /><Relationship Type="http://schemas.openxmlformats.org/officeDocument/2006/relationships/hyperlink" Target="https://www.pricecharting.com/game/pokemon-promo/2025-pokemon-collector-chest" TargetMode="External" Id="rId1939" /><Relationship Type="http://schemas.openxmlformats.org/officeDocument/2006/relationships/hyperlink" Target="https://www.pricecharting.com/game/pokemon-promo/4-pack-blister-pack" TargetMode="External" Id="rId1940" /><Relationship Type="http://schemas.openxmlformats.org/officeDocument/2006/relationships/hyperlink" Target="https://www.pricecharting.com/game/pokemon-promo/alolan-sandslash-gx-box" TargetMode="External" Id="rId1941" /><Relationship Type="http://schemas.openxmlformats.org/officeDocument/2006/relationships/hyperlink" Target="https://www.pricecharting.com/game/pokemon-promo/annihilape-ex-box" TargetMode="External" Id="rId1942" /><Relationship Type="http://schemas.openxmlformats.org/officeDocument/2006/relationships/hyperlink" Target="https://www.pricecharting.com/game/pokemon-promo/archaludon-ex-box" TargetMode="External" Id="rId1943" /><Relationship Type="http://schemas.openxmlformats.org/officeDocument/2006/relationships/hyperlink" Target="https://www.pricecharting.com/game/pokemon-promo/ascended-heroes-tin-mega-emboar-ex" TargetMode="External" Id="rId1944" /><Relationship Type="http://schemas.openxmlformats.org/officeDocument/2006/relationships/hyperlink" Target="https://www.pricecharting.com/game/pokemon-promo/ascended-heroes-tin-mega-feraligatr-ex" TargetMode="External" Id="rId1945" /><Relationship Type="http://schemas.openxmlformats.org/officeDocument/2006/relationships/hyperlink" Target="https://www.pricecharting.com/game/pokemon-promo/ascended-heroes-tin-mega-meganium-ex" TargetMode="External" Id="rId1946" /><Relationship Type="http://schemas.openxmlformats.org/officeDocument/2006/relationships/hyperlink" Target="https://www.pricecharting.com/game/pokemon-promo/azure-legends-tin-dialga-ex" TargetMode="External" Id="rId1947" /><Relationship Type="http://schemas.openxmlformats.org/officeDocument/2006/relationships/hyperlink" Target="https://www.pricecharting.com/game/pokemon-promo/azure-legends-tin-dialga-ex-international" TargetMode="External" Id="rId1948" /><Relationship Type="http://schemas.openxmlformats.org/officeDocument/2006/relationships/hyperlink" Target="https://www.pricecharting.com/game/pokemon-promo/azure-legends-tin-kyogre-ex" TargetMode="External" Id="rId1949" /><Relationship Type="http://schemas.openxmlformats.org/officeDocument/2006/relationships/hyperlink" Target="https://www.pricecharting.com/game/pokemon-promo/azure-legends-tin-kyogre-ex-international" TargetMode="External" Id="rId1950" /><Relationship Type="http://schemas.openxmlformats.org/officeDocument/2006/relationships/hyperlink" Target="https://www.pricecharting.com/game/pokemon-promo/azure-legends-tin-xerneas-ex" TargetMode="External" Id="rId1951" /><Relationship Type="http://schemas.openxmlformats.org/officeDocument/2006/relationships/hyperlink" Target="https://www.pricecharting.com/game/pokemon-promo/azure-legends-tin-xerneas-ex-international" TargetMode="External" Id="rId1952" /><Relationship Type="http://schemas.openxmlformats.org/officeDocument/2006/relationships/hyperlink" Target="https://www.pricecharting.com/game/pokemon-promo/black-kyurem-ex-box" TargetMode="External" Id="rId1953" /><Relationship Type="http://schemas.openxmlformats.org/officeDocument/2006/relationships/hyperlink" Target="https://www.pricecharting.com/game/pokemon-promo/blaziken-ex-&amp;-volcanion-ex-premium-collection" TargetMode="External" Id="rId1954" /><Relationship Type="http://schemas.openxmlformats.org/officeDocument/2006/relationships/hyperlink" Target="https://www.pricecharting.com/game/pokemon-promo/celebi-&amp;-venusaur-tin" TargetMode="External" Id="rId1955" /><Relationship Type="http://schemas.openxmlformats.org/officeDocument/2006/relationships/hyperlink" Target="https://www.pricecharting.com/game/pokemon-promo/charizard-ex-special-collection-box" TargetMode="External" Id="rId1956" /><Relationship Type="http://schemas.openxmlformats.org/officeDocument/2006/relationships/hyperlink" Target="https://www.pricecharting.com/game/pokemon-promo/charizard-ex-super-premium-collection-box" TargetMode="External" Id="rId1957" /><Relationship Type="http://schemas.openxmlformats.org/officeDocument/2006/relationships/hyperlink" Target="https://www.pricecharting.com/game/pokemon-promo/charizard-ex-tin" TargetMode="External" Id="rId1958" /><Relationship Type="http://schemas.openxmlformats.org/officeDocument/2006/relationships/hyperlink" Target="https://www.pricecharting.com/game/pokemon-promo/darkrai-vstar-premium-collection-box" TargetMode="External" Id="rId1959" /><Relationship Type="http://schemas.openxmlformats.org/officeDocument/2006/relationships/hyperlink" Target="https://www.pricecharting.com/game/pokemon-promo/deoxys-vmax-&amp;-vstar-battle-box" TargetMode="External" Id="rId1960" /><Relationship Type="http://schemas.openxmlformats.org/officeDocument/2006/relationships/hyperlink" Target="https://www.pricecharting.com/game/pokemon-promo/divergent-powers-tin-hisuian-decidueye-v" TargetMode="External" Id="rId1961" /><Relationship Type="http://schemas.openxmlformats.org/officeDocument/2006/relationships/hyperlink" Target="https://www.pricecharting.com/game/pokemon-promo/divergent-powers-tin-hisuian-decidueye-v-international" TargetMode="External" Id="rId1962" /><Relationship Type="http://schemas.openxmlformats.org/officeDocument/2006/relationships/hyperlink" Target="https://www.pricecharting.com/game/pokemon-promo/divergent-powers-tin-hisuian-samurott-v" TargetMode="External" Id="rId1963" /><Relationship Type="http://schemas.openxmlformats.org/officeDocument/2006/relationships/hyperlink" Target="https://www.pricecharting.com/game/pokemon-promo/divergent-powers-tin-hisuian-samurott-v-international" TargetMode="External" Id="rId1964" /><Relationship Type="http://schemas.openxmlformats.org/officeDocument/2006/relationships/hyperlink" Target="https://www.pricecharting.com/game/pokemon-promo/divergent-powers-tin-hisuian-typhlosion-v" TargetMode="External" Id="rId1965" /><Relationship Type="http://schemas.openxmlformats.org/officeDocument/2006/relationships/hyperlink" Target="https://www.pricecharting.com/game/pokemon-promo/divergent-powers-tin-hisuian-typhlosion-v-international" TargetMode="External" Id="rId1966" /><Relationship Type="http://schemas.openxmlformats.org/officeDocument/2006/relationships/hyperlink" Target="https://www.pricecharting.com/game/pokemon-promo/dragon-stacking-tin" TargetMode="External" Id="rId1967" /><Relationship Type="http://schemas.openxmlformats.org/officeDocument/2006/relationships/hyperlink" Target="https://www.pricecharting.com/game/pokemon-promo/eevee-&amp;-snorlax-gx-tin" TargetMode="External" Id="rId1968" /><Relationship Type="http://schemas.openxmlformats.org/officeDocument/2006/relationships/hyperlink" Target="https://www.pricecharting.com/game/pokemon-promo/eevee-pokemon-treasure-chest-tin" TargetMode="External" Id="rId1969" /><Relationship Type="http://schemas.openxmlformats.org/officeDocument/2006/relationships/hyperlink" Target="https://www.pricecharting.com/game/pokemon-promo/enhanced-2-pack-blister-pack-galarian-articuno-galarian-zapdos-&amp;-galarian-moltres" TargetMode="External" Id="rId1970" /><Relationship Type="http://schemas.openxmlformats.org/officeDocument/2006/relationships/hyperlink" Target="https://www.pricecharting.com/game/pokemon-promo/enhanced-2-pack-blister-pack-gengar-marshadow-team-rocket's-mimikyu" TargetMode="External" Id="rId1971" /><Relationship Type="http://schemas.openxmlformats.org/officeDocument/2006/relationships/hyperlink" Target="https://www.pricecharting.com/game/pokemon-promo/enhanced-2-pack-blister-pack-latios-zekrom-&amp;-palkia" TargetMode="External" Id="rId1972" /><Relationship Type="http://schemas.openxmlformats.org/officeDocument/2006/relationships/hyperlink" Target="https://www.pricecharting.com/game/pokemon-promo/evolving-powers-premium-collection" TargetMode="External" Id="rId1973" /><Relationship Type="http://schemas.openxmlformats.org/officeDocument/2006/relationships/hyperlink" Target="https://www.pricecharting.com/game/pokemon-promo/factory-sealed-paldea-adventure-chest" TargetMode="External" Id="rId1974" /><Relationship Type="http://schemas.openxmlformats.org/officeDocument/2006/relationships/hyperlink" Target="https://www.pricecharting.com/game/pokemon-promo/fall-2023-collector-chest" TargetMode="External" Id="rId1975" /><Relationship Type="http://schemas.openxmlformats.org/officeDocument/2006/relationships/hyperlink" Target="https://www.pricecharting.com/game/pokemon-promo/fall-2025-collector-chest" TargetMode="External" Id="rId1976" /><Relationship Type="http://schemas.openxmlformats.org/officeDocument/2006/relationships/hyperlink" Target="https://www.pricecharting.com/game/pokemon-promo/first-partner-illustration-collection-series-1" TargetMode="External" Id="rId1977" /><Relationship Type="http://schemas.openxmlformats.org/officeDocument/2006/relationships/hyperlink" Target="https://www.pricecharting.com/game/pokemon-promo/first-partner-illustration-collection-series-2" TargetMode="External" Id="rId1978" /><Relationship Type="http://schemas.openxmlformats.org/officeDocument/2006/relationships/hyperlink" Target="https://www.pricecharting.com/game/pokemon-promo/first-partner-illustration-collection-series-3" TargetMode="External" Id="rId1979" /><Relationship Type="http://schemas.openxmlformats.org/officeDocument/2006/relationships/hyperlink" Target="https://www.pricecharting.com/game/pokemon-promo/focused-fighters-premium-collection" TargetMode="External" Id="rId1980" /><Relationship Type="http://schemas.openxmlformats.org/officeDocument/2006/relationships/hyperlink" Target="https://www.pricecharting.com/game/pokemon-promo/galar-power-mini-tin-dragapult" TargetMode="External" Id="rId1981" /><Relationship Type="http://schemas.openxmlformats.org/officeDocument/2006/relationships/hyperlink" Target="https://www.pricecharting.com/game/pokemon-promo/galar-power-mini-tin-galarian-obstagoon" TargetMode="External" Id="rId1982" /><Relationship Type="http://schemas.openxmlformats.org/officeDocument/2006/relationships/hyperlink" Target="https://www.pricecharting.com/game/pokemon-promo/galar-power-mini-tin-galarian-sirfetch'd" TargetMode="External" Id="rId1983" /><Relationship Type="http://schemas.openxmlformats.org/officeDocument/2006/relationships/hyperlink" Target="https://www.pricecharting.com/game/pokemon-promo/galar-power-mini-tin-toxtricity" TargetMode="External" Id="rId1984" /><Relationship Type="http://schemas.openxmlformats.org/officeDocument/2006/relationships/hyperlink" Target="https://www.pricecharting.com/game/pokemon-promo/galarian-rapidash-v-box" TargetMode="External" Id="rId1985" /><Relationship Type="http://schemas.openxmlformats.org/officeDocument/2006/relationships/hyperlink" Target="https://www.pricecharting.com/game/pokemon-promo/grafaiai-ex-box" TargetMode="External" Id="rId1986" /><Relationship Type="http://schemas.openxmlformats.org/officeDocument/2006/relationships/hyperlink" Target="https://www.pricecharting.com/game/pokemon-promo/greninja-ex-&amp;-kingdra-ex-special-collection-box" TargetMode="External" Id="rId1987" /><Relationship Type="http://schemas.openxmlformats.org/officeDocument/2006/relationships/hyperlink" Target="https://www.pricecharting.com/game/pokemon-promo/greninja-v-union-special-collection" TargetMode="External" Id="rId1988" /><Relationship Type="http://schemas.openxmlformats.org/officeDocument/2006/relationships/hyperlink" Target="https://www.pricecharting.com/game/pokemon-promo/gx-challenge-box-alolan-ninetales" TargetMode="External" Id="rId1989" /><Relationship Type="http://schemas.openxmlformats.org/officeDocument/2006/relationships/hyperlink" Target="https://www.pricecharting.com/game/pokemon-promo/gx-challenge-box-lycanroc" TargetMode="External" Id="rId1990" /><Relationship Type="http://schemas.openxmlformats.org/officeDocument/2006/relationships/hyperlink" Target="https://www.pricecharting.com/game/pokemon-promo/heavy-hitters-premium-collection-lucario-v-&amp;-tyranitar-v" TargetMode="External" Id="rId1991" /><Relationship Type="http://schemas.openxmlformats.org/officeDocument/2006/relationships/hyperlink" Target="https://www.pricecharting.com/game/pokemon-promo/hidden-potential-tin-gallade-v" TargetMode="External" Id="rId1992" /><Relationship Type="http://schemas.openxmlformats.org/officeDocument/2006/relationships/hyperlink" Target="https://www.pricecharting.com/game/pokemon-promo/hidden-potential-tin-giratina-v" TargetMode="External" Id="rId1993" /><Relationship Type="http://schemas.openxmlformats.org/officeDocument/2006/relationships/hyperlink" Target="https://www.pricecharting.com/game/pokemon-promo/hidden-potential-tin-rotom-v" TargetMode="External" Id="rId1994" /><Relationship Type="http://schemas.openxmlformats.org/officeDocument/2006/relationships/hyperlink" Target="https://www.pricecharting.com/game/pokemon-promo/hidden-potential-tin-rotom-v-international" TargetMode="External" Id="rId1995" /><Relationship Type="http://schemas.openxmlformats.org/officeDocument/2006/relationships/hyperlink" Target="https://www.pricecharting.com/game/pokemon-promo/hisuian-electrode-v-box" TargetMode="External" Id="rId1996" /><Relationship Type="http://schemas.openxmlformats.org/officeDocument/2006/relationships/hyperlink" Target="https://www.pricecharting.com/game/pokemon-promo/hisuian-zoroark-vstar-premium-collection-box" TargetMode="External" Id="rId1997" /><Relationship Type="http://schemas.openxmlformats.org/officeDocument/2006/relationships/hyperlink" Target="https://www.pricecharting.com/game/pokemon-promo/holiday-calendar-box-2022" TargetMode="External" Id="rId1998" /><Relationship Type="http://schemas.openxmlformats.org/officeDocument/2006/relationships/hyperlink" Target="https://www.pricecharting.com/game/pokemon-promo/holiday-calendar-box-2023" TargetMode="External" Id="rId1999" /><Relationship Type="http://schemas.openxmlformats.org/officeDocument/2006/relationships/hyperlink" Target="https://www.pricecharting.com/game/pokemon-promo/holiday-calendar-box-2024" TargetMode="External" Id="rId2000" /><Relationship Type="http://schemas.openxmlformats.org/officeDocument/2006/relationships/hyperlink" Target="https://www.pricecharting.com/game/pokemon-promo/holliday-calendar-box-2025" TargetMode="External" Id="rId2001" /><Relationship Type="http://schemas.openxmlformats.org/officeDocument/2006/relationships/hyperlink" Target="https://www.pricecharting.com/game/pokemon-promo/houndstone-ex-box" TargetMode="External" Id="rId2002" /><Relationship Type="http://schemas.openxmlformats.org/officeDocument/2006/relationships/hyperlink" Target="https://www.pricecharting.com/game/pokemon-promo/hydreigon-ex-&amp;-dragapult-ex-premium-collection" TargetMode="External" Id="rId2003" /><Relationship Type="http://schemas.openxmlformats.org/officeDocument/2006/relationships/hyperlink" Target="https://www.pricecharting.com/game/pokemon-promo/ice-rider-calyrex-v-box" TargetMode="External" Id="rId2004" /><Relationship Type="http://schemas.openxmlformats.org/officeDocument/2006/relationships/hyperlink" Target="https://www.pricecharting.com/game/pokemon-promo/incineroar-ex-and-torterra-ex-special-collection" TargetMode="External" Id="rId2005" /><Relationship Type="http://schemas.openxmlformats.org/officeDocument/2006/relationships/hyperlink" Target="https://www.pricecharting.com/game/pokemon-promo/iono-premium-tournament-collection-box" TargetMode="External" Id="rId2006" /><Relationship Type="http://schemas.openxmlformats.org/officeDocument/2006/relationships/hyperlink" Target="https://www.pricecharting.com/game/pokemon-promo/iono's-bellibolt-ex-premium-collection-box" TargetMode="External" Id="rId2007" /><Relationship Type="http://schemas.openxmlformats.org/officeDocument/2006/relationships/hyperlink" Target="https://www.pricecharting.com/game/pokemon-promo/iron-valiant-ex-box" TargetMode="External" Id="rId2008" /><Relationship Type="http://schemas.openxmlformats.org/officeDocument/2006/relationships/hyperlink" Target="https://www.pricecharting.com/game/pokemon-promo/kanto-friends-mini-tin-bulbasaur" TargetMode="External" Id="rId2009" /><Relationship Type="http://schemas.openxmlformats.org/officeDocument/2006/relationships/hyperlink" Target="https://www.pricecharting.com/game/pokemon-promo/kanto-friends-mini-tin-charmander" TargetMode="External" Id="rId2010" /><Relationship Type="http://schemas.openxmlformats.org/officeDocument/2006/relationships/hyperlink" Target="https://www.pricecharting.com/game/pokemon-promo/kanto-friends-mini-tin-squirtle" TargetMode="External" Id="rId2011" /><Relationship Type="http://schemas.openxmlformats.org/officeDocument/2006/relationships/hyperlink" Target="https://www.pricecharting.com/game/pokemon-promo/kanto-power-mini-tin-charizard" TargetMode="External" Id="rId2012" /><Relationship Type="http://schemas.openxmlformats.org/officeDocument/2006/relationships/hyperlink" Target="https://www.pricecharting.com/game/pokemon-promo/kanto-power-mini-tin-dragonite" TargetMode="External" Id="rId2013" /><Relationship Type="http://schemas.openxmlformats.org/officeDocument/2006/relationships/hyperlink" Target="https://www.pricecharting.com/game/pokemon-promo/kanto-power-mini-tin-mew" TargetMode="External" Id="rId2014" /><Relationship Type="http://schemas.openxmlformats.org/officeDocument/2006/relationships/hyperlink" Target="https://www.pricecharting.com/game/pokemon-promo/kanto-power-mini-tin-mewtwo" TargetMode="External" Id="rId2015" /><Relationship Type="http://schemas.openxmlformats.org/officeDocument/2006/relationships/hyperlink" Target="https://www.pricecharting.com/game/pokemon-promo/kanto-power-mini-tin-pikachu" TargetMode="External" Id="rId2016" /><Relationship Type="http://schemas.openxmlformats.org/officeDocument/2006/relationships/hyperlink" Target="https://www.pricecharting.com/game/pokemon-promo/kleavor-vstar-premium-collection" TargetMode="External" Id="rId2017" /><Relationship Type="http://schemas.openxmlformats.org/officeDocument/2006/relationships/hyperlink" Target="https://www.pricecharting.com/game/pokemon-promo/kleavor-vstar-premium-collection-box" TargetMode="External" Id="rId2018" /><Relationship Type="http://schemas.openxmlformats.org/officeDocument/2006/relationships/hyperlink" Target="https://www.pricecharting.com/game/pokemon-promo/kleavor-vstar-special-collection" TargetMode="External" Id="rId2019" /><Relationship Type="http://schemas.openxmlformats.org/officeDocument/2006/relationships/hyperlink" Target="https://www.pricecharting.com/game/pokemon-promo/kommo-o-gx-box" TargetMode="External" Id="rId2020" /><Relationship Type="http://schemas.openxmlformats.org/officeDocument/2006/relationships/hyperlink" Target="https://www.pricecharting.com/game/pokemon-promo/legendary-warriors-premium-collection-box" TargetMode="External" Id="rId2021" /><Relationship Type="http://schemas.openxmlformats.org/officeDocument/2006/relationships/hyperlink" Target="https://www.pricecharting.com/game/pokemon-promo/legends-of-johto-pin-collection" TargetMode="External" Id="rId2022" /><Relationship Type="http://schemas.openxmlformats.org/officeDocument/2006/relationships/hyperlink" Target="https://www.pricecharting.com/game/pokemon-promo/lillie-premium-tournament-collection-box" TargetMode="External" Id="rId2023" /><Relationship Type="http://schemas.openxmlformats.org/officeDocument/2006/relationships/hyperlink" Target="https://www.pricecharting.com/game/pokemon-promo/lucario-vstar-special-collection" TargetMode="External" Id="rId2024" /><Relationship Type="http://schemas.openxmlformats.org/officeDocument/2006/relationships/hyperlink" Target="https://www.pricecharting.com/game/pokemon-promo/lugia-ex-&amp;-latias-ex-premium-collection" TargetMode="External" Id="rId2025" /><Relationship Type="http://schemas.openxmlformats.org/officeDocument/2006/relationships/hyperlink" Target="https://www.pricecharting.com/game/pokemon-promo/lumiose-city-mini-tin-emboar-&amp;-inkay" TargetMode="External" Id="rId2026" /><Relationship Type="http://schemas.openxmlformats.org/officeDocument/2006/relationships/hyperlink" Target="https://www.pricecharting.com/game/pokemon-promo/lumiose-city-mini-tin-feraligatr-&amp;-budew" TargetMode="External" Id="rId2027" /><Relationship Type="http://schemas.openxmlformats.org/officeDocument/2006/relationships/hyperlink" Target="https://www.pricecharting.com/game/pokemon-promo/lumiose-city-mini-tin-gallade-&amp;-goomy" TargetMode="External" Id="rId2028" /><Relationship Type="http://schemas.openxmlformats.org/officeDocument/2006/relationships/hyperlink" Target="https://www.pricecharting.com/game/pokemon-promo/lumiose-city-mini-tin-meganium-&amp;-meowstic" TargetMode="External" Id="rId2029" /><Relationship Type="http://schemas.openxmlformats.org/officeDocument/2006/relationships/hyperlink" Target="https://www.pricecharting.com/game/pokemon-promo/lumiose-city-mini-tin-salamence-&amp;-litleo" TargetMode="External" Id="rId2030" /><Relationship Type="http://schemas.openxmlformats.org/officeDocument/2006/relationships/hyperlink" Target="https://www.pricecharting.com/game/pokemon-promo/mabosstiff-ex-box" TargetMode="External" Id="rId2031" /><Relationship Type="http://schemas.openxmlformats.org/officeDocument/2006/relationships/hyperlink" Target="https://www.pricecharting.com/game/pokemon-promo/mad-party-pin-collection-galarian-mr-rime" TargetMode="External" Id="rId2032" /><Relationship Type="http://schemas.openxmlformats.org/officeDocument/2006/relationships/hyperlink" Target="https://www.pricecharting.com/game/pokemon-promo/marshadow-box" TargetMode="External" Id="rId2033" /><Relationship Type="http://schemas.openxmlformats.org/officeDocument/2006/relationships/hyperlink" Target="https://www.pricecharting.com/game/pokemon-promo/mega-charizard-x-tin" TargetMode="External" Id="rId2034" /><Relationship Type="http://schemas.openxmlformats.org/officeDocument/2006/relationships/hyperlink" Target="https://www.pricecharting.com/game/pokemon-promo/mega-charizard-y-tin" TargetMode="External" Id="rId2035" /><Relationship Type="http://schemas.openxmlformats.org/officeDocument/2006/relationships/hyperlink" Target="https://www.pricecharting.com/game/pokemon-promo/mega-greninja-ex-premium-collection" TargetMode="External" Id="rId2036" /><Relationship Type="http://schemas.openxmlformats.org/officeDocument/2006/relationships/hyperlink" Target="https://www.pricecharting.com/game/pokemon-promo/mega-kangaskhan-ex-box" TargetMode="External" Id="rId2037" /><Relationship Type="http://schemas.openxmlformats.org/officeDocument/2006/relationships/hyperlink" Target="https://www.pricecharting.com/game/pokemon-promo/mega-latias-ex-box" TargetMode="External" Id="rId2038" /><Relationship Type="http://schemas.openxmlformats.org/officeDocument/2006/relationships/hyperlink" Target="https://www.pricecharting.com/game/pokemon-promo/mega-moonlit-tin-mega-gengar-ex" TargetMode="External" Id="rId2039" /><Relationship Type="http://schemas.openxmlformats.org/officeDocument/2006/relationships/hyperlink" Target="https://www.pricecharting.com/game/pokemon-promo/mega-moonlit-tin-mega-clefable-ex" TargetMode="External" Id="rId2040" /><Relationship Type="http://schemas.openxmlformats.org/officeDocument/2006/relationships/hyperlink" Target="https://www.pricecharting.com/game/pokemon-promo/mega-venusaur-ex-premium-collection" TargetMode="External" Id="rId2041" /><Relationship Type="http://schemas.openxmlformats.org/officeDocument/2006/relationships/hyperlink" Target="https://www.pricecharting.com/game/pokemon-promo/mega-zygarde-ex-premium-collection" TargetMode="External" Id="rId2042" /><Relationship Type="http://schemas.openxmlformats.org/officeDocument/2006/relationships/hyperlink" Target="https://www.pricecharting.com/game/pokemon-promo/melmetal-ex-box" TargetMode="External" Id="rId2043" /><Relationship Type="http://schemas.openxmlformats.org/officeDocument/2006/relationships/hyperlink" Target="https://www.pricecharting.com/game/pokemon-promo/meowth-vmax-special-collection-box" TargetMode="External" Id="rId2044" /><Relationship Type="http://schemas.openxmlformats.org/officeDocument/2006/relationships/hyperlink" Target="https://www.pricecharting.com/game/pokemon-promo/metal-stacking-tin" TargetMode="External" Id="rId2045" /><Relationship Type="http://schemas.openxmlformats.org/officeDocument/2006/relationships/hyperlink" Target="https://www.pricecharting.com/game/pokemon-promo/mew-v-box" TargetMode="External" Id="rId2046" /><Relationship Type="http://schemas.openxmlformats.org/officeDocument/2006/relationships/hyperlink" Target="https://www.pricecharting.com/game/pokemon-promo/mighty-mysterious-tin-mimikyu" TargetMode="External" Id="rId2047" /><Relationship Type="http://schemas.openxmlformats.org/officeDocument/2006/relationships/hyperlink" Target="https://www.pricecharting.com/game/pokemon-promo/mimikyu-ex-box" TargetMode="External" Id="rId2048" /><Relationship Type="http://schemas.openxmlformats.org/officeDocument/2006/relationships/hyperlink" Target="https://www.pricecharting.com/game/pokemon-promo/mimikyu-ex-showcase-box" TargetMode="External" Id="rId2049" /><Relationship Type="http://schemas.openxmlformats.org/officeDocument/2006/relationships/hyperlink" Target="https://www.pricecharting.com/game/pokemon-promo/morpeko-pin-collection-box" TargetMode="External" Id="rId2050" /><Relationship Type="http://schemas.openxmlformats.org/officeDocument/2006/relationships/hyperlink" Target="https://www.pricecharting.com/game/pokemon-promo/ogerpon-stacking-tin" TargetMode="External" Id="rId2051" /><Relationship Type="http://schemas.openxmlformats.org/officeDocument/2006/relationships/hyperlink" Target="https://www.pricecharting.com/game/pokemon-promo/oinkologne-ex-box" TargetMode="External" Id="rId2052" /><Relationship Type="http://schemas.openxmlformats.org/officeDocument/2006/relationships/hyperlink" Target="https://www.pricecharting.com/game/pokemon-promo/origin-forme-dialga-vstar-premium-collection-box" TargetMode="External" Id="rId2053" /><Relationship Type="http://schemas.openxmlformats.org/officeDocument/2006/relationships/hyperlink" Target="https://www.pricecharting.com/game/pokemon-promo/palafin-ex-box" TargetMode="External" Id="rId2054" /><Relationship Type="http://schemas.openxmlformats.org/officeDocument/2006/relationships/hyperlink" Target="https://www.pricecharting.com/game/pokemon-promo/paldea-friends-mini-tins-5-pack" TargetMode="External" Id="rId2055" /><Relationship Type="http://schemas.openxmlformats.org/officeDocument/2006/relationships/hyperlink" Target="https://www.pricecharting.com/game/pokemon-promo/paldea-partners-tin-meowscarada-ex-international" TargetMode="External" Id="rId2056" /><Relationship Type="http://schemas.openxmlformats.org/officeDocument/2006/relationships/hyperlink" Target="https://www.pricecharting.com/game/pokemon-promo/paldea-partners-tin-quaquaval-ex" TargetMode="External" Id="rId2057" /><Relationship Type="http://schemas.openxmlformats.org/officeDocument/2006/relationships/hyperlink" Target="https://www.pricecharting.com/game/pokemon-promo/paldea-partners-tin-skeledirge" TargetMode="External" Id="rId2058" /><Relationship Type="http://schemas.openxmlformats.org/officeDocument/2006/relationships/hyperlink" Target="https://www.pricecharting.com/game/pokemon-promo/paldea-partners-tin-meowscarada-ex" TargetMode="External" Id="rId2059" /><Relationship Type="http://schemas.openxmlformats.org/officeDocument/2006/relationships/hyperlink" Target="https://www.pricecharting.com/game/pokemon-promo/paradox-clash-tin-iron-leaves-ex" TargetMode="External" Id="rId2060" /><Relationship Type="http://schemas.openxmlformats.org/officeDocument/2006/relationships/hyperlink" Target="https://www.pricecharting.com/game/pokemon-promo/paradox-clash-tin-walking-wake" TargetMode="External" Id="rId2061" /><Relationship Type="http://schemas.openxmlformats.org/officeDocument/2006/relationships/hyperlink" Target="https://www.pricecharting.com/game/pokemon-promo/paradox-destinies-tin-gouging-fire-ex" TargetMode="External" Id="rId2062" /><Relationship Type="http://schemas.openxmlformats.org/officeDocument/2006/relationships/hyperlink" Target="https://www.pricecharting.com/game/pokemon-promo/paradox-destinies-tin-iron-boulder-ex" TargetMode="External" Id="rId2063" /><Relationship Type="http://schemas.openxmlformats.org/officeDocument/2006/relationships/hyperlink" Target="https://www.pricecharting.com/game/pokemon-promo/paradox-destinies-tin-iron-crown-ex" TargetMode="External" Id="rId2064" /><Relationship Type="http://schemas.openxmlformats.org/officeDocument/2006/relationships/hyperlink" Target="https://www.pricecharting.com/game/pokemon-promo/paradox-destinies-tin-raging-bolt-ex" TargetMode="External" Id="rId2065" /><Relationship Type="http://schemas.openxmlformats.org/officeDocument/2006/relationships/hyperlink" Target="https://www.pricecharting.com/game/pokemon-promo/paradox-fury-premium-collection" TargetMode="External" Id="rId2066" /><Relationship Type="http://schemas.openxmlformats.org/officeDocument/2006/relationships/hyperlink" Target="https://www.pricecharting.com/game/pokemon-promo/paradox-pokemon-stacking-tin" TargetMode="External" Id="rId2067" /><Relationship Type="http://schemas.openxmlformats.org/officeDocument/2006/relationships/hyperlink" Target="https://www.pricecharting.com/game/pokemon-promo/paradox-wisdom-premium-collection" TargetMode="External" Id="rId2068" /><Relationship Type="http://schemas.openxmlformats.org/officeDocument/2006/relationships/hyperlink" Target="https://www.pricecharting.com/game/pokemon-promo/poke-ball-tin" TargetMode="External" Id="rId2069" /><Relationship Type="http://schemas.openxmlformats.org/officeDocument/2006/relationships/hyperlink" Target="https://www.pricecharting.com/game/pokemon-promo/poke-ball-tin-3-pack" TargetMode="External" Id="rId2070" /><Relationship Type="http://schemas.openxmlformats.org/officeDocument/2006/relationships/hyperlink" Target="https://www.pricecharting.com/game/pokemon-promo/poke-ball-tin-dive-ball" TargetMode="External" Id="rId2071" /><Relationship Type="http://schemas.openxmlformats.org/officeDocument/2006/relationships/hyperlink" Target="https://www.pricecharting.com/game/pokemon-promo/poke-ball-tin-dusk-ball" TargetMode="External" Id="rId2072" /><Relationship Type="http://schemas.openxmlformats.org/officeDocument/2006/relationships/hyperlink" Target="https://www.pricecharting.com/game/pokemon-promo/poke-ball-tin-great-ball-q4-2024" TargetMode="External" Id="rId2073" /><Relationship Type="http://schemas.openxmlformats.org/officeDocument/2006/relationships/hyperlink" Target="https://www.pricecharting.com/game/pokemon-promo/poke-ball-tin-great-ball" TargetMode="External" Id="rId2074" /><Relationship Type="http://schemas.openxmlformats.org/officeDocument/2006/relationships/hyperlink" Target="https://www.pricecharting.com/game/pokemon-promo/poke-ball-tin-level-ball" TargetMode="External" Id="rId2075" /><Relationship Type="http://schemas.openxmlformats.org/officeDocument/2006/relationships/hyperlink" Target="https://www.pricecharting.com/game/pokemon-promo/poke-ball-tin-love-ball" TargetMode="External" Id="rId2076" /><Relationship Type="http://schemas.openxmlformats.org/officeDocument/2006/relationships/hyperlink" Target="https://www.pricecharting.com/game/pokemon-promo/poke-ball-tin-lure-ball" TargetMode="External" Id="rId2077" /><Relationship Type="http://schemas.openxmlformats.org/officeDocument/2006/relationships/hyperlink" Target="https://www.pricecharting.com/game/pokemon-promo/poke-ball-tin-luxury-ball" TargetMode="External" Id="rId2078" /><Relationship Type="http://schemas.openxmlformats.org/officeDocument/2006/relationships/hyperlink" Target="https://www.pricecharting.com/game/pokemon-promo/poke-ball-tin-moon-ball-q4-2024" TargetMode="External" Id="rId2079" /><Relationship Type="http://schemas.openxmlformats.org/officeDocument/2006/relationships/hyperlink" Target="https://www.pricecharting.com/game/pokemon-promo/poke-ball-tin-premier-ball-q4-2024" TargetMode="External" Id="rId2080" /><Relationship Type="http://schemas.openxmlformats.org/officeDocument/2006/relationships/hyperlink" Target="https://www.pricecharting.com/game/pokemon-promo/poke-ball-tin-premier-ball-q4-2025" TargetMode="External" Id="rId2081" /><Relationship Type="http://schemas.openxmlformats.org/officeDocument/2006/relationships/hyperlink" Target="https://www.pricecharting.com/game/pokemon-promo/poke-ball-tin-premier-ball" TargetMode="External" Id="rId2082" /><Relationship Type="http://schemas.openxmlformats.org/officeDocument/2006/relationships/hyperlink" Target="https://www.pricecharting.com/game/pokemon-promo/poke-ball-tin-q4-2024" TargetMode="External" Id="rId2083" /><Relationship Type="http://schemas.openxmlformats.org/officeDocument/2006/relationships/hyperlink" Target="https://www.pricecharting.com/game/pokemon-promo/poke-ball-tin-quick-ball" TargetMode="External" Id="rId2084" /><Relationship Type="http://schemas.openxmlformats.org/officeDocument/2006/relationships/hyperlink" Target="https://www.pricecharting.com/game/pokemon-promo/poke-ball-tin-repeat-ball-q4-2025" TargetMode="External" Id="rId2085" /><Relationship Type="http://schemas.openxmlformats.org/officeDocument/2006/relationships/hyperlink" Target="https://www.pricecharting.com/game/pokemon-promo/poke-ball-tin-ultra-ball-q4-2024" TargetMode="External" Id="rId2086" /><Relationship Type="http://schemas.openxmlformats.org/officeDocument/2006/relationships/hyperlink" Target="https://www.pricecharting.com/game/pokemon-promo/poke-ball-tin-ultra-ball" TargetMode="External" Id="rId2087" /><Relationship Type="http://schemas.openxmlformats.org/officeDocument/2006/relationships/hyperlink" Target="https://www.pricecharting.com/game/pokemon-promo/pokemon-day-2026-collection-box" TargetMode="External" Id="rId2088" /><Relationship Type="http://schemas.openxmlformats.org/officeDocument/2006/relationships/hyperlink" Target="https://www.pricecharting.com/game/pokemon-promo/psychic-stacking-tin" TargetMode="External" Id="rId2089" /><Relationship Type="http://schemas.openxmlformats.org/officeDocument/2006/relationships/hyperlink" Target="https://www.pricecharting.com/game/pokemon-promo/reshiram-ex-box" TargetMode="External" Id="rId2090" /><Relationship Type="http://schemas.openxmlformats.org/officeDocument/2006/relationships/hyperlink" Target="https://www.pricecharting.com/game/pokemon-promo/roaring-moon-ex-box" TargetMode="External" Id="rId2091" /><Relationship Type="http://schemas.openxmlformats.org/officeDocument/2006/relationships/hyperlink" Target="https://www.pricecharting.com/game/pokemon-promo/salamence-ex-&amp;-reshiram-ex-premium-collection" TargetMode="External" Id="rId2092" /><Relationship Type="http://schemas.openxmlformats.org/officeDocument/2006/relationships/hyperlink" Target="https://www.pricecharting.com/game/pokemon-promo/sceptile-3-pack-blister" TargetMode="External" Id="rId2093" /><Relationship Type="http://schemas.openxmlformats.org/officeDocument/2006/relationships/hyperlink" Target="https://www.pricecharting.com/game/pokemon-promo/sealed-cynthia's-garchomp-ex-premium-collection" TargetMode="External" Id="rId2094" /><Relationship Type="http://schemas.openxmlformats.org/officeDocument/2006/relationships/hyperlink" Target="https://www.pricecharting.com/game/pokemon-promo/sealed-knockout-collection-kyogre" TargetMode="External" Id="rId2095" /><Relationship Type="http://schemas.openxmlformats.org/officeDocument/2006/relationships/hyperlink" Target="https://www.pricecharting.com/game/pokemon-promo/sealed-knockout-collection-suicune" TargetMode="External" Id="rId2096" /><Relationship Type="http://schemas.openxmlformats.org/officeDocument/2006/relationships/hyperlink" Target="https://www.pricecharting.com/game/pokemon-promo/sealed-mega-moonlit-tin-mega-gengar-ex" TargetMode="External" Id="rId2097" /><Relationship Type="http://schemas.openxmlformats.org/officeDocument/2006/relationships/hyperlink" Target="https://www.pricecharting.com/game/pokemon-promo/shaymin-vstar-premium-collection" TargetMode="External" Id="rId2098" /><Relationship Type="http://schemas.openxmlformats.org/officeDocument/2006/relationships/hyperlink" Target="https://www.pricecharting.com/game/pokemon-promo/sinnoh-stars-mini-tin-chimchar" TargetMode="External" Id="rId2099" /><Relationship Type="http://schemas.openxmlformats.org/officeDocument/2006/relationships/hyperlink" Target="https://www.pricecharting.com/game/pokemon-promo/sinnoh-stars-mini-tin-munchlax" TargetMode="External" Id="rId2100" /><Relationship Type="http://schemas.openxmlformats.org/officeDocument/2006/relationships/hyperlink" Target="https://www.pricecharting.com/game/pokemon-promo/sinnoh-stars-mini-tin-piplup" TargetMode="External" Id="rId2101" /><Relationship Type="http://schemas.openxmlformats.org/officeDocument/2006/relationships/hyperlink" Target="https://www.pricecharting.com/game/pokemon-promo/sinnoh-stars-mini-tin-riolu" TargetMode="External" Id="rId2102" /><Relationship Type="http://schemas.openxmlformats.org/officeDocument/2006/relationships/hyperlink" Target="https://www.pricecharting.com/game/pokemon-promo/sinnoh-stars-mini-tin-turtwig" TargetMode="External" Id="rId2103" /><Relationship Type="http://schemas.openxmlformats.org/officeDocument/2006/relationships/hyperlink" Target="https://www.pricecharting.com/game/pokemon-promo/sinnoh-stars-mini-tins-5-pack" TargetMode="External" Id="rId2104" /><Relationship Type="http://schemas.openxmlformats.org/officeDocument/2006/relationships/hyperlink" Target="https://www.pricecharting.com/game/pokemon-promo/slashing-legends-tin-koraidon-ex" TargetMode="External" Id="rId2105" /><Relationship Type="http://schemas.openxmlformats.org/officeDocument/2006/relationships/hyperlink" Target="https://www.pricecharting.com/game/pokemon-promo/slashing-legends-tin-zacian-ex" TargetMode="External" Id="rId2106" /><Relationship Type="http://schemas.openxmlformats.org/officeDocument/2006/relationships/hyperlink" Target="https://www.pricecharting.com/game/pokemon-promo/snorlax-ex-&amp;-blissey-ex-special-collection" TargetMode="External" Id="rId2107" /><Relationship Type="http://schemas.openxmlformats.org/officeDocument/2006/relationships/hyperlink" Target="https://www.pricecharting.com/game/pokemon-promo/spring-2022-collector-bundle" TargetMode="External" Id="rId2108" /><Relationship Type="http://schemas.openxmlformats.org/officeDocument/2006/relationships/hyperlink" Target="https://www.pricecharting.com/game/pokemon-promo/summer-2023-collector's-chest" TargetMode="External" Id="rId2109" /><Relationship Type="http://schemas.openxmlformats.org/officeDocument/2006/relationships/hyperlink" Target="https://www.pricecharting.com/game/pokemon-promo/tag-team-tin-pikachu-&amp;-zekrom-gx" TargetMode="External" Id="rId2110" /><Relationship Type="http://schemas.openxmlformats.org/officeDocument/2006/relationships/hyperlink" Target="https://www.pricecharting.com/game/pokemon-promo/tapu-koko-figure-collection" TargetMode="External" Id="rId2111" /><Relationship Type="http://schemas.openxmlformats.org/officeDocument/2006/relationships/hyperlink" Target="https://www.pricecharting.com/game/pokemon-promo/team-rocket's-moltres-ex-ultra-premium-collection-box" TargetMode="External" Id="rId2112" /><Relationship Type="http://schemas.openxmlformats.org/officeDocument/2006/relationships/hyperlink" Target="https://www.pricecharting.com/game/pokemon-promo/team-skull-pin-collection" TargetMode="External" Id="rId2113" /><Relationship Type="http://schemas.openxmlformats.org/officeDocument/2006/relationships/hyperlink" Target="https://www.pricecharting.com/game/pokemon-promo/tera-brawlers-premium-collection-box" TargetMode="External" Id="rId2114" /><Relationship Type="http://schemas.openxmlformats.org/officeDocument/2006/relationships/hyperlink" Target="https://www.pricecharting.com/game/pokemon-promo/tera-team-premium-collection" TargetMode="External" Id="rId2115" /><Relationship Type="http://schemas.openxmlformats.org/officeDocument/2006/relationships/hyperlink" Target="https://www.pricecharting.com/game/pokemon-promo/terapagos-ex-ultra-premium-collection-box" TargetMode="External" Id="rId2116" /><Relationship Type="http://schemas.openxmlformats.org/officeDocument/2006/relationships/hyperlink" Target="https://www.pricecharting.com/game/pokemon-promo/trainer's-legendary-box-ho-oh" TargetMode="External" Id="rId2117" /><Relationship Type="http://schemas.openxmlformats.org/officeDocument/2006/relationships/hyperlink" Target="https://www.pricecharting.com/game/pokemon-promo/treasures-of-ruin-stacking-tin" TargetMode="External" Id="rId2118" /><Relationship Type="http://schemas.openxmlformats.org/officeDocument/2006/relationships/hyperlink" Target="https://www.pricecharting.com/game/pokemon-promo/tyranitar-lunchbox-chest-tin" TargetMode="External" Id="rId2119" /><Relationship Type="http://schemas.openxmlformats.org/officeDocument/2006/relationships/hyperlink" Target="https://www.pricecharting.com/game/pokemon-promo/ultra-beasts-gx-premium-collection-buzzwole-gx-&amp;-xurkitree-gx" TargetMode="External" Id="rId2120" /><Relationship Type="http://schemas.openxmlformats.org/officeDocument/2006/relationships/hyperlink" Target="https://www.pricecharting.com/game/pokemon-promo/v-union-special-collection-mewtwo" TargetMode="External" Id="rId2121" /><Relationship Type="http://schemas.openxmlformats.org/officeDocument/2006/relationships/hyperlink" Target="https://www.pricecharting.com/game/pokemon-promo/vibrant-paldea-mini-tin" TargetMode="External" Id="rId2122" /><Relationship Type="http://schemas.openxmlformats.org/officeDocument/2006/relationships/hyperlink" Target="https://www.pricecharting.com/game/pokemon-promo/vibrant-paldea-mini-tin-collection" TargetMode="External" Id="rId2123" /><Relationship Type="http://schemas.openxmlformats.org/officeDocument/2006/relationships/hyperlink" Target="https://www.pricecharting.com/game/pokemon-promo/white-&amp;-black-poster-collection-+-binder-collection" TargetMode="External" Id="rId2124" /><Relationship Type="http://schemas.openxmlformats.org/officeDocument/2006/relationships/hyperlink" Target="https://www.pricecharting.com/game/pokemon-promo/zacian-v-union-special-collection-box" TargetMode="External" Id="rId2125" /><Relationship Type="http://schemas.openxmlformats.org/officeDocument/2006/relationships/hyperlink" Target="https://www.pricecharting.com/game/pokemon-promo/zeraora-vmax-&amp;-vstar-battle-box" TargetMode="External" Id="rId2126" /><Relationship Type="http://schemas.openxmlformats.org/officeDocument/2006/relationships/hyperlink" Target="https://www.pricecharting.com/game/pokemon-promo/zoroark-&amp;-legendary-pokemon-jumbo-world-of-illusions-box-promo" TargetMode="External" Id="rId2127" /><Relationship Type="http://schemas.openxmlformats.org/officeDocument/2006/relationships/hyperlink" Target="https://www.pricecharting.com/game/pokemon-roaring-skies/3-pack-blister" TargetMode="External" Id="rId2128" /><Relationship Type="http://schemas.openxmlformats.org/officeDocument/2006/relationships/hyperlink" Target="https://www.pricecharting.com/game/pokemon-roaring-skies/elite-trainer-box" TargetMode="External" Id="rId2129" /><Relationship Type="http://schemas.openxmlformats.org/officeDocument/2006/relationships/hyperlink" Target="https://www.pricecharting.com/game/pokemon-roaring-skies/mega-absol-ex-premium-collection-box" TargetMode="External" Id="rId2130" /><Relationship Type="http://schemas.openxmlformats.org/officeDocument/2006/relationships/hyperlink" Target="https://www.pricecharting.com/game/pokemon-rumble/sealed-box" TargetMode="External" Id="rId2131" /><Relationship Type="http://schemas.openxmlformats.org/officeDocument/2006/relationships/hyperlink" Target="https://www.tcgplayer.com/product/627698" TargetMode="External" Id="rId2132" /><Relationship Type="http://schemas.openxmlformats.org/officeDocument/2006/relationships/hyperlink" Target="https://www.tcgplayer.com/product/638934" TargetMode="External" Id="rId2133" /><Relationship Type="http://schemas.openxmlformats.org/officeDocument/2006/relationships/hyperlink" Target="https://www.tcgplayer.com/product/627702" TargetMode="External" Id="rId2134" /><Relationship Type="http://schemas.openxmlformats.org/officeDocument/2006/relationships/hyperlink" Target="https://www.tcgplayer.com/product/618176" TargetMode="External" Id="rId2135" /><Relationship Type="http://schemas.openxmlformats.org/officeDocument/2006/relationships/hyperlink" Target="https://www.tcgplayer.com/product/626514" TargetMode="External" Id="rId2136" /><Relationship Type="http://schemas.openxmlformats.org/officeDocument/2006/relationships/hyperlink" Target="https://www.tcgplayer.com/product/638076" TargetMode="External" Id="rId2137" /><Relationship Type="http://schemas.openxmlformats.org/officeDocument/2006/relationships/hyperlink" Target="https://www.tcgplayer.com/product/608794" TargetMode="External" Id="rId2138" /><Relationship Type="http://schemas.openxmlformats.org/officeDocument/2006/relationships/hyperlink" Target="https://www.tcgplayer.com/product/606718" TargetMode="External" Id="rId2139" /><Relationship Type="http://schemas.openxmlformats.org/officeDocument/2006/relationships/hyperlink" Target="https://www.tcgplayer.com/product/647455" TargetMode="External" Id="rId2140" /><Relationship Type="http://schemas.openxmlformats.org/officeDocument/2006/relationships/hyperlink" Target="https://www.tcgplayer.com/product/657880" TargetMode="External" Id="rId2141" /><Relationship Type="http://schemas.openxmlformats.org/officeDocument/2006/relationships/hyperlink" Target="https://www.tcgplayer.com/product/565261" TargetMode="External" Id="rId2142" /><Relationship Type="http://schemas.openxmlformats.org/officeDocument/2006/relationships/hyperlink" Target="https://www.pricecharting.com/game/pokemon-shining-fates/boltund-v-tin" TargetMode="External" Id="rId2143" /><Relationship Type="http://schemas.openxmlformats.org/officeDocument/2006/relationships/hyperlink" Target="https://www.tcgplayer.com/product/265320" TargetMode="External" Id="rId2144" /><Relationship Type="http://schemas.openxmlformats.org/officeDocument/2006/relationships/hyperlink" Target="https://www.tcgplayer.com/product/228825" TargetMode="External" Id="rId2145" /><Relationship Type="http://schemas.openxmlformats.org/officeDocument/2006/relationships/hyperlink" Target="https://www.tcgplayer.com/product/240191" TargetMode="External" Id="rId2146" /><Relationship Type="http://schemas.openxmlformats.org/officeDocument/2006/relationships/hyperlink" Target="https://www.tcgplayer.com/product/240192" TargetMode="External" Id="rId2147" /><Relationship Type="http://schemas.openxmlformats.org/officeDocument/2006/relationships/hyperlink" Target="https://www.pricecharting.com/game/pokemon-shining-fates/cramorant-v-tin" TargetMode="External" Id="rId2148" /><Relationship Type="http://schemas.openxmlformats.org/officeDocument/2006/relationships/hyperlink" Target="https://www.pricecharting.com/game/pokemon-shining-fates/eldegoss-v-tin" TargetMode="External" Id="rId2149" /><Relationship Type="http://schemas.openxmlformats.org/officeDocument/2006/relationships/hyperlink" Target="https://www.pricecharting.com/game/pokemon-shining-fates/elite-trainer-box" TargetMode="External" Id="rId2150" /><Relationship Type="http://schemas.openxmlformats.org/officeDocument/2006/relationships/hyperlink" Target="https://www.tcgplayer.com/product/228821" TargetMode="External" Id="rId2151" /><Relationship Type="http://schemas.openxmlformats.org/officeDocument/2006/relationships/hyperlink" Target="https://www.tcgplayer.com/product/228826" TargetMode="External" Id="rId2152" /><Relationship Type="http://schemas.openxmlformats.org/officeDocument/2006/relationships/hyperlink" Target="https://www.tcgplayer.com/product/228827" TargetMode="External" Id="rId2153" /><Relationship Type="http://schemas.openxmlformats.org/officeDocument/2006/relationships/hyperlink" Target="https://www.tcgplayer.com/product/228828" TargetMode="External" Id="rId2154" /><Relationship Type="http://schemas.openxmlformats.org/officeDocument/2006/relationships/hyperlink" Target="https://www.tcgplayer.com/product/228829" TargetMode="External" Id="rId2155" /><Relationship Type="http://schemas.openxmlformats.org/officeDocument/2006/relationships/hyperlink" Target="https://www.tcgplayer.com/product/238606" TargetMode="External" Id="rId2156" /><Relationship Type="http://schemas.openxmlformats.org/officeDocument/2006/relationships/hyperlink" Target="https://www.pricecharting.com/game/pokemon-shining-fates/shining-fates-mini-tin" TargetMode="External" Id="rId2157" /><Relationship Type="http://schemas.openxmlformats.org/officeDocument/2006/relationships/hyperlink" Target="https://www.tcgplayer.com/product/230960" TargetMode="External" Id="rId2158" /><Relationship Type="http://schemas.openxmlformats.org/officeDocument/2006/relationships/hyperlink" Target="https://www.tcgplayer.com/product/230959" TargetMode="External" Id="rId2159" /><Relationship Type="http://schemas.openxmlformats.org/officeDocument/2006/relationships/hyperlink" Target="https://www.tcgplayer.com/product/230956" TargetMode="External" Id="rId2160" /><Relationship Type="http://schemas.openxmlformats.org/officeDocument/2006/relationships/hyperlink" Target="https://www.tcgplayer.com/product/230957" TargetMode="External" Id="rId2161" /><Relationship Type="http://schemas.openxmlformats.org/officeDocument/2006/relationships/hyperlink" Target="https://www.pricecharting.com/game/pokemon-shining-fates/pikachu-v-collection-box" TargetMode="External" Id="rId2162" /><Relationship Type="http://schemas.openxmlformats.org/officeDocument/2006/relationships/hyperlink" Target="https://www.pricecharting.com/game/pokemon-shining-fates/polteageist-mad-party-pin-collection" TargetMode="External" Id="rId2163" /><Relationship Type="http://schemas.openxmlformats.org/officeDocument/2006/relationships/hyperlink" Target="https://www.tcgplayer.com/product/230391" TargetMode="External" Id="rId2164" /><Relationship Type="http://schemas.openxmlformats.org/officeDocument/2006/relationships/hyperlink" Target="https://www.tcgplayer.com/product/230392" TargetMode="External" Id="rId2165" /><Relationship Type="http://schemas.openxmlformats.org/officeDocument/2006/relationships/hyperlink" Target="https://www.pricecharting.com/game/pokemon-shining-fates/premium-collection-box-crobat" TargetMode="External" Id="rId2166" /><Relationship Type="http://schemas.openxmlformats.org/officeDocument/2006/relationships/hyperlink" Target="https://www.pricecharting.com/game/pokemon-shining-fates/premium-collection-box-dragapult" TargetMode="External" Id="rId2167" /><Relationship Type="http://schemas.openxmlformats.org/officeDocument/2006/relationships/hyperlink" Target="https://www.pricecharting.com/game/pokemon-shining-fates/shiny-boltund-v-collection" TargetMode="External" Id="rId2168" /><Relationship Type="http://schemas.openxmlformats.org/officeDocument/2006/relationships/hyperlink" Target="https://www.pricecharting.com/game/pokemon-shining-fates/shiny-cramorant-v-collection" TargetMode="External" Id="rId2169" /><Relationship Type="http://schemas.openxmlformats.org/officeDocument/2006/relationships/hyperlink" Target="https://www.pricecharting.com/game/pokemon-shining-fates/shiny-eldegoss-v-collection" TargetMode="External" Id="rId2170" /><Relationship Type="http://schemas.openxmlformats.org/officeDocument/2006/relationships/hyperlink" Target="https://www.tcgplayer.com/product/228823" TargetMode="External" Id="rId2171" /><Relationship Type="http://schemas.openxmlformats.org/officeDocument/2006/relationships/hyperlink" Target="https://www.tcgplayer.com/product/228824" TargetMode="External" Id="rId2172" /><Relationship Type="http://schemas.openxmlformats.org/officeDocument/2006/relationships/hyperlink" Target="https://www.tcgplayer.com/product/228822" TargetMode="External" Id="rId2173" /><Relationship Type="http://schemas.openxmlformats.org/officeDocument/2006/relationships/hyperlink" Target="https://www.pricecharting.com/game/pokemon-shining-legends/shining-legends-collection-shiny-darkrai-gx" TargetMode="External" Id="rId2174" /><Relationship Type="http://schemas.openxmlformats.org/officeDocument/2006/relationships/hyperlink" Target="https://www.tcgplayer.com/product/600514" TargetMode="External" Id="rId2175" /><Relationship Type="http://schemas.openxmlformats.org/officeDocument/2006/relationships/hyperlink" Target="https://www.tcgplayer.com/product/152603" TargetMode="External" Id="rId2176" /><Relationship Type="http://schemas.openxmlformats.org/officeDocument/2006/relationships/hyperlink" Target="https://www.pricecharting.com/game/pokemon-shining-legends/elite-trainer-box" TargetMode="External" Id="rId2177" /><Relationship Type="http://schemas.openxmlformats.org/officeDocument/2006/relationships/hyperlink" Target="https://www.tcgplayer.com/product/145847" TargetMode="External" Id="rId2178" /><Relationship Type="http://schemas.openxmlformats.org/officeDocument/2006/relationships/hyperlink" Target="https://www.pricecharting.com/game/pokemon-shining-legends/figure-collection-shiny-darkrai-gx" TargetMode="External" Id="rId2179" /><Relationship Type="http://schemas.openxmlformats.org/officeDocument/2006/relationships/hyperlink" Target="https://www.tcgplayer.com/product/161257" TargetMode="External" Id="rId2180" /><Relationship Type="http://schemas.openxmlformats.org/officeDocument/2006/relationships/hyperlink" Target="https://www.pricecharting.com/game/pokemon-shining-legends/mewtwo-pin-collection" TargetMode="External" Id="rId2181" /><Relationship Type="http://schemas.openxmlformats.org/officeDocument/2006/relationships/hyperlink" Target="https://www.tcgplayer.com/product/155596" TargetMode="External" Id="rId2182" /><Relationship Type="http://schemas.openxmlformats.org/officeDocument/2006/relationships/hyperlink" Target="https://www.tcgplayer.com/product/145848" TargetMode="External" Id="rId2183" /><Relationship Type="http://schemas.openxmlformats.org/officeDocument/2006/relationships/hyperlink" Target="https://www.tcgplayer.com/product/154717" TargetMode="External" Id="rId2184" /><Relationship Type="http://schemas.openxmlformats.org/officeDocument/2006/relationships/hyperlink" Target="https://www.pricecharting.com/game/pokemon-shining-legends/sealed-marshadow-pin-collection" TargetMode="External" Id="rId2185" /><Relationship Type="http://schemas.openxmlformats.org/officeDocument/2006/relationships/hyperlink" Target="https://www.pricecharting.com/game/pokemon-shining-legends/sealed-pikachu-pin-collection" TargetMode="External" Id="rId2186" /><Relationship Type="http://schemas.openxmlformats.org/officeDocument/2006/relationships/hyperlink" Target="https://www.pricecharting.com/game/pokemon-shining-legends/special-collection-box-raichu-gx" TargetMode="External" Id="rId2187" /><Relationship Type="http://schemas.openxmlformats.org/officeDocument/2006/relationships/hyperlink" Target="https://www.tcgplayer.com/product/155062" TargetMode="External" Id="rId2188" /><Relationship Type="http://schemas.openxmlformats.org/officeDocument/2006/relationships/hyperlink" Target="https://www.tcgplayer.com/product/149378" TargetMode="External" Id="rId2189" /><Relationship Type="http://schemas.openxmlformats.org/officeDocument/2006/relationships/hyperlink" Target="https://www.pricecharting.com/game/pokemon-shining-legends/super-premium-collection-box" TargetMode="External" Id="rId2190" /><Relationship Type="http://schemas.openxmlformats.org/officeDocument/2006/relationships/hyperlink" Target="https://www.tcgplayer.com/product/148412" TargetMode="External" Id="rId2191" /><Relationship Type="http://schemas.openxmlformats.org/officeDocument/2006/relationships/hyperlink" Target="https://www.pricecharting.com/game/pokemon-shining-legends/zoroark-pin-collection" TargetMode="External" Id="rId2192" /><Relationship Type="http://schemas.openxmlformats.org/officeDocument/2006/relationships/hyperlink" Target="https://www.tcgplayer.com/product/169543" TargetMode="External" Id="rId2193" /><Relationship Type="http://schemas.openxmlformats.org/officeDocument/2006/relationships/hyperlink" Target="https://www.pricecharting.com/game/pokemon-shrouded-fable/elite-trainer-box-pokemon-center" TargetMode="External" Id="rId2194" /><Relationship Type="http://schemas.openxmlformats.org/officeDocument/2006/relationships/hyperlink" Target="https://www.pricecharting.com/game/pokemon-shrouded-fable/mini-tin-munkidori" TargetMode="External" Id="rId2195" /><Relationship Type="http://schemas.openxmlformats.org/officeDocument/2006/relationships/hyperlink" Target="https://www.pricecharting.com/game/pokemon-silver-tempest/collector-chest-fall-2022" TargetMode="External" Id="rId2196" /><Relationship Type="http://schemas.openxmlformats.org/officeDocument/2006/relationships/hyperlink" Target="https://www.pricecharting.com/game/pokemon-silver-tempest/elite-trainer-box-pokemon-center" TargetMode="External" Id="rId2197" /><Relationship Type="http://schemas.openxmlformats.org/officeDocument/2006/relationships/hyperlink" Target="https://www.tcgplayer.com/product/678055" TargetMode="External" Id="rId2198" /><Relationship Type="http://schemas.openxmlformats.org/officeDocument/2006/relationships/hyperlink" Target="https://www.tcgplayer.com/product/218320" TargetMode="External" Id="rId2199" /><Relationship Type="http://schemas.openxmlformats.org/officeDocument/2006/relationships/hyperlink" Target="https://www.tcgplayer.com/product/267038" TargetMode="External" Id="rId2200" /><Relationship Type="http://schemas.openxmlformats.org/officeDocument/2006/relationships/hyperlink" Target="https://www.pricecharting.com/game/pokemon-burning-shadows/elite-trainer-box" TargetMode="External" Id="rId2201" /><Relationship Type="http://schemas.openxmlformats.org/officeDocument/2006/relationships/hyperlink" Target="https://www.tcgplayer.com/product/133776" TargetMode="External" Id="rId2202" /><Relationship Type="http://schemas.openxmlformats.org/officeDocument/2006/relationships/hyperlink" Target="https://www.tcgplayer.com/product/139888" TargetMode="External" Id="rId2203" /><Relationship Type="http://schemas.openxmlformats.org/officeDocument/2006/relationships/hyperlink" Target="https://www.tcgplayer.com/product/148154" TargetMode="External" Id="rId2204" /><Relationship Type="http://schemas.openxmlformats.org/officeDocument/2006/relationships/hyperlink" Target="https://www.tcgplayer.com/product/153454" TargetMode="External" Id="rId2205" /><Relationship Type="http://schemas.openxmlformats.org/officeDocument/2006/relationships/hyperlink" Target="https://www.tcgplayer.com/product/218321" TargetMode="External" Id="rId2206" /><Relationship Type="http://schemas.openxmlformats.org/officeDocument/2006/relationships/hyperlink" Target="https://www.tcgplayer.com/product/148420" TargetMode="External" Id="rId2207" /><Relationship Type="http://schemas.openxmlformats.org/officeDocument/2006/relationships/hyperlink" Target="https://www.tcgplayer.com/product/148419" TargetMode="External" Id="rId2208" /><Relationship Type="http://schemas.openxmlformats.org/officeDocument/2006/relationships/hyperlink" Target="https://www.tcgplayer.com/product/133775" TargetMode="External" Id="rId2209" /><Relationship Type="http://schemas.openxmlformats.org/officeDocument/2006/relationships/hyperlink" Target="https://www.tcgplayer.com/product/148417" TargetMode="External" Id="rId2210" /><Relationship Type="http://schemas.openxmlformats.org/officeDocument/2006/relationships/hyperlink" Target="https://www.tcgplayer.com/product/141243" TargetMode="External" Id="rId2211" /><Relationship Type="http://schemas.openxmlformats.org/officeDocument/2006/relationships/hyperlink" Target="https://www.tcgplayer.com/product/267042" TargetMode="External" Id="rId2212" /><Relationship Type="http://schemas.openxmlformats.org/officeDocument/2006/relationships/hyperlink" Target="https://www.tcgplayer.com/product/170280" TargetMode="External" Id="rId2213" /><Relationship Type="http://schemas.openxmlformats.org/officeDocument/2006/relationships/hyperlink" Target="https://www.pricecharting.com/game/pokemon-celestial-storm/evolution-celebration-tin-glaceon-gx" TargetMode="External" Id="rId2214" /><Relationship Type="http://schemas.openxmlformats.org/officeDocument/2006/relationships/hyperlink" Target="https://www.tcgplayer.com/product/175555" TargetMode="External" Id="rId2215" /><Relationship Type="http://schemas.openxmlformats.org/officeDocument/2006/relationships/hyperlink" Target="https://www.pricecharting.com/game/pokemon-celestial-storm/evolution-celebration-tin-sylveon-gx" TargetMode="External" Id="rId2216" /><Relationship Type="http://schemas.openxmlformats.org/officeDocument/2006/relationships/hyperlink" Target="https://www.tcgplayer.com/product/175557" TargetMode="External" Id="rId2217" /><Relationship Type="http://schemas.openxmlformats.org/officeDocument/2006/relationships/hyperlink" Target="https://www.tcgplayer.com/product/175559" TargetMode="External" Id="rId2218" /><Relationship Type="http://schemas.openxmlformats.org/officeDocument/2006/relationships/hyperlink" Target="https://www.tcgplayer.com/product/175558" TargetMode="External" Id="rId2219" /><Relationship Type="http://schemas.openxmlformats.org/officeDocument/2006/relationships/hyperlink" Target="https://www.pricecharting.com/game/pokemon-cosmic-eclipse/3-pack-blister-celebi" TargetMode="External" Id="rId2220" /><Relationship Type="http://schemas.openxmlformats.org/officeDocument/2006/relationships/hyperlink" Target="https://www.tcgplayer.com/product/199767" TargetMode="External" Id="rId2221" /><Relationship Type="http://schemas.openxmlformats.org/officeDocument/2006/relationships/hyperlink" Target="https://www.tcgplayer.com/product/267047" TargetMode="External" Id="rId2222" /><Relationship Type="http://schemas.openxmlformats.org/officeDocument/2006/relationships/hyperlink" Target="https://www.pricecharting.com/game/pokemon-cosmic-eclipse/build-&amp;-battle-box" TargetMode="External" Id="rId2223" /><Relationship Type="http://schemas.openxmlformats.org/officeDocument/2006/relationships/hyperlink" Target="https://www.tcgplayer.com/product/199310" TargetMode="External" Id="rId2224" /><Relationship Type="http://schemas.openxmlformats.org/officeDocument/2006/relationships/hyperlink" Target="https://www.tcgplayer.com/product/276587" TargetMode="External" Id="rId2225" /><Relationship Type="http://schemas.openxmlformats.org/officeDocument/2006/relationships/hyperlink" Target="https://www.pricecharting.com/game/pokemon-cosmic-eclipse/pikachu-gx-&amp;-eevee-gx-special-collection" TargetMode="External" Id="rId2226" /><Relationship Type="http://schemas.openxmlformats.org/officeDocument/2006/relationships/hyperlink" Target="https://www.tcgplayer.com/product/199772" TargetMode="External" Id="rId2227" /><Relationship Type="http://schemas.openxmlformats.org/officeDocument/2006/relationships/hyperlink" Target="https://www.tcgplayer.com/product/267039" TargetMode="External" Id="rId2228" /><Relationship Type="http://schemas.openxmlformats.org/officeDocument/2006/relationships/hyperlink" Target="https://www.pricecharting.com/game/pokemon-crimson-invasion/elite-trainer-box" TargetMode="External" Id="rId2229" /><Relationship Type="http://schemas.openxmlformats.org/officeDocument/2006/relationships/hyperlink" Target="https://www.tcgplayer.com/product/149377" TargetMode="External" Id="rId2230" /><Relationship Type="http://schemas.openxmlformats.org/officeDocument/2006/relationships/hyperlink" Target="https://www.tcgplayer.com/product/153081" TargetMode="External" Id="rId2231" /><Relationship Type="http://schemas.openxmlformats.org/officeDocument/2006/relationships/hyperlink" Target="https://www.tcgplayer.com/product/155061" TargetMode="External" Id="rId2232" /><Relationship Type="http://schemas.openxmlformats.org/officeDocument/2006/relationships/hyperlink" Target="https://www.tcgplayer.com/product/152602" TargetMode="External" Id="rId2233" /><Relationship Type="http://schemas.openxmlformats.org/officeDocument/2006/relationships/hyperlink" Target="https://www.pricecharting.com/game/pokemon-crimson-invasion/pikachu-sidekick-collection" TargetMode="External" Id="rId2234" /><Relationship Type="http://schemas.openxmlformats.org/officeDocument/2006/relationships/hyperlink" Target="https://www.tcgplayer.com/product/166409" TargetMode="External" Id="rId2235" /><Relationship Type="http://schemas.openxmlformats.org/officeDocument/2006/relationships/hyperlink" Target="https://www.tcgplayer.com/product/152598" TargetMode="External" Id="rId2236" /><Relationship Type="http://schemas.openxmlformats.org/officeDocument/2006/relationships/hyperlink" Target="https://www.tcgplayer.com/product/149376" TargetMode="External" Id="rId2237" /><Relationship Type="http://schemas.openxmlformats.org/officeDocument/2006/relationships/hyperlink" Target="https://www.pricecharting.com/game/pokemon-crimson-invasion/ultra-beasts-gx-premium-collection-pheromosa-gx-&amp;-celesteela-gx" TargetMode="External" Id="rId2238" /><Relationship Type="http://schemas.openxmlformats.org/officeDocument/2006/relationships/hyperlink" Target="https://www.tcgplayer.com/product/149375" TargetMode="External" Id="rId2239" /><Relationship Type="http://schemas.openxmlformats.org/officeDocument/2006/relationships/hyperlink" Target="https://www.tcgplayer.com/product/246414" TargetMode="External" Id="rId2240" /><Relationship Type="http://schemas.openxmlformats.org/officeDocument/2006/relationships/hyperlink" Target="https://www.pricecharting.com/game/pokemon-forbidden-light/dawn-wings-necrozma-premium-collection" TargetMode="External" Id="rId2241" /><Relationship Type="http://schemas.openxmlformats.org/officeDocument/2006/relationships/hyperlink" Target="https://www.tcgplayer.com/product/164314" TargetMode="External" Id="rId2242" /><Relationship Type="http://schemas.openxmlformats.org/officeDocument/2006/relationships/hyperlink" Target="https://www.pricecharting.com/game/pokemon-forbidden-light/dusk-mane-necrozma-box" TargetMode="External" Id="rId2243" /><Relationship Type="http://schemas.openxmlformats.org/officeDocument/2006/relationships/hyperlink" Target="https://www.tcgplayer.com/product/246415" TargetMode="External" Id="rId2244" /><Relationship Type="http://schemas.openxmlformats.org/officeDocument/2006/relationships/hyperlink" Target="https://www.pricecharting.com/game/pokemon-forbidden-light/dusk-mane-necrozma-premium-collection" TargetMode="External" Id="rId2245" /><Relationship Type="http://schemas.openxmlformats.org/officeDocument/2006/relationships/hyperlink" Target="https://www.tcgplayer.com/product/164315" TargetMode="External" Id="rId2246" /><Relationship Type="http://schemas.openxmlformats.org/officeDocument/2006/relationships/hyperlink" Target="https://www.tcgplayer.com/product/267041" TargetMode="External" Id="rId2247" /><Relationship Type="http://schemas.openxmlformats.org/officeDocument/2006/relationships/hyperlink" Target="https://www.pricecharting.com/game/pokemon-forbidden-light/elite-trainer-box" TargetMode="External" Id="rId2248" /><Relationship Type="http://schemas.openxmlformats.org/officeDocument/2006/relationships/hyperlink" Target="https://www.tcgplayer.com/product/164303" TargetMode="External" Id="rId2249" /><Relationship Type="http://schemas.openxmlformats.org/officeDocument/2006/relationships/hyperlink" Target="https://www.tcgplayer.com/product/166413" TargetMode="External" Id="rId2250" /><Relationship Type="http://schemas.openxmlformats.org/officeDocument/2006/relationships/hyperlink" Target="https://www.tcgplayer.com/product/169414" TargetMode="External" Id="rId2251" /><Relationship Type="http://schemas.openxmlformats.org/officeDocument/2006/relationships/hyperlink" Target="https://www.pricecharting.com/game/pokemon-guardians-rising/bewear-gx-box" TargetMode="External" Id="rId2252" /><Relationship Type="http://schemas.openxmlformats.org/officeDocument/2006/relationships/hyperlink" Target="https://www.tcgplayer.com/product/132238" TargetMode="External" Id="rId2253" /><Relationship Type="http://schemas.openxmlformats.org/officeDocument/2006/relationships/hyperlink" Target="https://www.tcgplayer.com/product/133806" TargetMode="External" Id="rId2254" /><Relationship Type="http://schemas.openxmlformats.org/officeDocument/2006/relationships/hyperlink" Target="https://www.tcgplayer.com/product/137523" TargetMode="External" Id="rId2255" /><Relationship Type="http://schemas.openxmlformats.org/officeDocument/2006/relationships/hyperlink" Target="https://www.pricecharting.com/game/pokemon-guardians-rising/3-pack-blister-turtonator" TargetMode="External" Id="rId2256" /><Relationship Type="http://schemas.openxmlformats.org/officeDocument/2006/relationships/hyperlink" Target="https://www.tcgplayer.com/product/184340" TargetMode="External" Id="rId2257" /><Relationship Type="http://schemas.openxmlformats.org/officeDocument/2006/relationships/hyperlink" Target="https://www.tcgplayer.com/product/267037" TargetMode="External" Id="rId2258" /><Relationship Type="http://schemas.openxmlformats.org/officeDocument/2006/relationships/hyperlink" Target="https://www.pricecharting.com/game/pokemon-guardians-rising/elite-trainer-box" TargetMode="External" Id="rId2259" /><Relationship Type="http://schemas.openxmlformats.org/officeDocument/2006/relationships/hyperlink" Target="https://www.tcgplayer.com/product/129890" TargetMode="External" Id="rId2260" /><Relationship Type="http://schemas.openxmlformats.org/officeDocument/2006/relationships/hyperlink" Target="https://www.tcgplayer.com/product/131273" TargetMode="External" Id="rId2261" /><Relationship Type="http://schemas.openxmlformats.org/officeDocument/2006/relationships/hyperlink" Target="https://www.tcgplayer.com/product/276578" TargetMode="External" Id="rId2262" /><Relationship Type="http://schemas.openxmlformats.org/officeDocument/2006/relationships/hyperlink" Target="https://www.tcgplayer.com/product/133807" TargetMode="External" Id="rId2263" /><Relationship Type="http://schemas.openxmlformats.org/officeDocument/2006/relationships/hyperlink" Target="https://www.tcgplayer.com/product/131726" TargetMode="External" Id="rId2264" /><Relationship Type="http://schemas.openxmlformats.org/officeDocument/2006/relationships/hyperlink" Target="https://www.tcgplayer.com/product/131725" TargetMode="External" Id="rId2265" /><Relationship Type="http://schemas.openxmlformats.org/officeDocument/2006/relationships/hyperlink" Target="https://www.tcgplayer.com/product/218328" TargetMode="External" Id="rId2266" /><Relationship Type="http://schemas.openxmlformats.org/officeDocument/2006/relationships/hyperlink" Target="https://www.tcgplayer.com/product/131693" TargetMode="External" Id="rId2267" /><Relationship Type="http://schemas.openxmlformats.org/officeDocument/2006/relationships/hyperlink" Target="https://www.tcgplayer.com/product/133808" TargetMode="External" Id="rId2268" /><Relationship Type="http://schemas.openxmlformats.org/officeDocument/2006/relationships/hyperlink" Target="https://www.tcgplayer.com/product/133809" TargetMode="External" Id="rId2269" /><Relationship Type="http://schemas.openxmlformats.org/officeDocument/2006/relationships/hyperlink" Target="https://www.tcgplayer.com/product/133805" TargetMode="External" Id="rId2270" /><Relationship Type="http://schemas.openxmlformats.org/officeDocument/2006/relationships/hyperlink" Target="https://www.pricecharting.com/game/pokemon-guardians-rising/shiny-tapu-koko-gx-box" TargetMode="External" Id="rId2271" /><Relationship Type="http://schemas.openxmlformats.org/officeDocument/2006/relationships/hyperlink" Target="https://www.tcgplayer.com/product/137872" TargetMode="External" Id="rId2272" /><Relationship Type="http://schemas.openxmlformats.org/officeDocument/2006/relationships/hyperlink" Target="https://www.tcgplayer.com/product/218327" TargetMode="External" Id="rId2273" /><Relationship Type="http://schemas.openxmlformats.org/officeDocument/2006/relationships/hyperlink" Target="https://www.tcgplayer.com/product/131734" TargetMode="External" Id="rId2274" /><Relationship Type="http://schemas.openxmlformats.org/officeDocument/2006/relationships/hyperlink" Target="https://www.pricecharting.com/game/pokemon-guardians-rising/tapu-koko-pin-collection" TargetMode="External" Id="rId2275" /><Relationship Type="http://schemas.openxmlformats.org/officeDocument/2006/relationships/hyperlink" Target="https://www.tcgplayer.com/product/132237" TargetMode="External" Id="rId2276" /><Relationship Type="http://schemas.openxmlformats.org/officeDocument/2006/relationships/hyperlink" Target="https://www.tcgplayer.com/product/177868" TargetMode="External" Id="rId2277" /><Relationship Type="http://schemas.openxmlformats.org/officeDocument/2006/relationships/hyperlink" Target="https://www.tcgplayer.com/product/177869" TargetMode="External" Id="rId2278" /><Relationship Type="http://schemas.openxmlformats.org/officeDocument/2006/relationships/hyperlink" Target="https://www.pricecharting.com/game/pokemon-guardians-rising/umbreon-gx-premium-collection" TargetMode="External" Id="rId2279" /><Relationship Type="http://schemas.openxmlformats.org/officeDocument/2006/relationships/hyperlink" Target="https://www.tcgplayer.com/product/137524" TargetMode="External" Id="rId2280" /><Relationship Type="http://schemas.openxmlformats.org/officeDocument/2006/relationships/hyperlink" Target="https://www.tcgplayer.com/product/180518" TargetMode="External" Id="rId2281" /><Relationship Type="http://schemas.openxmlformats.org/officeDocument/2006/relationships/hyperlink" Target="https://www.tcgplayer.com/product/177864" TargetMode="External" Id="rId2282" /><Relationship Type="http://schemas.openxmlformats.org/officeDocument/2006/relationships/hyperlink" Target="https://www.tcgplayer.com/product/181707" TargetMode="External" Id="rId2283" /><Relationship Type="http://schemas.openxmlformats.org/officeDocument/2006/relationships/hyperlink" Target="https://www.tcgplayer.com/product/181709" TargetMode="External" Id="rId2284" /><Relationship Type="http://schemas.openxmlformats.org/officeDocument/2006/relationships/hyperlink" Target="https://www.tcgplayer.com/product/267043" TargetMode="External" Id="rId2285" /><Relationship Type="http://schemas.openxmlformats.org/officeDocument/2006/relationships/hyperlink" Target="https://www.pricecharting.com/game/pokemon-lost-thunder/build-&amp;-battle-box" TargetMode="External" Id="rId2286" /><Relationship Type="http://schemas.openxmlformats.org/officeDocument/2006/relationships/hyperlink" Target="https://www.tcgplayer.com/product/179423" TargetMode="External" Id="rId2287" /><Relationship Type="http://schemas.openxmlformats.org/officeDocument/2006/relationships/hyperlink" Target="https://www.pricecharting.com/game/pokemon-lost-thunder/elite-trainer-box" TargetMode="External" Id="rId2288" /><Relationship Type="http://schemas.openxmlformats.org/officeDocument/2006/relationships/hyperlink" Target="https://www.tcgplayer.com/product/175511" TargetMode="External" Id="rId2289" /><Relationship Type="http://schemas.openxmlformats.org/officeDocument/2006/relationships/hyperlink" Target="https://www.tcgplayer.com/product/181710" TargetMode="External" Id="rId2290" /><Relationship Type="http://schemas.openxmlformats.org/officeDocument/2006/relationships/hyperlink" Target="https://www.tcgplayer.com/product/185246" TargetMode="External" Id="rId2291" /><Relationship Type="http://schemas.openxmlformats.org/officeDocument/2006/relationships/hyperlink" Target="https://www.tcgplayer.com/product/185256" TargetMode="External" Id="rId2292" /><Relationship Type="http://schemas.openxmlformats.org/officeDocument/2006/relationships/hyperlink" Target="https://www.tcgplayer.com/product/185257" TargetMode="External" Id="rId2293" /><Relationship Type="http://schemas.openxmlformats.org/officeDocument/2006/relationships/hyperlink" Target="https://www.tcgplayer.com/product/185258" TargetMode="External" Id="rId2294" /><Relationship Type="http://schemas.openxmlformats.org/officeDocument/2006/relationships/hyperlink" Target="https://www.tcgplayer.com/product/267044" TargetMode="External" Id="rId2295" /><Relationship Type="http://schemas.openxmlformats.org/officeDocument/2006/relationships/hyperlink" Target="https://www.pricecharting.com/game/pokemon-team-up/elite-trainer-box" TargetMode="External" Id="rId2296" /><Relationship Type="http://schemas.openxmlformats.org/officeDocument/2006/relationships/hyperlink" Target="https://www.tcgplayer.com/product/181704" TargetMode="External" Id="rId2297" /><Relationship Type="http://schemas.openxmlformats.org/officeDocument/2006/relationships/hyperlink" Target="https://www.tcgplayer.com/product/183975" TargetMode="External" Id="rId2298" /><Relationship Type="http://schemas.openxmlformats.org/officeDocument/2006/relationships/hyperlink" Target="https://www.tcgplayer.com/product/276584" TargetMode="External" Id="rId2299" /><Relationship Type="http://schemas.openxmlformats.org/officeDocument/2006/relationships/hyperlink" Target="https://www.pricecharting.com/game/pokemon-team-up/towering-splash-gx-box" TargetMode="External" Id="rId2300" /><Relationship Type="http://schemas.openxmlformats.org/officeDocument/2006/relationships/hyperlink" Target="https://www.tcgplayer.com/product/181693" TargetMode="External" Id="rId2301" /><Relationship Type="http://schemas.openxmlformats.org/officeDocument/2006/relationships/hyperlink" Target="https://www.pricecharting.com/game/pokemon-ultra-prism/charmander-sidekick-collection" TargetMode="External" Id="rId2302" /><Relationship Type="http://schemas.openxmlformats.org/officeDocument/2006/relationships/hyperlink" Target="https://www.tcgplayer.com/product/186105" TargetMode="External" Id="rId2303" /><Relationship Type="http://schemas.openxmlformats.org/officeDocument/2006/relationships/hyperlink" Target="https://www.tcgplayer.com/product/164232" TargetMode="External" Id="rId2304" /><Relationship Type="http://schemas.openxmlformats.org/officeDocument/2006/relationships/hyperlink" Target="https://www.tcgplayer.com/product/161256" TargetMode="External" Id="rId2305" /><Relationship Type="http://schemas.openxmlformats.org/officeDocument/2006/relationships/hyperlink" Target="https://www.tcgplayer.com/product/162046" TargetMode="External" Id="rId2306" /><Relationship Type="http://schemas.openxmlformats.org/officeDocument/2006/relationships/hyperlink" Target="https://www.tcgplayer.com/product/162045" TargetMode="External" Id="rId2307" /><Relationship Type="http://schemas.openxmlformats.org/officeDocument/2006/relationships/hyperlink" Target="https://www.pricecharting.com/game/pokemon-ultra-prism/3-pack-hanger-box" TargetMode="External" Id="rId2308" /><Relationship Type="http://schemas.openxmlformats.org/officeDocument/2006/relationships/hyperlink" Target="https://www.tcgplayer.com/product/232314" TargetMode="External" Id="rId2309" /><Relationship Type="http://schemas.openxmlformats.org/officeDocument/2006/relationships/hyperlink" Target="https://www.tcgplayer.com/product/267040" TargetMode="External" Id="rId2310" /><Relationship Type="http://schemas.openxmlformats.org/officeDocument/2006/relationships/hyperlink" Target="https://www.pricecharting.com/game/pokemon-ultra-prism/elite-trainer-box-dawn-wings-necrozma" TargetMode="External" Id="rId2311" /><Relationship Type="http://schemas.openxmlformats.org/officeDocument/2006/relationships/hyperlink" Target="https://www.tcgplayer.com/product/155663" TargetMode="External" Id="rId2312" /><Relationship Type="http://schemas.openxmlformats.org/officeDocument/2006/relationships/hyperlink" Target="https://www.pricecharting.com/game/pokemon-ultra-prism/elite-trainer-box-dusk-mane-necrozma" TargetMode="External" Id="rId2313" /><Relationship Type="http://schemas.openxmlformats.org/officeDocument/2006/relationships/hyperlink" Target="https://www.tcgplayer.com/product/155664" TargetMode="External" Id="rId2314" /><Relationship Type="http://schemas.openxmlformats.org/officeDocument/2006/relationships/hyperlink" Target="https://www.tcgplayer.com/product/158254" TargetMode="External" Id="rId2315" /><Relationship Type="http://schemas.openxmlformats.org/officeDocument/2006/relationships/hyperlink" Target="https://www.tcgplayer.com/product/276581" TargetMode="External" Id="rId2316" /><Relationship Type="http://schemas.openxmlformats.org/officeDocument/2006/relationships/hyperlink" Target="https://www.tcgplayer.com/product/189658" TargetMode="External" Id="rId2317" /><Relationship Type="http://schemas.openxmlformats.org/officeDocument/2006/relationships/hyperlink" Target="https://www.pricecharting.com/game/pokemon-unbroken-bonds/blastoise-gx-premium-collection" TargetMode="External" Id="rId2318" /><Relationship Type="http://schemas.openxmlformats.org/officeDocument/2006/relationships/hyperlink" Target="https://www.tcgplayer.com/product/192230" TargetMode="External" Id="rId2319" /><Relationship Type="http://schemas.openxmlformats.org/officeDocument/2006/relationships/hyperlink" Target="https://www.tcgplayer.com/product/192083" TargetMode="External" Id="rId2320" /><Relationship Type="http://schemas.openxmlformats.org/officeDocument/2006/relationships/hyperlink" Target="https://www.pricecharting.com/game/pokemon-unbroken-bonds/reshiram-&amp;-charizard-gx-figure-collection" TargetMode="External" Id="rId2321" /><Relationship Type="http://schemas.openxmlformats.org/officeDocument/2006/relationships/hyperlink" Target="https://www.tcgplayer.com/product/194597" TargetMode="External" Id="rId2322" /><Relationship Type="http://schemas.openxmlformats.org/officeDocument/2006/relationships/hyperlink" Target="https://www.tcgplayer.com/product/232315" TargetMode="External" Id="rId2323" /><Relationship Type="http://schemas.openxmlformats.org/officeDocument/2006/relationships/hyperlink" Target="https://www.tcgplayer.com/product/267045" TargetMode="External" Id="rId2324" /><Relationship Type="http://schemas.openxmlformats.org/officeDocument/2006/relationships/hyperlink" Target="https://www.pricecharting.com/game/pokemon-unbroken-bonds/elite-trainer-box" TargetMode="External" Id="rId2325" /><Relationship Type="http://schemas.openxmlformats.org/officeDocument/2006/relationships/hyperlink" Target="https://www.tcgplayer.com/product/185719" TargetMode="External" Id="rId2326" /><Relationship Type="http://schemas.openxmlformats.org/officeDocument/2006/relationships/hyperlink" Target="https://www.tcgplayer.com/product/189823" TargetMode="External" Id="rId2327" /><Relationship Type="http://schemas.openxmlformats.org/officeDocument/2006/relationships/hyperlink" Target="https://www.tcgplayer.com/product/198528" TargetMode="External" Id="rId2328" /><Relationship Type="http://schemas.openxmlformats.org/officeDocument/2006/relationships/hyperlink" Target="https://www.tcgplayer.com/product/198521" TargetMode="External" Id="rId2329" /><Relationship Type="http://schemas.openxmlformats.org/officeDocument/2006/relationships/hyperlink" Target="https://www.tcgplayer.com/product/194737" TargetMode="External" Id="rId2330" /><Relationship Type="http://schemas.openxmlformats.org/officeDocument/2006/relationships/hyperlink" Target="https://www.tcgplayer.com/product/194736" TargetMode="External" Id="rId2331" /><Relationship Type="http://schemas.openxmlformats.org/officeDocument/2006/relationships/hyperlink" Target="https://www.tcgplayer.com/product/194735" TargetMode="External" Id="rId2332" /><Relationship Type="http://schemas.openxmlformats.org/officeDocument/2006/relationships/hyperlink" Target="https://www.tcgplayer.com/product/195611" TargetMode="External" Id="rId2333" /><Relationship Type="http://schemas.openxmlformats.org/officeDocument/2006/relationships/hyperlink" Target="https://www.tcgplayer.com/product/232313" TargetMode="External" Id="rId2334" /><Relationship Type="http://schemas.openxmlformats.org/officeDocument/2006/relationships/hyperlink" Target="https://www.tcgplayer.com/product/267046" TargetMode="External" Id="rId2335" /><Relationship Type="http://schemas.openxmlformats.org/officeDocument/2006/relationships/hyperlink" Target="https://www.pricecharting.com/game/pokemon-unified-minds/elite-trainer-box" TargetMode="External" Id="rId2336" /><Relationship Type="http://schemas.openxmlformats.org/officeDocument/2006/relationships/hyperlink" Target="https://www.tcgplayer.com/product/193052" TargetMode="External" Id="rId2337" /><Relationship Type="http://schemas.openxmlformats.org/officeDocument/2006/relationships/hyperlink" Target="https://www.tcgplayer.com/product/195612" TargetMode="External" Id="rId2338" /><Relationship Type="http://schemas.openxmlformats.org/officeDocument/2006/relationships/hyperlink" Target="https://www.tcgplayer.com/product/276586" TargetMode="External" Id="rId2339" /><Relationship Type="http://schemas.openxmlformats.org/officeDocument/2006/relationships/hyperlink" Target="https://www.tcgplayer.com/product/230425" TargetMode="External" Id="rId2340" /><Relationship Type="http://schemas.openxmlformats.org/officeDocument/2006/relationships/hyperlink" Target="https://www.tcgplayer.com/product/131867" TargetMode="External" Id="rId2341" /><Relationship Type="http://schemas.openxmlformats.org/officeDocument/2006/relationships/hyperlink" Target="https://www.tcgplayer.com/product/148381" TargetMode="External" Id="rId2342" /><Relationship Type="http://schemas.openxmlformats.org/officeDocument/2006/relationships/hyperlink" Target="https://www.tcgplayer.com/product/129310" TargetMode="External" Id="rId2343" /><Relationship Type="http://schemas.openxmlformats.org/officeDocument/2006/relationships/hyperlink" Target="https://www.tcgplayer.com/product/129309" TargetMode="External" Id="rId2344" /><Relationship Type="http://schemas.openxmlformats.org/officeDocument/2006/relationships/hyperlink" Target="https://www.tcgplayer.com/product/129896" TargetMode="External" Id="rId2345" /><Relationship Type="http://schemas.openxmlformats.org/officeDocument/2006/relationships/hyperlink" Target="https://www.tcgplayer.com/product/129897" TargetMode="External" Id="rId2346" /><Relationship Type="http://schemas.openxmlformats.org/officeDocument/2006/relationships/hyperlink" Target="https://www.tcgplayer.com/product/129895" TargetMode="External" Id="rId2347" /><Relationship Type="http://schemas.openxmlformats.org/officeDocument/2006/relationships/hyperlink" Target="https://www.tcgplayer.com/product/131870" TargetMode="External" Id="rId2348" /><Relationship Type="http://schemas.openxmlformats.org/officeDocument/2006/relationships/hyperlink" Target="https://www.tcgplayer.com/product/267958" TargetMode="External" Id="rId2349" /><Relationship Type="http://schemas.openxmlformats.org/officeDocument/2006/relationships/hyperlink" Target="https://www.tcgplayer.com/product/267036" TargetMode="External" Id="rId2350" /><Relationship Type="http://schemas.openxmlformats.org/officeDocument/2006/relationships/hyperlink" Target="https://www.tcgplayer.com/product/126091" TargetMode="External" Id="rId2351" /><Relationship Type="http://schemas.openxmlformats.org/officeDocument/2006/relationships/hyperlink" Target="https://www.tcgplayer.com/product/126089" TargetMode="External" Id="rId2352" /><Relationship Type="http://schemas.openxmlformats.org/officeDocument/2006/relationships/hyperlink" Target="https://www.tcgplayer.com/product/244314" TargetMode="External" Id="rId2353" /><Relationship Type="http://schemas.openxmlformats.org/officeDocument/2006/relationships/hyperlink" Target="https://www.tcgplayer.com/product/244313" TargetMode="External" Id="rId2354" /><Relationship Type="http://schemas.openxmlformats.org/officeDocument/2006/relationships/hyperlink" Target="https://www.tcgplayer.com/product/656996" TargetMode="External" Id="rId2355" /><Relationship Type="http://schemas.openxmlformats.org/officeDocument/2006/relationships/hyperlink" Target="https://www.tcgplayer.com/product/206409" TargetMode="External" Id="rId2356" /><Relationship Type="http://schemas.openxmlformats.org/officeDocument/2006/relationships/hyperlink" Target="https://www.tcgplayer.com/product/455776" TargetMode="External" Id="rId2357" /><Relationship Type="http://schemas.openxmlformats.org/officeDocument/2006/relationships/hyperlink" Target="https://www.tcgplayer.com/product/576965" TargetMode="External" Id="rId2358" /><Relationship Type="http://schemas.openxmlformats.org/officeDocument/2006/relationships/hyperlink" Target="https://www.tcgplayer.com/product/701545" TargetMode="External" Id="rId2359" /><Relationship Type="http://schemas.openxmlformats.org/officeDocument/2006/relationships/hyperlink" Target="https://www.tcgplayer.com/product/701544" TargetMode="External" Id="rId2360" /><Relationship Type="http://schemas.openxmlformats.org/officeDocument/2006/relationships/hyperlink" Target="https://www.tcgplayer.com/product/701543" TargetMode="External" Id="rId2361" /><Relationship Type="http://schemas.openxmlformats.org/officeDocument/2006/relationships/hyperlink" Target="https://www.tcgplayer.com/product/701539" TargetMode="External" Id="rId2362" /><Relationship Type="http://schemas.openxmlformats.org/officeDocument/2006/relationships/hyperlink" Target="https://www.tcgplayer.com/product/701538" TargetMode="External" Id="rId2363" /><Relationship Type="http://schemas.openxmlformats.org/officeDocument/2006/relationships/hyperlink" Target="https://www.tcgplayer.com/product/701546" TargetMode="External" Id="rId2364" /><Relationship Type="http://schemas.openxmlformats.org/officeDocument/2006/relationships/hyperlink" Target="https://www.tcgplayer.com/product/610709" TargetMode="External" Id="rId2365" /><Relationship Type="http://schemas.openxmlformats.org/officeDocument/2006/relationships/hyperlink" Target="https://www.pricecharting.com/game/pokemon-southern-islands/collection-box" TargetMode="External" Id="rId2366" /><Relationship Type="http://schemas.openxmlformats.org/officeDocument/2006/relationships/hyperlink" Target="https://www.tcgplayer.com/product/688627" TargetMode="External" Id="rId2367" /><Relationship Type="http://schemas.openxmlformats.org/officeDocument/2006/relationships/hyperlink" Target="https://www.tcgplayer.com/product/657845" TargetMode="External" Id="rId2368" /><Relationship Type="http://schemas.openxmlformats.org/officeDocument/2006/relationships/hyperlink" Target="https://www.tcgplayer.com/product/650760" TargetMode="External" Id="rId2369" /><Relationship Type="http://schemas.openxmlformats.org/officeDocument/2006/relationships/hyperlink" Target="https://www.tcgplayer.com/product/650419" TargetMode="External" Id="rId2370" /><Relationship Type="http://schemas.openxmlformats.org/officeDocument/2006/relationships/hyperlink" Target="https://www.pricecharting.com/game/pokemon-steam-siege/elite-trainer-box" TargetMode="External" Id="rId2371" /><Relationship Type="http://schemas.openxmlformats.org/officeDocument/2006/relationships/hyperlink" Target="https://www.pricecharting.com/game/pokemon-stellar-crown/booster-bundle" TargetMode="External" Id="rId2372" /><Relationship Type="http://schemas.openxmlformats.org/officeDocument/2006/relationships/hyperlink" Target="https://www.pricecharting.com/game/pokemon-stellar-crown/build-and-battle-box" TargetMode="External" Id="rId2373" /><Relationship Type="http://schemas.openxmlformats.org/officeDocument/2006/relationships/hyperlink" Target="https://www.pricecharting.com/game/pokemon-stellar-crown/elite-trainer-box" TargetMode="External" Id="rId2374" /><Relationship Type="http://schemas.openxmlformats.org/officeDocument/2006/relationships/hyperlink" Target="https://www.pricecharting.com/game/pokemon-stellar-crown/elite-trainer-box-pokemon-center" TargetMode="External" Id="rId2375" /><Relationship Type="http://schemas.openxmlformats.org/officeDocument/2006/relationships/hyperlink" Target="https://www.pricecharting.com/game/pokemon-stormfront/2-pack-blister" TargetMode="External" Id="rId2376" /><Relationship Type="http://schemas.openxmlformats.org/officeDocument/2006/relationships/hyperlink" Target="https://www.pricecharting.com/game/pokemon-stormfront/3-pack-blister" TargetMode="External" Id="rId2377" /><Relationship Type="http://schemas.openxmlformats.org/officeDocument/2006/relationships/hyperlink" Target="https://www.pricecharting.com/game/pokemon-supreme-victors/poster-pack-box" TargetMode="External" Id="rId2378" /><Relationship Type="http://schemas.openxmlformats.org/officeDocument/2006/relationships/hyperlink" Target="https://www.pricecharting.com/game/pokemon-supreme-victors/regigigas-3-pack-blister" TargetMode="External" Id="rId2379" /><Relationship Type="http://schemas.openxmlformats.org/officeDocument/2006/relationships/hyperlink" Target="https://www.pricecharting.com/game/pokemon-surging-sparks/bloodmoon-ursaluna-ex-box" TargetMode="External" Id="rId2380" /><Relationship Type="http://schemas.openxmlformats.org/officeDocument/2006/relationships/hyperlink" Target="https://www.pricecharting.com/game/pokemon-surging-sparks/booster-bundle" TargetMode="External" Id="rId2381" /><Relationship Type="http://schemas.openxmlformats.org/officeDocument/2006/relationships/hyperlink" Target="https://www.pricecharting.com/game/pokemon-surging-sparks/costco-2-pack-trainer-box-&amp;-booster-bundle" TargetMode="External" Id="rId2382" /><Relationship Type="http://schemas.openxmlformats.org/officeDocument/2006/relationships/hyperlink" Target="https://www.pricecharting.com/game/pokemon-surging-sparks/elite-trainer-box-pokemon-center" TargetMode="External" Id="rId2383" /><Relationship Type="http://schemas.openxmlformats.org/officeDocument/2006/relationships/hyperlink" Target="https://www.pricecharting.com/game/pokemon-surging-sparks/grand-adventure-collection" TargetMode="External" Id="rId2384" /><Relationship Type="http://schemas.openxmlformats.org/officeDocument/2006/relationships/hyperlink" Target="https://www.pricecharting.com/game/pokemon-surging-sparks/meddling-sparks-premium-collection-box" TargetMode="External" Id="rId2385" /><Relationship Type="http://schemas.openxmlformats.org/officeDocument/2006/relationships/hyperlink" Target="https://www.tcgplayer.com/product/478258" TargetMode="External" Id="rId2386" /><Relationship Type="http://schemas.openxmlformats.org/officeDocument/2006/relationships/hyperlink" Target="https://www.tcgplayer.com/product/478759" TargetMode="External" Id="rId2387" /><Relationship Type="http://schemas.openxmlformats.org/officeDocument/2006/relationships/hyperlink" Target="https://www.tcgplayer.com/product/478253" TargetMode="External" Id="rId2388" /><Relationship Type="http://schemas.openxmlformats.org/officeDocument/2006/relationships/hyperlink" Target="https://www.tcgplayer.com/product/478257" TargetMode="External" Id="rId2389" /><Relationship Type="http://schemas.openxmlformats.org/officeDocument/2006/relationships/hyperlink" Target="https://www.tcgplayer.com/product/478335" TargetMode="External" Id="rId2390" /><Relationship Type="http://schemas.openxmlformats.org/officeDocument/2006/relationships/hyperlink" Target="https://www.tcgplayer.com/product/478336" TargetMode="External" Id="rId2391" /><Relationship Type="http://schemas.openxmlformats.org/officeDocument/2006/relationships/hyperlink" Target="https://www.tcgplayer.com/product/478758" TargetMode="External" Id="rId2392" /><Relationship Type="http://schemas.openxmlformats.org/officeDocument/2006/relationships/hyperlink" Target="https://www.tcgplayer.com/product/478756" TargetMode="External" Id="rId2393" /><Relationship Type="http://schemas.openxmlformats.org/officeDocument/2006/relationships/hyperlink" Target="https://www.tcgplayer.com/product/478274" TargetMode="External" Id="rId2394" /><Relationship Type="http://schemas.openxmlformats.org/officeDocument/2006/relationships/hyperlink" Target="https://www.tcgplayer.com/product/478275" TargetMode="External" Id="rId2395" /><Relationship Type="http://schemas.openxmlformats.org/officeDocument/2006/relationships/hyperlink" Target="https://www.pricecharting.com/game/pokemon-paldea-evolved/booster-bundle" TargetMode="External" Id="rId2396" /><Relationship Type="http://schemas.openxmlformats.org/officeDocument/2006/relationships/hyperlink" Target="https://www.tcgplayer.com/product/496914" TargetMode="External" Id="rId2397" /><Relationship Type="http://schemas.openxmlformats.org/officeDocument/2006/relationships/hyperlink" Target="https://www.tcgplayer.com/product/496913" TargetMode="External" Id="rId2398" /><Relationship Type="http://schemas.openxmlformats.org/officeDocument/2006/relationships/hyperlink" Target="https://www.pricecharting.com/game/pokemon-paldea-evolved/build-and-battle-box" TargetMode="External" Id="rId2399" /><Relationship Type="http://schemas.openxmlformats.org/officeDocument/2006/relationships/hyperlink" Target="https://www.tcgplayer.com/product/496929" TargetMode="External" Id="rId2400" /><Relationship Type="http://schemas.openxmlformats.org/officeDocument/2006/relationships/hyperlink" Target="https://www.pricecharting.com/game/pokemon-paldea-evolved/build-&amp;-battle-stadium" TargetMode="External" Id="rId2401" /><Relationship Type="http://schemas.openxmlformats.org/officeDocument/2006/relationships/hyperlink" Target="https://www.tcgplayer.com/product/496935" TargetMode="External" Id="rId2402" /><Relationship Type="http://schemas.openxmlformats.org/officeDocument/2006/relationships/hyperlink" Target="https://www.pricecharting.com/game/pokemon-paldea-evolved/elite-trainer-box" TargetMode="External" Id="rId2403" /><Relationship Type="http://schemas.openxmlformats.org/officeDocument/2006/relationships/hyperlink" Target="https://www.tcgplayer.com/product/493974" TargetMode="External" Id="rId2404" /><Relationship Type="http://schemas.openxmlformats.org/officeDocument/2006/relationships/hyperlink" Target="https://www.tcgplayer.com/product/493973" TargetMode="External" Id="rId2405" /><Relationship Type="http://schemas.openxmlformats.org/officeDocument/2006/relationships/hyperlink" Target="https://www.tcgplayer.com/product/502480" TargetMode="External" Id="rId2406" /><Relationship Type="http://schemas.openxmlformats.org/officeDocument/2006/relationships/hyperlink" Target="https://www.pricecharting.com/game/pokemon-obsidian-flames/booster-bundle" TargetMode="External" Id="rId2407" /><Relationship Type="http://schemas.openxmlformats.org/officeDocument/2006/relationships/hyperlink" Target="https://www.tcgplayer.com/product/501263" TargetMode="External" Id="rId2408" /><Relationship Type="http://schemas.openxmlformats.org/officeDocument/2006/relationships/hyperlink" Target="https://www.tcgplayer.com/product/515079" TargetMode="External" Id="rId2409" /><Relationship Type="http://schemas.openxmlformats.org/officeDocument/2006/relationships/hyperlink" Target="https://www.pricecharting.com/game/pokemon-obsidian-flames/build-and-battle-box" TargetMode="External" Id="rId2410" /><Relationship Type="http://schemas.openxmlformats.org/officeDocument/2006/relationships/hyperlink" Target="https://www.tcgplayer.com/product/501268" TargetMode="External" Id="rId2411" /><Relationship Type="http://schemas.openxmlformats.org/officeDocument/2006/relationships/hyperlink" Target="https://www.pricecharting.com/game/pokemon-obsidian-flames/build-&amp;-battle-stadium" TargetMode="External" Id="rId2412" /><Relationship Type="http://schemas.openxmlformats.org/officeDocument/2006/relationships/hyperlink" Target="https://www.tcgplayer.com/product/501267" TargetMode="External" Id="rId2413" /><Relationship Type="http://schemas.openxmlformats.org/officeDocument/2006/relationships/hyperlink" Target="https://www.pricecharting.com/game/pokemon-obsidian-flames/elite-trainer-box" TargetMode="External" Id="rId2414" /><Relationship Type="http://schemas.openxmlformats.org/officeDocument/2006/relationships/hyperlink" Target="https://www.tcgplayer.com/product/501264" TargetMode="External" Id="rId2415" /><Relationship Type="http://schemas.openxmlformats.org/officeDocument/2006/relationships/hyperlink" Target="https://www.tcgplayer.com/product/501266" TargetMode="External" Id="rId2416" /><Relationship Type="http://schemas.openxmlformats.org/officeDocument/2006/relationships/hyperlink" Target="https://www.tcgplayer.com/product/513422" TargetMode="External" Id="rId2417" /><Relationship Type="http://schemas.openxmlformats.org/officeDocument/2006/relationships/hyperlink" Target="https://www.pricecharting.com/game/pokemon-paradox-rift/booster-bundle" TargetMode="External" Id="rId2418" /><Relationship Type="http://schemas.openxmlformats.org/officeDocument/2006/relationships/hyperlink" Target="https://www.tcgplayer.com/product/512820" TargetMode="External" Id="rId2419" /><Relationship Type="http://schemas.openxmlformats.org/officeDocument/2006/relationships/hyperlink" Target="https://www.tcgplayer.com/product/512831" TargetMode="External" Id="rId2420" /><Relationship Type="http://schemas.openxmlformats.org/officeDocument/2006/relationships/hyperlink" Target="https://www.pricecharting.com/game/pokemon-paradox-rift/build-&amp;-battle-box" TargetMode="External" Id="rId2421" /><Relationship Type="http://schemas.openxmlformats.org/officeDocument/2006/relationships/hyperlink" Target="https://www.tcgplayer.com/product/514068" TargetMode="External" Id="rId2422" /><Relationship Type="http://schemas.openxmlformats.org/officeDocument/2006/relationships/hyperlink" Target="https://www.pricecharting.com/game/pokemon-paradox-rift/build-&amp;-battle-stadium" TargetMode="External" Id="rId2423" /><Relationship Type="http://schemas.openxmlformats.org/officeDocument/2006/relationships/hyperlink" Target="https://www.tcgplayer.com/product/514070" TargetMode="External" Id="rId2424" /><Relationship Type="http://schemas.openxmlformats.org/officeDocument/2006/relationships/hyperlink" Target="https://www.pricecharting.com/game/pokemon-paradox-rift/elite-trainer-box-iron-valiant" TargetMode="External" Id="rId2425" /><Relationship Type="http://schemas.openxmlformats.org/officeDocument/2006/relationships/hyperlink" Target="https://www.tcgplayer.com/product/512813" TargetMode="External" Id="rId2426" /><Relationship Type="http://schemas.openxmlformats.org/officeDocument/2006/relationships/hyperlink" Target="https://www.pricecharting.com/game/pokemon-paradox-rift/elite-trainer-box-roaring-moon" TargetMode="External" Id="rId2427" /><Relationship Type="http://schemas.openxmlformats.org/officeDocument/2006/relationships/hyperlink" Target="https://www.tcgplayer.com/product/512815" TargetMode="External" Id="rId2428" /><Relationship Type="http://schemas.openxmlformats.org/officeDocument/2006/relationships/hyperlink" Target="https://www.tcgplayer.com/product/512801" TargetMode="External" Id="rId2429" /><Relationship Type="http://schemas.openxmlformats.org/officeDocument/2006/relationships/hyperlink" Target="https://www.tcgplayer.com/product/512809" TargetMode="External" Id="rId2430" /><Relationship Type="http://schemas.openxmlformats.org/officeDocument/2006/relationships/hyperlink" Target="https://www.pricecharting.com/game/pokemon-temporal-forces/booster-bundle" TargetMode="External" Id="rId2431" /><Relationship Type="http://schemas.openxmlformats.org/officeDocument/2006/relationships/hyperlink" Target="https://www.tcgplayer.com/product/541017" TargetMode="External" Id="rId2432" /><Relationship Type="http://schemas.openxmlformats.org/officeDocument/2006/relationships/hyperlink" Target="https://www.tcgplayer.com/product/538786" TargetMode="External" Id="rId2433" /><Relationship Type="http://schemas.openxmlformats.org/officeDocument/2006/relationships/hyperlink" Target="https://www.pricecharting.com/game/pokemon-temporal-forces/build-and-battle-box" TargetMode="External" Id="rId2434" /><Relationship Type="http://schemas.openxmlformats.org/officeDocument/2006/relationships/hyperlink" Target="https://www.tcgplayer.com/product/537411" TargetMode="External" Id="rId2435" /><Relationship Type="http://schemas.openxmlformats.org/officeDocument/2006/relationships/hyperlink" Target="https://www.tcgplayer.com/product/532848" TargetMode="External" Id="rId2436" /><Relationship Type="http://schemas.openxmlformats.org/officeDocument/2006/relationships/hyperlink" Target="https://www.tcgplayer.com/product/532849" TargetMode="External" Id="rId2437" /><Relationship Type="http://schemas.openxmlformats.org/officeDocument/2006/relationships/hyperlink" Target="https://www.pricecharting.com/game/pokemon-temporal-forces/elite-trainer-box-walking-wake" TargetMode="External" Id="rId2438" /><Relationship Type="http://schemas.openxmlformats.org/officeDocument/2006/relationships/hyperlink" Target="https://www.tcgplayer.com/product/532845" TargetMode="External" Id="rId2439" /><Relationship Type="http://schemas.openxmlformats.org/officeDocument/2006/relationships/hyperlink" Target="https://www.tcgplayer.com/product/532853" TargetMode="External" Id="rId2440" /><Relationship Type="http://schemas.openxmlformats.org/officeDocument/2006/relationships/hyperlink" Target="https://www.tcgplayer.com/product/538775" TargetMode="External" Id="rId2441" /><Relationship Type="http://schemas.openxmlformats.org/officeDocument/2006/relationships/hyperlink" Target="https://www.tcgplayer.com/product/538789" TargetMode="External" Id="rId2442" /><Relationship Type="http://schemas.openxmlformats.org/officeDocument/2006/relationships/hyperlink" Target="https://www.tcgplayer.com/product/538807" TargetMode="External" Id="rId2443" /><Relationship Type="http://schemas.openxmlformats.org/officeDocument/2006/relationships/hyperlink" Target="https://www.pricecharting.com/game/pokemon-twilight-masquerade/booster-bundle" TargetMode="External" Id="rId2444" /><Relationship Type="http://schemas.openxmlformats.org/officeDocument/2006/relationships/hyperlink" Target="https://www.tcgplayer.com/product/543852" TargetMode="External" Id="rId2445" /><Relationship Type="http://schemas.openxmlformats.org/officeDocument/2006/relationships/hyperlink" Target="https://www.tcgplayer.com/product/549487" TargetMode="External" Id="rId2446" /><Relationship Type="http://schemas.openxmlformats.org/officeDocument/2006/relationships/hyperlink" Target="https://www.pricecharting.com/game/pokemon-twilight-masquerade/build-and-battle-box" TargetMode="External" Id="rId2447" /><Relationship Type="http://schemas.openxmlformats.org/officeDocument/2006/relationships/hyperlink" Target="https://www.tcgplayer.com/product/544386" TargetMode="External" Id="rId2448" /><Relationship Type="http://schemas.openxmlformats.org/officeDocument/2006/relationships/hyperlink" Target="https://www.pricecharting.com/game/pokemon-twilight-masquerade/elite-trainer-box" TargetMode="External" Id="rId2449" /><Relationship Type="http://schemas.openxmlformats.org/officeDocument/2006/relationships/hyperlink" Target="https://www.tcgplayer.com/product/543845" TargetMode="External" Id="rId2450" /><Relationship Type="http://schemas.openxmlformats.org/officeDocument/2006/relationships/hyperlink" Target="https://www.tcgplayer.com/product/543844" TargetMode="External" Id="rId2451" /><Relationship Type="http://schemas.openxmlformats.org/officeDocument/2006/relationships/hyperlink" Target="https://www.tcgplayer.com/product/549494" TargetMode="External" Id="rId2452" /><Relationship Type="http://schemas.openxmlformats.org/officeDocument/2006/relationships/hyperlink" Target="https://www.tcgplayer.com/product/557345" TargetMode="External" Id="rId2453" /><Relationship Type="http://schemas.openxmlformats.org/officeDocument/2006/relationships/hyperlink" Target="https://www.tcgplayer.com/product/557357" TargetMode="External" Id="rId2454" /><Relationship Type="http://schemas.openxmlformats.org/officeDocument/2006/relationships/hyperlink" Target="https://www.tcgplayer.com/product/557330" TargetMode="External" Id="rId2455" /><Relationship Type="http://schemas.openxmlformats.org/officeDocument/2006/relationships/hyperlink" Target="https://www.tcgplayer.com/product/557366" TargetMode="External" Id="rId2456" /><Relationship Type="http://schemas.openxmlformats.org/officeDocument/2006/relationships/hyperlink" Target="https://www.tcgplayer.com/product/557350" TargetMode="External" Id="rId2457" /><Relationship Type="http://schemas.openxmlformats.org/officeDocument/2006/relationships/hyperlink" Target="https://www.tcgplayer.com/product/557340" TargetMode="External" Id="rId2458" /><Relationship Type="http://schemas.openxmlformats.org/officeDocument/2006/relationships/hyperlink" Target="https://www.tcgplayer.com/product/557361" TargetMode="External" Id="rId2459" /><Relationship Type="http://schemas.openxmlformats.org/officeDocument/2006/relationships/hyperlink" Target="https://www.tcgplayer.com/product/565629" TargetMode="External" Id="rId2460" /><Relationship Type="http://schemas.openxmlformats.org/officeDocument/2006/relationships/hyperlink" Target="https://www.tcgplayer.com/product/679564" TargetMode="External" Id="rId2461" /><Relationship Type="http://schemas.openxmlformats.org/officeDocument/2006/relationships/hyperlink" Target="https://www.tcgplayer.com/product/565605" TargetMode="External" Id="rId2462" /><Relationship Type="http://schemas.openxmlformats.org/officeDocument/2006/relationships/hyperlink" Target="https://www.pricecharting.com/game/pokemon-surging-sparks/build-and-battle-box" TargetMode="External" Id="rId2463" /><Relationship Type="http://schemas.openxmlformats.org/officeDocument/2006/relationships/hyperlink" Target="https://www.tcgplayer.com/product/565599" TargetMode="External" Id="rId2464" /><Relationship Type="http://schemas.openxmlformats.org/officeDocument/2006/relationships/hyperlink" Target="https://www.pricecharting.com/game/pokemon-surging-sparks/elite-trainer-box" TargetMode="External" Id="rId2465" /><Relationship Type="http://schemas.openxmlformats.org/officeDocument/2006/relationships/hyperlink" Target="https://www.tcgplayer.com/product/565630" TargetMode="External" Id="rId2466" /><Relationship Type="http://schemas.openxmlformats.org/officeDocument/2006/relationships/hyperlink" Target="https://www.tcgplayer.com/product/565632" TargetMode="External" Id="rId2467" /><Relationship Type="http://schemas.openxmlformats.org/officeDocument/2006/relationships/hyperlink" Target="https://www.tcgplayer.com/product/565603" TargetMode="External" Id="rId2468" /><Relationship Type="http://schemas.openxmlformats.org/officeDocument/2006/relationships/hyperlink" Target="https://www.pricecharting.com/game/pokemon-journey-together/booster-bundle" TargetMode="External" Id="rId2469" /><Relationship Type="http://schemas.openxmlformats.org/officeDocument/2006/relationships/hyperlink" Target="https://www.tcgplayer.com/product/610953" TargetMode="External" Id="rId2470" /><Relationship Type="http://schemas.openxmlformats.org/officeDocument/2006/relationships/hyperlink" Target="https://www.tcgplayer.com/product/626660" TargetMode="External" Id="rId2471" /><Relationship Type="http://schemas.openxmlformats.org/officeDocument/2006/relationships/hyperlink" Target="https://www.pricecharting.com/game/pokemon-journey-together/build-&amp;-battle-box" TargetMode="External" Id="rId2472" /><Relationship Type="http://schemas.openxmlformats.org/officeDocument/2006/relationships/hyperlink" Target="https://www.tcgplayer.com/product/610954" TargetMode="External" Id="rId2473" /><Relationship Type="http://schemas.openxmlformats.org/officeDocument/2006/relationships/hyperlink" Target="https://www.pricecharting.com/game/pokemon-journey-together/elite-trainer-box" TargetMode="External" Id="rId2474" /><Relationship Type="http://schemas.openxmlformats.org/officeDocument/2006/relationships/hyperlink" Target="https://www.tcgplayer.com/product/610930" TargetMode="External" Id="rId2475" /><Relationship Type="http://schemas.openxmlformats.org/officeDocument/2006/relationships/hyperlink" Target="https://www.tcgplayer.com/product/610929" TargetMode="External" Id="rId2476" /><Relationship Type="http://schemas.openxmlformats.org/officeDocument/2006/relationships/hyperlink" Target="https://www.tcgplayer.com/product/626659" TargetMode="External" Id="rId2477" /><Relationship Type="http://schemas.openxmlformats.org/officeDocument/2006/relationships/hyperlink" Target="https://www.pricecharting.com/game/pokemon-destined-rivals/booster-bundle" TargetMode="External" Id="rId2478" /><Relationship Type="http://schemas.openxmlformats.org/officeDocument/2006/relationships/hyperlink" Target="https://www.tcgplayer.com/product/625670" TargetMode="External" Id="rId2479" /><Relationship Type="http://schemas.openxmlformats.org/officeDocument/2006/relationships/hyperlink" Target="https://www.tcgplayer.com/product/649711" TargetMode="External" Id="rId2480" /><Relationship Type="http://schemas.openxmlformats.org/officeDocument/2006/relationships/hyperlink" Target="https://www.pricecharting.com/game/pokemon-destined-rivals/build-&amp;-battle-box" TargetMode="External" Id="rId2481" /><Relationship Type="http://schemas.openxmlformats.org/officeDocument/2006/relationships/hyperlink" Target="https://www.tcgplayer.com/product/625677" TargetMode="External" Id="rId2482" /><Relationship Type="http://schemas.openxmlformats.org/officeDocument/2006/relationships/hyperlink" Target="https://www.pricecharting.com/game/pokemon-destined-rivals/elite-trainer-box" TargetMode="External" Id="rId2483" /><Relationship Type="http://schemas.openxmlformats.org/officeDocument/2006/relationships/hyperlink" Target="https://www.tcgplayer.com/product/624676" TargetMode="External" Id="rId2484" /><Relationship Type="http://schemas.openxmlformats.org/officeDocument/2006/relationships/hyperlink" Target="https://www.tcgplayer.com/product/624675" TargetMode="External" Id="rId2485" /><Relationship Type="http://schemas.openxmlformats.org/officeDocument/2006/relationships/hyperlink" Target="https://www.tcgplayer.com/product/628395" TargetMode="External" Id="rId2486" /><Relationship Type="http://schemas.openxmlformats.org/officeDocument/2006/relationships/hyperlink" Target="https://www.tcgplayer.com/product/628396" TargetMode="External" Id="rId2487" /><Relationship Type="http://schemas.openxmlformats.org/officeDocument/2006/relationships/hyperlink" Target="https://www.tcgplayer.com/product/635053" TargetMode="External" Id="rId2488" /><Relationship Type="http://schemas.openxmlformats.org/officeDocument/2006/relationships/hyperlink" Target="https://www.tcgplayer.com/product/637445" TargetMode="External" Id="rId2489" /><Relationship Type="http://schemas.openxmlformats.org/officeDocument/2006/relationships/hyperlink" Target="https://www.tcgplayer.com/product/618706" TargetMode="External" Id="rId2490" /><Relationship Type="http://schemas.openxmlformats.org/officeDocument/2006/relationships/hyperlink" Target="https://www.tcgplayer.com/product/618704" TargetMode="External" Id="rId2491" /><Relationship Type="http://schemas.openxmlformats.org/officeDocument/2006/relationships/hyperlink" Target="https://www.tcgplayer.com/product/614706" TargetMode="External" Id="rId2492" /><Relationship Type="http://schemas.openxmlformats.org/officeDocument/2006/relationships/hyperlink" Target="https://www.tcgplayer.com/product/614705" TargetMode="External" Id="rId2493" /><Relationship Type="http://schemas.openxmlformats.org/officeDocument/2006/relationships/hyperlink" Target="https://www.pricecharting.com/game/pokemon-black-bolt/binder-collection" TargetMode="External" Id="rId2494" /><Relationship Type="http://schemas.openxmlformats.org/officeDocument/2006/relationships/hyperlink" Target="https://www.tcgplayer.com/product/630430" TargetMode="External" Id="rId2495" /><Relationship Type="http://schemas.openxmlformats.org/officeDocument/2006/relationships/hyperlink" Target="https://www.pricecharting.com/game/pokemon-black-bolt/booster-bundle" TargetMode="External" Id="rId2496" /><Relationship Type="http://schemas.openxmlformats.org/officeDocument/2006/relationships/hyperlink" Target="https://www.tcgplayer.com/product/630431" TargetMode="External" Id="rId2497" /><Relationship Type="http://schemas.openxmlformats.org/officeDocument/2006/relationships/hyperlink" Target="https://www.pricecharting.com/game/pokemon-black-bolt/elite-trainer-box" TargetMode="External" Id="rId2498" /><Relationship Type="http://schemas.openxmlformats.org/officeDocument/2006/relationships/hyperlink" Target="https://www.tcgplayer.com/product/630686" TargetMode="External" Id="rId2499" /><Relationship Type="http://schemas.openxmlformats.org/officeDocument/2006/relationships/hyperlink" Target="https://www.tcgplayer.com/product/630687" TargetMode="External" Id="rId2500" /><Relationship Type="http://schemas.openxmlformats.org/officeDocument/2006/relationships/hyperlink" Target="https://www.pricecharting.com/game/pokemon-black-bolt/tech-sticker-collection" TargetMode="External" Id="rId2501" /><Relationship Type="http://schemas.openxmlformats.org/officeDocument/2006/relationships/hyperlink" Target="https://www.tcgplayer.com/product/630614" TargetMode="External" Id="rId2502" /><Relationship Type="http://schemas.openxmlformats.org/officeDocument/2006/relationships/hyperlink" Target="https://www.tcgplayer.com/product/668632" TargetMode="External" Id="rId2503" /><Relationship Type="http://schemas.openxmlformats.org/officeDocument/2006/relationships/hyperlink" Target="https://www.pricecharting.com/game/pokemon-black-bolt/unova-mini-tin-chandelure-&amp;-zorua" TargetMode="External" Id="rId2504" /><Relationship Type="http://schemas.openxmlformats.org/officeDocument/2006/relationships/hyperlink" Target="https://www.tcgplayer.com/product/630439" TargetMode="External" Id="rId2505" /><Relationship Type="http://schemas.openxmlformats.org/officeDocument/2006/relationships/hyperlink" Target="https://www.pricecharting.com/game/pokemon-black-bolt/unova-mini-tin-elektross-&amp;-galvantula" TargetMode="External" Id="rId2506" /><Relationship Type="http://schemas.openxmlformats.org/officeDocument/2006/relationships/hyperlink" Target="https://www.tcgplayer.com/product/630445" TargetMode="External" Id="rId2507" /><Relationship Type="http://schemas.openxmlformats.org/officeDocument/2006/relationships/hyperlink" Target="https://www.pricecharting.com/game/pokemon-black-bolt/unova-mini-tin-krookodile-&amp;-excadrill" TargetMode="External" Id="rId2508" /><Relationship Type="http://schemas.openxmlformats.org/officeDocument/2006/relationships/hyperlink" Target="https://www.tcgplayer.com/product/630440" TargetMode="External" Id="rId2509" /><Relationship Type="http://schemas.openxmlformats.org/officeDocument/2006/relationships/hyperlink" Target="https://www.pricecharting.com/game/pokemon-black-bolt/unova-mini-tin-lilligant-&amp;-whimsicot" TargetMode="External" Id="rId2510" /><Relationship Type="http://schemas.openxmlformats.org/officeDocument/2006/relationships/hyperlink" Target="https://www.tcgplayer.com/product/630442" TargetMode="External" Id="rId2511" /><Relationship Type="http://schemas.openxmlformats.org/officeDocument/2006/relationships/hyperlink" Target="https://www.pricecharting.com/game/pokemon-black-bolt/unova-mini-tin-mienshao-&amp;-klinklang" TargetMode="External" Id="rId2512" /><Relationship Type="http://schemas.openxmlformats.org/officeDocument/2006/relationships/hyperlink" Target="https://www.tcgplayer.com/product/630443" TargetMode="External" Id="rId2513" /><Relationship Type="http://schemas.openxmlformats.org/officeDocument/2006/relationships/hyperlink" Target="https://www.pricecharting.com/game/pokemon-black-bolt/unova-mini-tin-volcarona-&amp;-emolga" TargetMode="External" Id="rId2514" /><Relationship Type="http://schemas.openxmlformats.org/officeDocument/2006/relationships/hyperlink" Target="https://www.tcgplayer.com/product/630441" TargetMode="External" Id="rId2515" /><Relationship Type="http://schemas.openxmlformats.org/officeDocument/2006/relationships/hyperlink" Target="https://www.pricecharting.com/game/pokemon-black-bolt/unova-poster-collection" TargetMode="External" Id="rId2516" /><Relationship Type="http://schemas.openxmlformats.org/officeDocument/2006/relationships/hyperlink" Target="https://www.tcgplayer.com/product/630612" TargetMode="External" Id="rId2517" /><Relationship Type="http://schemas.openxmlformats.org/officeDocument/2006/relationships/hyperlink" Target="https://www.pricecharting.com/game/pokemon-black-bolt/unova-victini-illustration-collection" TargetMode="External" Id="rId2518" /><Relationship Type="http://schemas.openxmlformats.org/officeDocument/2006/relationships/hyperlink" Target="https://www.tcgplayer.com/product/630615" TargetMode="External" Id="rId2519" /><Relationship Type="http://schemas.openxmlformats.org/officeDocument/2006/relationships/hyperlink" Target="https://www.tcgplayer.com/product/594104" TargetMode="External" Id="rId2520" /><Relationship Type="http://schemas.openxmlformats.org/officeDocument/2006/relationships/hyperlink" Target="https://www.pricecharting.com/game/pokemon-paldean-fates/booster-bundle" TargetMode="External" Id="rId2521" /><Relationship Type="http://schemas.openxmlformats.org/officeDocument/2006/relationships/hyperlink" Target="https://www.tcgplayer.com/product/528771" TargetMode="External" Id="rId2522" /><Relationship Type="http://schemas.openxmlformats.org/officeDocument/2006/relationships/hyperlink" Target="https://www.tcgplayer.com/product/668624" TargetMode="External" Id="rId2523" /><Relationship Type="http://schemas.openxmlformats.org/officeDocument/2006/relationships/hyperlink" Target="https://www.pricecharting.com/game/pokemon-paldean-fates/elite-trainer-box" TargetMode="External" Id="rId2524" /><Relationship Type="http://schemas.openxmlformats.org/officeDocument/2006/relationships/hyperlink" Target="https://www.tcgplayer.com/product/528040" TargetMode="External" Id="rId2525" /><Relationship Type="http://schemas.openxmlformats.org/officeDocument/2006/relationships/hyperlink" Target="https://www.pricecharting.com/game/pokemon-paldean-fates/great-tusk-ex-&amp;-iron-treads-ex-premium-collection" TargetMode="External" Id="rId2526" /><Relationship Type="http://schemas.openxmlformats.org/officeDocument/2006/relationships/hyperlink" Target="https://www.tcgplayer.com/product/665113" TargetMode="External" Id="rId2527" /><Relationship Type="http://schemas.openxmlformats.org/officeDocument/2006/relationships/hyperlink" Target="https://www.pricecharting.com/game/pokemon-paldean-fates/international-tin-charizard-ex" TargetMode="External" Id="rId2528" /><Relationship Type="http://schemas.openxmlformats.org/officeDocument/2006/relationships/hyperlink" Target="https://www.tcgplayer.com/product/528063" TargetMode="External" Id="rId2529" /><Relationship Type="http://schemas.openxmlformats.org/officeDocument/2006/relationships/hyperlink" Target="https://www.pricecharting.com/game/pokemon-paldean-fates/international-tin-great-tusk-ex" TargetMode="External" Id="rId2530" /><Relationship Type="http://schemas.openxmlformats.org/officeDocument/2006/relationships/hyperlink" Target="https://www.tcgplayer.com/product/528060" TargetMode="External" Id="rId2531" /><Relationship Type="http://schemas.openxmlformats.org/officeDocument/2006/relationships/hyperlink" Target="https://www.tcgplayer.com/product/528227" TargetMode="External" Id="rId2532" /><Relationship Type="http://schemas.openxmlformats.org/officeDocument/2006/relationships/hyperlink" Target="https://www.pricecharting.com/game/pokemon-paldean-fates/mini-tin-finizen" TargetMode="External" Id="rId2533" /><Relationship Type="http://schemas.openxmlformats.org/officeDocument/2006/relationships/hyperlink" Target="https://www.tcgplayer.com/product/528055" TargetMode="External" Id="rId2534" /><Relationship Type="http://schemas.openxmlformats.org/officeDocument/2006/relationships/hyperlink" Target="https://www.pricecharting.com/game/pokemon-paldean-fates/mini-tin-flamigo" TargetMode="External" Id="rId2535" /><Relationship Type="http://schemas.openxmlformats.org/officeDocument/2006/relationships/hyperlink" Target="https://www.tcgplayer.com/product/528050" TargetMode="External" Id="rId2536" /><Relationship Type="http://schemas.openxmlformats.org/officeDocument/2006/relationships/hyperlink" Target="https://www.pricecharting.com/game/pokemon-paldean-fates/mini-tin-maushold" TargetMode="External" Id="rId2537" /><Relationship Type="http://schemas.openxmlformats.org/officeDocument/2006/relationships/hyperlink" Target="https://www.tcgplayer.com/product/528051" TargetMode="External" Id="rId2538" /><Relationship Type="http://schemas.openxmlformats.org/officeDocument/2006/relationships/hyperlink" Target="https://www.tcgplayer.com/product/529039" TargetMode="External" Id="rId2539" /><Relationship Type="http://schemas.openxmlformats.org/officeDocument/2006/relationships/hyperlink" Target="https://www.pricecharting.com/game/pokemon-paldean-fates/mini-tin-smoliv" TargetMode="External" Id="rId2540" /><Relationship Type="http://schemas.openxmlformats.org/officeDocument/2006/relationships/hyperlink" Target="https://www.tcgplayer.com/product/528049" TargetMode="External" Id="rId2541" /><Relationship Type="http://schemas.openxmlformats.org/officeDocument/2006/relationships/hyperlink" Target="https://www.pricecharting.com/game/pokemon-paldean-fates/mini-tin-tinkatink" TargetMode="External" Id="rId2542" /><Relationship Type="http://schemas.openxmlformats.org/officeDocument/2006/relationships/hyperlink" Target="https://www.tcgplayer.com/product/528052" TargetMode="External" Id="rId2543" /><Relationship Type="http://schemas.openxmlformats.org/officeDocument/2006/relationships/hyperlink" Target="https://www.tcgplayer.com/product/528039" TargetMode="External" Id="rId2544" /><Relationship Type="http://schemas.openxmlformats.org/officeDocument/2006/relationships/hyperlink" Target="https://www.tcgplayer.com/product/528079" TargetMode="External" Id="rId2545" /><Relationship Type="http://schemas.openxmlformats.org/officeDocument/2006/relationships/hyperlink" Target="https://www.tcgplayer.com/product/528082" TargetMode="External" Id="rId2546" /><Relationship Type="http://schemas.openxmlformats.org/officeDocument/2006/relationships/hyperlink" Target="https://www.tcgplayer.com/product/528324" TargetMode="External" Id="rId2547" /><Relationship Type="http://schemas.openxmlformats.org/officeDocument/2006/relationships/hyperlink" Target="https://www.tcgplayer.com/product/528080" TargetMode="External" Id="rId2548" /><Relationship Type="http://schemas.openxmlformats.org/officeDocument/2006/relationships/hyperlink" Target="https://www.pricecharting.com/game/pokemon-paldean-fates/tech-sticker-collection-fidough" TargetMode="External" Id="rId2549" /><Relationship Type="http://schemas.openxmlformats.org/officeDocument/2006/relationships/hyperlink" Target="https://www.tcgplayer.com/product/528043" TargetMode="External" Id="rId2550" /><Relationship Type="http://schemas.openxmlformats.org/officeDocument/2006/relationships/hyperlink" Target="https://www.pricecharting.com/game/pokemon-paldean-fates/tech-sticker-collection-greavard" TargetMode="External" Id="rId2551" /><Relationship Type="http://schemas.openxmlformats.org/officeDocument/2006/relationships/hyperlink" Target="https://www.tcgplayer.com/product/528045" TargetMode="External" Id="rId2552" /><Relationship Type="http://schemas.openxmlformats.org/officeDocument/2006/relationships/hyperlink" Target="https://www.pricecharting.com/game/pokemon-paldean-fates/tech-sticker-collection-maschiff" TargetMode="External" Id="rId2553" /><Relationship Type="http://schemas.openxmlformats.org/officeDocument/2006/relationships/hyperlink" Target="https://www.tcgplayer.com/product/528044" TargetMode="External" Id="rId2554" /><Relationship Type="http://schemas.openxmlformats.org/officeDocument/2006/relationships/hyperlink" Target="https://www.tcgplayer.com/product/528056" TargetMode="External" Id="rId2555" /><Relationship Type="http://schemas.openxmlformats.org/officeDocument/2006/relationships/hyperlink" Target="https://www.tcgplayer.com/product/528057" TargetMode="External" Id="rId2556" /><Relationship Type="http://schemas.openxmlformats.org/officeDocument/2006/relationships/hyperlink" Target="https://www.tcgplayer.com/product/528058" TargetMode="External" Id="rId2557" /><Relationship Type="http://schemas.openxmlformats.org/officeDocument/2006/relationships/hyperlink" Target="https://www.tcgplayer.com/product/528228" TargetMode="External" Id="rId2558" /><Relationship Type="http://schemas.openxmlformats.org/officeDocument/2006/relationships/hyperlink" Target="https://www.tcgplayer.com/product/594110" TargetMode="External" Id="rId2559" /><Relationship Type="http://schemas.openxmlformats.org/officeDocument/2006/relationships/hyperlink" Target="https://www.tcgplayer.com/product/609716" TargetMode="External" Id="rId2560" /><Relationship Type="http://schemas.openxmlformats.org/officeDocument/2006/relationships/hyperlink" Target="https://www.pricecharting.com/game/pokemon-prismatic-evolutions/accessory-pouch-special-collection" TargetMode="External" Id="rId2561" /><Relationship Type="http://schemas.openxmlformats.org/officeDocument/2006/relationships/hyperlink" Target="https://www.tcgplayer.com/product/606881" TargetMode="External" Id="rId2562" /><Relationship Type="http://schemas.openxmlformats.org/officeDocument/2006/relationships/hyperlink" Target="https://www.pricecharting.com/game/pokemon-prismatic-evolutions/binder-collection" TargetMode="External" Id="rId2563" /><Relationship Type="http://schemas.openxmlformats.org/officeDocument/2006/relationships/hyperlink" Target="https://www.tcgplayer.com/product/593356" TargetMode="External" Id="rId2564" /><Relationship Type="http://schemas.openxmlformats.org/officeDocument/2006/relationships/hyperlink" Target="https://www.pricecharting.com/game/pokemon-prismatic-evolutions/booster-bundle" TargetMode="External" Id="rId2565" /><Relationship Type="http://schemas.openxmlformats.org/officeDocument/2006/relationships/hyperlink" Target="https://www.tcgplayer.com/product/600518" TargetMode="External" Id="rId2566" /><Relationship Type="http://schemas.openxmlformats.org/officeDocument/2006/relationships/hyperlink" Target="https://www.tcgplayer.com/product/678555" TargetMode="External" Id="rId2567" /><Relationship Type="http://schemas.openxmlformats.org/officeDocument/2006/relationships/hyperlink" Target="https://www.tcgplayer.com/product/617823" TargetMode="External" Id="rId2568" /><Relationship Type="http://schemas.openxmlformats.org/officeDocument/2006/relationships/hyperlink" Target="https://www.pricecharting.com/game/pokemon-prismatic-evolutions/elite-trainer-box" TargetMode="External" Id="rId2569" /><Relationship Type="http://schemas.openxmlformats.org/officeDocument/2006/relationships/hyperlink" Target="https://www.tcgplayer.com/product/593355" TargetMode="External" Id="rId2570" /><Relationship Type="http://schemas.openxmlformats.org/officeDocument/2006/relationships/hyperlink" Target="https://www.tcgplayer.com/product/670607" TargetMode="External" Id="rId2571" /><Relationship Type="http://schemas.openxmlformats.org/officeDocument/2006/relationships/hyperlink" Target="https://www.pricecharting.com/game/pokemon-prismatic-evolutions/mini-tin-espeon" TargetMode="External" Id="rId2572" /><Relationship Type="http://schemas.openxmlformats.org/officeDocument/2006/relationships/hyperlink" Target="https://www.tcgplayer.com/product/593458" TargetMode="External" Id="rId2573" /><Relationship Type="http://schemas.openxmlformats.org/officeDocument/2006/relationships/hyperlink" Target="https://www.pricecharting.com/game/pokemon-prismatic-evolutions/mini-tin-flareon" TargetMode="External" Id="rId2574" /><Relationship Type="http://schemas.openxmlformats.org/officeDocument/2006/relationships/hyperlink" Target="https://www.tcgplayer.com/product/593457" TargetMode="External" Id="rId2575" /><Relationship Type="http://schemas.openxmlformats.org/officeDocument/2006/relationships/hyperlink" Target="https://www.pricecharting.com/game/pokemon-prismatic-evolutions/mini-tin-glaceon" TargetMode="External" Id="rId2576" /><Relationship Type="http://schemas.openxmlformats.org/officeDocument/2006/relationships/hyperlink" Target="https://www.tcgplayer.com/product/593461" TargetMode="External" Id="rId2577" /><Relationship Type="http://schemas.openxmlformats.org/officeDocument/2006/relationships/hyperlink" Target="https://www.pricecharting.com/game/pokemon-prismatic-evolutions/mini-tin-jolteon" TargetMode="External" Id="rId2578" /><Relationship Type="http://schemas.openxmlformats.org/officeDocument/2006/relationships/hyperlink" Target="https://www.tcgplayer.com/product/593456" TargetMode="External" Id="rId2579" /><Relationship Type="http://schemas.openxmlformats.org/officeDocument/2006/relationships/hyperlink" Target="https://www.pricecharting.com/game/pokemon-prismatic-evolutions/mini-tin-leafeon" TargetMode="External" Id="rId2580" /><Relationship Type="http://schemas.openxmlformats.org/officeDocument/2006/relationships/hyperlink" Target="https://www.tcgplayer.com/product/593460" TargetMode="External" Id="rId2581" /><Relationship Type="http://schemas.openxmlformats.org/officeDocument/2006/relationships/hyperlink" Target="https://www.pricecharting.com/game/pokemon-prismatic-evolutions/mini-tin-sylveon" TargetMode="External" Id="rId2582" /><Relationship Type="http://schemas.openxmlformats.org/officeDocument/2006/relationships/hyperlink" Target="https://www.tcgplayer.com/product/593462" TargetMode="External" Id="rId2583" /><Relationship Type="http://schemas.openxmlformats.org/officeDocument/2006/relationships/hyperlink" Target="https://www.pricecharting.com/game/pokemon-prismatic-evolutions/mini-tin-umbreon" TargetMode="External" Id="rId2584" /><Relationship Type="http://schemas.openxmlformats.org/officeDocument/2006/relationships/hyperlink" Target="https://www.tcgplayer.com/product/593459" TargetMode="External" Id="rId2585" /><Relationship Type="http://schemas.openxmlformats.org/officeDocument/2006/relationships/hyperlink" Target="https://www.pricecharting.com/game/pokemon-prismatic-evolutions/mini-tin-vaporeon" TargetMode="External" Id="rId2586" /><Relationship Type="http://schemas.openxmlformats.org/officeDocument/2006/relationships/hyperlink" Target="https://www.tcgplayer.com/product/593455" TargetMode="External" Id="rId2587" /><Relationship Type="http://schemas.openxmlformats.org/officeDocument/2006/relationships/hyperlink" Target="https://www.tcgplayer.com/product/593324" TargetMode="External" Id="rId2588" /><Relationship Type="http://schemas.openxmlformats.org/officeDocument/2006/relationships/hyperlink" Target="https://www.tcgplayer.com/product/593359" TargetMode="External" Id="rId2589" /><Relationship Type="http://schemas.openxmlformats.org/officeDocument/2006/relationships/hyperlink" Target="https://www.pricecharting.com/game/pokemon-prismatic-evolutions/premium-figure-collection" TargetMode="External" Id="rId2590" /><Relationship Type="http://schemas.openxmlformats.org/officeDocument/2006/relationships/hyperlink" Target="https://www.tcgplayer.com/product/650799" TargetMode="External" Id="rId2591" /><Relationship Type="http://schemas.openxmlformats.org/officeDocument/2006/relationships/hyperlink" Target="https://www.tcgplayer.com/product/617807" TargetMode="External" Id="rId2592" /><Relationship Type="http://schemas.openxmlformats.org/officeDocument/2006/relationships/hyperlink" Target="https://www.tcgplayer.com/product/622770" TargetMode="External" Id="rId2593" /><Relationship Type="http://schemas.openxmlformats.org/officeDocument/2006/relationships/hyperlink" Target="https://www.pricecharting.com/game/pokemon-prismatic-evolutions/surprise-box" TargetMode="External" Id="rId2594" /><Relationship Type="http://schemas.openxmlformats.org/officeDocument/2006/relationships/hyperlink" Target="https://www.tcgplayer.com/product/593466" TargetMode="External" Id="rId2595" /><Relationship Type="http://schemas.openxmlformats.org/officeDocument/2006/relationships/hyperlink" Target="https://www.pricecharting.com/game/pokemon-prismatic-evolutions/tech-sticker-collection-glaceon" TargetMode="External" Id="rId2596" /><Relationship Type="http://schemas.openxmlformats.org/officeDocument/2006/relationships/hyperlink" Target="https://www.tcgplayer.com/product/593451" TargetMode="External" Id="rId2597" /><Relationship Type="http://schemas.openxmlformats.org/officeDocument/2006/relationships/hyperlink" Target="https://www.pricecharting.com/game/pokemon-prismatic-evolutions/tech-sticker-collection-leafeon" TargetMode="External" Id="rId2598" /><Relationship Type="http://schemas.openxmlformats.org/officeDocument/2006/relationships/hyperlink" Target="https://www.tcgplayer.com/product/593453" TargetMode="External" Id="rId2599" /><Relationship Type="http://schemas.openxmlformats.org/officeDocument/2006/relationships/hyperlink" Target="https://www.tcgplayer.com/product/598490" TargetMode="External" Id="rId2600" /><Relationship Type="http://schemas.openxmlformats.org/officeDocument/2006/relationships/hyperlink" Target="https://www.pricecharting.com/game/pokemon-prismatic-evolutions/tech-sticker-collection-sylveon" TargetMode="External" Id="rId2601" /><Relationship Type="http://schemas.openxmlformats.org/officeDocument/2006/relationships/hyperlink" Target="https://www.tcgplayer.com/product/593450" TargetMode="External" Id="rId2602" /><Relationship Type="http://schemas.openxmlformats.org/officeDocument/2006/relationships/hyperlink" Target="https://www.tcgplayer.com/product/502004" TargetMode="External" Id="rId2603" /><Relationship Type="http://schemas.openxmlformats.org/officeDocument/2006/relationships/hyperlink" Target="https://www.tcgplayer.com/product/502000" TargetMode="External" Id="rId2604" /><Relationship Type="http://schemas.openxmlformats.org/officeDocument/2006/relationships/hyperlink" Target="https://www.tcgplayer.com/product/503313" TargetMode="External" Id="rId2605" /><Relationship Type="http://schemas.openxmlformats.org/officeDocument/2006/relationships/hyperlink" Target="https://www.tcgplayer.com/product/522699" TargetMode="External" Id="rId2606" /><Relationship Type="http://schemas.openxmlformats.org/officeDocument/2006/relationships/hyperlink" Target="https://www.tcgplayer.com/product/522700" TargetMode="External" Id="rId2607" /><Relationship Type="http://schemas.openxmlformats.org/officeDocument/2006/relationships/hyperlink" Target="https://www.tcgplayer.com/product/522701" TargetMode="External" Id="rId2608" /><Relationship Type="http://schemas.openxmlformats.org/officeDocument/2006/relationships/hyperlink" Target="https://www.tcgplayer.com/product/522702" TargetMode="External" Id="rId2609" /><Relationship Type="http://schemas.openxmlformats.org/officeDocument/2006/relationships/hyperlink" Target="https://www.tcgplayer.com/product/522706" TargetMode="External" Id="rId2610" /><Relationship Type="http://schemas.openxmlformats.org/officeDocument/2006/relationships/hyperlink" Target="https://www.tcgplayer.com/product/522703" TargetMode="External" Id="rId2611" /><Relationship Type="http://schemas.openxmlformats.org/officeDocument/2006/relationships/hyperlink" Target="https://www.tcgplayer.com/product/522704" TargetMode="External" Id="rId2612" /><Relationship Type="http://schemas.openxmlformats.org/officeDocument/2006/relationships/hyperlink" Target="https://www.tcgplayer.com/product/522705" TargetMode="External" Id="rId2613" /><Relationship Type="http://schemas.openxmlformats.org/officeDocument/2006/relationships/hyperlink" Target="https://www.tcgplayer.com/product/522708" TargetMode="External" Id="rId2614" /><Relationship Type="http://schemas.openxmlformats.org/officeDocument/2006/relationships/hyperlink" Target="https://www.tcgplayer.com/product/522707" TargetMode="External" Id="rId2615" /><Relationship Type="http://schemas.openxmlformats.org/officeDocument/2006/relationships/hyperlink" Target="https://www.tcgplayer.com/product/501999" TargetMode="External" Id="rId2616" /><Relationship Type="http://schemas.openxmlformats.org/officeDocument/2006/relationships/hyperlink" Target="https://www.tcgplayer.com/product/502001" TargetMode="External" Id="rId2617" /><Relationship Type="http://schemas.openxmlformats.org/officeDocument/2006/relationships/hyperlink" Target="https://www.tcgplayer.com/product/502005" TargetMode="External" Id="rId2618" /><Relationship Type="http://schemas.openxmlformats.org/officeDocument/2006/relationships/hyperlink" Target="https://www.tcgplayer.com/product/502006" TargetMode="External" Id="rId2619" /><Relationship Type="http://schemas.openxmlformats.org/officeDocument/2006/relationships/hyperlink" Target="https://www.tcgplayer.com/product/502007" TargetMode="External" Id="rId2620" /><Relationship Type="http://schemas.openxmlformats.org/officeDocument/2006/relationships/hyperlink" Target="https://www.tcgplayer.com/product/609597" TargetMode="External" Id="rId2621" /><Relationship Type="http://schemas.openxmlformats.org/officeDocument/2006/relationships/hyperlink" Target="https://www.tcgplayer.com/product/692583" TargetMode="External" Id="rId2622" /><Relationship Type="http://schemas.openxmlformats.org/officeDocument/2006/relationships/hyperlink" Target="https://www.pricecharting.com/game/pokemon-shrouded-fable/greninja-ex-special-illustration-collection" TargetMode="External" Id="rId2623" /><Relationship Type="http://schemas.openxmlformats.org/officeDocument/2006/relationships/hyperlink" Target="https://www.tcgplayer.com/product/553002" TargetMode="External" Id="rId2624" /><Relationship Type="http://schemas.openxmlformats.org/officeDocument/2006/relationships/hyperlink" Target="https://www.pricecharting.com/game/pokemon-shrouded-fable/kingambit-illustration-collection" TargetMode="External" Id="rId2625" /><Relationship Type="http://schemas.openxmlformats.org/officeDocument/2006/relationships/hyperlink" Target="https://www.tcgplayer.com/product/553000" TargetMode="External" Id="rId2626" /><Relationship Type="http://schemas.openxmlformats.org/officeDocument/2006/relationships/hyperlink" Target="https://www.pricecharting.com/game/pokemon-shrouded-fable/kingdra-ex-special-illustration-collection" TargetMode="External" Id="rId2627" /><Relationship Type="http://schemas.openxmlformats.org/officeDocument/2006/relationships/hyperlink" Target="https://www.tcgplayer.com/product/553001" TargetMode="External" Id="rId2628" /><Relationship Type="http://schemas.openxmlformats.org/officeDocument/2006/relationships/hyperlink" Target="https://www.pricecharting.com/game/pokemon-shrouded-fable/booster-bundle" TargetMode="External" Id="rId2629" /><Relationship Type="http://schemas.openxmlformats.org/officeDocument/2006/relationships/hyperlink" Target="https://www.tcgplayer.com/product/553031" TargetMode="External" Id="rId2630" /><Relationship Type="http://schemas.openxmlformats.org/officeDocument/2006/relationships/hyperlink" Target="https://www.pricecharting.com/game/pokemon-shrouded-fable/elite-trainer-box" TargetMode="External" Id="rId2631" /><Relationship Type="http://schemas.openxmlformats.org/officeDocument/2006/relationships/hyperlink" Target="https://www.tcgplayer.com/product/552999" TargetMode="External" Id="rId2632" /><Relationship Type="http://schemas.openxmlformats.org/officeDocument/2006/relationships/hyperlink" Target="https://www.pricecharting.com/game/pokemon-shrouded-fable/mini-tin-dusknoir" TargetMode="External" Id="rId2633" /><Relationship Type="http://schemas.openxmlformats.org/officeDocument/2006/relationships/hyperlink" Target="https://www.tcgplayer.com/product/553023" TargetMode="External" Id="rId2634" /><Relationship Type="http://schemas.openxmlformats.org/officeDocument/2006/relationships/hyperlink" Target="https://www.pricecharting.com/game/pokemon-shrouded-fable/mini-tin-fezandipiti" TargetMode="External" Id="rId2635" /><Relationship Type="http://schemas.openxmlformats.org/officeDocument/2006/relationships/hyperlink" Target="https://www.tcgplayer.com/product/553018" TargetMode="External" Id="rId2636" /><Relationship Type="http://schemas.openxmlformats.org/officeDocument/2006/relationships/hyperlink" Target="https://www.pricecharting.com/game/pokemon-shrouded-fable/mini-tin-okidogi" TargetMode="External" Id="rId2637" /><Relationship Type="http://schemas.openxmlformats.org/officeDocument/2006/relationships/hyperlink" Target="https://www.tcgplayer.com/product/553012" TargetMode="External" Id="rId2638" /><Relationship Type="http://schemas.openxmlformats.org/officeDocument/2006/relationships/hyperlink" Target="https://www.pricecharting.com/game/pokemon-shrouded-fable/mini-tin-zoroark" TargetMode="External" Id="rId2639" /><Relationship Type="http://schemas.openxmlformats.org/officeDocument/2006/relationships/hyperlink" Target="https://www.tcgplayer.com/product/553010" TargetMode="External" Id="rId2640" /><Relationship Type="http://schemas.openxmlformats.org/officeDocument/2006/relationships/hyperlink" Target="https://www.tcgplayer.com/product/553009" TargetMode="External" Id="rId2641" /><Relationship Type="http://schemas.openxmlformats.org/officeDocument/2006/relationships/hyperlink" Target="https://www.tcgplayer.com/product/552998" TargetMode="External" Id="rId2642" /><Relationship Type="http://schemas.openxmlformats.org/officeDocument/2006/relationships/hyperlink" Target="https://www.tcgplayer.com/product/685927" TargetMode="External" Id="rId2643" /><Relationship Type="http://schemas.openxmlformats.org/officeDocument/2006/relationships/hyperlink" Target="https://www.pricecharting.com/game/pokemon-white-flare/binder-collection" TargetMode="External" Id="rId2644" /><Relationship Type="http://schemas.openxmlformats.org/officeDocument/2006/relationships/hyperlink" Target="https://www.tcgplayer.com/product/630695" TargetMode="External" Id="rId2645" /><Relationship Type="http://schemas.openxmlformats.org/officeDocument/2006/relationships/hyperlink" Target="https://www.pricecharting.com/game/pokemon-white-flare/booster-bundle" TargetMode="External" Id="rId2646" /><Relationship Type="http://schemas.openxmlformats.org/officeDocument/2006/relationships/hyperlink" Target="https://www.tcgplayer.com/product/630696" TargetMode="External" Id="rId2647" /><Relationship Type="http://schemas.openxmlformats.org/officeDocument/2006/relationships/hyperlink" Target="https://www.pricecharting.com/game/pokemon-white-flare/elite-trainer-box" TargetMode="External" Id="rId2648" /><Relationship Type="http://schemas.openxmlformats.org/officeDocument/2006/relationships/hyperlink" Target="https://www.tcgplayer.com/product/630689" TargetMode="External" Id="rId2649" /><Relationship Type="http://schemas.openxmlformats.org/officeDocument/2006/relationships/hyperlink" Target="https://www.tcgplayer.com/product/630688" TargetMode="External" Id="rId2650" /><Relationship Type="http://schemas.openxmlformats.org/officeDocument/2006/relationships/hyperlink" Target="https://www.pricecharting.com/game/pokemon-white-flare/tech-sticker-collection" TargetMode="External" Id="rId2651" /><Relationship Type="http://schemas.openxmlformats.org/officeDocument/2006/relationships/hyperlink" Target="https://www.tcgplayer.com/product/630700" TargetMode="External" Id="rId2652" /><Relationship Type="http://schemas.openxmlformats.org/officeDocument/2006/relationships/hyperlink" Target="https://www.tcgplayer.com/product/220750" TargetMode="External" Id="rId2653" /><Relationship Type="http://schemas.openxmlformats.org/officeDocument/2006/relationships/hyperlink" Target="https://www.tcgplayer.com/product/220752" TargetMode="External" Id="rId2654" /><Relationship Type="http://schemas.openxmlformats.org/officeDocument/2006/relationships/hyperlink" Target="https://www.tcgplayer.com/product/220751" TargetMode="External" Id="rId2655" /><Relationship Type="http://schemas.openxmlformats.org/officeDocument/2006/relationships/hyperlink" Target="https://www.tcgplayer.com/product/282886" TargetMode="External" Id="rId2656" /><Relationship Type="http://schemas.openxmlformats.org/officeDocument/2006/relationships/hyperlink" Target="https://www.tcgplayer.com/product/282885" TargetMode="External" Id="rId2657" /><Relationship Type="http://schemas.openxmlformats.org/officeDocument/2006/relationships/hyperlink" Target="https://www.tcgplayer.com/product/282887" TargetMode="External" Id="rId2658" /><Relationship Type="http://schemas.openxmlformats.org/officeDocument/2006/relationships/hyperlink" Target="https://www.tcgplayer.com/product/206420" TargetMode="External" Id="rId2659" /><Relationship Type="http://schemas.openxmlformats.org/officeDocument/2006/relationships/hyperlink" Target="https://www.tcgplayer.com/product/206417" TargetMode="External" Id="rId2660" /><Relationship Type="http://schemas.openxmlformats.org/officeDocument/2006/relationships/hyperlink" Target="https://www.tcgplayer.com/product/206423" TargetMode="External" Id="rId2661" /><Relationship Type="http://schemas.openxmlformats.org/officeDocument/2006/relationships/hyperlink" Target="https://www.tcgplayer.com/product/287503" TargetMode="External" Id="rId2662" /><Relationship Type="http://schemas.openxmlformats.org/officeDocument/2006/relationships/hyperlink" Target="https://www.tcgplayer.com/product/287500" TargetMode="External" Id="rId2663" /><Relationship Type="http://schemas.openxmlformats.org/officeDocument/2006/relationships/hyperlink" Target="https://www.tcgplayer.com/product/287504" TargetMode="External" Id="rId2664" /><Relationship Type="http://schemas.openxmlformats.org/officeDocument/2006/relationships/hyperlink" Target="https://www.tcgplayer.com/product/287505" TargetMode="External" Id="rId2665" /><Relationship Type="http://schemas.openxmlformats.org/officeDocument/2006/relationships/hyperlink" Target="https://www.tcgplayer.com/product/287507" TargetMode="External" Id="rId2666" /><Relationship Type="http://schemas.openxmlformats.org/officeDocument/2006/relationships/hyperlink" Target="https://www.tcgplayer.com/product/210577" TargetMode="External" Id="rId2667" /><Relationship Type="http://schemas.openxmlformats.org/officeDocument/2006/relationships/hyperlink" Target="https://www.tcgplayer.com/product/210576" TargetMode="External" Id="rId2668" /><Relationship Type="http://schemas.openxmlformats.org/officeDocument/2006/relationships/hyperlink" Target="https://www.tcgplayer.com/product/209531" TargetMode="External" Id="rId2669" /><Relationship Type="http://schemas.openxmlformats.org/officeDocument/2006/relationships/hyperlink" Target="https://www.tcgplayer.com/product/206040" TargetMode="External" Id="rId2670" /><Relationship Type="http://schemas.openxmlformats.org/officeDocument/2006/relationships/hyperlink" Target="https://www.tcgplayer.com/product/244411" TargetMode="External" Id="rId2671" /><Relationship Type="http://schemas.openxmlformats.org/officeDocument/2006/relationships/hyperlink" Target="https://www.tcgplayer.com/product/206038" TargetMode="External" Id="rId2672" /><Relationship Type="http://schemas.openxmlformats.org/officeDocument/2006/relationships/hyperlink" Target="https://www.tcgplayer.com/product/206039" TargetMode="External" Id="rId2673" /><Relationship Type="http://schemas.openxmlformats.org/officeDocument/2006/relationships/hyperlink" Target="https://www.tcgplayer.com/product/265314" TargetMode="External" Id="rId2674" /><Relationship Type="http://schemas.openxmlformats.org/officeDocument/2006/relationships/hyperlink" Target="https://www.tcgplayer.com/product/487795" TargetMode="External" Id="rId2675" /><Relationship Type="http://schemas.openxmlformats.org/officeDocument/2006/relationships/hyperlink" Target="https://www.tcgplayer.com/product/206424" TargetMode="External" Id="rId2676" /><Relationship Type="http://schemas.openxmlformats.org/officeDocument/2006/relationships/hyperlink" Target="https://www.tcgplayer.com/product/214227" TargetMode="External" Id="rId2677" /><Relationship Type="http://schemas.openxmlformats.org/officeDocument/2006/relationships/hyperlink" Target="https://www.tcgplayer.com/product/214232" TargetMode="External" Id="rId2678" /><Relationship Type="http://schemas.openxmlformats.org/officeDocument/2006/relationships/hyperlink" Target="https://www.pricecharting.com/game/pokemon-rebel-clash/legends-of-galar-tin-zacian-v" TargetMode="External" Id="rId2679" /><Relationship Type="http://schemas.openxmlformats.org/officeDocument/2006/relationships/hyperlink" Target="https://www.tcgplayer.com/product/214230" TargetMode="External" Id="rId2680" /><Relationship Type="http://schemas.openxmlformats.org/officeDocument/2006/relationships/hyperlink" Target="https://www.tcgplayer.com/product/279257" TargetMode="External" Id="rId2681" /><Relationship Type="http://schemas.openxmlformats.org/officeDocument/2006/relationships/hyperlink" Target="https://www.tcgplayer.com/product/214231" TargetMode="External" Id="rId2682" /><Relationship Type="http://schemas.openxmlformats.org/officeDocument/2006/relationships/hyperlink" Target="https://www.tcgplayer.com/product/279258" TargetMode="External" Id="rId2683" /><Relationship Type="http://schemas.openxmlformats.org/officeDocument/2006/relationships/hyperlink" Target="https://www.tcgplayer.com/product/265316" TargetMode="External" Id="rId2684" /><Relationship Type="http://schemas.openxmlformats.org/officeDocument/2006/relationships/hyperlink" Target="https://www.pricecharting.com/game/pokemon-rebel-clash/build-&amp;-battle-box" TargetMode="External" Id="rId2685" /><Relationship Type="http://schemas.openxmlformats.org/officeDocument/2006/relationships/hyperlink" Target="https://www.tcgplayer.com/product/212821" TargetMode="External" Id="rId2686" /><Relationship Type="http://schemas.openxmlformats.org/officeDocument/2006/relationships/hyperlink" Target="https://www.pricecharting.com/game/pokemon-rebel-clash/elite-trainer-box" TargetMode="External" Id="rId2687" /><Relationship Type="http://schemas.openxmlformats.org/officeDocument/2006/relationships/hyperlink" Target="https://www.tcgplayer.com/product/210572" TargetMode="External" Id="rId2688" /><Relationship Type="http://schemas.openxmlformats.org/officeDocument/2006/relationships/hyperlink" Target="https://www.tcgplayer.com/product/487796" TargetMode="External" Id="rId2689" /><Relationship Type="http://schemas.openxmlformats.org/officeDocument/2006/relationships/hyperlink" Target="https://www.tcgplayer.com/product/210566" TargetMode="External" Id="rId2690" /><Relationship Type="http://schemas.openxmlformats.org/officeDocument/2006/relationships/hyperlink" Target="https://www.tcgplayer.com/product/265317" TargetMode="External" Id="rId2691" /><Relationship Type="http://schemas.openxmlformats.org/officeDocument/2006/relationships/hyperlink" Target="https://www.pricecharting.com/game/pokemon-darkness-ablaze/build-&amp;-battle-box" TargetMode="External" Id="rId2692" /><Relationship Type="http://schemas.openxmlformats.org/officeDocument/2006/relationships/hyperlink" Target="https://www.tcgplayer.com/product/216861" TargetMode="External" Id="rId2693" /><Relationship Type="http://schemas.openxmlformats.org/officeDocument/2006/relationships/hyperlink" Target="https://www.pricecharting.com/game/pokemon-darkness-ablaze/elite-trainer-box" TargetMode="External" Id="rId2694" /><Relationship Type="http://schemas.openxmlformats.org/officeDocument/2006/relationships/hyperlink" Target="https://www.tcgplayer.com/product/216856" TargetMode="External" Id="rId2695" /><Relationship Type="http://schemas.openxmlformats.org/officeDocument/2006/relationships/hyperlink" Target="https://www.tcgplayer.com/product/487797" TargetMode="External" Id="rId2696" /><Relationship Type="http://schemas.openxmlformats.org/officeDocument/2006/relationships/hyperlink" Target="https://www.tcgplayer.com/product/220277" TargetMode="External" Id="rId2697" /><Relationship Type="http://schemas.openxmlformats.org/officeDocument/2006/relationships/hyperlink" Target="https://www.tcgplayer.com/product/220272" TargetMode="External" Id="rId2698" /><Relationship Type="http://schemas.openxmlformats.org/officeDocument/2006/relationships/hyperlink" Target="https://www.tcgplayer.com/product/218839" TargetMode="External" Id="rId2699" /><Relationship Type="http://schemas.openxmlformats.org/officeDocument/2006/relationships/hyperlink" Target="https://www.pricecharting.com/game/pokemon-vivid-voltage/alakazam-v-box" TargetMode="External" Id="rId2700" /><Relationship Type="http://schemas.openxmlformats.org/officeDocument/2006/relationships/hyperlink" Target="https://www.tcgplayer.com/product/228979" TargetMode="External" Id="rId2701" /><Relationship Type="http://schemas.openxmlformats.org/officeDocument/2006/relationships/hyperlink" Target="https://www.tcgplayer.com/product/222985" TargetMode="External" Id="rId2702" /><Relationship Type="http://schemas.openxmlformats.org/officeDocument/2006/relationships/hyperlink" Target="https://www.tcgplayer.com/product/226137" TargetMode="External" Id="rId2703" /><Relationship Type="http://schemas.openxmlformats.org/officeDocument/2006/relationships/hyperlink" Target="https://www.tcgplayer.com/product/222987" TargetMode="External" Id="rId2704" /><Relationship Type="http://schemas.openxmlformats.org/officeDocument/2006/relationships/hyperlink" Target="https://www.tcgplayer.com/product/222986" TargetMode="External" Id="rId2705" /><Relationship Type="http://schemas.openxmlformats.org/officeDocument/2006/relationships/hyperlink" Target="https://www.tcgplayer.com/product/265319" TargetMode="External" Id="rId2706" /><Relationship Type="http://schemas.openxmlformats.org/officeDocument/2006/relationships/hyperlink" Target="https://www.pricecharting.com/game/pokemon-vivid-voltage/build-&amp;-battle-box" TargetMode="External" Id="rId2707" /><Relationship Type="http://schemas.openxmlformats.org/officeDocument/2006/relationships/hyperlink" Target="https://www.tcgplayer.com/product/221748" TargetMode="External" Id="rId2708" /><Relationship Type="http://schemas.openxmlformats.org/officeDocument/2006/relationships/hyperlink" Target="https://www.pricecharting.com/game/pokemon-vivid-voltage/elite-trainer-box" TargetMode="External" Id="rId2709" /><Relationship Type="http://schemas.openxmlformats.org/officeDocument/2006/relationships/hyperlink" Target="https://www.tcgplayer.com/product/221752" TargetMode="External" Id="rId2710" /><Relationship Type="http://schemas.openxmlformats.org/officeDocument/2006/relationships/hyperlink" Target="https://www.tcgplayer.com/product/487798" TargetMode="External" Id="rId2711" /><Relationship Type="http://schemas.openxmlformats.org/officeDocument/2006/relationships/hyperlink" Target="https://www.pricecharting.com/game/pokemon-battle-styles/build-&amp;-battle-box" TargetMode="External" Id="rId2712" /><Relationship Type="http://schemas.openxmlformats.org/officeDocument/2006/relationships/hyperlink" Target="https://www.tcgplayer.com/product/229278" TargetMode="External" Id="rId2713" /><Relationship Type="http://schemas.openxmlformats.org/officeDocument/2006/relationships/hyperlink" Target="https://www.tcgplayer.com/product/229284" TargetMode="External" Id="rId2714" /><Relationship Type="http://schemas.openxmlformats.org/officeDocument/2006/relationships/hyperlink" Target="https://www.tcgplayer.com/product/487794" TargetMode="External" Id="rId2715" /><Relationship Type="http://schemas.openxmlformats.org/officeDocument/2006/relationships/hyperlink" Target="https://www.tcgplayer.com/product/233359" TargetMode="External" Id="rId2716" /><Relationship Type="http://schemas.openxmlformats.org/officeDocument/2006/relationships/hyperlink" Target="https://www.tcgplayer.com/product/231296" TargetMode="External" Id="rId2717" /><Relationship Type="http://schemas.openxmlformats.org/officeDocument/2006/relationships/hyperlink" Target="https://www.tcgplayer.com/product/231297" TargetMode="External" Id="rId2718" /><Relationship Type="http://schemas.openxmlformats.org/officeDocument/2006/relationships/hyperlink" Target="https://www.tcgplayer.com/product/231293" TargetMode="External" Id="rId2719" /><Relationship Type="http://schemas.openxmlformats.org/officeDocument/2006/relationships/hyperlink" Target="https://www.tcgplayer.com/product/236378" TargetMode="External" Id="rId2720" /><Relationship Type="http://schemas.openxmlformats.org/officeDocument/2006/relationships/hyperlink" Target="https://www.tcgplayer.com/product/257189" TargetMode="External" Id="rId2721" /><Relationship Type="http://schemas.openxmlformats.org/officeDocument/2006/relationships/hyperlink" Target="https://www.tcgplayer.com/product/236377" TargetMode="External" Id="rId2722" /><Relationship Type="http://schemas.openxmlformats.org/officeDocument/2006/relationships/hyperlink" Target="https://www.tcgplayer.com/product/238638" TargetMode="External" Id="rId2723" /><Relationship Type="http://schemas.openxmlformats.org/officeDocument/2006/relationships/hyperlink" Target="https://www.tcgplayer.com/product/492290" TargetMode="External" Id="rId2724" /><Relationship Type="http://schemas.openxmlformats.org/officeDocument/2006/relationships/hyperlink" Target="https://www.pricecharting.com/game/pokemon-chilling-reign/build-and-battle-box" TargetMode="External" Id="rId2725" /><Relationship Type="http://schemas.openxmlformats.org/officeDocument/2006/relationships/hyperlink" Target="https://www.tcgplayer.com/product/236265" TargetMode="External" Id="rId2726" /><Relationship Type="http://schemas.openxmlformats.org/officeDocument/2006/relationships/hyperlink" Target="https://www.tcgplayer.com/product/236260" TargetMode="External" Id="rId2727" /><Relationship Type="http://schemas.openxmlformats.org/officeDocument/2006/relationships/hyperlink" Target="https://www.tcgplayer.com/product/244410" TargetMode="External" Id="rId2728" /><Relationship Type="http://schemas.openxmlformats.org/officeDocument/2006/relationships/hyperlink" Target="https://www.tcgplayer.com/product/236261" TargetMode="External" Id="rId2729" /><Relationship Type="http://schemas.openxmlformats.org/officeDocument/2006/relationships/hyperlink" Target="https://www.tcgplayer.com/product/247281" TargetMode="External" Id="rId2730" /><Relationship Type="http://schemas.openxmlformats.org/officeDocument/2006/relationships/hyperlink" Target="https://www.tcgplayer.com/product/247282" TargetMode="External" Id="rId2731" /><Relationship Type="http://schemas.openxmlformats.org/officeDocument/2006/relationships/hyperlink" Target="https://www.tcgplayer.com/product/256274" TargetMode="External" Id="rId2732" /><Relationship Type="http://schemas.openxmlformats.org/officeDocument/2006/relationships/hyperlink" Target="https://www.tcgplayer.com/product/256275" TargetMode="External" Id="rId2733" /><Relationship Type="http://schemas.openxmlformats.org/officeDocument/2006/relationships/hyperlink" Target="https://www.tcgplayer.com/product/240975" TargetMode="External" Id="rId2734" /><Relationship Type="http://schemas.openxmlformats.org/officeDocument/2006/relationships/hyperlink" Target="https://www.tcgplayer.com/product/240977" TargetMode="External" Id="rId2735" /><Relationship Type="http://schemas.openxmlformats.org/officeDocument/2006/relationships/hyperlink" Target="https://www.tcgplayer.com/product/650863" TargetMode="External" Id="rId2736" /><Relationship Type="http://schemas.openxmlformats.org/officeDocument/2006/relationships/hyperlink" Target="https://www.tcgplayer.com/product/247497" TargetMode="External" Id="rId2737" /><Relationship Type="http://schemas.openxmlformats.org/officeDocument/2006/relationships/hyperlink" Target="https://www.pricecharting.com/game/pokemon-evolving-skies/build-and-battle-box" TargetMode="External" Id="rId2738" /><Relationship Type="http://schemas.openxmlformats.org/officeDocument/2006/relationships/hyperlink" Target="https://www.tcgplayer.com/product/242449" TargetMode="External" Id="rId2739" /><Relationship Type="http://schemas.openxmlformats.org/officeDocument/2006/relationships/hyperlink" Target="https://www.tcgplayer.com/product/242434" TargetMode="External" Id="rId2740" /><Relationship Type="http://schemas.openxmlformats.org/officeDocument/2006/relationships/hyperlink" Target="https://www.tcgplayer.com/product/242443" TargetMode="External" Id="rId2741" /><Relationship Type="http://schemas.openxmlformats.org/officeDocument/2006/relationships/hyperlink" Target="https://www.tcgplayer.com/product/243721" TargetMode="External" Id="rId2742" /><Relationship Type="http://schemas.openxmlformats.org/officeDocument/2006/relationships/hyperlink" Target="https://www.tcgplayer.com/product/245352" TargetMode="External" Id="rId2743" /><Relationship Type="http://schemas.openxmlformats.org/officeDocument/2006/relationships/hyperlink" Target="https://www.tcgplayer.com/product/245376" TargetMode="External" Id="rId2744" /><Relationship Type="http://schemas.openxmlformats.org/officeDocument/2006/relationships/hyperlink" Target="https://www.tcgplayer.com/product/245855" TargetMode="External" Id="rId2745" /><Relationship Type="http://schemas.openxmlformats.org/officeDocument/2006/relationships/hyperlink" Target="https://www.tcgplayer.com/product/247498" TargetMode="External" Id="rId2746" /><Relationship Type="http://schemas.openxmlformats.org/officeDocument/2006/relationships/hyperlink" Target="https://www.tcgplayer.com/product/246274" TargetMode="External" Id="rId2747" /><Relationship Type="http://schemas.openxmlformats.org/officeDocument/2006/relationships/hyperlink" Target="https://www.tcgplayer.com/product/245878" TargetMode="External" Id="rId2748" /><Relationship Type="http://schemas.openxmlformats.org/officeDocument/2006/relationships/hyperlink" Target="https://www.tcgplayer.com/product/245877" TargetMode="External" Id="rId2749" /><Relationship Type="http://schemas.openxmlformats.org/officeDocument/2006/relationships/hyperlink" Target="https://www.tcgplayer.com/product/245880" TargetMode="External" Id="rId2750" /><Relationship Type="http://schemas.openxmlformats.org/officeDocument/2006/relationships/hyperlink" Target="https://www.tcgplayer.com/product/245879" TargetMode="External" Id="rId2751" /><Relationship Type="http://schemas.openxmlformats.org/officeDocument/2006/relationships/hyperlink" Target="https://www.tcgplayer.com/product/245876" TargetMode="External" Id="rId2752" /><Relationship Type="http://schemas.openxmlformats.org/officeDocument/2006/relationships/hyperlink" Target="https://www.tcgplayer.com/product/247651" TargetMode="External" Id="rId2753" /><Relationship Type="http://schemas.openxmlformats.org/officeDocument/2006/relationships/hyperlink" Target="https://www.pricecharting.com/game/pokemon-fusion-strike/build-&amp;-battle-box" TargetMode="External" Id="rId2754" /><Relationship Type="http://schemas.openxmlformats.org/officeDocument/2006/relationships/hyperlink" Target="https://www.tcgplayer.com/product/247659" TargetMode="External" Id="rId2755" /><Relationship Type="http://schemas.openxmlformats.org/officeDocument/2006/relationships/hyperlink" Target="https://www.pricecharting.com/game/pokemon-fusion-strike/build-&amp;-battle-stadium" TargetMode="External" Id="rId2756" /><Relationship Type="http://schemas.openxmlformats.org/officeDocument/2006/relationships/hyperlink" Target="https://www.tcgplayer.com/product/247666" TargetMode="External" Id="rId2757" /><Relationship Type="http://schemas.openxmlformats.org/officeDocument/2006/relationships/hyperlink" Target="https://www.pricecharting.com/game/pokemon-fusion-strike/elite-trainer-box" TargetMode="External" Id="rId2758" /><Relationship Type="http://schemas.openxmlformats.org/officeDocument/2006/relationships/hyperlink" Target="https://www.tcgplayer.com/product/247671" TargetMode="External" Id="rId2759" /><Relationship Type="http://schemas.openxmlformats.org/officeDocument/2006/relationships/hyperlink" Target="https://www.tcgplayer.com/product/247673" TargetMode="External" Id="rId2760" /><Relationship Type="http://schemas.openxmlformats.org/officeDocument/2006/relationships/hyperlink" Target="https://www.tcgplayer.com/product/247657" TargetMode="External" Id="rId2761" /><Relationship Type="http://schemas.openxmlformats.org/officeDocument/2006/relationships/hyperlink" Target="https://www.tcgplayer.com/product/247658" TargetMode="External" Id="rId2762" /><Relationship Type="http://schemas.openxmlformats.org/officeDocument/2006/relationships/hyperlink" Target="https://www.tcgplayer.com/product/282721" TargetMode="External" Id="rId2763" /><Relationship Type="http://schemas.openxmlformats.org/officeDocument/2006/relationships/hyperlink" Target="https://www.pricecharting.com/game/pokemon-fusion-strike/hoopa-v-box" TargetMode="External" Id="rId2764" /><Relationship Type="http://schemas.openxmlformats.org/officeDocument/2006/relationships/hyperlink" Target="https://www.tcgplayer.com/product/247817" TargetMode="External" Id="rId2765" /><Relationship Type="http://schemas.openxmlformats.org/officeDocument/2006/relationships/hyperlink" Target="https://www.tcgplayer.com/product/249619" TargetMode="External" Id="rId2766" /><Relationship Type="http://schemas.openxmlformats.org/officeDocument/2006/relationships/hyperlink" Target="https://www.tcgplayer.com/product/253455" TargetMode="External" Id="rId2767" /><Relationship Type="http://schemas.openxmlformats.org/officeDocument/2006/relationships/hyperlink" Target="https://www.tcgplayer.com/product/283851" TargetMode="External" Id="rId2768" /><Relationship Type="http://schemas.openxmlformats.org/officeDocument/2006/relationships/hyperlink" Target="https://www.pricecharting.com/game/pokemon-brilliant-stars/arceus-v-figure-collection" TargetMode="External" Id="rId2769" /><Relationship Type="http://schemas.openxmlformats.org/officeDocument/2006/relationships/hyperlink" Target="https://www.tcgplayer.com/product/265251" TargetMode="External" Id="rId2770" /><Relationship Type="http://schemas.openxmlformats.org/officeDocument/2006/relationships/hyperlink" Target="https://www.tcgplayer.com/product/256134" TargetMode="External" Id="rId2771" /><Relationship Type="http://schemas.openxmlformats.org/officeDocument/2006/relationships/hyperlink" Target="https://www.pricecharting.com/game/pokemon-brilliant-stars/build-&amp;-battle-box" TargetMode="External" Id="rId2772" /><Relationship Type="http://schemas.openxmlformats.org/officeDocument/2006/relationships/hyperlink" Target="https://www.tcgplayer.com/product/256137" TargetMode="External" Id="rId2773" /><Relationship Type="http://schemas.openxmlformats.org/officeDocument/2006/relationships/hyperlink" Target="https://www.pricecharting.com/game/pokemon-brilliant-stars/build-&amp;-battle-stadium" TargetMode="External" Id="rId2774" /><Relationship Type="http://schemas.openxmlformats.org/officeDocument/2006/relationships/hyperlink" Target="https://www.tcgplayer.com/product/256139" TargetMode="External" Id="rId2775" /><Relationship Type="http://schemas.openxmlformats.org/officeDocument/2006/relationships/hyperlink" Target="https://www.pricecharting.com/game/pokemon-brilliant-stars/elite-trainer-box" TargetMode="External" Id="rId2776" /><Relationship Type="http://schemas.openxmlformats.org/officeDocument/2006/relationships/hyperlink" Target="https://www.tcgplayer.com/product/256138" TargetMode="External" Id="rId2777" /><Relationship Type="http://schemas.openxmlformats.org/officeDocument/2006/relationships/hyperlink" Target="https://www.tcgplayer.com/product/256140" TargetMode="External" Id="rId2778" /><Relationship Type="http://schemas.openxmlformats.org/officeDocument/2006/relationships/hyperlink" Target="https://www.tcgplayer.com/product/256135" TargetMode="External" Id="rId2779" /><Relationship Type="http://schemas.openxmlformats.org/officeDocument/2006/relationships/hyperlink" Target="https://www.tcgplayer.com/product/256136" TargetMode="External" Id="rId2780" /><Relationship Type="http://schemas.openxmlformats.org/officeDocument/2006/relationships/hyperlink" Target="https://www.tcgplayer.com/product/257375" TargetMode="External" Id="rId2781" /><Relationship Type="http://schemas.openxmlformats.org/officeDocument/2006/relationships/hyperlink" Target="https://www.pricecharting.com/game/pokemon-brilliant-stars/glaceon-vstar-special-collection" TargetMode="External" Id="rId2782" /><Relationship Type="http://schemas.openxmlformats.org/officeDocument/2006/relationships/hyperlink" Target="https://www.tcgplayer.com/product/256146" TargetMode="External" Id="rId2783" /><Relationship Type="http://schemas.openxmlformats.org/officeDocument/2006/relationships/hyperlink" Target="https://www.tcgplayer.com/product/523959" TargetMode="External" Id="rId2784" /><Relationship Type="http://schemas.openxmlformats.org/officeDocument/2006/relationships/hyperlink" Target="https://www.tcgplayer.com/product/265542" TargetMode="External" Id="rId2785" /><Relationship Type="http://schemas.openxmlformats.org/officeDocument/2006/relationships/hyperlink" Target="https://www.pricecharting.com/game/pokemon-astral-radiance/build-&amp;-battle-box" TargetMode="External" Id="rId2786" /><Relationship Type="http://schemas.openxmlformats.org/officeDocument/2006/relationships/hyperlink" Target="https://www.tcgplayer.com/product/265529" TargetMode="External" Id="rId2787" /><Relationship Type="http://schemas.openxmlformats.org/officeDocument/2006/relationships/hyperlink" Target="https://www.pricecharting.com/game/pokemon-astral-radiance/build-&amp;-battle-stadium" TargetMode="External" Id="rId2788" /><Relationship Type="http://schemas.openxmlformats.org/officeDocument/2006/relationships/hyperlink" Target="https://www.tcgplayer.com/product/265515" TargetMode="External" Id="rId2789" /><Relationship Type="http://schemas.openxmlformats.org/officeDocument/2006/relationships/hyperlink" Target="https://www.pricecharting.com/game/pokemon-astral-radiance/elite-trainer-box" TargetMode="External" Id="rId2790" /><Relationship Type="http://schemas.openxmlformats.org/officeDocument/2006/relationships/hyperlink" Target="https://www.tcgplayer.com/product/265527" TargetMode="External" Id="rId2791" /><Relationship Type="http://schemas.openxmlformats.org/officeDocument/2006/relationships/hyperlink" Target="https://www.tcgplayer.com/product/265528" TargetMode="External" Id="rId2792" /><Relationship Type="http://schemas.openxmlformats.org/officeDocument/2006/relationships/hyperlink" Target="https://www.tcgplayer.com/product/265543" TargetMode="External" Id="rId2793" /><Relationship Type="http://schemas.openxmlformats.org/officeDocument/2006/relationships/hyperlink" Target="https://www.tcgplayer.com/product/279598" TargetMode="External" Id="rId2794" /><Relationship Type="http://schemas.openxmlformats.org/officeDocument/2006/relationships/hyperlink" Target="https://www.tcgplayer.com/product/283325" TargetMode="External" Id="rId2795" /><Relationship Type="http://schemas.openxmlformats.org/officeDocument/2006/relationships/hyperlink" Target="https://www.tcgplayer.com/product/285674" TargetMode="External" Id="rId2796" /><Relationship Type="http://schemas.openxmlformats.org/officeDocument/2006/relationships/hyperlink" Target="https://www.tcgplayer.com/product/282402" TargetMode="External" Id="rId2797" /><Relationship Type="http://schemas.openxmlformats.org/officeDocument/2006/relationships/hyperlink" Target="https://www.tcgplayer.com/product/637417" TargetMode="External" Id="rId2798" /><Relationship Type="http://schemas.openxmlformats.org/officeDocument/2006/relationships/hyperlink" Target="https://www.tcgplayer.com/product/278794" TargetMode="External" Id="rId2799" /><Relationship Type="http://schemas.openxmlformats.org/officeDocument/2006/relationships/hyperlink" Target="https://www.pricecharting.com/game/pokemon-lost-origin/build-&amp;-battle-box" TargetMode="External" Id="rId2800" /><Relationship Type="http://schemas.openxmlformats.org/officeDocument/2006/relationships/hyperlink" Target="https://www.tcgplayer.com/product/277345" TargetMode="External" Id="rId2801" /><Relationship Type="http://schemas.openxmlformats.org/officeDocument/2006/relationships/hyperlink" Target="https://www.pricecharting.com/game/pokemon-lost-origin/build-&amp;-battle-stadium" TargetMode="External" Id="rId2802" /><Relationship Type="http://schemas.openxmlformats.org/officeDocument/2006/relationships/hyperlink" Target="https://www.tcgplayer.com/product/277346" TargetMode="External" Id="rId2803" /><Relationship Type="http://schemas.openxmlformats.org/officeDocument/2006/relationships/hyperlink" Target="https://www.pricecharting.com/game/pokemon-lost-origin/elite-trainer-box" TargetMode="External" Id="rId2804" /><Relationship Type="http://schemas.openxmlformats.org/officeDocument/2006/relationships/hyperlink" Target="https://www.tcgplayer.com/product/277335" TargetMode="External" Id="rId2805" /><Relationship Type="http://schemas.openxmlformats.org/officeDocument/2006/relationships/hyperlink" Target="https://www.tcgplayer.com/product/277336" TargetMode="External" Id="rId2806" /><Relationship Type="http://schemas.openxmlformats.org/officeDocument/2006/relationships/hyperlink" Target="https://www.tcgplayer.com/product/278801" TargetMode="External" Id="rId2807" /><Relationship Type="http://schemas.openxmlformats.org/officeDocument/2006/relationships/hyperlink" Target="https://www.tcgplayer.com/product/282000" TargetMode="External" Id="rId2808" /><Relationship Type="http://schemas.openxmlformats.org/officeDocument/2006/relationships/hyperlink" Target="https://www.tcgplayer.com/product/282005" TargetMode="External" Id="rId2809" /><Relationship Type="http://schemas.openxmlformats.org/officeDocument/2006/relationships/hyperlink" Target="https://www.tcgplayer.com/product/282001" TargetMode="External" Id="rId2810" /><Relationship Type="http://schemas.openxmlformats.org/officeDocument/2006/relationships/hyperlink" Target="https://www.tcgplayer.com/product/282405" TargetMode="External" Id="rId2811" /><Relationship Type="http://schemas.openxmlformats.org/officeDocument/2006/relationships/hyperlink" Target="https://www.tcgplayer.com/product/282403" TargetMode="External" Id="rId2812" /><Relationship Type="http://schemas.openxmlformats.org/officeDocument/2006/relationships/hyperlink" Target="https://www.tcgplayer.com/product/282406" TargetMode="External" Id="rId2813" /><Relationship Type="http://schemas.openxmlformats.org/officeDocument/2006/relationships/hyperlink" Target="https://www.tcgplayer.com/product/282401" TargetMode="External" Id="rId2814" /><Relationship Type="http://schemas.openxmlformats.org/officeDocument/2006/relationships/hyperlink" Target="https://www.tcgplayer.com/product/284930" TargetMode="External" Id="rId2815" /><Relationship Type="http://schemas.openxmlformats.org/officeDocument/2006/relationships/hyperlink" Target="https://www.pricecharting.com/game/pokemon-silver-tempest/booster-bundle" TargetMode="External" Id="rId2816" /><Relationship Type="http://schemas.openxmlformats.org/officeDocument/2006/relationships/hyperlink" Target="https://www.tcgplayer.com/product/283396" TargetMode="External" Id="rId2817" /><Relationship Type="http://schemas.openxmlformats.org/officeDocument/2006/relationships/hyperlink" Target="https://www.tcgplayer.com/product/285778" TargetMode="External" Id="rId2818" /><Relationship Type="http://schemas.openxmlformats.org/officeDocument/2006/relationships/hyperlink" Target="https://www.pricecharting.com/game/pokemon-silver-tempest/build-&amp;-battle-box" TargetMode="External" Id="rId2819" /><Relationship Type="http://schemas.openxmlformats.org/officeDocument/2006/relationships/hyperlink" Target="https://www.tcgplayer.com/product/285776" TargetMode="External" Id="rId2820" /><Relationship Type="http://schemas.openxmlformats.org/officeDocument/2006/relationships/hyperlink" Target="https://www.pricecharting.com/game/pokemon-silver-tempest/build-&amp;-battle-stadium" TargetMode="External" Id="rId2821" /><Relationship Type="http://schemas.openxmlformats.org/officeDocument/2006/relationships/hyperlink" Target="https://www.tcgplayer.com/product/285042" TargetMode="External" Id="rId2822" /><Relationship Type="http://schemas.openxmlformats.org/officeDocument/2006/relationships/hyperlink" Target="https://www.pricecharting.com/game/pokemon-silver-tempest/elite-trainer-box" TargetMode="External" Id="rId2823" /><Relationship Type="http://schemas.openxmlformats.org/officeDocument/2006/relationships/hyperlink" Target="https://www.tcgplayer.com/product/283401" TargetMode="External" Id="rId2824" /><Relationship Type="http://schemas.openxmlformats.org/officeDocument/2006/relationships/hyperlink" Target="https://www.tcgplayer.com/product/285860" TargetMode="External" Id="rId2825" /><Relationship Type="http://schemas.openxmlformats.org/officeDocument/2006/relationships/hyperlink" Target="https://www.tcgplayer.com/product/283400" TargetMode="External" Id="rId2826" /><Relationship Type="http://schemas.openxmlformats.org/officeDocument/2006/relationships/hyperlink" Target="https://www.tcgplayer.com/product/454484" TargetMode="External" Id="rId2827" /><Relationship Type="http://schemas.openxmlformats.org/officeDocument/2006/relationships/hyperlink" Target="https://www.pricecharting.com/game/pokemon-crown-zenith/booster-bundle" TargetMode="External" Id="rId2828" /><Relationship Type="http://schemas.openxmlformats.org/officeDocument/2006/relationships/hyperlink" Target="https://www.tcgplayer.com/product/527562" TargetMode="External" Id="rId2829" /><Relationship Type="http://schemas.openxmlformats.org/officeDocument/2006/relationships/hyperlink" Target="https://www.tcgplayer.com/product/453467" TargetMode="External" Id="rId2830" /><Relationship Type="http://schemas.openxmlformats.org/officeDocument/2006/relationships/hyperlink" Target="https://www.tcgplayer.com/product/453474" TargetMode="External" Id="rId2831" /><Relationship Type="http://schemas.openxmlformats.org/officeDocument/2006/relationships/hyperlink" Target="https://www.pricecharting.com/game/pokemon-crown-zenith/elite-trainer-box" TargetMode="External" Id="rId2832" /><Relationship Type="http://schemas.openxmlformats.org/officeDocument/2006/relationships/hyperlink" Target="https://www.tcgplayer.com/product/453470" TargetMode="External" Id="rId2833" /><Relationship Type="http://schemas.openxmlformats.org/officeDocument/2006/relationships/hyperlink" Target="https://www.tcgplayer.com/product/453491" TargetMode="External" Id="rId2834" /><Relationship Type="http://schemas.openxmlformats.org/officeDocument/2006/relationships/hyperlink" Target="https://www.tcgplayer.com/product/453490" TargetMode="External" Id="rId2835" /><Relationship Type="http://schemas.openxmlformats.org/officeDocument/2006/relationships/hyperlink" Target="https://www.tcgplayer.com/product/453489" TargetMode="External" Id="rId2836" /><Relationship Type="http://schemas.openxmlformats.org/officeDocument/2006/relationships/hyperlink" Target="https://www.tcgplayer.com/product/453488" TargetMode="External" Id="rId2837" /><Relationship Type="http://schemas.openxmlformats.org/officeDocument/2006/relationships/hyperlink" Target="https://www.tcgplayer.com/product/453494" TargetMode="External" Id="rId2838" /><Relationship Type="http://schemas.openxmlformats.org/officeDocument/2006/relationships/hyperlink" Target="https://www.tcgplayer.com/product/453492" TargetMode="External" Id="rId2839" /><Relationship Type="http://schemas.openxmlformats.org/officeDocument/2006/relationships/hyperlink" Target="https://www.pricecharting.com/game/pokemon-crown-zenith/pin-collection-cinderace" TargetMode="External" Id="rId2840" /><Relationship Type="http://schemas.openxmlformats.org/officeDocument/2006/relationships/hyperlink" Target="https://www.tcgplayer.com/product/475617" TargetMode="External" Id="rId2841" /><Relationship Type="http://schemas.openxmlformats.org/officeDocument/2006/relationships/hyperlink" Target="https://www.pricecharting.com/game/pokemon-crown-zenith/pin-collection-rillaboom" TargetMode="External" Id="rId2842" /><Relationship Type="http://schemas.openxmlformats.org/officeDocument/2006/relationships/hyperlink" Target="https://www.tcgplayer.com/product/475619" TargetMode="External" Id="rId2843" /><Relationship Type="http://schemas.openxmlformats.org/officeDocument/2006/relationships/hyperlink" Target="https://www.tcgplayer.com/product/475620" TargetMode="External" Id="rId2844" /><Relationship Type="http://schemas.openxmlformats.org/officeDocument/2006/relationships/hyperlink" Target="https://www.tcgplayer.com/product/454246" TargetMode="External" Id="rId2845" /><Relationship Type="http://schemas.openxmlformats.org/officeDocument/2006/relationships/hyperlink" Target="https://www.tcgplayer.com/product/475648" TargetMode="External" Id="rId2846" /><Relationship Type="http://schemas.openxmlformats.org/officeDocument/2006/relationships/hyperlink" Target="https://www.tcgplayer.com/product/475647" TargetMode="External" Id="rId2847" /><Relationship Type="http://schemas.openxmlformats.org/officeDocument/2006/relationships/hyperlink" Target="https://www.tcgplayer.com/product/475646" TargetMode="External" Id="rId2848" /><Relationship Type="http://schemas.openxmlformats.org/officeDocument/2006/relationships/hyperlink" Target="https://www.tcgplayer.com/product/505916" TargetMode="External" Id="rId2849" /><Relationship Type="http://schemas.openxmlformats.org/officeDocument/2006/relationships/hyperlink" Target="https://www.tcgplayer.com/product/475628" TargetMode="External" Id="rId2850" /><Relationship Type="http://schemas.openxmlformats.org/officeDocument/2006/relationships/hyperlink" Target="https://www.tcgplayer.com/product/475631" TargetMode="External" Id="rId2851" /><Relationship Type="http://schemas.openxmlformats.org/officeDocument/2006/relationships/hyperlink" Target="https://www.pricecharting.com/game/pokemon-crown-zenith/crown-zenith-tin-galarian-moltres" TargetMode="External" Id="rId2852" /><Relationship Type="http://schemas.openxmlformats.org/officeDocument/2006/relationships/hyperlink" Target="https://www.tcgplayer.com/product/475629" TargetMode="External" Id="rId2853" /><Relationship Type="http://schemas.openxmlformats.org/officeDocument/2006/relationships/hyperlink" Target="https://www.tcgplayer.com/product/475632" TargetMode="External" Id="rId2854" /><Relationship Type="http://schemas.openxmlformats.org/officeDocument/2006/relationships/hyperlink" Target="https://www.pricecharting.com/game/pokemon-crown-zenith/crown-zenith-tin-galarian-zapdos" TargetMode="External" Id="rId2855" /><Relationship Type="http://schemas.openxmlformats.org/officeDocument/2006/relationships/hyperlink" Target="https://www.tcgplayer.com/product/475630" TargetMode="External" Id="rId2856" /><Relationship Type="http://schemas.openxmlformats.org/officeDocument/2006/relationships/hyperlink" Target="https://www.tcgplayer.com/product/475633" TargetMode="External" Id="rId2857" /><Relationship Type="http://schemas.openxmlformats.org/officeDocument/2006/relationships/hyperlink" Target="https://www.tcgplayer.com/product/475634" TargetMode="External" Id="rId2858" /><Relationship Type="http://schemas.openxmlformats.org/officeDocument/2006/relationships/hyperlink" Target="https://www.tcgplayer.com/product/475635" TargetMode="External" Id="rId2859" /><Relationship Type="http://schemas.openxmlformats.org/officeDocument/2006/relationships/hyperlink" Target="https://www.tcgplayer.com/product/475644" TargetMode="External" Id="rId2860" /><Relationship Type="http://schemas.openxmlformats.org/officeDocument/2006/relationships/hyperlink" Target="https://www.pricecharting.com/game/pokemon-crown-zenith/pikachu-vmax-premium-collection" TargetMode="External" Id="rId2861" /><Relationship Type="http://schemas.openxmlformats.org/officeDocument/2006/relationships/hyperlink" Target="https://www.tcgplayer.com/product/527796" TargetMode="External" Id="rId2862" /><Relationship Type="http://schemas.openxmlformats.org/officeDocument/2006/relationships/hyperlink" Target="https://www.pricecharting.com/game/pokemon-crown-zenith/pikachu-vmax-special-collection" TargetMode="External" Id="rId2863" /><Relationship Type="http://schemas.openxmlformats.org/officeDocument/2006/relationships/hyperlink" Target="https://www.tcgplayer.com/product/454452" TargetMode="External" Id="rId2864" /><Relationship Type="http://schemas.openxmlformats.org/officeDocument/2006/relationships/hyperlink" Target="https://www.tcgplayer.com/product/563307" TargetMode="External" Id="rId2865" /><Relationship Type="http://schemas.openxmlformats.org/officeDocument/2006/relationships/hyperlink" Target="https://www.pricecharting.com/game/pokemon-team-up/3-pack-blister" TargetMode="External" Id="rId2866" /><Relationship Type="http://schemas.openxmlformats.org/officeDocument/2006/relationships/hyperlink" Target="https://www.pricecharting.com/game/pokemon-team-up/build-and-battle-box" TargetMode="External" Id="rId2867" /><Relationship Type="http://schemas.openxmlformats.org/officeDocument/2006/relationships/hyperlink" Target="https://www.pricecharting.com/game/pokemon-team-up/reshiram-&amp;-charizard-gx-premium-collection-box" TargetMode="External" Id="rId2868" /><Relationship Type="http://schemas.openxmlformats.org/officeDocument/2006/relationships/hyperlink" Target="https://www.pricecharting.com/game/pokemon-temporal-forces/elite-trainer-box-iron-leaves-pokemon-center" TargetMode="External" Id="rId2869" /><Relationship Type="http://schemas.openxmlformats.org/officeDocument/2006/relationships/hyperlink" Target="https://www.pricecharting.com/game/pokemon-temporal-forces/elite-trainer-box-iron-leaves" TargetMode="External" Id="rId2870" /><Relationship Type="http://schemas.openxmlformats.org/officeDocument/2006/relationships/hyperlink" Target="https://www.pricecharting.com/game/pokemon-temporal-forces/elite-trainer-box-walking-wake-pokemon-center" TargetMode="External" Id="rId2871" /><Relationship Type="http://schemas.openxmlformats.org/officeDocument/2006/relationships/hyperlink" Target="https://www.pricecharting.com/game/pokemon-trick-or-trade-2022/booster-bundle" TargetMode="External" Id="rId2872" /><Relationship Type="http://schemas.openxmlformats.org/officeDocument/2006/relationships/hyperlink" Target="https://www.pricecharting.com/game/pokemon-trick-or-trade-2022/booster-bundle-120-pack" TargetMode="External" Id="rId2873" /><Relationship Type="http://schemas.openxmlformats.org/officeDocument/2006/relationships/hyperlink" Target="https://www.pricecharting.com/game/pokemon-trick-or-trade-2023/booster-bundle" TargetMode="External" Id="rId2874" /><Relationship Type="http://schemas.openxmlformats.org/officeDocument/2006/relationships/hyperlink" Target="https://www.pricecharting.com/game/pokemon-trick-or-trade-2023/booster-bundle-120" TargetMode="External" Id="rId2875" /><Relationship Type="http://schemas.openxmlformats.org/officeDocument/2006/relationships/hyperlink" Target="https://www.pricecharting.com/game/pokemon-trick-or-trade-2024/booster-bundle" TargetMode="External" Id="rId2876" /><Relationship Type="http://schemas.openxmlformats.org/officeDocument/2006/relationships/hyperlink" Target="https://www.pricecharting.com/game/pokemon-trick-or-trade-2024/booster-bundle-120" TargetMode="External" Id="rId2877" /><Relationship Type="http://schemas.openxmlformats.org/officeDocument/2006/relationships/hyperlink" Target="https://www.tcgplayer.com/product/659627" TargetMode="External" Id="rId2878" /><Relationship Type="http://schemas.openxmlformats.org/officeDocument/2006/relationships/hyperlink" Target="https://www.tcgplayer.com/product/280302" TargetMode="External" Id="rId2879" /><Relationship Type="http://schemas.openxmlformats.org/officeDocument/2006/relationships/hyperlink" Target="https://www.tcgplayer.com/product/280301" TargetMode="External" Id="rId2880" /><Relationship Type="http://schemas.openxmlformats.org/officeDocument/2006/relationships/hyperlink" Target="https://www.tcgplayer.com/product/564134" TargetMode="External" Id="rId2881" /><Relationship Type="http://schemas.openxmlformats.org/officeDocument/2006/relationships/hyperlink" Target="https://www.tcgplayer.com/product/505942" TargetMode="External" Id="rId2882" /><Relationship Type="http://schemas.openxmlformats.org/officeDocument/2006/relationships/hyperlink" Target="https://www.tcgplayer.com/product/505945" TargetMode="External" Id="rId2883" /><Relationship Type="http://schemas.openxmlformats.org/officeDocument/2006/relationships/hyperlink" Target="https://www.tcgplayer.com/product/591211" TargetMode="External" Id="rId2884" /><Relationship Type="http://schemas.openxmlformats.org/officeDocument/2006/relationships/hyperlink" Target="https://www.tcgplayer.com/product/558713" TargetMode="External" Id="rId2885" /><Relationship Type="http://schemas.openxmlformats.org/officeDocument/2006/relationships/hyperlink" Target="https://www.tcgplayer.com/product/566954" TargetMode="External" Id="rId2886" /><Relationship Type="http://schemas.openxmlformats.org/officeDocument/2006/relationships/hyperlink" Target="https://www.tcgplayer.com/product/579930" TargetMode="External" Id="rId2887" /><Relationship Type="http://schemas.openxmlformats.org/officeDocument/2006/relationships/hyperlink" Target="https://www.pricecharting.com/game/pokemon-twilight-masquerade/elite-trainer-box-pokemon-center" TargetMode="External" Id="rId2888" /><Relationship Type="http://schemas.openxmlformats.org/officeDocument/2006/relationships/hyperlink" Target="https://www.pricecharting.com/game/pokemon-twilight-masquerade/masks-of-ogerpon-premium-collection" TargetMode="External" Id="rId2889" /><Relationship Type="http://schemas.openxmlformats.org/officeDocument/2006/relationships/hyperlink" Target="https://www.pricecharting.com/game/pokemon-ultra-prism/dusk-mane-necrozma-prism-tin" TargetMode="External" Id="rId2890" /><Relationship Type="http://schemas.openxmlformats.org/officeDocument/2006/relationships/hyperlink" Target="https://www.pricecharting.com/game/pokemon-ultra-prism/necrozma-prism-tin" TargetMode="External" Id="rId2891" /><Relationship Type="http://schemas.openxmlformats.org/officeDocument/2006/relationships/hyperlink" Target="https://www.pricecharting.com/game/pokemon-unbroken-bonds/3-booster-pack-box" TargetMode="External" Id="rId2892" /><Relationship Type="http://schemas.openxmlformats.org/officeDocument/2006/relationships/hyperlink" Target="https://www.pricecharting.com/game/pokemon-unbroken-bonds/sceptile-3-pack-blister" TargetMode="External" Id="rId2893" /><Relationship Type="http://schemas.openxmlformats.org/officeDocument/2006/relationships/hyperlink" Target="https://www.pricecharting.com/game/pokemon-unbroken-bonds/typhlosion-3-pack-blister" TargetMode="External" Id="rId2894" /><Relationship Type="http://schemas.openxmlformats.org/officeDocument/2006/relationships/hyperlink" Target="https://www.pricecharting.com/game/pokemon-unified-minds/build-&amp;-battle-box-prerelease-kit" TargetMode="External" Id="rId2895" /><Relationship Type="http://schemas.openxmlformats.org/officeDocument/2006/relationships/hyperlink" Target="https://www.pricecharting.com/game/pokemon-unified-minds/hanger-box" TargetMode="External" Id="rId2896" /><Relationship Type="http://schemas.openxmlformats.org/officeDocument/2006/relationships/hyperlink" Target="https://www.pricecharting.com/game/pokemon-vivid-voltage/3-pack-blister" TargetMode="External" Id="rId2897" /><Relationship Type="http://schemas.openxmlformats.org/officeDocument/2006/relationships/hyperlink" Target="https://www.pricecharting.com/game/pokemon-vivid-voltage/galar-sidekicks-premium-collection" TargetMode="External" Id="rId2898" /><Relationship Type="http://schemas.openxmlformats.org/officeDocument/2006/relationships/hyperlink" Target="https://www.pricecharting.com/game/pokemon-white-flare/elite-trainer-box-pokemon-center" TargetMode="External" Id="rId2899" /><Relationship Type="http://schemas.openxmlformats.org/officeDocument/2006/relationships/hyperlink" Target="https://www.pricecharting.com/game/pokemon-white-flare/unova-heavy-hitters-premium-collection" TargetMode="External" Id="rId2900" /><Relationship Type="http://schemas.openxmlformats.org/officeDocument/2006/relationships/hyperlink" Target="https://www.pricecharting.com/game/pokemon-xy/3-pack-blister" TargetMode="External" Id="rId2901" /><Relationship Type="http://schemas.openxmlformats.org/officeDocument/2006/relationships/hyperlink" Target="https://www.pricecharting.com/game/pokemon-xy/ash-greninja-ex-collection-box" TargetMode="External" Id="rId2902" /><Relationship Type="http://schemas.openxmlformats.org/officeDocument/2006/relationships/hyperlink" Target="https://www.pricecharting.com/game/pokemon-xy/elite-trainer-box-xerneas" TargetMode="External" Id="rId2903" /><Relationship Type="http://schemas.openxmlformats.org/officeDocument/2006/relationships/hyperlink" Target="https://www.pricecharting.com/game/pokemon-xy/elite-trainer-box-yveltal" TargetMode="External" Id="rId2904" /><Relationship Type="http://schemas.openxmlformats.org/officeDocument/2006/relationships/hyperlink" Target="https://www.pricecharting.com/game/pokemon-xy/gallade-ex-collection-box" TargetMode="External" Id="rId2905" /><Relationship Type="http://schemas.openxmlformats.org/officeDocument/2006/relationships/hyperlink" Target="https://www.pricecharting.com/game/pokemon-xy/mega-lucario-collection-box" TargetMode="External" Id="rId2906" /><Relationship Type="http://schemas.openxmlformats.org/officeDocument/2006/relationships/hyperlink" Target="https://www.pricecharting.com/game/pokemon-xy/premium-trainer's-xy-collection-box" TargetMode="External" Id="rId2907" /><Relationship Type="http://schemas.openxmlformats.org/officeDocument/2006/relationships/hyperlink" Target="https://www.pricecharting.com/game/pokemon-xy/pyroar-box" TargetMode="External" Id="rId2908" /><Relationship Type="http://schemas.openxmlformats.org/officeDocument/2006/relationships/hyperlink" Target="https://www.pricecharting.com/game/pokemon-xy/rayquaza-ex-box" TargetMode="External" Id="rId2909" /><Relationship Type="http://schemas.openxmlformats.org/officeDocument/2006/relationships/hyperlink" Target="https://www.pricecharting.com/game/pokemon-xy/sealed-knockout-collection" TargetMode="External" Id="rId2910" /><Relationship Type="http://schemas.openxmlformats.org/officeDocument/2006/relationships/hyperlink" Target="https://www.pricecharting.com/game/pokemon-xy/shiny-rayquaza-ex-collection-box" TargetMode="External" Id="rId2911" /><Relationship Type="http://schemas.openxmlformats.org/officeDocument/2006/relationships/hyperlink" Target="https://www.pricecharting.com/game/pokemon-xy/sylveon-collection" TargetMode="External" Id="rId2912" /><Relationship Type="http://schemas.openxmlformats.org/officeDocument/2006/relationships/hyperlink" Target="https://www.pricecharting.com/game/pokemon-ancient-origins/elite-trainer-box" TargetMode="External" Id="rId2913" /><Relationship Type="http://schemas.openxmlformats.org/officeDocument/2006/relationships/hyperlink" Target="https://www.tcgplayer.com/product/100495" TargetMode="External" Id="rId2914" /><Relationship Type="http://schemas.openxmlformats.org/officeDocument/2006/relationships/hyperlink" Target="https://www.tcgplayer.com/product/106213" TargetMode="External" Id="rId2915" /><Relationship Type="http://schemas.openxmlformats.org/officeDocument/2006/relationships/hyperlink" Target="https://www.tcgplayer.com/product/106211" TargetMode="External" Id="rId2916" /><Relationship Type="http://schemas.openxmlformats.org/officeDocument/2006/relationships/hyperlink" Target="https://www.tcgplayer.com/product/103462" TargetMode="External" Id="rId2917" /><Relationship Type="http://schemas.openxmlformats.org/officeDocument/2006/relationships/hyperlink" Target="https://www.tcgplayer.com/product/531444" TargetMode="External" Id="rId2918" /><Relationship Type="http://schemas.openxmlformats.org/officeDocument/2006/relationships/hyperlink" Target="https://www.tcgplayer.com/product/276597" TargetMode="External" Id="rId2919" /><Relationship Type="http://schemas.openxmlformats.org/officeDocument/2006/relationships/hyperlink" Target="https://www.tcgplayer.com/product/117699" TargetMode="External" Id="rId2920" /><Relationship Type="http://schemas.openxmlformats.org/officeDocument/2006/relationships/hyperlink" Target="https://www.tcgplayer.com/product/117698" TargetMode="External" Id="rId2921" /><Relationship Type="http://schemas.openxmlformats.org/officeDocument/2006/relationships/hyperlink" Target="https://www.tcgplayer.com/product/117700" TargetMode="External" Id="rId2922" /><Relationship Type="http://schemas.openxmlformats.org/officeDocument/2006/relationships/hyperlink" Target="https://www.tcgplayer.com/product/111280" TargetMode="External" Id="rId2923" /><Relationship Type="http://schemas.openxmlformats.org/officeDocument/2006/relationships/hyperlink" Target="https://www.tcgplayer.com/product/117278" TargetMode="External" Id="rId2924" /><Relationship Type="http://schemas.openxmlformats.org/officeDocument/2006/relationships/hyperlink" Target="https://www.tcgplayer.com/product/531445" TargetMode="External" Id="rId2925" /><Relationship Type="http://schemas.openxmlformats.org/officeDocument/2006/relationships/hyperlink" Target="https://www.tcgplayer.com/product/276596" TargetMode="External" Id="rId2926" /><Relationship Type="http://schemas.openxmlformats.org/officeDocument/2006/relationships/hyperlink" Target="https://www.tcgplayer.com/product/107108" TargetMode="External" Id="rId2927" /><Relationship Type="http://schemas.openxmlformats.org/officeDocument/2006/relationships/hyperlink" Target="https://www.tcgplayer.com/product/107116" TargetMode="External" Id="rId2928" /><Relationship Type="http://schemas.openxmlformats.org/officeDocument/2006/relationships/hyperlink" Target="https://www.tcgplayer.com/product/107118" TargetMode="External" Id="rId2929" /><Relationship Type="http://schemas.openxmlformats.org/officeDocument/2006/relationships/hyperlink" Target="https://www.tcgplayer.com/product/107109" TargetMode="External" Id="rId2930" /><Relationship Type="http://schemas.openxmlformats.org/officeDocument/2006/relationships/hyperlink" Target="https://www.tcgplayer.com/product/125739" TargetMode="External" Id="rId2931" /><Relationship Type="http://schemas.openxmlformats.org/officeDocument/2006/relationships/hyperlink" Target="https://www.tcgplayer.com/product/126570" TargetMode="External" Id="rId2932" /><Relationship Type="http://schemas.openxmlformats.org/officeDocument/2006/relationships/hyperlink" Target="https://www.tcgplayer.com/product/125731" TargetMode="External" Id="rId2933" /><Relationship Type="http://schemas.openxmlformats.org/officeDocument/2006/relationships/hyperlink" Target="https://www.tcgplayer.com/product/125734" TargetMode="External" Id="rId2934" /><Relationship Type="http://schemas.openxmlformats.org/officeDocument/2006/relationships/hyperlink" Target="https://www.tcgplayer.com/product/272649" TargetMode="External" Id="rId2935" /><Relationship Type="http://schemas.openxmlformats.org/officeDocument/2006/relationships/hyperlink" Target="https://www.tcgplayer.com/product/276600" TargetMode="External" Id="rId2936" /><Relationship Type="http://schemas.openxmlformats.org/officeDocument/2006/relationships/hyperlink" Target="https://www.pricecharting.com/game/pokemon-evolutions/gengar-ex-box" TargetMode="External" Id="rId2937" /><Relationship Type="http://schemas.openxmlformats.org/officeDocument/2006/relationships/hyperlink" Target="https://www.tcgplayer.com/product/125733" TargetMode="External" Id="rId2938" /><Relationship Type="http://schemas.openxmlformats.org/officeDocument/2006/relationships/hyperlink" Target="https://www.tcgplayer.com/product/125732" TargetMode="External" Id="rId2939" /><Relationship Type="http://schemas.openxmlformats.org/officeDocument/2006/relationships/hyperlink" Target="https://www.tcgplayer.com/product/222989" TargetMode="External" Id="rId2940" /><Relationship Type="http://schemas.openxmlformats.org/officeDocument/2006/relationships/hyperlink" Target="https://www.tcgplayer.com/product/222988" TargetMode="External" Id="rId2941" /><Relationship Type="http://schemas.openxmlformats.org/officeDocument/2006/relationships/hyperlink" Target="https://www.tcgplayer.com/product/125563" TargetMode="External" Id="rId2942" /><Relationship Type="http://schemas.openxmlformats.org/officeDocument/2006/relationships/hyperlink" Target="https://www.tcgplayer.com/product/125738" TargetMode="External" Id="rId2943" /><Relationship Type="http://schemas.openxmlformats.org/officeDocument/2006/relationships/hyperlink" Target="https://www.tcgplayer.com/product/125735" TargetMode="External" Id="rId2944" /><Relationship Type="http://schemas.openxmlformats.org/officeDocument/2006/relationships/hyperlink" Target="https://www.pricecharting.com/game/pokemon-evolutions/mythical-collection-magearna" TargetMode="External" Id="rId2945" /><Relationship Type="http://schemas.openxmlformats.org/officeDocument/2006/relationships/hyperlink" Target="https://www.tcgplayer.com/product/127179" TargetMode="External" Id="rId2946" /><Relationship Type="http://schemas.openxmlformats.org/officeDocument/2006/relationships/hyperlink" Target="https://www.tcgplayer.com/product/127180" TargetMode="External" Id="rId2947" /><Relationship Type="http://schemas.openxmlformats.org/officeDocument/2006/relationships/hyperlink" Target="https://www.pricecharting.com/game/pokemon-evolutions/snorlax-gx-box" TargetMode="External" Id="rId2948" /><Relationship Type="http://schemas.openxmlformats.org/officeDocument/2006/relationships/hyperlink" Target="https://www.tcgplayer.com/product/125736" TargetMode="External" Id="rId2949" /><Relationship Type="http://schemas.openxmlformats.org/officeDocument/2006/relationships/hyperlink" Target="https://www.tcgplayer.com/product/123448" TargetMode="External" Id="rId2950" /><Relationship Type="http://schemas.openxmlformats.org/officeDocument/2006/relationships/hyperlink" Target="https://www.tcgplayer.com/product/123447" TargetMode="External" Id="rId2951" /><Relationship Type="http://schemas.openxmlformats.org/officeDocument/2006/relationships/hyperlink" Target="https://www.tcgplayer.com/product/118336" TargetMode="External" Id="rId2952" /><Relationship Type="http://schemas.openxmlformats.org/officeDocument/2006/relationships/hyperlink" Target="https://www.pricecharting.com/game/pokemon-fates-collide/elite-trainer-box" TargetMode="External" Id="rId2953" /><Relationship Type="http://schemas.openxmlformats.org/officeDocument/2006/relationships/hyperlink" Target="https://www.tcgplayer.com/product/118331" TargetMode="External" Id="rId2954" /><Relationship Type="http://schemas.openxmlformats.org/officeDocument/2006/relationships/hyperlink" Target="https://www.tcgplayer.com/product/118334" TargetMode="External" Id="rId2955" /><Relationship Type="http://schemas.openxmlformats.org/officeDocument/2006/relationships/hyperlink" Target="https://www.tcgplayer.com/product/276598" TargetMode="External" Id="rId2956" /><Relationship Type="http://schemas.openxmlformats.org/officeDocument/2006/relationships/hyperlink" Target="https://www.tcgplayer.com/product/118335" TargetMode="External" Id="rId2957" /><Relationship Type="http://schemas.openxmlformats.org/officeDocument/2006/relationships/hyperlink" Target="https://www.tcgplayer.com/product/121394" TargetMode="External" Id="rId2958" /><Relationship Type="http://schemas.openxmlformats.org/officeDocument/2006/relationships/hyperlink" Target="https://www.tcgplayer.com/product/121395" TargetMode="External" Id="rId2959" /><Relationship Type="http://schemas.openxmlformats.org/officeDocument/2006/relationships/hyperlink" Target="https://www.tcgplayer.com/product/121396" TargetMode="External" Id="rId2960" /><Relationship Type="http://schemas.openxmlformats.org/officeDocument/2006/relationships/hyperlink" Target="https://www.tcgplayer.com/product/121391" TargetMode="External" Id="rId2961" /><Relationship Type="http://schemas.openxmlformats.org/officeDocument/2006/relationships/hyperlink" Target="https://www.tcgplayer.com/product/91612" TargetMode="External" Id="rId2962" /><Relationship Type="http://schemas.openxmlformats.org/officeDocument/2006/relationships/hyperlink" Target="https://www.tcgplayer.com/product/276590" TargetMode="External" Id="rId2963" /><Relationship Type="http://schemas.openxmlformats.org/officeDocument/2006/relationships/hyperlink" Target="https://www.pricecharting.com/game/pokemon-flashfire/kalos-power-tin-chesnaught-ex" TargetMode="External" Id="rId2964" /><Relationship Type="http://schemas.openxmlformats.org/officeDocument/2006/relationships/hyperlink" Target="https://www.tcgplayer.com/product/91605" TargetMode="External" Id="rId2965" /><Relationship Type="http://schemas.openxmlformats.org/officeDocument/2006/relationships/hyperlink" Target="https://www.pricecharting.com/game/pokemon-flashfire/kalos-power-tin-greninja" TargetMode="External" Id="rId2966" /><Relationship Type="http://schemas.openxmlformats.org/officeDocument/2006/relationships/hyperlink" Target="https://www.tcgplayer.com/product/91607" TargetMode="External" Id="rId2967" /><Relationship Type="http://schemas.openxmlformats.org/officeDocument/2006/relationships/hyperlink" Target="https://www.pricecharting.com/game/pokemon-flashfire/krookodile-ex-box" TargetMode="External" Id="rId2968" /><Relationship Type="http://schemas.openxmlformats.org/officeDocument/2006/relationships/hyperlink" Target="https://www.tcgplayer.com/product/97742" TargetMode="External" Id="rId2969" /><Relationship Type="http://schemas.openxmlformats.org/officeDocument/2006/relationships/hyperlink" Target="https://www.tcgplayer.com/product/97741" TargetMode="External" Id="rId2970" /><Relationship Type="http://schemas.openxmlformats.org/officeDocument/2006/relationships/hyperlink" Target="https://www.pricecharting.com/game/pokemon-furious-fists/ex-power-trio-tin-blastoise-ex" TargetMode="External" Id="rId2971" /><Relationship Type="http://schemas.openxmlformats.org/officeDocument/2006/relationships/hyperlink" Target="https://www.tcgplayer.com/product/97778" TargetMode="External" Id="rId2972" /><Relationship Type="http://schemas.openxmlformats.org/officeDocument/2006/relationships/hyperlink" Target="https://www.pricecharting.com/game/pokemon-furious-fists/ex-power-trio-tin-charizard-ex" TargetMode="External" Id="rId2973" /><Relationship Type="http://schemas.openxmlformats.org/officeDocument/2006/relationships/hyperlink" Target="https://www.tcgplayer.com/product/97777" TargetMode="External" Id="rId2974" /><Relationship Type="http://schemas.openxmlformats.org/officeDocument/2006/relationships/hyperlink" Target="https://www.tcgplayer.com/product/97776" TargetMode="External" Id="rId2975" /><Relationship Type="http://schemas.openxmlformats.org/officeDocument/2006/relationships/hyperlink" Target="https://www.pricecharting.com/game/pokemon-furious-fists/elite-trainer-box" TargetMode="External" Id="rId2976" /><Relationship Type="http://schemas.openxmlformats.org/officeDocument/2006/relationships/hyperlink" Target="https://www.tcgplayer.com/product/95284" TargetMode="External" Id="rId2977" /><Relationship Type="http://schemas.openxmlformats.org/officeDocument/2006/relationships/hyperlink" Target="https://www.tcgplayer.com/product/276591" TargetMode="External" Id="rId2978" /><Relationship Type="http://schemas.openxmlformats.org/officeDocument/2006/relationships/hyperlink" Target="https://www.tcgplayer.com/product/97767" TargetMode="External" Id="rId2979" /><Relationship Type="http://schemas.openxmlformats.org/officeDocument/2006/relationships/hyperlink" Target="https://www.tcgplayer.com/product/97794" TargetMode="External" Id="rId2980" /><Relationship Type="http://schemas.openxmlformats.org/officeDocument/2006/relationships/hyperlink" Target="https://www.tcgplayer.com/product/97793" TargetMode="External" Id="rId2981" /><Relationship Type="http://schemas.openxmlformats.org/officeDocument/2006/relationships/hyperlink" Target="https://www.pricecharting.com/game/pokemon-phantom-forces/elite-trainer-box" TargetMode="External" Id="rId2982" /><Relationship Type="http://schemas.openxmlformats.org/officeDocument/2006/relationships/hyperlink" Target="https://www.tcgplayer.com/product/97786" TargetMode="External" Id="rId2983" /><Relationship Type="http://schemas.openxmlformats.org/officeDocument/2006/relationships/hyperlink" Target="https://www.pricecharting.com/game/pokemon-primal-clash/elite-trainer-box-groudon" TargetMode="External" Id="rId2984" /><Relationship Type="http://schemas.openxmlformats.org/officeDocument/2006/relationships/hyperlink" Target="https://www.tcgplayer.com/product/97762" TargetMode="External" Id="rId2985" /><Relationship Type="http://schemas.openxmlformats.org/officeDocument/2006/relationships/hyperlink" Target="https://www.pricecharting.com/game/pokemon-primal-clash/elite-trainer-box-kyogre" TargetMode="External" Id="rId2986" /><Relationship Type="http://schemas.openxmlformats.org/officeDocument/2006/relationships/hyperlink" Target="https://www.tcgplayer.com/product/97763" TargetMode="External" Id="rId2987" /><Relationship Type="http://schemas.openxmlformats.org/officeDocument/2006/relationships/hyperlink" Target="https://www.tcgplayer.com/product/97757" TargetMode="External" Id="rId2988" /><Relationship Type="http://schemas.openxmlformats.org/officeDocument/2006/relationships/hyperlink" Target="https://www.tcgplayer.com/product/97756" TargetMode="External" Id="rId2989" /><Relationship Type="http://schemas.openxmlformats.org/officeDocument/2006/relationships/hyperlink" Target="https://www.tcgplayer.com/product/276593" TargetMode="External" Id="rId2990" /><Relationship Type="http://schemas.openxmlformats.org/officeDocument/2006/relationships/hyperlink" Target="https://www.tcgplayer.com/product/100497" TargetMode="External" Id="rId2991" /><Relationship Type="http://schemas.openxmlformats.org/officeDocument/2006/relationships/hyperlink" Target="https://www.tcgplayer.com/product/100502" TargetMode="External" Id="rId2992" /><Relationship Type="http://schemas.openxmlformats.org/officeDocument/2006/relationships/hyperlink" Target="https://www.tcgplayer.com/product/100499" TargetMode="External" Id="rId2993" /><Relationship Type="http://schemas.openxmlformats.org/officeDocument/2006/relationships/hyperlink" Target="https://www.tcgplayer.com/product/276594" TargetMode="External" Id="rId2994" /><Relationship Type="http://schemas.openxmlformats.org/officeDocument/2006/relationships/hyperlink" Target="https://www.tcgplayer.com/product/98028" TargetMode="External" Id="rId2995" /><Relationship Type="http://schemas.openxmlformats.org/officeDocument/2006/relationships/hyperlink" Target="https://www.tcgplayer.com/product/123440" TargetMode="External" Id="rId2996" /><Relationship Type="http://schemas.openxmlformats.org/officeDocument/2006/relationships/hyperlink" Target="https://www.tcgplayer.com/product/123441" TargetMode="External" Id="rId2997" /><Relationship Type="http://schemas.openxmlformats.org/officeDocument/2006/relationships/hyperlink" Target="https://www.tcgplayer.com/product/123442" TargetMode="External" Id="rId2998" /><Relationship Type="http://schemas.openxmlformats.org/officeDocument/2006/relationships/hyperlink" Target="https://www.tcgplayer.com/product/693146" TargetMode="External" Id="rId2999" /><Relationship Type="http://schemas.openxmlformats.org/officeDocument/2006/relationships/hyperlink" Target="https://www.tcgplayer.com/product/177529" TargetMode="External" Id="rId3000" /><Relationship Type="http://schemas.openxmlformats.org/officeDocument/2006/relationships/hyperlink" Target="https://www.tcgplayer.com/product/120697" TargetMode="External" Id="rId3001" /><Relationship Type="http://schemas.openxmlformats.org/officeDocument/2006/relationships/hyperlink" Target="https://www.tcgplayer.com/product/121393" TargetMode="External" Id="rId3002" /><Relationship Type="http://schemas.openxmlformats.org/officeDocument/2006/relationships/hyperlink" Target="https://www.tcgplayer.com/product/276599" TargetMode="External" Id="rId3003" /><Relationship Type="http://schemas.openxmlformats.org/officeDocument/2006/relationships/hyperlink" Target="https://www.tcgplayer.com/product/97729" TargetMode="External" Id="rId3004" /><Relationship Type="http://schemas.openxmlformats.org/officeDocument/2006/relationships/hyperlink" Target="https://www.tcgplayer.com/product/97726" TargetMode="External" Id="rId3005" /><Relationship Type="http://schemas.openxmlformats.org/officeDocument/2006/relationships/hyperlink" Target="https://www.tcgplayer.com/product/97727" TargetMode="External" Id="rId3006" /><Relationship Type="http://schemas.openxmlformats.org/officeDocument/2006/relationships/hyperlink" Target="https://www.tcgplayer.com/product/91598" TargetMode="External" Id="rId3007" /><Relationship Type="http://schemas.openxmlformats.org/officeDocument/2006/relationships/hyperlink" Target="https://www.tcgplayer.com/product/276589" TargetMode="External" Id="rId3008" /><Relationship Type="http://schemas.openxmlformats.org/officeDocument/2006/relationships/hyperlink" Target="https://www.pricecharting.com/game/pokemon-1999-topps-movie/first-movie-booster-pack" TargetMode="External" Id="rId3009" /><Relationship Type="http://schemas.openxmlformats.org/officeDocument/2006/relationships/hyperlink" Target="https://www.pricecharting.com/game/pokemon-1999-topps-tv/booster-pack-series-2" TargetMode="External" Id="rId3010" /><Relationship Type="http://schemas.openxmlformats.org/officeDocument/2006/relationships/hyperlink" Target="https://www.pricecharting.com/game/pokemon-1999-topps-tv/booster-pack-series-1-blue-logo" TargetMode="External" Id="rId3011" /><Relationship Type="http://schemas.openxmlformats.org/officeDocument/2006/relationships/hyperlink" Target="https://www.pricecharting.com/game/pokemon-2000-topps-chrome/booster-pack" TargetMode="External" Id="rId3012" /><Relationship Type="http://schemas.openxmlformats.org/officeDocument/2006/relationships/hyperlink" Target="https://www.pricecharting.com/game/pokemon-2000-topps-chrome/booster-pack-series-2" TargetMode="External" Id="rId3013" /><Relationship Type="http://schemas.openxmlformats.org/officeDocument/2006/relationships/hyperlink" Target="https://www.pricecharting.com/game/pokemon-2000-topps-tv/booster-pack-series-3" TargetMode="External" Id="rId3014" /><Relationship Type="http://schemas.openxmlformats.org/officeDocument/2006/relationships/hyperlink" Target="https://www.pricecharting.com/game/pokemon-ancient-origins/booster-pack" TargetMode="External" Id="rId3015" /><Relationship Type="http://schemas.openxmlformats.org/officeDocument/2006/relationships/hyperlink" Target="https://www.pricecharting.com/game/pokemon-ancient-origins/mini-booster-pack" TargetMode="External" Id="rId3016" /><Relationship Type="http://schemas.openxmlformats.org/officeDocument/2006/relationships/hyperlink" Target="https://www.pricecharting.com/game/pokemon-aquapolis/blister-pack" TargetMode="External" Id="rId3017" /><Relationship Type="http://schemas.openxmlformats.org/officeDocument/2006/relationships/hyperlink" Target="https://www.pricecharting.com/game/pokemon-aquapolis/booster-pack" TargetMode="External" Id="rId3018" /><Relationship Type="http://schemas.openxmlformats.org/officeDocument/2006/relationships/hyperlink" Target="https://www.tcgplayer.com/product/138152" TargetMode="External" Id="rId3019" /><Relationship Type="http://schemas.openxmlformats.org/officeDocument/2006/relationships/hyperlink" Target="https://www.pricecharting.com/game/pokemon-arceus/blister-pack" TargetMode="External" Id="rId3020" /><Relationship Type="http://schemas.openxmlformats.org/officeDocument/2006/relationships/hyperlink" Target="https://www.tcgplayer.com/product/617025" TargetMode="External" Id="rId3021" /><Relationship Type="http://schemas.openxmlformats.org/officeDocument/2006/relationships/hyperlink" Target="https://www.pricecharting.com/game/pokemon-arceus/booster-pack" TargetMode="External" Id="rId3022" /><Relationship Type="http://schemas.openxmlformats.org/officeDocument/2006/relationships/hyperlink" Target="https://www.tcgplayer.com/product/98594" TargetMode="External" Id="rId3023" /><Relationship Type="http://schemas.openxmlformats.org/officeDocument/2006/relationships/hyperlink" Target="https://www.pricecharting.com/game/pokemon-astral-radiance/feraligatr-premium-checklane-blister" TargetMode="External" Id="rId3024" /><Relationship Type="http://schemas.openxmlformats.org/officeDocument/2006/relationships/hyperlink" Target="https://www.pricecharting.com/game/pokemon-astral-radiance/swampert-premium-checklane-blister" TargetMode="External" Id="rId3025" /><Relationship Type="http://schemas.openxmlformats.org/officeDocument/2006/relationships/hyperlink" Target="https://www.pricecharting.com/game/pokemon-base-set/blister-pack" TargetMode="External" Id="rId3026" /><Relationship Type="http://schemas.openxmlformats.org/officeDocument/2006/relationships/hyperlink" Target="https://www.pricecharting.com/game/pokemon-base-set/blister-pack-1st-edition" TargetMode="External" Id="rId3027" /><Relationship Type="http://schemas.openxmlformats.org/officeDocument/2006/relationships/hyperlink" Target="https://www.pricecharting.com/game/pokemon-base-set/blister-pack-shadowless" TargetMode="External" Id="rId3028" /><Relationship Type="http://schemas.openxmlformats.org/officeDocument/2006/relationships/hyperlink" Target="https://www.pricecharting.com/game/pokemon-base-set/booster-pack" TargetMode="External" Id="rId3029" /><Relationship Type="http://schemas.openxmlformats.org/officeDocument/2006/relationships/hyperlink" Target="https://www.pricecharting.com/game/pokemon-base-set/booster-pack-1st-edition" TargetMode="External" Id="rId3030" /><Relationship Type="http://schemas.openxmlformats.org/officeDocument/2006/relationships/hyperlink" Target="https://www.tcgplayer.com/product/138130" TargetMode="External" Id="rId3031" /><Relationship Type="http://schemas.openxmlformats.org/officeDocument/2006/relationships/hyperlink" Target="https://www.pricecharting.com/game/pokemon-base-set/booster-pack-shadowless" TargetMode="External" Id="rId3032" /><Relationship Type="http://schemas.openxmlformats.org/officeDocument/2006/relationships/hyperlink" Target="https://www.pricecharting.com/game/pokemon-base-set/booster-pack-triangle-error" TargetMode="External" Id="rId3033" /><Relationship Type="http://schemas.openxmlformats.org/officeDocument/2006/relationships/hyperlink" Target="https://www.pricecharting.com/game/pokemon-base-set/plastic-pack-demo-game" TargetMode="External" Id="rId3034" /><Relationship Type="http://schemas.openxmlformats.org/officeDocument/2006/relationships/hyperlink" Target="https://www.tcgplayer.com/product/138132" TargetMode="External" Id="rId3035" /><Relationship Type="http://schemas.openxmlformats.org/officeDocument/2006/relationships/hyperlink" Target="https://www.tcgplayer.com/product/138131" TargetMode="External" Id="rId3036" /><Relationship Type="http://schemas.openxmlformats.org/officeDocument/2006/relationships/hyperlink" Target="https://www.pricecharting.com/game/pokemon-base-set-2/booster-pack" TargetMode="External" Id="rId3037" /><Relationship Type="http://schemas.openxmlformats.org/officeDocument/2006/relationships/hyperlink" Target="https://www.tcgplayer.com/product/138149" TargetMode="External" Id="rId3038" /><Relationship Type="http://schemas.openxmlformats.org/officeDocument/2006/relationships/hyperlink" Target="https://www.pricecharting.com/game/pokemon-battle-styles/blister-pack" TargetMode="External" Id="rId3039" /><Relationship Type="http://schemas.openxmlformats.org/officeDocument/2006/relationships/hyperlink" Target="https://www.tcgplayer.com/product/647775" TargetMode="External" Id="rId3040" /><Relationship Type="http://schemas.openxmlformats.org/officeDocument/2006/relationships/hyperlink" Target="https://www.pricecharting.com/game/pokemon-boundaries-crossed/blister-pack" TargetMode="External" Id="rId3041" /><Relationship Type="http://schemas.openxmlformats.org/officeDocument/2006/relationships/hyperlink" Target="https://www.pricecharting.com/game/pokemon-boundaries-crossed/booster-pack" TargetMode="External" Id="rId3042" /><Relationship Type="http://schemas.openxmlformats.org/officeDocument/2006/relationships/hyperlink" Target="https://www.tcgplayer.com/product/98554" TargetMode="External" Id="rId3043" /><Relationship Type="http://schemas.openxmlformats.org/officeDocument/2006/relationships/hyperlink" Target="https://www.pricecharting.com/game/pokemon-breakpoint/3-card-pack" TargetMode="External" Id="rId3044" /><Relationship Type="http://schemas.openxmlformats.org/officeDocument/2006/relationships/hyperlink" Target="https://www.pricecharting.com/game/pokemon-breakpoint/blister-pack-pikachu" TargetMode="External" Id="rId3045" /><Relationship Type="http://schemas.openxmlformats.org/officeDocument/2006/relationships/hyperlink" Target="https://www.pricecharting.com/game/pokemon-breakpoint/booster-pack" TargetMode="External" Id="rId3046" /><Relationship Type="http://schemas.openxmlformats.org/officeDocument/2006/relationships/hyperlink" Target="https://www.pricecharting.com/game/pokemon-breakpoint/sleeved-booster-pack" TargetMode="External" Id="rId3047" /><Relationship Type="http://schemas.openxmlformats.org/officeDocument/2006/relationships/hyperlink" Target="https://www.pricecharting.com/game/pokemon-breakthrough/sealed-booster-pack" TargetMode="External" Id="rId3048" /><Relationship Type="http://schemas.openxmlformats.org/officeDocument/2006/relationships/hyperlink" Target="https://www.pricecharting.com/game/pokemon-brilliant-stars/salamence-premium-checklane-blister" TargetMode="External" Id="rId3049" /><Relationship Type="http://schemas.openxmlformats.org/officeDocument/2006/relationships/hyperlink" Target="https://www.pricecharting.com/game/pokemon-burning-shadows/blister-pack" TargetMode="External" Id="rId3050" /><Relationship Type="http://schemas.openxmlformats.org/officeDocument/2006/relationships/hyperlink" Target="https://www.pricecharting.com/game/pokemon-call-of-legends/blister-pack" TargetMode="External" Id="rId3051" /><Relationship Type="http://schemas.openxmlformats.org/officeDocument/2006/relationships/hyperlink" Target="https://www.pricecharting.com/game/pokemon-call-of-legends/booster-pack" TargetMode="External" Id="rId3052" /><Relationship Type="http://schemas.openxmlformats.org/officeDocument/2006/relationships/hyperlink" Target="https://www.tcgplayer.com/product/98515" TargetMode="External" Id="rId3053" /><Relationship Type="http://schemas.openxmlformats.org/officeDocument/2006/relationships/hyperlink" Target="https://www.pricecharting.com/game/pokemon-celebrations/booster-pack" TargetMode="External" Id="rId3054" /><Relationship Type="http://schemas.openxmlformats.org/officeDocument/2006/relationships/hyperlink" Target="https://www.tcgplayer.com/product/248577" TargetMode="External" Id="rId3055" /><Relationship Type="http://schemas.openxmlformats.org/officeDocument/2006/relationships/hyperlink" Target="https://www.pricecharting.com/game/pokemon-celebrations/booster-pack-general-mills" TargetMode="External" Id="rId3056" /><Relationship Type="http://schemas.openxmlformats.org/officeDocument/2006/relationships/hyperlink" Target="https://www.pricecharting.com/game/pokemon-celebrations/first-partner-pack-alola" TargetMode="External" Id="rId3057" /><Relationship Type="http://schemas.openxmlformats.org/officeDocument/2006/relationships/hyperlink" Target="https://www.pricecharting.com/game/pokemon-celebrations/first-partner-pack-galar" TargetMode="External" Id="rId3058" /><Relationship Type="http://schemas.openxmlformats.org/officeDocument/2006/relationships/hyperlink" Target="https://www.pricecharting.com/game/pokemon-celebrations/first-partner-pack-hoenn" TargetMode="External" Id="rId3059" /><Relationship Type="http://schemas.openxmlformats.org/officeDocument/2006/relationships/hyperlink" Target="https://www.pricecharting.com/game/pokemon-celebrations/first-partner-pack-johto" TargetMode="External" Id="rId3060" /><Relationship Type="http://schemas.openxmlformats.org/officeDocument/2006/relationships/hyperlink" Target="https://www.pricecharting.com/game/pokemon-celebrations/first-partner-pack-kalos" TargetMode="External" Id="rId3061" /><Relationship Type="http://schemas.openxmlformats.org/officeDocument/2006/relationships/hyperlink" Target="https://www.pricecharting.com/game/pokemon-celebrations/first-partner-pack-kanto" TargetMode="External" Id="rId3062" /><Relationship Type="http://schemas.openxmlformats.org/officeDocument/2006/relationships/hyperlink" Target="https://www.pricecharting.com/game/pokemon-celebrations/first-partner-pack-sinnoh" TargetMode="External" Id="rId3063" /><Relationship Type="http://schemas.openxmlformats.org/officeDocument/2006/relationships/hyperlink" Target="https://www.pricecharting.com/game/pokemon-celebrations/first-partner-pack-unova" TargetMode="External" Id="rId3064" /><Relationship Type="http://schemas.openxmlformats.org/officeDocument/2006/relationships/hyperlink" Target="https://www.pricecharting.com/game/pokemon-celestial-storm/mini-booster-pack" TargetMode="External" Id="rId3065" /><Relationship Type="http://schemas.openxmlformats.org/officeDocument/2006/relationships/hyperlink" Target="https://www.tcgplayer.com/product/218789" TargetMode="External" Id="rId3066" /><Relationship Type="http://schemas.openxmlformats.org/officeDocument/2006/relationships/hyperlink" Target="https://www.pricecharting.com/game/pokemon-chaos-rising/3-pack-blister-charmeleon" TargetMode="External" Id="rId3067" /><Relationship Type="http://schemas.openxmlformats.org/officeDocument/2006/relationships/hyperlink" Target="https://www.pricecharting.com/game/pokemon-chaos-rising/booster-pack" TargetMode="External" Id="rId3068" /><Relationship Type="http://schemas.openxmlformats.org/officeDocument/2006/relationships/hyperlink" Target="https://www.pricecharting.com/game/pokemon-chaos-rising/checklane-blister-reshiram" TargetMode="External" Id="rId3069" /><Relationship Type="http://schemas.openxmlformats.org/officeDocument/2006/relationships/hyperlink" Target="https://www.pricecharting.com/game/pokemon-chaos-rising/checklane-blister-zacian" TargetMode="External" Id="rId3070" /><Relationship Type="http://schemas.openxmlformats.org/officeDocument/2006/relationships/hyperlink" Target="https://www.pricecharting.com/game/pokemon-chaos-rising/premium-checklane-blister-flygon" TargetMode="External" Id="rId3071" /><Relationship Type="http://schemas.openxmlformats.org/officeDocument/2006/relationships/hyperlink" Target="https://www.pricecharting.com/game/pokemon-chaos-rising/premium-checklane-blister-pawmot" TargetMode="External" Id="rId3072" /><Relationship Type="http://schemas.openxmlformats.org/officeDocument/2006/relationships/hyperlink" Target="https://www.pricecharting.com/game/pokemon-chaos-rising/single-pack-blister-toxel" TargetMode="External" Id="rId3073" /><Relationship Type="http://schemas.openxmlformats.org/officeDocument/2006/relationships/hyperlink" Target="https://www.pricecharting.com/game/pokemon-chaos-rising/sleeved-booster-pack" TargetMode="External" Id="rId3074" /><Relationship Type="http://schemas.openxmlformats.org/officeDocument/2006/relationships/hyperlink" Target="https://www.pricecharting.com/game/pokemon-chilling-reign/2-pack-blister" TargetMode="External" Id="rId3075" /><Relationship Type="http://schemas.openxmlformats.org/officeDocument/2006/relationships/hyperlink" Target="https://www.pricecharting.com/game/pokemon-chinese-151-collect/booster-pack" TargetMode="External" Id="rId3076" /><Relationship Type="http://schemas.openxmlformats.org/officeDocument/2006/relationships/hyperlink" Target="https://www.pricecharting.com/game/pokemon-chinese-151-collect/booster-pack-surprise" TargetMode="External" Id="rId3077" /><Relationship Type="http://schemas.openxmlformats.org/officeDocument/2006/relationships/hyperlink" Target="https://www.pricecharting.com/game/pokemon-chinese-csv4c/booster-pack-slim" TargetMode="External" Id="rId3078" /><Relationship Type="http://schemas.openxmlformats.org/officeDocument/2006/relationships/hyperlink" Target="https://www.pricecharting.com/game/pokemon-chinese-csv5c/booster-pack" TargetMode="External" Id="rId3079" /><Relationship Type="http://schemas.openxmlformats.org/officeDocument/2006/relationships/hyperlink" Target="https://www.pricecharting.com/game/pokemon-chinese-csv6c/booster-pack" TargetMode="External" Id="rId3080" /><Relationship Type="http://schemas.openxmlformats.org/officeDocument/2006/relationships/hyperlink" Target="https://www.pricecharting.com/game/pokemon-chinese-csv8c/booster-pack" TargetMode="External" Id="rId3081" /><Relationship Type="http://schemas.openxmlformats.org/officeDocument/2006/relationships/hyperlink" Target="https://www.pricecharting.com/game/pokemon-chinese-csv9c/booster-pack" TargetMode="External" Id="rId3082" /><Relationship Type="http://schemas.openxmlformats.org/officeDocument/2006/relationships/hyperlink" Target="https://www.pricecharting.com/game/pokemon-chinese-gem-pack/sealed-booster-pack" TargetMode="External" Id="rId3083" /><Relationship Type="http://schemas.openxmlformats.org/officeDocument/2006/relationships/hyperlink" Target="https://www.pricecharting.com/game/pokemon-chinese-gem-pack-2/booster-pack" TargetMode="External" Id="rId3084" /><Relationship Type="http://schemas.openxmlformats.org/officeDocument/2006/relationships/hyperlink" Target="https://www.pricecharting.com/game/pokemon-chinese-gem-pack-3/booster-pack" TargetMode="External" Id="rId3085" /><Relationship Type="http://schemas.openxmlformats.org/officeDocument/2006/relationships/hyperlink" Target="https://www.pricecharting.com/game/pokemon-chinese-gem-pack-4/booster-pack" TargetMode="External" Id="rId3086" /><Relationship Type="http://schemas.openxmlformats.org/officeDocument/2006/relationships/hyperlink" Target="https://www.pricecharting.com/game/pokemon-chinese-gem-pack-5/booster-pack" TargetMode="External" Id="rId3087" /><Relationship Type="http://schemas.openxmlformats.org/officeDocument/2006/relationships/hyperlink" Target="https://www.pricecharting.com/game/pokemon-chinese-gem-pack-6/booster-pack" TargetMode="External" Id="rId3088" /><Relationship Type="http://schemas.openxmlformats.org/officeDocument/2006/relationships/hyperlink" Target="https://www.pricecharting.com/game/pokemon-chinese-promo/2024-lunar-new-year-red-pack" TargetMode="External" Id="rId3089" /><Relationship Type="http://schemas.openxmlformats.org/officeDocument/2006/relationships/hyperlink" Target="https://www.pricecharting.com/game/pokemon-chinese-promo/pizza-hut-promo-pack" TargetMode="External" Id="rId3090" /><Relationship Type="http://schemas.openxmlformats.org/officeDocument/2006/relationships/hyperlink" Target="https://www.pricecharting.com/game/pokemon-chinese-promo/pokemon-center-taipei-foil-pack" TargetMode="External" Id="rId3091" /><Relationship Type="http://schemas.openxmlformats.org/officeDocument/2006/relationships/hyperlink" Target="https://www.pricecharting.com/game/pokemon-chinese-promo/pokemon-taiwan-familymart-promo-pack" TargetMode="External" Id="rId3092" /><Relationship Type="http://schemas.openxmlformats.org/officeDocument/2006/relationships/hyperlink" Target="https://www.pricecharting.com/game/pokemon-cosmic-eclipse/blister-pack" TargetMode="External" Id="rId3093" /><Relationship Type="http://schemas.openxmlformats.org/officeDocument/2006/relationships/hyperlink" Target="https://www.pricecharting.com/game/pokemon-cosmic-eclipse/mini-booster-pack" TargetMode="External" Id="rId3094" /><Relationship Type="http://schemas.openxmlformats.org/officeDocument/2006/relationships/hyperlink" Target="https://www.pricecharting.com/game/pokemon-cosmic-eclipse/sleeved-booster-pack" TargetMode="External" Id="rId3095" /><Relationship Type="http://schemas.openxmlformats.org/officeDocument/2006/relationships/hyperlink" Target="https://www.pricecharting.com/game/pokemon-crystal-guardians/blister-pack" TargetMode="External" Id="rId3096" /><Relationship Type="http://schemas.openxmlformats.org/officeDocument/2006/relationships/hyperlink" Target="https://www.pricecharting.com/game/pokemon-dark-explorers/blister-pack" TargetMode="External" Id="rId3097" /><Relationship Type="http://schemas.openxmlformats.org/officeDocument/2006/relationships/hyperlink" Target="https://www.pricecharting.com/game/pokemon-dark-explorers/booster-pack" TargetMode="External" Id="rId3098" /><Relationship Type="http://schemas.openxmlformats.org/officeDocument/2006/relationships/hyperlink" Target="https://www.tcgplayer.com/product/98521" TargetMode="External" Id="rId3099" /><Relationship Type="http://schemas.openxmlformats.org/officeDocument/2006/relationships/hyperlink" Target="https://www.pricecharting.com/game/pokemon-dark-explorers/sampling-pack" TargetMode="External" Id="rId3100" /><Relationship Type="http://schemas.openxmlformats.org/officeDocument/2006/relationships/hyperlink" Target="https://www.tcgplayer.com/product/647766" TargetMode="External" Id="rId3101" /><Relationship Type="http://schemas.openxmlformats.org/officeDocument/2006/relationships/hyperlink" Target="https://www.pricecharting.com/game/pokemon-darkness-ablaze/2-pack-blister" TargetMode="External" Id="rId3102" /><Relationship Type="http://schemas.openxmlformats.org/officeDocument/2006/relationships/hyperlink" Target="https://www.pricecharting.com/game/pokemon-darkness-ablaze/checklane-blister-pikachu" TargetMode="External" Id="rId3103" /><Relationship Type="http://schemas.openxmlformats.org/officeDocument/2006/relationships/hyperlink" Target="https://www.pricecharting.com/game/pokemon-delta-species/blister-pack" TargetMode="External" Id="rId3104" /><Relationship Type="http://schemas.openxmlformats.org/officeDocument/2006/relationships/hyperlink" Target="https://www.pricecharting.com/game/pokemon-destined-rivals/blister-pack-eevee" TargetMode="External" Id="rId3105" /><Relationship Type="http://schemas.openxmlformats.org/officeDocument/2006/relationships/hyperlink" Target="https://www.pricecharting.com/game/pokemon-destined-rivals/blister-pack-zarude" TargetMode="External" Id="rId3106" /><Relationship Type="http://schemas.openxmlformats.org/officeDocument/2006/relationships/hyperlink" Target="https://www.pricecharting.com/game/pokemon-detective-pikachu/booster-pack" TargetMode="External" Id="rId3107" /><Relationship Type="http://schemas.openxmlformats.org/officeDocument/2006/relationships/hyperlink" Target="https://www.tcgplayer.com/product/187239" TargetMode="External" Id="rId3108" /><Relationship Type="http://schemas.openxmlformats.org/officeDocument/2006/relationships/hyperlink" Target="https://www.pricecharting.com/game/pokemon-detective-pikachu/booster-pack-2-card" TargetMode="External" Id="rId3109" /><Relationship Type="http://schemas.openxmlformats.org/officeDocument/2006/relationships/hyperlink" Target="https://www.tcgplayer.com/product/189810" TargetMode="External" Id="rId3110" /><Relationship Type="http://schemas.openxmlformats.org/officeDocument/2006/relationships/hyperlink" Target="https://www.tcgplayer.com/product/264258" TargetMode="External" Id="rId3111" /><Relationship Type="http://schemas.openxmlformats.org/officeDocument/2006/relationships/hyperlink" Target="https://www.tcgplayer.com/product/98525" TargetMode="External" Id="rId3112" /><Relationship Type="http://schemas.openxmlformats.org/officeDocument/2006/relationships/hyperlink" Target="https://www.pricecharting.com/game/pokemon-double-crisis/booster-pack" TargetMode="External" Id="rId3113" /><Relationship Type="http://schemas.openxmlformats.org/officeDocument/2006/relationships/hyperlink" Target="https://www.tcgplayer.com/product/229226" TargetMode="External" Id="rId3114" /><Relationship Type="http://schemas.openxmlformats.org/officeDocument/2006/relationships/hyperlink" Target="https://www.tcgplayer.com/product/97765" TargetMode="External" Id="rId3115" /><Relationship Type="http://schemas.openxmlformats.org/officeDocument/2006/relationships/hyperlink" Target="https://www.pricecharting.com/game/pokemon-dragon/blister-pack" TargetMode="External" Id="rId3116" /><Relationship Type="http://schemas.openxmlformats.org/officeDocument/2006/relationships/hyperlink" Target="https://www.pricecharting.com/game/pokemon-dragon/booster-pack" TargetMode="External" Id="rId3117" /><Relationship Type="http://schemas.openxmlformats.org/officeDocument/2006/relationships/hyperlink" Target="https://www.pricecharting.com/game/pokemon-dragon-frontiers/blister-pack" TargetMode="External" Id="rId3118" /><Relationship Type="http://schemas.openxmlformats.org/officeDocument/2006/relationships/hyperlink" Target="https://www.pricecharting.com/game/pokemon-dragon-majesty/booster-pack" TargetMode="External" Id="rId3119" /><Relationship Type="http://schemas.openxmlformats.org/officeDocument/2006/relationships/hyperlink" Target="https://www.tcgplayer.com/product/173392" TargetMode="External" Id="rId3120" /><Relationship Type="http://schemas.openxmlformats.org/officeDocument/2006/relationships/hyperlink" Target="https://www.tcgplayer.com/product/98947" TargetMode="External" Id="rId3121" /><Relationship Type="http://schemas.openxmlformats.org/officeDocument/2006/relationships/hyperlink" Target="https://www.pricecharting.com/game/pokemon-dragon-vault/booster-pack" TargetMode="External" Id="rId3122" /><Relationship Type="http://schemas.openxmlformats.org/officeDocument/2006/relationships/hyperlink" Target="https://www.tcgplayer.com/product/98948" TargetMode="External" Id="rId3123" /><Relationship Type="http://schemas.openxmlformats.org/officeDocument/2006/relationships/hyperlink" Target="https://www.pricecharting.com/game/pokemon-dragons-exalted/booster-pack" TargetMode="External" Id="rId3124" /><Relationship Type="http://schemas.openxmlformats.org/officeDocument/2006/relationships/hyperlink" Target="https://www.tcgplayer.com/product/98541" TargetMode="External" Id="rId3125" /><Relationship Type="http://schemas.openxmlformats.org/officeDocument/2006/relationships/hyperlink" Target="https://www.pricecharting.com/game/pokemon-emerald/blister-pack" TargetMode="External" Id="rId3126" /><Relationship Type="http://schemas.openxmlformats.org/officeDocument/2006/relationships/hyperlink" Target="https://www.tcgplayer.com/product/98549" TargetMode="External" Id="rId3127" /><Relationship Type="http://schemas.openxmlformats.org/officeDocument/2006/relationships/hyperlink" Target="https://www.pricecharting.com/game/pokemon-evolutions/3-card-booster-pack" TargetMode="External" Id="rId3128" /><Relationship Type="http://schemas.openxmlformats.org/officeDocument/2006/relationships/hyperlink" Target="https://www.pricecharting.com/game/pokemon-evolutions/3-pack-blister-black-kyurem" TargetMode="External" Id="rId3129" /><Relationship Type="http://schemas.openxmlformats.org/officeDocument/2006/relationships/hyperlink" Target="https://www.pricecharting.com/game/pokemon-evolutions/3-pack-blister-braixen" TargetMode="External" Id="rId3130" /><Relationship Type="http://schemas.openxmlformats.org/officeDocument/2006/relationships/hyperlink" Target="https://www.pricecharting.com/game/pokemon-evolutions/mini-booster-pack" TargetMode="External" Id="rId3131" /><Relationship Type="http://schemas.openxmlformats.org/officeDocument/2006/relationships/hyperlink" Target="https://www.pricecharting.com/game/pokemon-evolutions/sampling-pack" TargetMode="External" Id="rId3132" /><Relationship Type="http://schemas.openxmlformats.org/officeDocument/2006/relationships/hyperlink" Target="https://www.pricecharting.com/game/pokemon-evolutions/single-pack-blister" TargetMode="External" Id="rId3133" /><Relationship Type="http://schemas.openxmlformats.org/officeDocument/2006/relationships/hyperlink" Target="https://www.pricecharting.com/game/pokemon-evolving-skies/blister-pack-octillery" TargetMode="External" Id="rId3134" /><Relationship Type="http://schemas.openxmlformats.org/officeDocument/2006/relationships/hyperlink" Target="https://www.pricecharting.com/game/pokemon-evolving-skies/booster-pack-heavy" TargetMode="External" Id="rId3135" /><Relationship Type="http://schemas.openxmlformats.org/officeDocument/2006/relationships/hyperlink" Target="https://www.pricecharting.com/game/pokemon-evolving-skies/checklane-blister-eevee" TargetMode="External" Id="rId3136" /><Relationship Type="http://schemas.openxmlformats.org/officeDocument/2006/relationships/hyperlink" Target="https://www.pricecharting.com/game/pokemon-evolving-skies/checklane-blister-galarian-slowpoke" TargetMode="External" Id="rId3137" /><Relationship Type="http://schemas.openxmlformats.org/officeDocument/2006/relationships/hyperlink" Target="https://www.pricecharting.com/game/pokemon-crystal-guardians/booster-pack" TargetMode="External" Id="rId3138" /><Relationship Type="http://schemas.openxmlformats.org/officeDocument/2006/relationships/hyperlink" Target="https://www.tcgplayer.com/product/98566" TargetMode="External" Id="rId3139" /><Relationship Type="http://schemas.openxmlformats.org/officeDocument/2006/relationships/hyperlink" Target="https://www.pricecharting.com/game/pokemon-delta-species/booster-pack" TargetMode="External" Id="rId3140" /><Relationship Type="http://schemas.openxmlformats.org/officeDocument/2006/relationships/hyperlink" Target="https://www.tcgplayer.com/product/98944" TargetMode="External" Id="rId3141" /><Relationship Type="http://schemas.openxmlformats.org/officeDocument/2006/relationships/hyperlink" Target="https://www.pricecharting.com/game/pokemon-deoxys/booster-pack" TargetMode="External" Id="rId3142" /><Relationship Type="http://schemas.openxmlformats.org/officeDocument/2006/relationships/hyperlink" Target="https://www.tcgplayer.com/product/98562" TargetMode="External" Id="rId3143" /><Relationship Type="http://schemas.openxmlformats.org/officeDocument/2006/relationships/hyperlink" Target="https://www.tcgplayer.com/product/98519" TargetMode="External" Id="rId3144" /><Relationship Type="http://schemas.openxmlformats.org/officeDocument/2006/relationships/hyperlink" Target="https://www.pricecharting.com/game/pokemon-dragon-frontiers/booster-pack" TargetMode="External" Id="rId3145" /><Relationship Type="http://schemas.openxmlformats.org/officeDocument/2006/relationships/hyperlink" Target="https://www.tcgplayer.com/product/98533" TargetMode="External" Id="rId3146" /><Relationship Type="http://schemas.openxmlformats.org/officeDocument/2006/relationships/hyperlink" Target="https://www.pricecharting.com/game/pokemon-emerald/booster-pack" TargetMode="External" Id="rId3147" /><Relationship Type="http://schemas.openxmlformats.org/officeDocument/2006/relationships/hyperlink" Target="https://www.tcgplayer.com/product/98546" TargetMode="External" Id="rId3148" /><Relationship Type="http://schemas.openxmlformats.org/officeDocument/2006/relationships/hyperlink" Target="https://www.tcgplayer.com/product/98946" TargetMode="External" Id="rId3149" /><Relationship Type="http://schemas.openxmlformats.org/officeDocument/2006/relationships/hyperlink" Target="https://www.pricecharting.com/game/pokemon-hidden-legends/booster-pack" TargetMode="External" Id="rId3150" /><Relationship Type="http://schemas.openxmlformats.org/officeDocument/2006/relationships/hyperlink" Target="https://www.tcgplayer.com/product/98595" TargetMode="External" Id="rId3151" /><Relationship Type="http://schemas.openxmlformats.org/officeDocument/2006/relationships/hyperlink" Target="https://www.pricecharting.com/game/pokemon-legend-maker/booster-pack" TargetMode="External" Id="rId3152" /><Relationship Type="http://schemas.openxmlformats.org/officeDocument/2006/relationships/hyperlink" Target="https://www.tcgplayer.com/product/98557" TargetMode="External" Id="rId3153" /><Relationship Type="http://schemas.openxmlformats.org/officeDocument/2006/relationships/hyperlink" Target="https://www.pricecharting.com/game/pokemon-power-keepers/booster-pack" TargetMode="External" Id="rId3154" /><Relationship Type="http://schemas.openxmlformats.org/officeDocument/2006/relationships/hyperlink" Target="https://www.tcgplayer.com/product/98529" TargetMode="External" Id="rId3155" /><Relationship Type="http://schemas.openxmlformats.org/officeDocument/2006/relationships/hyperlink" Target="https://www.tcgplayer.com/product/98558" TargetMode="External" Id="rId3156" /><Relationship Type="http://schemas.openxmlformats.org/officeDocument/2006/relationships/hyperlink" Target="https://www.pricecharting.com/game/pokemon-sandstorm/booster-pack" TargetMode="External" Id="rId3157" /><Relationship Type="http://schemas.openxmlformats.org/officeDocument/2006/relationships/hyperlink" Target="https://www.tcgplayer.com/product/98565" TargetMode="External" Id="rId3158" /><Relationship Type="http://schemas.openxmlformats.org/officeDocument/2006/relationships/hyperlink" Target="https://www.tcgplayer.com/product/98550" TargetMode="External" Id="rId3159" /><Relationship Type="http://schemas.openxmlformats.org/officeDocument/2006/relationships/hyperlink" Target="https://www.pricecharting.com/game/pokemon-team-rocket-returns/booster-pack" TargetMode="External" Id="rId3160" /><Relationship Type="http://schemas.openxmlformats.org/officeDocument/2006/relationships/hyperlink" Target="https://www.tcgplayer.com/product/98578" TargetMode="External" Id="rId3161" /><Relationship Type="http://schemas.openxmlformats.org/officeDocument/2006/relationships/hyperlink" Target="https://www.pricecharting.com/game/pokemon-unseen-forces/booster-pack" TargetMode="External" Id="rId3162" /><Relationship Type="http://schemas.openxmlformats.org/officeDocument/2006/relationships/hyperlink" Target="https://www.tcgplayer.com/product/98577" TargetMode="External" Id="rId3163" /><Relationship Type="http://schemas.openxmlformats.org/officeDocument/2006/relationships/hyperlink" Target="https://www.pricecharting.com/game/pokemon-expedition/blister-pack" TargetMode="External" Id="rId3164" /><Relationship Type="http://schemas.openxmlformats.org/officeDocument/2006/relationships/hyperlink" Target="https://www.pricecharting.com/game/pokemon-expedition/booster-pack" TargetMode="External" Id="rId3165" /><Relationship Type="http://schemas.openxmlformats.org/officeDocument/2006/relationships/hyperlink" Target="https://www.tcgplayer.com/product/138151" TargetMode="External" Id="rId3166" /><Relationship Type="http://schemas.openxmlformats.org/officeDocument/2006/relationships/hyperlink" Target="https://www.pricecharting.com/game/pokemon-fates-collide/blister-pack" TargetMode="External" Id="rId3167" /><Relationship Type="http://schemas.openxmlformats.org/officeDocument/2006/relationships/hyperlink" Target="https://www.pricecharting.com/game/pokemon-fates-collide/booster-pack" TargetMode="External" Id="rId3168" /><Relationship Type="http://schemas.openxmlformats.org/officeDocument/2006/relationships/hyperlink" Target="https://www.pricecharting.com/game/pokemon-fates-collide/mini-booster-pack" TargetMode="External" Id="rId3169" /><Relationship Type="http://schemas.openxmlformats.org/officeDocument/2006/relationships/hyperlink" Target="https://www.pricecharting.com/game/pokemon-fates-collide/sleeved-booster-pack" TargetMode="External" Id="rId3170" /><Relationship Type="http://schemas.openxmlformats.org/officeDocument/2006/relationships/hyperlink" Target="https://www.tcgplayer.com/product/231300" TargetMode="External" Id="rId3171" /><Relationship Type="http://schemas.openxmlformats.org/officeDocument/2006/relationships/hyperlink" Target="https://www.tcgplayer.com/product/231299" TargetMode="External" Id="rId3172" /><Relationship Type="http://schemas.openxmlformats.org/officeDocument/2006/relationships/hyperlink" Target="https://www.tcgplayer.com/product/231304" TargetMode="External" Id="rId3173" /><Relationship Type="http://schemas.openxmlformats.org/officeDocument/2006/relationships/hyperlink" Target="https://www.tcgplayer.com/product/231305" TargetMode="External" Id="rId3174" /><Relationship Type="http://schemas.openxmlformats.org/officeDocument/2006/relationships/hyperlink" Target="https://www.tcgplayer.com/product/231301" TargetMode="External" Id="rId3175" /><Relationship Type="http://schemas.openxmlformats.org/officeDocument/2006/relationships/hyperlink" Target="https://www.tcgplayer.com/product/231306" TargetMode="External" Id="rId3176" /><Relationship Type="http://schemas.openxmlformats.org/officeDocument/2006/relationships/hyperlink" Target="https://www.tcgplayer.com/product/231303" TargetMode="External" Id="rId3177" /><Relationship Type="http://schemas.openxmlformats.org/officeDocument/2006/relationships/hyperlink" Target="https://www.tcgplayer.com/product/231302" TargetMode="External" Id="rId3178" /><Relationship Type="http://schemas.openxmlformats.org/officeDocument/2006/relationships/hyperlink" Target="https://www.pricecharting.com/game/pokemon-flashfire/blister-pack" TargetMode="External" Id="rId3179" /><Relationship Type="http://schemas.openxmlformats.org/officeDocument/2006/relationships/hyperlink" Target="https://www.pricecharting.com/game/pokemon-flashfire/mini-booster-pack" TargetMode="External" Id="rId3180" /><Relationship Type="http://schemas.openxmlformats.org/officeDocument/2006/relationships/hyperlink" Target="https://www.pricecharting.com/game/pokemon-forbidden-light/blister-pack" TargetMode="External" Id="rId3181" /><Relationship Type="http://schemas.openxmlformats.org/officeDocument/2006/relationships/hyperlink" Target="https://www.pricecharting.com/game/pokemon-forbidden-light/mini-booster-pack" TargetMode="External" Id="rId3182" /><Relationship Type="http://schemas.openxmlformats.org/officeDocument/2006/relationships/hyperlink" Target="https://www.pricecharting.com/game/pokemon-forbidden-light/mini-portfolio-double-pack" TargetMode="External" Id="rId3183" /><Relationship Type="http://schemas.openxmlformats.org/officeDocument/2006/relationships/hyperlink" Target="https://www.pricecharting.com/game/pokemon-forbidden-light/sampling-pack" TargetMode="External" Id="rId3184" /><Relationship Type="http://schemas.openxmlformats.org/officeDocument/2006/relationships/hyperlink" Target="https://www.pricecharting.com/game/pokemon-fossil/blister-pack" TargetMode="External" Id="rId3185" /><Relationship Type="http://schemas.openxmlformats.org/officeDocument/2006/relationships/hyperlink" Target="https://www.tcgplayer.com/product/692399" TargetMode="External" Id="rId3186" /><Relationship Type="http://schemas.openxmlformats.org/officeDocument/2006/relationships/hyperlink" Target="https://www.pricecharting.com/game/pokemon-fossil/booster-pack" TargetMode="External" Id="rId3187" /><Relationship Type="http://schemas.openxmlformats.org/officeDocument/2006/relationships/hyperlink" Target="https://www.pricecharting.com/game/pokemon-fossil/booster-pack-1st-edition" TargetMode="External" Id="rId3188" /><Relationship Type="http://schemas.openxmlformats.org/officeDocument/2006/relationships/hyperlink" Target="https://www.tcgplayer.com/product/138133" TargetMode="External" Id="rId3189" /><Relationship Type="http://schemas.openxmlformats.org/officeDocument/2006/relationships/hyperlink" Target="https://www.tcgplayer.com/product/138134" TargetMode="External" Id="rId3190" /><Relationship Type="http://schemas.openxmlformats.org/officeDocument/2006/relationships/hyperlink" Target="https://www.pricecharting.com/game/pokemon-furious-fists/blister-pack-zoroark" TargetMode="External" Id="rId3191" /><Relationship Type="http://schemas.openxmlformats.org/officeDocument/2006/relationships/hyperlink" Target="https://www.pricecharting.com/game/pokemon-furious-fists/booster-pack" TargetMode="External" Id="rId3192" /><Relationship Type="http://schemas.openxmlformats.org/officeDocument/2006/relationships/hyperlink" Target="https://www.pricecharting.com/game/pokemon-furious-fists/mini-booster-pack" TargetMode="External" Id="rId3193" /><Relationship Type="http://schemas.openxmlformats.org/officeDocument/2006/relationships/hyperlink" Target="https://www.pricecharting.com/game/pokemon-fusion-strike/checklane-blister-2-pack" TargetMode="External" Id="rId3194" /><Relationship Type="http://schemas.openxmlformats.org/officeDocument/2006/relationships/hyperlink" Target="https://www.pricecharting.com/game/pokemon-generations/booster-pack" TargetMode="External" Id="rId3195" /><Relationship Type="http://schemas.openxmlformats.org/officeDocument/2006/relationships/hyperlink" Target="https://www.tcgplayer.com/product/187238" TargetMode="External" Id="rId3196" /><Relationship Type="http://schemas.openxmlformats.org/officeDocument/2006/relationships/hyperlink" Target="https://www.pricecharting.com/game/pokemon-go/booster-pack" TargetMode="External" Id="rId3197" /><Relationship Type="http://schemas.openxmlformats.org/officeDocument/2006/relationships/hyperlink" Target="https://www.pricecharting.com/game/pokemon-great-encounters/blister-pack" TargetMode="External" Id="rId3198" /><Relationship Type="http://schemas.openxmlformats.org/officeDocument/2006/relationships/hyperlink" Target="https://www.pricecharting.com/game/pokemon-great-encounters/booster-pack" TargetMode="External" Id="rId3199" /><Relationship Type="http://schemas.openxmlformats.org/officeDocument/2006/relationships/hyperlink" Target="https://www.tcgplayer.com/product/98545" TargetMode="External" Id="rId3200" /><Relationship Type="http://schemas.openxmlformats.org/officeDocument/2006/relationships/hyperlink" Target="https://www.pricecharting.com/game/pokemon-guardians-rising/blister-pack-tsareena" TargetMode="External" Id="rId3201" /><Relationship Type="http://schemas.openxmlformats.org/officeDocument/2006/relationships/hyperlink" Target="https://www.pricecharting.com/game/pokemon-guardians-rising/mini-booster-pack" TargetMode="External" Id="rId3202" /><Relationship Type="http://schemas.openxmlformats.org/officeDocument/2006/relationships/hyperlink" Target="https://www.pricecharting.com/game/pokemon-gym-challenge/booster-pack" TargetMode="External" Id="rId3203" /><Relationship Type="http://schemas.openxmlformats.org/officeDocument/2006/relationships/hyperlink" Target="https://www.pricecharting.com/game/pokemon-gym-challenge/booster-pack-1st-edition" TargetMode="External" Id="rId3204" /><Relationship Type="http://schemas.openxmlformats.org/officeDocument/2006/relationships/hyperlink" Target="https://www.tcgplayer.com/product/138140" TargetMode="External" Id="rId3205" /><Relationship Type="http://schemas.openxmlformats.org/officeDocument/2006/relationships/hyperlink" Target="https://www.tcgplayer.com/product/138139" TargetMode="External" Id="rId3206" /><Relationship Type="http://schemas.openxmlformats.org/officeDocument/2006/relationships/hyperlink" Target="https://www.pricecharting.com/game/pokemon-gym-heroes/booster-pack" TargetMode="External" Id="rId3207" /><Relationship Type="http://schemas.openxmlformats.org/officeDocument/2006/relationships/hyperlink" Target="https://www.pricecharting.com/game/pokemon-gym-heroes/booster-pack-1st-edition" TargetMode="External" Id="rId3208" /><Relationship Type="http://schemas.openxmlformats.org/officeDocument/2006/relationships/hyperlink" Target="https://www.tcgplayer.com/product/138138" TargetMode="External" Id="rId3209" /><Relationship Type="http://schemas.openxmlformats.org/officeDocument/2006/relationships/hyperlink" Target="https://www.tcgplayer.com/product/98530" TargetMode="External" Id="rId3210" /><Relationship Type="http://schemas.openxmlformats.org/officeDocument/2006/relationships/hyperlink" Target="https://www.pricecharting.com/game/pokemon-hidden-fates/booster-pack" TargetMode="External" Id="rId3211" /><Relationship Type="http://schemas.openxmlformats.org/officeDocument/2006/relationships/hyperlink" Target="https://www.tcgplayer.com/product/198634" TargetMode="External" Id="rId3212" /><Relationship Type="http://schemas.openxmlformats.org/officeDocument/2006/relationships/hyperlink" Target="https://www.pricecharting.com/game/pokemon-hidden-legends/blister-pack" TargetMode="External" Id="rId3213" /><Relationship Type="http://schemas.openxmlformats.org/officeDocument/2006/relationships/hyperlink" Target="https://www.pricecharting.com/game/pokemon-holon-phantoms/blister-pack" TargetMode="External" Id="rId3214" /><Relationship Type="http://schemas.openxmlformats.org/officeDocument/2006/relationships/hyperlink" Target="https://www.pricecharting.com/game/pokemon-holon-phantoms/booster-pack" TargetMode="External" Id="rId3215" /><Relationship Type="http://schemas.openxmlformats.org/officeDocument/2006/relationships/hyperlink" Target="https://www.pricecharting.com/game/pokemon-japanese-20th-anniversary/booster-pack" TargetMode="External" Id="rId3216" /><Relationship Type="http://schemas.openxmlformats.org/officeDocument/2006/relationships/hyperlink" Target="https://www.pricecharting.com/game/pokemon-japanese-25th-anniversary-collection/booster-pack" TargetMode="External" Id="rId3217" /><Relationship Type="http://schemas.openxmlformats.org/officeDocument/2006/relationships/hyperlink" Target="https://www.pricecharting.com/game/pokemon-japanese-25th-anniversary-promo/booster-pack" TargetMode="External" Id="rId3218" /><Relationship Type="http://schemas.openxmlformats.org/officeDocument/2006/relationships/hyperlink" Target="https://www.pricecharting.com/game/pokemon-japanese-30th-celebration/booster-pack" TargetMode="External" Id="rId3219" /><Relationship Type="http://schemas.openxmlformats.org/officeDocument/2006/relationships/hyperlink" Target="https://www.pricecharting.com/game/pokemon-japanese-abyss-eye/booster-pack" TargetMode="External" Id="rId3220" /><Relationship Type="http://schemas.openxmlformats.org/officeDocument/2006/relationships/hyperlink" Target="https://www.pricecharting.com/game/pokemon-japanese-advent-of-arceus/booster-pack" TargetMode="External" Id="rId3221" /><Relationship Type="http://schemas.openxmlformats.org/officeDocument/2006/relationships/hyperlink" Target="https://www.pricecharting.com/game/pokemon-japanese-alolan-moonlight/booster-pack" TargetMode="External" Id="rId3222" /><Relationship Type="http://schemas.openxmlformats.org/officeDocument/2006/relationships/hyperlink" Target="https://www.pricecharting.com/game/pokemon-japanese-alter-genesis/booster-pack" TargetMode="External" Id="rId3223" /><Relationship Type="http://schemas.openxmlformats.org/officeDocument/2006/relationships/hyperlink" Target="https://www.pricecharting.com/game/pokemon-japanese-amazing-volt-tackle/booster-pack" TargetMode="External" Id="rId3224" /><Relationship Type="http://schemas.openxmlformats.org/officeDocument/2006/relationships/hyperlink" Target="https://www.pricecharting.com/game/pokemon-japanese-ancient-roar/booster-pack" TargetMode="External" Id="rId3225" /><Relationship Type="http://schemas.openxmlformats.org/officeDocument/2006/relationships/hyperlink" Target="https://www.pricecharting.com/game/pokemon-japanese-awakening-legends/booster-pack" TargetMode="External" Id="rId3226" /><Relationship Type="http://schemas.openxmlformats.org/officeDocument/2006/relationships/hyperlink" Target="https://www.pricecharting.com/game/pokemon-japanese-bandit-ring/booster-pack" TargetMode="External" Id="rId3227" /><Relationship Type="http://schemas.openxmlformats.org/officeDocument/2006/relationships/hyperlink" Target="https://www.pricecharting.com/game/pokemon-japanese-battle-partners/booster-pack" TargetMode="External" Id="rId3228" /><Relationship Type="http://schemas.openxmlformats.org/officeDocument/2006/relationships/hyperlink" Target="https://www.pricecharting.com/game/pokemon-japanese-battle-region/booster-pack" TargetMode="External" Id="rId3229" /><Relationship Type="http://schemas.openxmlformats.org/officeDocument/2006/relationships/hyperlink" Target="https://www.pricecharting.com/game/pokemon-japanese-beat-of-the-frontier/booster-pack" TargetMode="External" Id="rId3230" /><Relationship Type="http://schemas.openxmlformats.org/officeDocument/2006/relationships/hyperlink" Target="https://www.pricecharting.com/game/pokemon-japanese-best-of-xy/booster-pack" TargetMode="External" Id="rId3231" /><Relationship Type="http://schemas.openxmlformats.org/officeDocument/2006/relationships/hyperlink" Target="https://www.pricecharting.com/game/pokemon-japanese-black-bolt/booster-pack" TargetMode="External" Id="rId3232" /><Relationship Type="http://schemas.openxmlformats.org/officeDocument/2006/relationships/hyperlink" Target="https://www.pricecharting.com/game/pokemon-japanese-black-bolt/deluxe-booster-pack" TargetMode="External" Id="rId3233" /><Relationship Type="http://schemas.openxmlformats.org/officeDocument/2006/relationships/hyperlink" Target="https://www.pricecharting.com/game/pokemon-japanese-blue-sky-stream/booster-pack" TargetMode="External" Id="rId3234" /><Relationship Type="http://schemas.openxmlformats.org/officeDocument/2006/relationships/hyperlink" Target="https://www.pricecharting.com/game/pokemon-japanese-challenge-from-the-darkness/booster-pack" TargetMode="External" Id="rId3235" /><Relationship Type="http://schemas.openxmlformats.org/officeDocument/2006/relationships/hyperlink" Target="https://www.pricecharting.com/game/pokemon-japanese-clay-burst/booster-pack" TargetMode="External" Id="rId3236" /><Relationship Type="http://schemas.openxmlformats.org/officeDocument/2006/relationships/hyperlink" Target="https://www.pricecharting.com/game/pokemon-japanese-crimson-haze/booster-pack" TargetMode="External" Id="rId3237" /><Relationship Type="http://schemas.openxmlformats.org/officeDocument/2006/relationships/hyperlink" Target="https://www.pricecharting.com/game/pokemon-japanese-crossing-the-ruins/booster-pack" TargetMode="External" Id="rId3238" /><Relationship Type="http://schemas.openxmlformats.org/officeDocument/2006/relationships/hyperlink" Target="https://www.pricecharting.com/game/pokemon-japanese-cyber-judge/booster-pack" TargetMode="External" Id="rId3239" /><Relationship Type="http://schemas.openxmlformats.org/officeDocument/2006/relationships/hyperlink" Target="https://www.pricecharting.com/game/pokemon-japanese-dark-phantasma/booster-pack" TargetMode="External" Id="rId3240" /><Relationship Type="http://schemas.openxmlformats.org/officeDocument/2006/relationships/hyperlink" Target="https://www.pricecharting.com/game/pokemon-japanese-darkness-and-to-light/booster-pack" TargetMode="External" Id="rId3241" /><Relationship Type="http://schemas.openxmlformats.org/officeDocument/2006/relationships/hyperlink" Target="https://www.pricecharting.com/game/pokemon-japanese-double-blaze/booster-pack" TargetMode="External" Id="rId3242" /><Relationship Type="http://schemas.openxmlformats.org/officeDocument/2006/relationships/hyperlink" Target="https://www.pricecharting.com/game/pokemon-japanese-dream-league/booster-pack" TargetMode="External" Id="rId3243" /><Relationship Type="http://schemas.openxmlformats.org/officeDocument/2006/relationships/hyperlink" Target="https://www.pricecharting.com/game/pokemon-japanese-eevee-heroes/booster-pack" TargetMode="External" Id="rId3244" /><Relationship Type="http://schemas.openxmlformats.org/officeDocument/2006/relationships/hyperlink" Target="https://www.pricecharting.com/game/pokemon-japanese-expansion-pack/booster-pack" TargetMode="External" Id="rId3245" /><Relationship Type="http://schemas.openxmlformats.org/officeDocument/2006/relationships/hyperlink" Target="https://www.pricecharting.com/game/pokemon-japanese-expansion-pack/booster-pack-short" TargetMode="External" Id="rId3246" /><Relationship Type="http://schemas.openxmlformats.org/officeDocument/2006/relationships/hyperlink" Target="https://www.pricecharting.com/game/pokemon-japanese-fusion-arts/booster-pack" TargetMode="External" Id="rId3247" /><Relationship Type="http://schemas.openxmlformats.org/officeDocument/2006/relationships/hyperlink" Target="https://www.pricecharting.com/game/pokemon-japanese-future-flash/booster-pack" TargetMode="External" Id="rId3248" /><Relationship Type="http://schemas.openxmlformats.org/officeDocument/2006/relationships/hyperlink" Target="https://www.pricecharting.com/game/pokemon-japanese-glory-of-team-rocket/booster-pack" TargetMode="External" Id="rId3249" /><Relationship Type="http://schemas.openxmlformats.org/officeDocument/2006/relationships/hyperlink" Target="https://www.pricecharting.com/game/pokemon-japanese-go/booster-pack" TargetMode="External" Id="rId3250" /><Relationship Type="http://schemas.openxmlformats.org/officeDocument/2006/relationships/hyperlink" Target="https://www.pricecharting.com/game/pokemon-japanese-go/sealed-1-card-pack" TargetMode="External" Id="rId3251" /><Relationship Type="http://schemas.openxmlformats.org/officeDocument/2006/relationships/hyperlink" Target="https://www.pricecharting.com/game/pokemon-japanese-gold-silver-new-world/booster-pack" TargetMode="External" Id="rId3252" /><Relationship Type="http://schemas.openxmlformats.org/officeDocument/2006/relationships/hyperlink" Target="https://www.pricecharting.com/game/pokemon-japanese-gx-battle-boost/booster-pack" TargetMode="External" Id="rId3253" /><Relationship Type="http://schemas.openxmlformats.org/officeDocument/2006/relationships/hyperlink" Target="https://www.pricecharting.com/game/pokemon-japanese-gx-ultra-shiny/booster-pack" TargetMode="External" Id="rId3254" /><Relationship Type="http://schemas.openxmlformats.org/officeDocument/2006/relationships/hyperlink" Target="https://www.pricecharting.com/game/pokemon-japanese-heat-wave-arena/booster-pack" TargetMode="External" Id="rId3255" /><Relationship Type="http://schemas.openxmlformats.org/officeDocument/2006/relationships/hyperlink" Target="https://www.pricecharting.com/game/pokemon-japanese-incandescent-arcana/booster-pack" TargetMode="External" Id="rId3256" /><Relationship Type="http://schemas.openxmlformats.org/officeDocument/2006/relationships/hyperlink" Target="https://www.pricecharting.com/game/pokemon-japanese-inferno-x/booster-pack" TargetMode="External" Id="rId3257" /><Relationship Type="http://schemas.openxmlformats.org/officeDocument/2006/relationships/hyperlink" Target="https://www.pricecharting.com/game/pokemon-japanese-jungle/booster-pack" TargetMode="External" Id="rId3258" /><Relationship Type="http://schemas.openxmlformats.org/officeDocument/2006/relationships/hyperlink" Target="https://www.pricecharting.com/game/pokemon-japanese-legendary-shine-collection/booster-pack" TargetMode="External" Id="rId3259" /><Relationship Type="http://schemas.openxmlformats.org/officeDocument/2006/relationships/hyperlink" Target="https://www.pricecharting.com/game/pokemon-japanese-lost-abyss/booster-pack" TargetMode="External" Id="rId3260" /><Relationship Type="http://schemas.openxmlformats.org/officeDocument/2006/relationships/hyperlink" Target="https://www.pricecharting.com/game/pokemon-japanese-mask-of-change/booster-pack" TargetMode="External" Id="rId3261" /><Relationship Type="http://schemas.openxmlformats.org/officeDocument/2006/relationships/hyperlink" Target="https://www.pricecharting.com/game/pokemon-japanese-mega-brave/booster-pack" TargetMode="External" Id="rId3262" /><Relationship Type="http://schemas.openxmlformats.org/officeDocument/2006/relationships/hyperlink" Target="https://www.pricecharting.com/game/pokemon-japanese-mega-dream-ex/booster-pack" TargetMode="External" Id="rId3263" /><Relationship Type="http://schemas.openxmlformats.org/officeDocument/2006/relationships/hyperlink" Target="https://www.pricecharting.com/game/pokemon-japanese-mega-symphonia/booster-pack" TargetMode="External" Id="rId3264" /><Relationship Type="http://schemas.openxmlformats.org/officeDocument/2006/relationships/hyperlink" Target="https://www.pricecharting.com/game/pokemon-japanese-miracle-twins/booster-pack" TargetMode="External" Id="rId3265" /><Relationship Type="http://schemas.openxmlformats.org/officeDocument/2006/relationships/hyperlink" Target="https://www.pricecharting.com/game/pokemon-japanese-mysterious-mountains/booster-pack" TargetMode="External" Id="rId3266" /><Relationship Type="http://schemas.openxmlformats.org/officeDocument/2006/relationships/hyperlink" Target="https://www.pricecharting.com/game/pokemon-japanese-mystery-of-the-fossils/booster-pack" TargetMode="External" Id="rId3267" /><Relationship Type="http://schemas.openxmlformats.org/officeDocument/2006/relationships/hyperlink" Target="https://www.pricecharting.com/game/pokemon-japanese-night-wanderer/booster-pack" TargetMode="External" Id="rId3268" /><Relationship Type="http://schemas.openxmlformats.org/officeDocument/2006/relationships/hyperlink" Target="https://www.pricecharting.com/game/pokemon-japanese-nihil-zero/booster-pack" TargetMode="External" Id="rId3269" /><Relationship Type="http://schemas.openxmlformats.org/officeDocument/2006/relationships/hyperlink" Target="https://www.pricecharting.com/game/pokemon-japanese-ninja-spinner/booster-pack" TargetMode="External" Id="rId3270" /><Relationship Type="http://schemas.openxmlformats.org/officeDocument/2006/relationships/hyperlink" Target="https://www.pricecharting.com/game/pokemon-japanese-paradigm-trigger/booster-pack" TargetMode="External" Id="rId3271" /><Relationship Type="http://schemas.openxmlformats.org/officeDocument/2006/relationships/hyperlink" Target="https://www.pricecharting.com/game/pokemon-japanese-paradise-dragona/booster-pack" TargetMode="External" Id="rId3272" /><Relationship Type="http://schemas.openxmlformats.org/officeDocument/2006/relationships/hyperlink" Target="https://www.pricecharting.com/game/pokemon-japanese-pokekyun-collection/booster-pack" TargetMode="External" Id="rId3273" /><Relationship Type="http://schemas.openxmlformats.org/officeDocument/2006/relationships/hyperlink" Target="https://www.pricecharting.com/game/pokemon-japanese-promo/2024-summer-promo-pack" TargetMode="External" Id="rId3274" /><Relationship Type="http://schemas.openxmlformats.org/officeDocument/2006/relationships/hyperlink" Target="https://www.pricecharting.com/game/pokemon-japanese-promo/booster-pack-2016-staff-event-organizer" TargetMode="External" Id="rId3275" /><Relationship Type="http://schemas.openxmlformats.org/officeDocument/2006/relationships/hyperlink" Target="https://www.pricecharting.com/game/pokemon-japanese-promo/booster-pack-2017-staff-event-organizer" TargetMode="External" Id="rId3276" /><Relationship Type="http://schemas.openxmlformats.org/officeDocument/2006/relationships/hyperlink" Target="https://www.pricecharting.com/game/pokemon-japanese-promo/booster-pack-2025-staff-event-organizer" TargetMode="External" Id="rId3277" /><Relationship Type="http://schemas.openxmlformats.org/officeDocument/2006/relationships/hyperlink" Target="https://www.pricecharting.com/game/pokemon-japanese-promo/booster-pack-dragon-pokemon-v-get-challenge" TargetMode="External" Id="rId3278" /><Relationship Type="http://schemas.openxmlformats.org/officeDocument/2006/relationships/hyperlink" Target="https://www.pricecharting.com/game/pokemon-japanese-promo/illustration-contest-2024-sealed-pack" TargetMode="External" Id="rId3279" /><Relationship Type="http://schemas.openxmlformats.org/officeDocument/2006/relationships/hyperlink" Target="https://www.pricecharting.com/game/pokemon-japanese-promo/masked-pikachu-special-pack" TargetMode="External" Id="rId3280" /><Relationship Type="http://schemas.openxmlformats.org/officeDocument/2006/relationships/hyperlink" Target="https://www.pricecharting.com/game/pokemon-japanese-promo/mcdonald's-promo-pack" TargetMode="External" Id="rId3281" /><Relationship Type="http://schemas.openxmlformats.org/officeDocument/2006/relationships/hyperlink" Target="https://www.pricecharting.com/game/pokemon-japanese-promo/movie-commemoration-special-pack" TargetMode="External" Id="rId3282" /><Relationship Type="http://schemas.openxmlformats.org/officeDocument/2006/relationships/hyperlink" Target="https://www.pricecharting.com/game/pokemon-japanese-promo/nagaba-promo-pack" TargetMode="External" Id="rId3283" /><Relationship Type="http://schemas.openxmlformats.org/officeDocument/2006/relationships/hyperlink" Target="https://www.pricecharting.com/game/pokemon-japanese-promo/scarlet-&amp;-violet-gym-promo-pack-vol1" TargetMode="External" Id="rId3284" /><Relationship Type="http://schemas.openxmlformats.org/officeDocument/2006/relationships/hyperlink" Target="https://www.pricecharting.com/game/pokemon-japanese-promo/scarlet-&amp;-violet-gym-promo-pack-vol2" TargetMode="External" Id="rId3285" /><Relationship Type="http://schemas.openxmlformats.org/officeDocument/2006/relationships/hyperlink" Target="https://www.pricecharting.com/game/pokemon-japanese-promo/scarlet-&amp;-violet-gym-promo-pack-vol3" TargetMode="External" Id="rId3286" /><Relationship Type="http://schemas.openxmlformats.org/officeDocument/2006/relationships/hyperlink" Target="https://www.pricecharting.com/game/pokemon-japanese-promo/scarlet-&amp;-violet-gym-promo-pack-vol4" TargetMode="External" Id="rId3287" /><Relationship Type="http://schemas.openxmlformats.org/officeDocument/2006/relationships/hyperlink" Target="https://www.pricecharting.com/game/pokemon-japanese-promo/scarlet-&amp;-violet-gym-promo-pack-vol5" TargetMode="External" Id="rId3288" /><Relationship Type="http://schemas.openxmlformats.org/officeDocument/2006/relationships/hyperlink" Target="https://www.pricecharting.com/game/pokemon-japanese-promo/scarlet-&amp;-violet-gym-promo-pack-vol6" TargetMode="External" Id="rId3289" /><Relationship Type="http://schemas.openxmlformats.org/officeDocument/2006/relationships/hyperlink" Target="https://www.pricecharting.com/game/pokemon-japanese-promo/scarlet-&amp;-violet-gym-promo-pack-vol7" TargetMode="External" Id="rId3290" /><Relationship Type="http://schemas.openxmlformats.org/officeDocument/2006/relationships/hyperlink" Target="https://www.pricecharting.com/game/pokemon-japanese-promo/scarlet-&amp;-violet-gym-promo-pack-vol8" TargetMode="External" Id="rId3291" /><Relationship Type="http://schemas.openxmlformats.org/officeDocument/2006/relationships/hyperlink" Target="https://www.pricecharting.com/game/pokemon-japanese-promo/scarlet-&amp;-violet-gym-promo-pack-vol9" TargetMode="External" Id="rId3292" /><Relationship Type="http://schemas.openxmlformats.org/officeDocument/2006/relationships/hyperlink" Target="https://www.pricecharting.com/game/pokemon-japanese-promo/sealed-pack-2020-staff-event-organizer" TargetMode="External" Id="rId3293" /><Relationship Type="http://schemas.openxmlformats.org/officeDocument/2006/relationships/hyperlink" Target="https://www.pricecharting.com/game/pokemon-japanese-promo/sword-&amp;-shield-gym-promo-pack-vol2" TargetMode="External" Id="rId3294" /><Relationship Type="http://schemas.openxmlformats.org/officeDocument/2006/relationships/hyperlink" Target="https://www.pricecharting.com/game/pokemon-japanese-raging-surf/booster-pack" TargetMode="External" Id="rId3295" /><Relationship Type="http://schemas.openxmlformats.org/officeDocument/2006/relationships/hyperlink" Target="https://www.pricecharting.com/game/pokemon-japanese-remix-bout/booster-pack" TargetMode="External" Id="rId3296" /><Relationship Type="http://schemas.openxmlformats.org/officeDocument/2006/relationships/hyperlink" Target="https://www.pricecharting.com/game/pokemon-japanese-rocket-gang/booster-pack" TargetMode="External" Id="rId3297" /><Relationship Type="http://schemas.openxmlformats.org/officeDocument/2006/relationships/hyperlink" Target="https://www.pricecharting.com/game/pokemon-japanese-rocket-gang-strikes-back/booster-pack" TargetMode="External" Id="rId3298" /><Relationship Type="http://schemas.openxmlformats.org/officeDocument/2006/relationships/hyperlink" Target="https://www.pricecharting.com/game/pokemon-japanese-ruler-of-the-black-flame/booster-pack" TargetMode="External" Id="rId3299" /><Relationship Type="http://schemas.openxmlformats.org/officeDocument/2006/relationships/hyperlink" Target="https://www.pricecharting.com/game/pokemon-japanese-scarlet-ex/booster-pack" TargetMode="External" Id="rId3300" /><Relationship Type="http://schemas.openxmlformats.org/officeDocument/2006/relationships/hyperlink" Target="https://www.pricecharting.com/game/pokemon-japanese-shining-legends/booster-pack" TargetMode="External" Id="rId3301" /><Relationship Type="http://schemas.openxmlformats.org/officeDocument/2006/relationships/hyperlink" Target="https://www.pricecharting.com/game/pokemon-japanese-shiny-collection/booster-pack" TargetMode="External" Id="rId3302" /><Relationship Type="http://schemas.openxmlformats.org/officeDocument/2006/relationships/hyperlink" Target="https://www.pricecharting.com/game/pokemon-japanese-shiny-star-v/booster-pack" TargetMode="External" Id="rId3303" /><Relationship Type="http://schemas.openxmlformats.org/officeDocument/2006/relationships/hyperlink" Target="https://www.pricecharting.com/game/pokemon-japanese-shiny-treasure-ex/booster-pack" TargetMode="External" Id="rId3304" /><Relationship Type="http://schemas.openxmlformats.org/officeDocument/2006/relationships/hyperlink" Target="https://www.pricecharting.com/game/pokemon-japanese-snow-hazard/booster-pack" TargetMode="External" Id="rId3305" /><Relationship Type="http://schemas.openxmlformats.org/officeDocument/2006/relationships/hyperlink" Target="https://www.pricecharting.com/game/pokemon-japanese-split-earth/booster-pack" TargetMode="External" Id="rId3306" /><Relationship Type="http://schemas.openxmlformats.org/officeDocument/2006/relationships/hyperlink" Target="https://www.pricecharting.com/game/pokemon-japanese-split-earth/booster-pack-1st-edition" TargetMode="External" Id="rId3307" /><Relationship Type="http://schemas.openxmlformats.org/officeDocument/2006/relationships/hyperlink" Target="https://www.pricecharting.com/game/pokemon-japanese-star-birth/booster-pack" TargetMode="External" Id="rId3308" /><Relationship Type="http://schemas.openxmlformats.org/officeDocument/2006/relationships/hyperlink" Target="https://www.pricecharting.com/game/pokemon-japanese-stellar-miracle/booster-pack" TargetMode="External" Id="rId3309" /><Relationship Type="http://schemas.openxmlformats.org/officeDocument/2006/relationships/hyperlink" Target="https://www.pricecharting.com/game/pokemon-japanese-storm-emeralda/booster-pack" TargetMode="External" Id="rId3310" /><Relationship Type="http://schemas.openxmlformats.org/officeDocument/2006/relationships/hyperlink" Target="https://www.pricecharting.com/game/pokemon-japanese-super-electric-breaker/booster-pack" TargetMode="External" Id="rId3311" /><Relationship Type="http://schemas.openxmlformats.org/officeDocument/2006/relationships/hyperlink" Target="https://www.pricecharting.com/game/pokemon-japanese-tag-all-stars/booster-pack" TargetMode="External" Id="rId3312" /><Relationship Type="http://schemas.openxmlformats.org/officeDocument/2006/relationships/hyperlink" Target="https://www.pricecharting.com/game/pokemon-japanese-tag-bolt/booster-pack" TargetMode="External" Id="rId3313" /><Relationship Type="http://schemas.openxmlformats.org/officeDocument/2006/relationships/hyperlink" Target="https://www.pricecharting.com/game/pokemon-japanese-terastal-festival/booster-pack" TargetMode="External" Id="rId3314" /><Relationship Type="http://schemas.openxmlformats.org/officeDocument/2006/relationships/hyperlink" Target="https://www.pricecharting.com/game/pokemon-japanese-the-town-on-no-map/booster-pack" TargetMode="External" Id="rId3315" /><Relationship Type="http://schemas.openxmlformats.org/officeDocument/2006/relationships/hyperlink" Target="https://www.pricecharting.com/game/pokemon-japanese-topsun/booster-pack" TargetMode="External" Id="rId3316" /><Relationship Type="http://schemas.openxmlformats.org/officeDocument/2006/relationships/hyperlink" Target="https://www.pricecharting.com/game/pokemon-japanese-triplet-beat/booster-pack" TargetMode="External" Id="rId3317" /><Relationship Type="http://schemas.openxmlformats.org/officeDocument/2006/relationships/hyperlink" Target="https://www.pricecharting.com/game/pokemon-japanese-violet-ex/booster-pack" TargetMode="External" Id="rId3318" /><Relationship Type="http://schemas.openxmlformats.org/officeDocument/2006/relationships/hyperlink" Target="https://www.pricecharting.com/game/pokemon-japanese-vmax-climax/booster-pack" TargetMode="External" Id="rId3319" /><Relationship Type="http://schemas.openxmlformats.org/officeDocument/2006/relationships/hyperlink" Target="https://www.pricecharting.com/game/pokemon-japanese-vs/booster-pack-fightingpsychic" TargetMode="External" Id="rId3320" /><Relationship Type="http://schemas.openxmlformats.org/officeDocument/2006/relationships/hyperlink" Target="https://www.pricecharting.com/game/pokemon-japanese-vs/booster-pack-grasslightning" TargetMode="External" Id="rId3321" /><Relationship Type="http://schemas.openxmlformats.org/officeDocument/2006/relationships/hyperlink" Target="https://www.pricecharting.com/game/pokemon-japanese-vs/booster-pack-waterfire" TargetMode="External" Id="rId3322" /><Relationship Type="http://schemas.openxmlformats.org/officeDocument/2006/relationships/hyperlink" Target="https://www.pricecharting.com/game/pokemon-japanese-vstar-universe/booster-pack" TargetMode="External" Id="rId3323" /><Relationship Type="http://schemas.openxmlformats.org/officeDocument/2006/relationships/hyperlink" Target="https://www.pricecharting.com/game/pokemon-japanese-white-flare/booster-pack" TargetMode="External" Id="rId3324" /><Relationship Type="http://schemas.openxmlformats.org/officeDocument/2006/relationships/hyperlink" Target="https://www.pricecharting.com/game/pokemon-japanese-white-flare/deluxe-booster-pack" TargetMode="External" Id="rId3325" /><Relationship Type="http://schemas.openxmlformats.org/officeDocument/2006/relationships/hyperlink" Target="https://www.pricecharting.com/game/pokemon-japanese-wild-force/booster-pack" TargetMode="External" Id="rId3326" /><Relationship Type="http://schemas.openxmlformats.org/officeDocument/2006/relationships/hyperlink" Target="https://www.pricecharting.com/game/pokemon-japanese-wind-from-the-sea/booster-pack" TargetMode="External" Id="rId3327" /><Relationship Type="http://schemas.openxmlformats.org/officeDocument/2006/relationships/hyperlink" Target="https://www.pricecharting.com/game/pokemon-journey-together/blister-pack-archaludon" TargetMode="External" Id="rId3328" /><Relationship Type="http://schemas.openxmlformats.org/officeDocument/2006/relationships/hyperlink" Target="https://www.pricecharting.com/game/pokemon-journey-together/blister-pack-melmetal" TargetMode="External" Id="rId3329" /><Relationship Type="http://schemas.openxmlformats.org/officeDocument/2006/relationships/hyperlink" Target="https://www.pricecharting.com/game/pokemon-journey-together/blister-pack-scraggy" TargetMode="External" Id="rId3330" /><Relationship Type="http://schemas.openxmlformats.org/officeDocument/2006/relationships/hyperlink" Target="https://www.pricecharting.com/game/pokemon-journey-together/blister-pack-yanma" TargetMode="External" Id="rId3331" /><Relationship Type="http://schemas.openxmlformats.org/officeDocument/2006/relationships/hyperlink" Target="https://www.pricecharting.com/game/pokemon-journey-together/checklane-blister-klinklang" TargetMode="External" Id="rId3332" /><Relationship Type="http://schemas.openxmlformats.org/officeDocument/2006/relationships/hyperlink" Target="https://www.pricecharting.com/game/pokemon-journey-together/checklane-blister-yanma" TargetMode="External" Id="rId3333" /><Relationship Type="http://schemas.openxmlformats.org/officeDocument/2006/relationships/hyperlink" Target="https://www.pricecharting.com/game/pokemon-journey-together/sealed-fun-pack" TargetMode="External" Id="rId3334" /><Relationship Type="http://schemas.openxmlformats.org/officeDocument/2006/relationships/hyperlink" Target="https://www.pricecharting.com/game/pokemon-jungle/blister-pack" TargetMode="External" Id="rId3335" /><Relationship Type="http://schemas.openxmlformats.org/officeDocument/2006/relationships/hyperlink" Target="https://www.pricecharting.com/game/pokemon-jungle/booster-pack" TargetMode="External" Id="rId3336" /><Relationship Type="http://schemas.openxmlformats.org/officeDocument/2006/relationships/hyperlink" Target="https://www.pricecharting.com/game/pokemon-jungle/booster-pack-1st-edition" TargetMode="External" Id="rId3337" /><Relationship Type="http://schemas.openxmlformats.org/officeDocument/2006/relationships/hyperlink" Target="https://www.tcgplayer.com/product/138128" TargetMode="External" Id="rId3338" /><Relationship Type="http://schemas.openxmlformats.org/officeDocument/2006/relationships/hyperlink" Target="https://www.tcgplayer.com/product/138129" TargetMode="External" Id="rId3339" /><Relationship Type="http://schemas.openxmlformats.org/officeDocument/2006/relationships/hyperlink" Target="https://www.pricecharting.com/game/pokemon-legendary-collection/blister-pack" TargetMode="External" Id="rId3340" /><Relationship Type="http://schemas.openxmlformats.org/officeDocument/2006/relationships/hyperlink" Target="https://www.pricecharting.com/game/pokemon-legendary-collection/booster-pack" TargetMode="External" Id="rId3341" /><Relationship Type="http://schemas.openxmlformats.org/officeDocument/2006/relationships/hyperlink" Target="https://www.tcgplayer.com/product/138150" TargetMode="External" Id="rId3342" /><Relationship Type="http://schemas.openxmlformats.org/officeDocument/2006/relationships/hyperlink" Target="https://www.pricecharting.com/game/pokemon-legendary-treasures/booster-pack" TargetMode="External" Id="rId3343" /><Relationship Type="http://schemas.openxmlformats.org/officeDocument/2006/relationships/hyperlink" Target="https://www.tcgplayer.com/product/98581" TargetMode="External" Id="rId3344" /><Relationship Type="http://schemas.openxmlformats.org/officeDocument/2006/relationships/hyperlink" Target="https://www.pricecharting.com/game/pokemon-legends-awakened/booster-pack" TargetMode="External" Id="rId3345" /><Relationship Type="http://schemas.openxmlformats.org/officeDocument/2006/relationships/hyperlink" Target="https://www.tcgplayer.com/product/98537" TargetMode="External" Id="rId3346" /><Relationship Type="http://schemas.openxmlformats.org/officeDocument/2006/relationships/hyperlink" Target="https://www.pricecharting.com/game/pokemon-legends-awakened/mothim-blister-pack" TargetMode="External" Id="rId3347" /><Relationship Type="http://schemas.openxmlformats.org/officeDocument/2006/relationships/hyperlink" Target="https://www.pricecharting.com/game/pokemon-lost-origin/arceus-&amp;-darkrai-pin-blister-pack" TargetMode="External" Id="rId3348" /><Relationship Type="http://schemas.openxmlformats.org/officeDocument/2006/relationships/hyperlink" Target="https://www.pricecharting.com/game/pokemon-lost-origin/booster-pack-heavy" TargetMode="External" Id="rId3349" /><Relationship Type="http://schemas.openxmlformats.org/officeDocument/2006/relationships/hyperlink" Target="https://www.pricecharting.com/game/pokemon-lost-origin/fun-pack" TargetMode="External" Id="rId3350" /><Relationship Type="http://schemas.openxmlformats.org/officeDocument/2006/relationships/hyperlink" Target="https://www.pricecharting.com/game/pokemon-lost-origin/infernape-premium-checklane-blister" TargetMode="External" Id="rId3351" /><Relationship Type="http://schemas.openxmlformats.org/officeDocument/2006/relationships/hyperlink" Target="https://www.pricecharting.com/game/pokemon-lost-origin/scorbunny-checklane-blister" TargetMode="External" Id="rId3352" /><Relationship Type="http://schemas.openxmlformats.org/officeDocument/2006/relationships/hyperlink" Target="https://www.pricecharting.com/game/pokemon-lost-origin/torterra-premium-checklane-blister" TargetMode="External" Id="rId3353" /><Relationship Type="http://schemas.openxmlformats.org/officeDocument/2006/relationships/hyperlink" Target="https://www.pricecharting.com/game/pokemon-lost-thunder/mini-booster-pack" TargetMode="External" Id="rId3354" /><Relationship Type="http://schemas.openxmlformats.org/officeDocument/2006/relationships/hyperlink" Target="https://www.tcgplayer.com/product/647498" TargetMode="External" Id="rId3355" /><Relationship Type="http://schemas.openxmlformats.org/officeDocument/2006/relationships/hyperlink" Target="https://www.tcgplayer.com/product/647499" TargetMode="External" Id="rId3356" /><Relationship Type="http://schemas.openxmlformats.org/officeDocument/2006/relationships/hyperlink" Target="https://www.tcgplayer.com/product/655970" TargetMode="External" Id="rId3357" /><Relationship Type="http://schemas.openxmlformats.org/officeDocument/2006/relationships/hyperlink" Target="https://www.tcgplayer.com/product/666255" TargetMode="External" Id="rId3358" /><Relationship Type="http://schemas.openxmlformats.org/officeDocument/2006/relationships/hyperlink" Target="https://www.tcgplayer.com/product/674454" TargetMode="External" Id="rId3359" /><Relationship Type="http://schemas.openxmlformats.org/officeDocument/2006/relationships/hyperlink" Target="https://www.tcgplayer.com/product/683776" TargetMode="External" Id="rId3360" /><Relationship Type="http://schemas.openxmlformats.org/officeDocument/2006/relationships/hyperlink" Target="https://www.tcgplayer.com/product/695111" TargetMode="External" Id="rId3361" /><Relationship Type="http://schemas.openxmlformats.org/officeDocument/2006/relationships/hyperlink" Target="https://www.tcgplayer.com/product/709111" TargetMode="External" Id="rId3362" /><Relationship Type="http://schemas.openxmlformats.org/officeDocument/2006/relationships/hyperlink" Target="https://www.tcgplayer.com/product/718621" TargetMode="External" Id="rId3363" /><Relationship Type="http://schemas.openxmlformats.org/officeDocument/2006/relationships/hyperlink" Target="https://www.pricecharting.com/game/pokemon-majestic-dawn/booster-pack" TargetMode="External" Id="rId3364" /><Relationship Type="http://schemas.openxmlformats.org/officeDocument/2006/relationships/hyperlink" Target="https://www.tcgplayer.com/product/98585" TargetMode="External" Id="rId3365" /><Relationship Type="http://schemas.openxmlformats.org/officeDocument/2006/relationships/hyperlink" Target="https://www.tcgplayer.com/product/232748" TargetMode="External" Id="rId3366" /><Relationship Type="http://schemas.openxmlformats.org/officeDocument/2006/relationships/hyperlink" Target="https://www.tcgplayer.com/product/282530" TargetMode="External" Id="rId3367" /><Relationship Type="http://schemas.openxmlformats.org/officeDocument/2006/relationships/hyperlink" Target="https://www.tcgplayer.com/product/516527" TargetMode="External" Id="rId3368" /><Relationship Type="http://schemas.openxmlformats.org/officeDocument/2006/relationships/hyperlink" Target="https://www.tcgplayer.com/product/615609" TargetMode="External" Id="rId3369" /><Relationship Type="http://schemas.openxmlformats.org/officeDocument/2006/relationships/hyperlink" Target="https://www.pricecharting.com/game/pokemon-mcdonalds-2021/booster-pack" TargetMode="External" Id="rId3370" /><Relationship Type="http://schemas.openxmlformats.org/officeDocument/2006/relationships/hyperlink" Target="https://www.pricecharting.com/game/pokemon-mcdonalds-2022/booster-pack" TargetMode="External" Id="rId3371" /><Relationship Type="http://schemas.openxmlformats.org/officeDocument/2006/relationships/hyperlink" Target="https://www.pricecharting.com/game/pokemon-mcdonalds-2022/match-battle-pack" TargetMode="External" Id="rId3372" /><Relationship Type="http://schemas.openxmlformats.org/officeDocument/2006/relationships/hyperlink" Target="https://www.pricecharting.com/game/pokemon-mcdonalds-2023/match-battle-pack" TargetMode="External" Id="rId3373" /><Relationship Type="http://schemas.openxmlformats.org/officeDocument/2006/relationships/hyperlink" Target="https://www.pricecharting.com/game/pokemon-mcdonalds-2024/booster-pack" TargetMode="External" Id="rId3374" /><Relationship Type="http://schemas.openxmlformats.org/officeDocument/2006/relationships/hyperlink" Target="https://www.tcgplayer.com/product/644356" TargetMode="External" Id="rId3375" /><Relationship Type="http://schemas.openxmlformats.org/officeDocument/2006/relationships/hyperlink" Target="https://www.tcgplayer.com/product/644357" TargetMode="External" Id="rId3376" /><Relationship Type="http://schemas.openxmlformats.org/officeDocument/2006/relationships/hyperlink" Target="https://www.tcgplayer.com/product/644352" TargetMode="External" Id="rId3377" /><Relationship Type="http://schemas.openxmlformats.org/officeDocument/2006/relationships/hyperlink" Target="https://www.tcgplayer.com/product/644361" TargetMode="External" Id="rId3378" /><Relationship Type="http://schemas.openxmlformats.org/officeDocument/2006/relationships/hyperlink" Target="https://www.tcgplayer.com/product/644359" TargetMode="External" Id="rId3379" /><Relationship Type="http://schemas.openxmlformats.org/officeDocument/2006/relationships/hyperlink" Target="https://www.tcgplayer.com/product/644358" TargetMode="External" Id="rId3380" /><Relationship Type="http://schemas.openxmlformats.org/officeDocument/2006/relationships/hyperlink" Target="https://www.tcgplayer.com/product/657490" TargetMode="External" Id="rId3381" /><Relationship Type="http://schemas.openxmlformats.org/officeDocument/2006/relationships/hyperlink" Target="https://www.tcgplayer.com/product/657489" TargetMode="External" Id="rId3382" /><Relationship Type="http://schemas.openxmlformats.org/officeDocument/2006/relationships/hyperlink" Target="https://www.tcgplayer.com/product/644354" TargetMode="External" Id="rId3383" /><Relationship Type="http://schemas.openxmlformats.org/officeDocument/2006/relationships/hyperlink" Target="https://www.tcgplayer.com/product/654154" TargetMode="External" Id="rId3384" /><Relationship Type="http://schemas.openxmlformats.org/officeDocument/2006/relationships/hyperlink" Target="https://www.tcgplayer.com/product/654156" TargetMode="External" Id="rId3385" /><Relationship Type="http://schemas.openxmlformats.org/officeDocument/2006/relationships/hyperlink" Target="https://www.tcgplayer.com/product/654144" TargetMode="External" Id="rId3386" /><Relationship Type="http://schemas.openxmlformats.org/officeDocument/2006/relationships/hyperlink" Target="https://www.tcgplayer.com/product/715708" TargetMode="External" Id="rId3387" /><Relationship Type="http://schemas.openxmlformats.org/officeDocument/2006/relationships/hyperlink" Target="https://www.tcgplayer.com/product/668931" TargetMode="External" Id="rId3388" /><Relationship Type="http://schemas.openxmlformats.org/officeDocument/2006/relationships/hyperlink" Target="https://www.tcgplayer.com/product/654147" TargetMode="External" Id="rId3389" /><Relationship Type="http://schemas.openxmlformats.org/officeDocument/2006/relationships/hyperlink" Target="https://www.tcgplayer.com/product/672588" TargetMode="External" Id="rId3390" /><Relationship Type="http://schemas.openxmlformats.org/officeDocument/2006/relationships/hyperlink" Target="https://www.tcgplayer.com/product/654146" TargetMode="External" Id="rId3391" /><Relationship Type="http://schemas.openxmlformats.org/officeDocument/2006/relationships/hyperlink" Target="https://www.tcgplayer.com/product/654151" TargetMode="External" Id="rId3392" /><Relationship Type="http://schemas.openxmlformats.org/officeDocument/2006/relationships/hyperlink" Target="https://www.tcgplayer.com/product/654150" TargetMode="External" Id="rId3393" /><Relationship Type="http://schemas.openxmlformats.org/officeDocument/2006/relationships/hyperlink" Target="https://www.tcgplayer.com/product/654145" TargetMode="External" Id="rId3394" /><Relationship Type="http://schemas.openxmlformats.org/officeDocument/2006/relationships/hyperlink" Target="https://www.tcgplayer.com/product/672393" TargetMode="External" Id="rId3395" /><Relationship Type="http://schemas.openxmlformats.org/officeDocument/2006/relationships/hyperlink" Target="https://www.tcgplayer.com/product/672398" TargetMode="External" Id="rId3396" /><Relationship Type="http://schemas.openxmlformats.org/officeDocument/2006/relationships/hyperlink" Target="https://www.tcgplayer.com/product/672407" TargetMode="External" Id="rId3397" /><Relationship Type="http://schemas.openxmlformats.org/officeDocument/2006/relationships/hyperlink" Target="https://www.tcgplayer.com/product/672409" TargetMode="External" Id="rId3398" /><Relationship Type="http://schemas.openxmlformats.org/officeDocument/2006/relationships/hyperlink" Target="https://www.tcgplayer.com/product/672406" TargetMode="External" Id="rId3399" /><Relationship Type="http://schemas.openxmlformats.org/officeDocument/2006/relationships/hyperlink" Target="https://www.tcgplayer.com/product/672408" TargetMode="External" Id="rId3400" /><Relationship Type="http://schemas.openxmlformats.org/officeDocument/2006/relationships/hyperlink" Target="https://www.tcgplayer.com/product/672410" TargetMode="External" Id="rId3401" /><Relationship Type="http://schemas.openxmlformats.org/officeDocument/2006/relationships/hyperlink" Target="https://www.tcgplayer.com/product/672412" TargetMode="External" Id="rId3402" /><Relationship Type="http://schemas.openxmlformats.org/officeDocument/2006/relationships/hyperlink" Target="https://www.tcgplayer.com/product/684446" TargetMode="External" Id="rId3403" /><Relationship Type="http://schemas.openxmlformats.org/officeDocument/2006/relationships/hyperlink" Target="https://www.tcgplayer.com/product/684460" TargetMode="External" Id="rId3404" /><Relationship Type="http://schemas.openxmlformats.org/officeDocument/2006/relationships/hyperlink" Target="https://www.tcgplayer.com/product/684459" TargetMode="External" Id="rId3405" /><Relationship Type="http://schemas.openxmlformats.org/officeDocument/2006/relationships/hyperlink" Target="https://www.tcgplayer.com/product/696150" TargetMode="External" Id="rId3406" /><Relationship Type="http://schemas.openxmlformats.org/officeDocument/2006/relationships/hyperlink" Target="https://www.tcgplayer.com/product/684457" TargetMode="External" Id="rId3407" /><Relationship Type="http://schemas.openxmlformats.org/officeDocument/2006/relationships/hyperlink" Target="https://www.tcgplayer.com/product/696144" TargetMode="External" Id="rId3408" /><Relationship Type="http://schemas.openxmlformats.org/officeDocument/2006/relationships/hyperlink" Target="https://www.tcgplayer.com/product/684448" TargetMode="External" Id="rId3409" /><Relationship Type="http://schemas.openxmlformats.org/officeDocument/2006/relationships/hyperlink" Target="https://www.tcgplayer.com/product/692944" TargetMode="External" Id="rId3410" /><Relationship Type="http://schemas.openxmlformats.org/officeDocument/2006/relationships/hyperlink" Target="https://www.tcgplayer.com/product/692954" TargetMode="External" Id="rId3411" /><Relationship Type="http://schemas.openxmlformats.org/officeDocument/2006/relationships/hyperlink" Target="https://www.tcgplayer.com/product/692951" TargetMode="External" Id="rId3412" /><Relationship Type="http://schemas.openxmlformats.org/officeDocument/2006/relationships/hyperlink" Target="https://www.tcgplayer.com/product/692952" TargetMode="External" Id="rId3413" /><Relationship Type="http://schemas.openxmlformats.org/officeDocument/2006/relationships/hyperlink" Target="https://www.tcgplayer.com/product/692953" TargetMode="External" Id="rId3414" /><Relationship Type="http://schemas.openxmlformats.org/officeDocument/2006/relationships/hyperlink" Target="https://www.tcgplayer.com/product/692955" TargetMode="External" Id="rId3415" /><Relationship Type="http://schemas.openxmlformats.org/officeDocument/2006/relationships/hyperlink" Target="https://www.tcgplayer.com/product/692957" TargetMode="External" Id="rId3416" /><Relationship Type="http://schemas.openxmlformats.org/officeDocument/2006/relationships/hyperlink" Target="https://www.tcgplayer.com/product/712093" TargetMode="External" Id="rId3417" /><Relationship Type="http://schemas.openxmlformats.org/officeDocument/2006/relationships/hyperlink" Target="https://www.tcgplayer.com/product/712108" TargetMode="External" Id="rId3418" /><Relationship Type="http://schemas.openxmlformats.org/officeDocument/2006/relationships/hyperlink" Target="https://www.tcgplayer.com/product/712112" TargetMode="External" Id="rId3419" /><Relationship Type="http://schemas.openxmlformats.org/officeDocument/2006/relationships/hyperlink" Target="https://www.pricecharting.com/game/pokemon-30th-celebration/booster-pack" TargetMode="External" Id="rId3420" /><Relationship Type="http://schemas.openxmlformats.org/officeDocument/2006/relationships/hyperlink" Target="https://www.tcgplayer.com/product/696613" TargetMode="External" Id="rId3421" /><Relationship Type="http://schemas.openxmlformats.org/officeDocument/2006/relationships/hyperlink" Target="https://www.pricecharting.com/game/pokemon-ascended-heroes/booster-pack" TargetMode="External" Id="rId3422" /><Relationship Type="http://schemas.openxmlformats.org/officeDocument/2006/relationships/hyperlink" Target="https://www.tcgplayer.com/product/672434" TargetMode="External" Id="rId3423" /><Relationship Type="http://schemas.openxmlformats.org/officeDocument/2006/relationships/hyperlink" Target="https://www.pricecharting.com/game/pokemon-mega-evolution/3-pack-blister-golduck" TargetMode="External" Id="rId3424" /><Relationship Type="http://schemas.openxmlformats.org/officeDocument/2006/relationships/hyperlink" Target="https://www.pricecharting.com/game/pokemon-mega-evolution/3-pack-blister-psyduck" TargetMode="External" Id="rId3425" /><Relationship Type="http://schemas.openxmlformats.org/officeDocument/2006/relationships/hyperlink" Target="https://www.pricecharting.com/game/pokemon-mega-evolution/booster-pack" TargetMode="External" Id="rId3426" /><Relationship Type="http://schemas.openxmlformats.org/officeDocument/2006/relationships/hyperlink" Target="https://www.pricecharting.com/game/pokemon-mega-evolution/checklane-blister-lycanroc" TargetMode="External" Id="rId3427" /><Relationship Type="http://schemas.openxmlformats.org/officeDocument/2006/relationships/hyperlink" Target="https://www.pricecharting.com/game/pokemon-mega-evolution/checklane-blister-wailord" TargetMode="External" Id="rId3428" /><Relationship Type="http://schemas.openxmlformats.org/officeDocument/2006/relationships/hyperlink" Target="https://www.pricecharting.com/game/pokemon-mega-evolution/premium-checklane-blister-meowscarada" TargetMode="External" Id="rId3429" /><Relationship Type="http://schemas.openxmlformats.org/officeDocument/2006/relationships/hyperlink" Target="https://www.pricecharting.com/game/pokemon-mega-evolution/premium-checklane-blister-tyranitar" TargetMode="External" Id="rId3430" /><Relationship Type="http://schemas.openxmlformats.org/officeDocument/2006/relationships/hyperlink" Target="https://www.pricecharting.com/game/pokemon-mega-evolution/single-pack-blister-drifblim" TargetMode="External" Id="rId3431" /><Relationship Type="http://schemas.openxmlformats.org/officeDocument/2006/relationships/hyperlink" Target="https://www.pricecharting.com/game/pokemon-mega-evolution/single-pack-blister-drifloon" TargetMode="External" Id="rId3432" /><Relationship Type="http://schemas.openxmlformats.org/officeDocument/2006/relationships/hyperlink" Target="https://www.pricecharting.com/game/pokemon-mega-evolution/sleeved-booster-pack" TargetMode="External" Id="rId3433" /><Relationship Type="http://schemas.openxmlformats.org/officeDocument/2006/relationships/hyperlink" Target="https://www.tcgplayer.com/product/248714" TargetMode="External" Id="rId3434" /><Relationship Type="http://schemas.openxmlformats.org/officeDocument/2006/relationships/hyperlink" Target="https://www.tcgplayer.com/product/634329" TargetMode="External" Id="rId3435" /><Relationship Type="http://schemas.openxmlformats.org/officeDocument/2006/relationships/hyperlink" Target="https://www.tcgplayer.com/product/668362" TargetMode="External" Id="rId3436" /><Relationship Type="http://schemas.openxmlformats.org/officeDocument/2006/relationships/hyperlink" Target="https://www.tcgplayer.com/product/237105" TargetMode="External" Id="rId3437" /><Relationship Type="http://schemas.openxmlformats.org/officeDocument/2006/relationships/hyperlink" Target="https://www.tcgplayer.com/product/237106" TargetMode="External" Id="rId3438" /><Relationship Type="http://schemas.openxmlformats.org/officeDocument/2006/relationships/hyperlink" Target="https://www.tcgplayer.com/product/235709" TargetMode="External" Id="rId3439" /><Relationship Type="http://schemas.openxmlformats.org/officeDocument/2006/relationships/hyperlink" Target="https://www.tcgplayer.com/product/235710" TargetMode="External" Id="rId3440" /><Relationship Type="http://schemas.openxmlformats.org/officeDocument/2006/relationships/hyperlink" Target="https://www.tcgplayer.com/product/230086" TargetMode="External" Id="rId3441" /><Relationship Type="http://schemas.openxmlformats.org/officeDocument/2006/relationships/hyperlink" Target="https://www.tcgplayer.com/product/232770" TargetMode="External" Id="rId3442" /><Relationship Type="http://schemas.openxmlformats.org/officeDocument/2006/relationships/hyperlink" Target="https://www.tcgplayer.com/product/190359" TargetMode="External" Id="rId3443" /><Relationship Type="http://schemas.openxmlformats.org/officeDocument/2006/relationships/hyperlink" Target="https://www.tcgplayer.com/product/190360" TargetMode="External" Id="rId3444" /><Relationship Type="http://schemas.openxmlformats.org/officeDocument/2006/relationships/hyperlink" Target="https://www.tcgplayer.com/product/265945" TargetMode="External" Id="rId3445" /><Relationship Type="http://schemas.openxmlformats.org/officeDocument/2006/relationships/hyperlink" Target="https://www.tcgplayer.com/product/265943" TargetMode="External" Id="rId3446" /><Relationship Type="http://schemas.openxmlformats.org/officeDocument/2006/relationships/hyperlink" Target="https://www.tcgplayer.com/product/265946" TargetMode="External" Id="rId3447" /><Relationship Type="http://schemas.openxmlformats.org/officeDocument/2006/relationships/hyperlink" Target="https://www.tcgplayer.com/product/497966" TargetMode="External" Id="rId3448" /><Relationship Type="http://schemas.openxmlformats.org/officeDocument/2006/relationships/hyperlink" Target="https://www.tcgplayer.com/product/549453" TargetMode="External" Id="rId3449" /><Relationship Type="http://schemas.openxmlformats.org/officeDocument/2006/relationships/hyperlink" Target="https://www.tcgplayer.com/product/549452" TargetMode="External" Id="rId3450" /><Relationship Type="http://schemas.openxmlformats.org/officeDocument/2006/relationships/hyperlink" Target="https://www.tcgplayer.com/product/549451" TargetMode="External" Id="rId3451" /><Relationship Type="http://schemas.openxmlformats.org/officeDocument/2006/relationships/hyperlink" Target="https://www.tcgplayer.com/product/273609" TargetMode="External" Id="rId3452" /><Relationship Type="http://schemas.openxmlformats.org/officeDocument/2006/relationships/hyperlink" Target="https://www.tcgplayer.com/product/497853" TargetMode="External" Id="rId3453" /><Relationship Type="http://schemas.openxmlformats.org/officeDocument/2006/relationships/hyperlink" Target="https://www.tcgplayer.com/product/273608" TargetMode="External" Id="rId3454" /><Relationship Type="http://schemas.openxmlformats.org/officeDocument/2006/relationships/hyperlink" Target="https://www.tcgplayer.com/product/273610" TargetMode="External" Id="rId3455" /><Relationship Type="http://schemas.openxmlformats.org/officeDocument/2006/relationships/hyperlink" Target="https://www.tcgplayer.com/product/497856" TargetMode="External" Id="rId3456" /><Relationship Type="http://schemas.openxmlformats.org/officeDocument/2006/relationships/hyperlink" Target="https://www.tcgplayer.com/product/200568" TargetMode="External" Id="rId3457" /><Relationship Type="http://schemas.openxmlformats.org/officeDocument/2006/relationships/hyperlink" Target="https://www.tcgplayer.com/product/276609" TargetMode="External" Id="rId3458" /><Relationship Type="http://schemas.openxmlformats.org/officeDocument/2006/relationships/hyperlink" Target="https://www.tcgplayer.com/product/530756" TargetMode="External" Id="rId3459" /><Relationship Type="http://schemas.openxmlformats.org/officeDocument/2006/relationships/hyperlink" Target="https://www.pricecharting.com/game/pokemon-mysterious-treasures/blister-pack" TargetMode="External" Id="rId3460" /><Relationship Type="http://schemas.openxmlformats.org/officeDocument/2006/relationships/hyperlink" Target="https://www.pricecharting.com/game/pokemon-mysterious-treasures/booster-pack" TargetMode="External" Id="rId3461" /><Relationship Type="http://schemas.openxmlformats.org/officeDocument/2006/relationships/hyperlink" Target="https://www.tcgplayer.com/product/98561" TargetMode="External" Id="rId3462" /><Relationship Type="http://schemas.openxmlformats.org/officeDocument/2006/relationships/hyperlink" Target="https://www.pricecharting.com/game/pokemon-neo-destiny/blister-pack" TargetMode="External" Id="rId3463" /><Relationship Type="http://schemas.openxmlformats.org/officeDocument/2006/relationships/hyperlink" Target="https://www.pricecharting.com/game/pokemon-neo-destiny/booster-pack" TargetMode="External" Id="rId3464" /><Relationship Type="http://schemas.openxmlformats.org/officeDocument/2006/relationships/hyperlink" Target="https://www.pricecharting.com/game/pokemon-neo-destiny/booster-pack-1st-edition" TargetMode="External" Id="rId3465" /><Relationship Type="http://schemas.openxmlformats.org/officeDocument/2006/relationships/hyperlink" Target="https://www.tcgplayer.com/product/138148" TargetMode="External" Id="rId3466" /><Relationship Type="http://schemas.openxmlformats.org/officeDocument/2006/relationships/hyperlink" Target="https://www.pricecharting.com/game/pokemon-neo-discovery/blister-pack" TargetMode="External" Id="rId3467" /><Relationship Type="http://schemas.openxmlformats.org/officeDocument/2006/relationships/hyperlink" Target="https://www.pricecharting.com/game/pokemon-neo-discovery/booster-pack" TargetMode="External" Id="rId3468" /><Relationship Type="http://schemas.openxmlformats.org/officeDocument/2006/relationships/hyperlink" Target="https://www.pricecharting.com/game/pokemon-neo-discovery/booster-pack-1st-edition" TargetMode="External" Id="rId3469" /><Relationship Type="http://schemas.openxmlformats.org/officeDocument/2006/relationships/hyperlink" Target="https://www.tcgplayer.com/product/138144" TargetMode="External" Id="rId3470" /><Relationship Type="http://schemas.openxmlformats.org/officeDocument/2006/relationships/hyperlink" Target="https://www.tcgplayer.com/product/138143" TargetMode="External" Id="rId3471" /><Relationship Type="http://schemas.openxmlformats.org/officeDocument/2006/relationships/hyperlink" Target="https://www.pricecharting.com/game/pokemon-neo-genesis/booster-pack" TargetMode="External" Id="rId3472" /><Relationship Type="http://schemas.openxmlformats.org/officeDocument/2006/relationships/hyperlink" Target="https://www.pricecharting.com/game/pokemon-neo-genesis/booster-pack-1st-edition" TargetMode="External" Id="rId3473" /><Relationship Type="http://schemas.openxmlformats.org/officeDocument/2006/relationships/hyperlink" Target="https://www.tcgplayer.com/product/138142" TargetMode="External" Id="rId3474" /><Relationship Type="http://schemas.openxmlformats.org/officeDocument/2006/relationships/hyperlink" Target="https://www.pricecharting.com/game/pokemon-neo-revelation/blister-pack" TargetMode="External" Id="rId3475" /><Relationship Type="http://schemas.openxmlformats.org/officeDocument/2006/relationships/hyperlink" Target="https://www.pricecharting.com/game/pokemon-neo-revelation/booster-pack" TargetMode="External" Id="rId3476" /><Relationship Type="http://schemas.openxmlformats.org/officeDocument/2006/relationships/hyperlink" Target="https://www.pricecharting.com/game/pokemon-neo-revelation/booster-pack-1st-edition" TargetMode="External" Id="rId3477" /><Relationship Type="http://schemas.openxmlformats.org/officeDocument/2006/relationships/hyperlink" Target="https://www.tcgplayer.com/product/138145" TargetMode="External" Id="rId3478" /><Relationship Type="http://schemas.openxmlformats.org/officeDocument/2006/relationships/hyperlink" Target="https://www.tcgplayer.com/product/138146" TargetMode="External" Id="rId3479" /><Relationship Type="http://schemas.openxmlformats.org/officeDocument/2006/relationships/hyperlink" Target="https://www.pricecharting.com/game/pokemon-next-destinies/blister-pack" TargetMode="External" Id="rId3480" /><Relationship Type="http://schemas.openxmlformats.org/officeDocument/2006/relationships/hyperlink" Target="https://www.pricecharting.com/game/pokemon-next-destinies/booster-pack" TargetMode="External" Id="rId3481" /><Relationship Type="http://schemas.openxmlformats.org/officeDocument/2006/relationships/hyperlink" Target="https://www.tcgplayer.com/product/98538" TargetMode="External" Id="rId3482" /><Relationship Type="http://schemas.openxmlformats.org/officeDocument/2006/relationships/hyperlink" Target="https://www.pricecharting.com/game/pokemon-next-destinies/sleeved-booster-pack" TargetMode="External" Id="rId3483" /><Relationship Type="http://schemas.openxmlformats.org/officeDocument/2006/relationships/hyperlink" Target="https://www.pricecharting.com/game/pokemon-noble-victories/booster-pack" TargetMode="External" Id="rId3484" /><Relationship Type="http://schemas.openxmlformats.org/officeDocument/2006/relationships/hyperlink" Target="https://www.tcgplayer.com/product/98570" TargetMode="External" Id="rId3485" /><Relationship Type="http://schemas.openxmlformats.org/officeDocument/2006/relationships/hyperlink" Target="https://www.pricecharting.com/game/pokemon-obsidian-flames/houndstone-3-pack-blister" TargetMode="External" Id="rId3486" /><Relationship Type="http://schemas.openxmlformats.org/officeDocument/2006/relationships/hyperlink" Target="https://www.pricecharting.com/game/pokemon-obsidian-flames/pawmi-checklane-blister-pack" TargetMode="External" Id="rId3487" /><Relationship Type="http://schemas.openxmlformats.org/officeDocument/2006/relationships/hyperlink" Target="https://www.pricecharting.com/game/pokemon-obsidian-flames/wooper-checklane-blister-pack" TargetMode="External" Id="rId3488" /><Relationship Type="http://schemas.openxmlformats.org/officeDocument/2006/relationships/hyperlink" Target="https://www.pricecharting.com/game/pokemon-paldea-evolved/checklane-blister-3-pack" TargetMode="External" Id="rId3489" /><Relationship Type="http://schemas.openxmlformats.org/officeDocument/2006/relationships/hyperlink" Target="https://www.pricecharting.com/game/pokemon-paldea-evolved/growlithe-checklane-blister-pack" TargetMode="External" Id="rId3490" /><Relationship Type="http://schemas.openxmlformats.org/officeDocument/2006/relationships/hyperlink" Target="https://www.pricecharting.com/game/pokemon-paldea-evolved/sealed-staff-pack" TargetMode="External" Id="rId3491" /><Relationship Type="http://schemas.openxmlformats.org/officeDocument/2006/relationships/hyperlink" Target="https://www.pricecharting.com/game/pokemon-paldea-evolved/smoliv-checklane-blister-pack" TargetMode="External" Id="rId3492" /><Relationship Type="http://schemas.openxmlformats.org/officeDocument/2006/relationships/hyperlink" Target="https://www.pricecharting.com/game/pokemon-paradox-rift/3-pack-blister" TargetMode="External" Id="rId3493" /><Relationship Type="http://schemas.openxmlformats.org/officeDocument/2006/relationships/hyperlink" Target="https://www.pricecharting.com/game/pokemon-paradox-rift/blister-pack-pineco" TargetMode="External" Id="rId3494" /><Relationship Type="http://schemas.openxmlformats.org/officeDocument/2006/relationships/hyperlink" Target="https://www.pricecharting.com/game/pokemon-paradox-rift/blister-pack-sinistea" TargetMode="External" Id="rId3495" /><Relationship Type="http://schemas.openxmlformats.org/officeDocument/2006/relationships/hyperlink" Target="https://www.pricecharting.com/game/pokemon-perfect-order/3-pack-blister-chikorita" TargetMode="External" Id="rId3496" /><Relationship Type="http://schemas.openxmlformats.org/officeDocument/2006/relationships/hyperlink" Target="https://www.pricecharting.com/game/pokemon-perfect-order/booster-pack" TargetMode="External" Id="rId3497" /><Relationship Type="http://schemas.openxmlformats.org/officeDocument/2006/relationships/hyperlink" Target="https://www.pricecharting.com/game/pokemon-perfect-order/premium-checklane-blister-cinderace" TargetMode="External" Id="rId3498" /><Relationship Type="http://schemas.openxmlformats.org/officeDocument/2006/relationships/hyperlink" Target="https://www.pricecharting.com/game/pokemon-perfect-order/premium-checklane-blister-clawitzer" TargetMode="External" Id="rId3499" /><Relationship Type="http://schemas.openxmlformats.org/officeDocument/2006/relationships/hyperlink" Target="https://www.pricecharting.com/game/pokemon-perfect-order/premium-checklane-blister-meganium" TargetMode="External" Id="rId3500" /><Relationship Type="http://schemas.openxmlformats.org/officeDocument/2006/relationships/hyperlink" Target="https://www.pricecharting.com/game/pokemon-perfect-order/premium-checklane-blister-steelix" TargetMode="External" Id="rId3501" /><Relationship Type="http://schemas.openxmlformats.org/officeDocument/2006/relationships/hyperlink" Target="https://www.pricecharting.com/game/pokemon-perfect-order/single-pack-blister-makuhita" TargetMode="External" Id="rId3502" /><Relationship Type="http://schemas.openxmlformats.org/officeDocument/2006/relationships/hyperlink" Target="https://www.pricecharting.com/game/pokemon-perfect-order/sleeved-booster-pack" TargetMode="External" Id="rId3503" /><Relationship Type="http://schemas.openxmlformats.org/officeDocument/2006/relationships/hyperlink" Target="https://www.pricecharting.com/game/pokemon-phantasmal-flames/3-pack-blister-sneasel" TargetMode="External" Id="rId3504" /><Relationship Type="http://schemas.openxmlformats.org/officeDocument/2006/relationships/hyperlink" Target="https://www.pricecharting.com/game/pokemon-phantasmal-flames/3-pack-blister-weavile" TargetMode="External" Id="rId3505" /><Relationship Type="http://schemas.openxmlformats.org/officeDocument/2006/relationships/hyperlink" Target="https://www.pricecharting.com/game/pokemon-phantasmal-flames/booster-pack" TargetMode="External" Id="rId3506" /><Relationship Type="http://schemas.openxmlformats.org/officeDocument/2006/relationships/hyperlink" Target="https://www.pricecharting.com/game/pokemon-phantasmal-flames/enhanced-2-pack-blister" TargetMode="External" Id="rId3507" /><Relationship Type="http://schemas.openxmlformats.org/officeDocument/2006/relationships/hyperlink" Target="https://www.pricecharting.com/game/pokemon-phantasmal-flames/premium-checklane-blister-arven's-greedent" TargetMode="External" Id="rId3508" /><Relationship Type="http://schemas.openxmlformats.org/officeDocument/2006/relationships/hyperlink" Target="https://www.pricecharting.com/game/pokemon-phantasmal-flames/premium-checklane-blister-blaziken" TargetMode="External" Id="rId3509" /><Relationship Type="http://schemas.openxmlformats.org/officeDocument/2006/relationships/hyperlink" Target="https://www.pricecharting.com/game/pokemon-phantasmal-flames/premium-checklane-blister-ethan's-magcargo" TargetMode="External" Id="rId3510" /><Relationship Type="http://schemas.openxmlformats.org/officeDocument/2006/relationships/hyperlink" Target="https://www.pricecharting.com/game/pokemon-phantasmal-flames/premium-checklane-blister-hydrapple" TargetMode="External" Id="rId3511" /><Relationship Type="http://schemas.openxmlformats.org/officeDocument/2006/relationships/hyperlink" Target="https://www.pricecharting.com/game/pokemon-phantasmal-flames/single-pack-blister-cottonee" TargetMode="External" Id="rId3512" /><Relationship Type="http://schemas.openxmlformats.org/officeDocument/2006/relationships/hyperlink" Target="https://www.pricecharting.com/game/pokemon-phantasmal-flames/single-pack-blister-whimsicott" TargetMode="External" Id="rId3513" /><Relationship Type="http://schemas.openxmlformats.org/officeDocument/2006/relationships/hyperlink" Target="https://www.pricecharting.com/game/pokemon-phantasmal-flames/sleeved-booster-pack" TargetMode="External" Id="rId3514" /><Relationship Type="http://schemas.openxmlformats.org/officeDocument/2006/relationships/hyperlink" Target="https://www.pricecharting.com/game/pokemon-phantom-forces/blister-pack" TargetMode="External" Id="rId3515" /><Relationship Type="http://schemas.openxmlformats.org/officeDocument/2006/relationships/hyperlink" Target="https://www.pricecharting.com/game/pokemon-phantom-forces/booster-pack" TargetMode="External" Id="rId3516" /><Relationship Type="http://schemas.openxmlformats.org/officeDocument/2006/relationships/hyperlink" Target="https://www.pricecharting.com/game/pokemon-pitch-black/booster-pack" TargetMode="External" Id="rId3517" /><Relationship Type="http://schemas.openxmlformats.org/officeDocument/2006/relationships/hyperlink" Target="https://www.pricecharting.com/game/pokemon-pitch-black/premium-checklane-blister-aurorus" TargetMode="External" Id="rId3518" /><Relationship Type="http://schemas.openxmlformats.org/officeDocument/2006/relationships/hyperlink" Target="https://www.pricecharting.com/game/pokemon-pitch-black/premium-checklane-blister-gengar" TargetMode="External" Id="rId3519" /><Relationship Type="http://schemas.openxmlformats.org/officeDocument/2006/relationships/hyperlink" Target="https://www.pricecharting.com/game/pokemon-pitch-black/premium-checklane-blister-luxray" TargetMode="External" Id="rId3520" /><Relationship Type="http://schemas.openxmlformats.org/officeDocument/2006/relationships/hyperlink" Target="https://www.pricecharting.com/game/pokemon-pitch-black/premium-checklane-blister-tyrantrum" TargetMode="External" Id="rId3521" /><Relationship Type="http://schemas.openxmlformats.org/officeDocument/2006/relationships/hyperlink" Target="https://www.pricecharting.com/game/pokemon-pitch-black/single-pack-blister" TargetMode="External" Id="rId3522" /><Relationship Type="http://schemas.openxmlformats.org/officeDocument/2006/relationships/hyperlink" Target="https://www.pricecharting.com/game/pokemon-pitch-black/sleeved-booster-pack" TargetMode="External" Id="rId3523" /><Relationship Type="http://schemas.openxmlformats.org/officeDocument/2006/relationships/hyperlink" Target="https://www.pricecharting.com/game/pokemon-plasma-blast/booster-pack" TargetMode="External" Id="rId3524" /><Relationship Type="http://schemas.openxmlformats.org/officeDocument/2006/relationships/hyperlink" Target="https://www.tcgplayer.com/product/98573" TargetMode="External" Id="rId3525" /><Relationship Type="http://schemas.openxmlformats.org/officeDocument/2006/relationships/hyperlink" Target="https://www.pricecharting.com/game/pokemon-plasma-freeze/booster-pack" TargetMode="External" Id="rId3526" /><Relationship Type="http://schemas.openxmlformats.org/officeDocument/2006/relationships/hyperlink" Target="https://www.tcgplayer.com/product/98517" TargetMode="External" Id="rId3527" /><Relationship Type="http://schemas.openxmlformats.org/officeDocument/2006/relationships/hyperlink" Target="https://www.tcgplayer.com/product/99153" TargetMode="External" Id="rId3528" /><Relationship Type="http://schemas.openxmlformats.org/officeDocument/2006/relationships/hyperlink" Target="https://www.pricecharting.com/game/pokemon-plasma-storm/booster-pack" TargetMode="External" Id="rId3529" /><Relationship Type="http://schemas.openxmlformats.org/officeDocument/2006/relationships/hyperlink" Target="https://www.tcgplayer.com/product/98526" TargetMode="External" Id="rId3530" /><Relationship Type="http://schemas.openxmlformats.org/officeDocument/2006/relationships/hyperlink" Target="https://www.pricecharting.com/game/pokemon-platinum/blister-pack" TargetMode="External" Id="rId3531" /><Relationship Type="http://schemas.openxmlformats.org/officeDocument/2006/relationships/hyperlink" Target="https://www.pricecharting.com/game/pokemon-platinum/booster-pack" TargetMode="External" Id="rId3532" /><Relationship Type="http://schemas.openxmlformats.org/officeDocument/2006/relationships/hyperlink" Target="https://www.tcgplayer.com/product/98591" TargetMode="External" Id="rId3533" /><Relationship Type="http://schemas.openxmlformats.org/officeDocument/2006/relationships/hyperlink" Target="https://www.pricecharting.com/game/pokemon-platinum/heatran-checklane-blister-pack" TargetMode="External" Id="rId3534" /><Relationship Type="http://schemas.openxmlformats.org/officeDocument/2006/relationships/hyperlink" Target="https://www.tcgplayer.com/product/274421" TargetMode="External" Id="rId3535" /><Relationship Type="http://schemas.openxmlformats.org/officeDocument/2006/relationships/hyperlink" Target="https://www.tcgplayer.com/product/677751" TargetMode="External" Id="rId3536" /><Relationship Type="http://schemas.openxmlformats.org/officeDocument/2006/relationships/hyperlink" Target="https://www.pricecharting.com/game/pokemon-pop-series-1/booster-pack" TargetMode="External" Id="rId3537" /><Relationship Type="http://schemas.openxmlformats.org/officeDocument/2006/relationships/hyperlink" Target="https://www.tcgplayer.com/product/141227" TargetMode="External" Id="rId3538" /><Relationship Type="http://schemas.openxmlformats.org/officeDocument/2006/relationships/hyperlink" Target="https://www.pricecharting.com/game/pokemon-pop-series-2/booster-pack" TargetMode="External" Id="rId3539" /><Relationship Type="http://schemas.openxmlformats.org/officeDocument/2006/relationships/hyperlink" Target="https://www.pricecharting.com/game/pokemon-pop-series-3/booster-pack" TargetMode="External" Id="rId3540" /><Relationship Type="http://schemas.openxmlformats.org/officeDocument/2006/relationships/hyperlink" Target="https://www.tcgplayer.com/product/190532" TargetMode="External" Id="rId3541" /><Relationship Type="http://schemas.openxmlformats.org/officeDocument/2006/relationships/hyperlink" Target="https://www.pricecharting.com/game/pokemon-pop-series-4/booster-pack" TargetMode="External" Id="rId3542" /><Relationship Type="http://schemas.openxmlformats.org/officeDocument/2006/relationships/hyperlink" Target="https://www.tcgplayer.com/product/190533" TargetMode="External" Id="rId3543" /><Relationship Type="http://schemas.openxmlformats.org/officeDocument/2006/relationships/hyperlink" Target="https://www.pricecharting.com/game/pokemon-pop-series-5/booster-pack" TargetMode="External" Id="rId3544" /><Relationship Type="http://schemas.openxmlformats.org/officeDocument/2006/relationships/hyperlink" Target="https://www.tcgplayer.com/product/190534" TargetMode="External" Id="rId3545" /><Relationship Type="http://schemas.openxmlformats.org/officeDocument/2006/relationships/hyperlink" Target="https://www.tcgplayer.com/product/141229" TargetMode="External" Id="rId3546" /><Relationship Type="http://schemas.openxmlformats.org/officeDocument/2006/relationships/hyperlink" Target="https://www.tcgplayer.com/product/190535" TargetMode="External" Id="rId3547" /><Relationship Type="http://schemas.openxmlformats.org/officeDocument/2006/relationships/hyperlink" Target="https://www.tcgplayer.com/product/190536" TargetMode="External" Id="rId3548" /><Relationship Type="http://schemas.openxmlformats.org/officeDocument/2006/relationships/hyperlink" Target="https://www.tcgplayer.com/product/190537" TargetMode="External" Id="rId3549" /><Relationship Type="http://schemas.openxmlformats.org/officeDocument/2006/relationships/hyperlink" Target="https://www.pricecharting.com/game/pokemon-power-keepers/blister-pack" TargetMode="External" Id="rId3550" /><Relationship Type="http://schemas.openxmlformats.org/officeDocument/2006/relationships/hyperlink" Target="https://www.pricecharting.com/game/pokemon-primal-clash/blister-pack" TargetMode="External" Id="rId3551" /><Relationship Type="http://schemas.openxmlformats.org/officeDocument/2006/relationships/hyperlink" Target="https://www.pricecharting.com/game/pokemon-primal-clash/booster-pack" TargetMode="External" Id="rId3552" /><Relationship Type="http://schemas.openxmlformats.org/officeDocument/2006/relationships/hyperlink" Target="https://www.pricecharting.com/game/pokemon-primal-clash/sleeved-booster-pack" TargetMode="External" Id="rId3553" /><Relationship Type="http://schemas.openxmlformats.org/officeDocument/2006/relationships/hyperlink" Target="https://www.pricecharting.com/game/pokemon-prismatic-evolutions/2-pack-blister" TargetMode="External" Id="rId3554" /><Relationship Type="http://schemas.openxmlformats.org/officeDocument/2006/relationships/hyperlink" Target="https://www.tcgplayer.com/product/670914" TargetMode="External" Id="rId3555" /><Relationship Type="http://schemas.openxmlformats.org/officeDocument/2006/relationships/hyperlink" Target="https://www.tcgplayer.com/product/577596" TargetMode="External" Id="rId3556" /><Relationship Type="http://schemas.openxmlformats.org/officeDocument/2006/relationships/hyperlink" Target="https://www.tcgplayer.com/product/551628" TargetMode="External" Id="rId3557" /><Relationship Type="http://schemas.openxmlformats.org/officeDocument/2006/relationships/hyperlink" Target="https://www.tcgplayer.com/product/704373" TargetMode="External" Id="rId3558" /><Relationship Type="http://schemas.openxmlformats.org/officeDocument/2006/relationships/hyperlink" Target="https://www.tcgplayer.com/product/482138" TargetMode="External" Id="rId3559" /><Relationship Type="http://schemas.openxmlformats.org/officeDocument/2006/relationships/hyperlink" Target="https://www.tcgplayer.com/product/649191" TargetMode="External" Id="rId3560" /><Relationship Type="http://schemas.openxmlformats.org/officeDocument/2006/relationships/hyperlink" Target="https://www.tcgplayer.com/product/639713" TargetMode="External" Id="rId3561" /><Relationship Type="http://schemas.openxmlformats.org/officeDocument/2006/relationships/hyperlink" Target="https://www.tcgplayer.com/product/517551" TargetMode="External" Id="rId3562" /><Relationship Type="http://schemas.openxmlformats.org/officeDocument/2006/relationships/hyperlink" Target="https://www.tcgplayer.com/product/488324" TargetMode="External" Id="rId3563" /><Relationship Type="http://schemas.openxmlformats.org/officeDocument/2006/relationships/hyperlink" Target="https://www.pricecharting.com/game/pokemon-promo/2-pack-blister-tornadus-thundurus-&amp;-landorus" TargetMode="External" Id="rId3564" /><Relationship Type="http://schemas.openxmlformats.org/officeDocument/2006/relationships/hyperlink" Target="https://www.pricecharting.com/game/pokemon-promo/back-to-school-eraser-blister-bellibolt" TargetMode="External" Id="rId3565" /><Relationship Type="http://schemas.openxmlformats.org/officeDocument/2006/relationships/hyperlink" Target="https://www.pricecharting.com/game/pokemon-promo/back-to-school-eraser-blister-gengar" TargetMode="External" Id="rId3566" /><Relationship Type="http://schemas.openxmlformats.org/officeDocument/2006/relationships/hyperlink" Target="https://www.pricecharting.com/game/pokemon-promo/checklane-2-mini-pack-blister-dragonite" TargetMode="External" Id="rId3567" /><Relationship Type="http://schemas.openxmlformats.org/officeDocument/2006/relationships/hyperlink" Target="https://www.pricecharting.com/game/pokemon-promo/checklane-2-mini-pack-blister-machamp" TargetMode="External" Id="rId3568" /><Relationship Type="http://schemas.openxmlformats.org/officeDocument/2006/relationships/hyperlink" Target="https://www.pricecharting.com/game/pokemon-promo/checklane-blister-2-pack-pawmot" TargetMode="External" Id="rId3569" /><Relationship Type="http://schemas.openxmlformats.org/officeDocument/2006/relationships/hyperlink" Target="https://www.pricecharting.com/game/pokemon-promo/first-partner-illustration-pack-series-1" TargetMode="External" Id="rId3570" /><Relationship Type="http://schemas.openxmlformats.org/officeDocument/2006/relationships/hyperlink" Target="https://www.pricecharting.com/game/pokemon-promo/legendary-beasts-collector-pin-3-pack-blister-entei" TargetMode="External" Id="rId3571" /><Relationship Type="http://schemas.openxmlformats.org/officeDocument/2006/relationships/hyperlink" Target="https://www.pricecharting.com/game/pokemon-promo/legendary-beasts-collector-pin-3-pack-blister-raikou" TargetMode="External" Id="rId3572" /><Relationship Type="http://schemas.openxmlformats.org/officeDocument/2006/relationships/hyperlink" Target="https://www.pricecharting.com/game/pokemon-promo/legendary-beasts-collector-pin-3-pack-blister-suicune" TargetMode="External" Id="rId3573" /><Relationship Type="http://schemas.openxmlformats.org/officeDocument/2006/relationships/hyperlink" Target="https://www.pricecharting.com/game/pokemon-promo/palafin-garganacl-&amp;-baxcalibur-blister-pack" TargetMode="External" Id="rId3574" /><Relationship Type="http://schemas.openxmlformats.org/officeDocument/2006/relationships/hyperlink" Target="https://www.pricecharting.com/game/pokemon-promo/play-prize-pack-series-1" TargetMode="External" Id="rId3575" /><Relationship Type="http://schemas.openxmlformats.org/officeDocument/2006/relationships/hyperlink" Target="https://www.pricecharting.com/game/pokemon-promo/play-prize-pack-series-2" TargetMode="External" Id="rId3576" /><Relationship Type="http://schemas.openxmlformats.org/officeDocument/2006/relationships/hyperlink" Target="https://www.pricecharting.com/game/pokemon-promo/play-prize-pack-series-3" TargetMode="External" Id="rId3577" /><Relationship Type="http://schemas.openxmlformats.org/officeDocument/2006/relationships/hyperlink" Target="https://www.pricecharting.com/game/pokemon-promo/play-prize-pack-series-7" TargetMode="External" Id="rId3578" /><Relationship Type="http://schemas.openxmlformats.org/officeDocument/2006/relationships/hyperlink" Target="https://www.pricecharting.com/game/pokemon-rising-rivals/blister-pack" TargetMode="External" Id="rId3579" /><Relationship Type="http://schemas.openxmlformats.org/officeDocument/2006/relationships/hyperlink" Target="https://www.pricecharting.com/game/pokemon-rising-rivals/booster-pack" TargetMode="External" Id="rId3580" /><Relationship Type="http://schemas.openxmlformats.org/officeDocument/2006/relationships/hyperlink" Target="https://www.tcgplayer.com/product/98542" TargetMode="External" Id="rId3581" /><Relationship Type="http://schemas.openxmlformats.org/officeDocument/2006/relationships/hyperlink" Target="https://www.pricecharting.com/game/pokemon-roaring-skies/blister-pack" TargetMode="External" Id="rId3582" /><Relationship Type="http://schemas.openxmlformats.org/officeDocument/2006/relationships/hyperlink" Target="https://www.tcgplayer.com/product/575041" TargetMode="External" Id="rId3583" /><Relationship Type="http://schemas.openxmlformats.org/officeDocument/2006/relationships/hyperlink" Target="https://www.tcgplayer.com/product/575039" TargetMode="External" Id="rId3584" /><Relationship Type="http://schemas.openxmlformats.org/officeDocument/2006/relationships/hyperlink" Target="https://www.tcgplayer.com/product/571833" TargetMode="External" Id="rId3585" /><Relationship Type="http://schemas.openxmlformats.org/officeDocument/2006/relationships/hyperlink" Target="https://www.tcgplayer.com/product/575035" TargetMode="External" Id="rId3586" /><Relationship Type="http://schemas.openxmlformats.org/officeDocument/2006/relationships/hyperlink" Target="https://www.tcgplayer.com/product/574878" TargetMode="External" Id="rId3587" /><Relationship Type="http://schemas.openxmlformats.org/officeDocument/2006/relationships/hyperlink" Target="https://www.tcgplayer.com/product/574875" TargetMode="External" Id="rId3588" /><Relationship Type="http://schemas.openxmlformats.org/officeDocument/2006/relationships/hyperlink" Target="https://www.tcgplayer.com/product/565251" TargetMode="External" Id="rId3589" /><Relationship Type="http://schemas.openxmlformats.org/officeDocument/2006/relationships/hyperlink" Target="https://www.tcgplayer.com/product/565253" TargetMode="External" Id="rId3590" /><Relationship Type="http://schemas.openxmlformats.org/officeDocument/2006/relationships/hyperlink" Target="https://www.tcgplayer.com/product/574872" TargetMode="External" Id="rId3591" /><Relationship Type="http://schemas.openxmlformats.org/officeDocument/2006/relationships/hyperlink" Target="https://www.tcgplayer.com/product/574870" TargetMode="External" Id="rId3592" /><Relationship Type="http://schemas.openxmlformats.org/officeDocument/2006/relationships/hyperlink" Target="https://www.tcgplayer.com/product/574619" TargetMode="External" Id="rId3593" /><Relationship Type="http://schemas.openxmlformats.org/officeDocument/2006/relationships/hyperlink" Target="https://www.tcgplayer.com/product/574176" TargetMode="External" Id="rId3594" /><Relationship Type="http://schemas.openxmlformats.org/officeDocument/2006/relationships/hyperlink" Target="https://www.tcgplayer.com/product/571839" TargetMode="External" Id="rId3595" /><Relationship Type="http://schemas.openxmlformats.org/officeDocument/2006/relationships/hyperlink" Target="https://www.tcgplayer.com/product/571837" TargetMode="External" Id="rId3596" /><Relationship Type="http://schemas.openxmlformats.org/officeDocument/2006/relationships/hyperlink" Target="https://www.tcgplayer.com/product/571834" TargetMode="External" Id="rId3597" /><Relationship Type="http://schemas.openxmlformats.org/officeDocument/2006/relationships/hyperlink" Target="https://www.tcgplayer.com/product/565374" TargetMode="External" Id="rId3598" /><Relationship Type="http://schemas.openxmlformats.org/officeDocument/2006/relationships/hyperlink" Target="https://www.tcgplayer.com/product/565366" TargetMode="External" Id="rId3599" /><Relationship Type="http://schemas.openxmlformats.org/officeDocument/2006/relationships/hyperlink" Target="https://www.tcgplayer.com/product/565363" TargetMode="External" Id="rId3600" /><Relationship Type="http://schemas.openxmlformats.org/officeDocument/2006/relationships/hyperlink" Target="https://www.tcgplayer.com/product/565360" TargetMode="External" Id="rId3601" /><Relationship Type="http://schemas.openxmlformats.org/officeDocument/2006/relationships/hyperlink" Target="https://www.tcgplayer.com/product/565359" TargetMode="External" Id="rId3602" /><Relationship Type="http://schemas.openxmlformats.org/officeDocument/2006/relationships/hyperlink" Target="https://www.tcgplayer.com/product/565350" TargetMode="External" Id="rId3603" /><Relationship Type="http://schemas.openxmlformats.org/officeDocument/2006/relationships/hyperlink" Target="https://www.tcgplayer.com/product/565346" TargetMode="External" Id="rId3604" /><Relationship Type="http://schemas.openxmlformats.org/officeDocument/2006/relationships/hyperlink" Target="https://www.tcgplayer.com/product/565345" TargetMode="External" Id="rId3605" /><Relationship Type="http://schemas.openxmlformats.org/officeDocument/2006/relationships/hyperlink" Target="https://www.tcgplayer.com/product/565342" TargetMode="External" Id="rId3606" /><Relationship Type="http://schemas.openxmlformats.org/officeDocument/2006/relationships/hyperlink" Target="https://www.tcgplayer.com/product/565263" TargetMode="External" Id="rId3607" /><Relationship Type="http://schemas.openxmlformats.org/officeDocument/2006/relationships/hyperlink" Target="https://www.tcgplayer.com/product/565258" TargetMode="External" Id="rId3608" /><Relationship Type="http://schemas.openxmlformats.org/officeDocument/2006/relationships/hyperlink" Target="https://www.tcgplayer.com/product/565257" TargetMode="External" Id="rId3609" /><Relationship Type="http://schemas.openxmlformats.org/officeDocument/2006/relationships/hyperlink" Target="https://www.tcgplayer.com/product/565254" TargetMode="External" Id="rId3610" /><Relationship Type="http://schemas.openxmlformats.org/officeDocument/2006/relationships/hyperlink" Target="https://www.pricecharting.com/game/pokemon-sandstorm/blister-pack" TargetMode="External" Id="rId3611" /><Relationship Type="http://schemas.openxmlformats.org/officeDocument/2006/relationships/hyperlink" Target="https://www.pricecharting.com/game/pokemon-secret-wonders/blister-pack" TargetMode="External" Id="rId3612" /><Relationship Type="http://schemas.openxmlformats.org/officeDocument/2006/relationships/hyperlink" Target="https://www.pricecharting.com/game/pokemon-secret-wonders/booster-pack" TargetMode="External" Id="rId3613" /><Relationship Type="http://schemas.openxmlformats.org/officeDocument/2006/relationships/hyperlink" Target="https://www.tcgplayer.com/product/98569" TargetMode="External" Id="rId3614" /><Relationship Type="http://schemas.openxmlformats.org/officeDocument/2006/relationships/hyperlink" Target="https://www.pricecharting.com/game/pokemon-shining-fates/booster-pack" TargetMode="External" Id="rId3615" /><Relationship Type="http://schemas.openxmlformats.org/officeDocument/2006/relationships/hyperlink" Target="https://www.tcgplayer.com/product/232636" TargetMode="External" Id="rId3616" /><Relationship Type="http://schemas.openxmlformats.org/officeDocument/2006/relationships/hyperlink" Target="https://www.pricecharting.com/game/pokemon-shining-legends/booster-pack" TargetMode="External" Id="rId3617" /><Relationship Type="http://schemas.openxmlformats.org/officeDocument/2006/relationships/hyperlink" Target="https://www.tcgplayer.com/product/155880" TargetMode="External" Id="rId3618" /><Relationship Type="http://schemas.openxmlformats.org/officeDocument/2006/relationships/hyperlink" Target="https://www.pricecharting.com/game/pokemon-shrouded-fable/3-pack-blister" TargetMode="External" Id="rId3619" /><Relationship Type="http://schemas.openxmlformats.org/officeDocument/2006/relationships/hyperlink" Target="https://www.pricecharting.com/game/pokemon-silver-tempest/basculin-checklane-blister" TargetMode="External" Id="rId3620" /><Relationship Type="http://schemas.openxmlformats.org/officeDocument/2006/relationships/hyperlink" Target="https://www.pricecharting.com/game/pokemon-silver-tempest/cranidos-checklane-blister" TargetMode="External" Id="rId3621" /><Relationship Type="http://schemas.openxmlformats.org/officeDocument/2006/relationships/hyperlink" Target="https://www.pricecharting.com/game/pokemon-skyridge/blister-pack" TargetMode="External" Id="rId3622" /><Relationship Type="http://schemas.openxmlformats.org/officeDocument/2006/relationships/hyperlink" Target="https://www.pricecharting.com/game/pokemon-skyridge/booster-pack" TargetMode="External" Id="rId3623" /><Relationship Type="http://schemas.openxmlformats.org/officeDocument/2006/relationships/hyperlink" Target="https://www.tcgplayer.com/product/138153" TargetMode="External" Id="rId3624" /><Relationship Type="http://schemas.openxmlformats.org/officeDocument/2006/relationships/hyperlink" Target="https://www.tcgplayer.com/product/136599" TargetMode="External" Id="rId3625" /><Relationship Type="http://schemas.openxmlformats.org/officeDocument/2006/relationships/hyperlink" Target="https://www.tcgplayer.com/product/136600" TargetMode="External" Id="rId3626" /><Relationship Type="http://schemas.openxmlformats.org/officeDocument/2006/relationships/hyperlink" Target="https://www.pricecharting.com/game/pokemon-burning-shadows/booster-pack" TargetMode="External" Id="rId3627" /><Relationship Type="http://schemas.openxmlformats.org/officeDocument/2006/relationships/hyperlink" Target="https://www.tcgplayer.com/product/133774" TargetMode="External" Id="rId3628" /><Relationship Type="http://schemas.openxmlformats.org/officeDocument/2006/relationships/hyperlink" Target="https://www.tcgplayer.com/product/136597" TargetMode="External" Id="rId3629" /><Relationship Type="http://schemas.openxmlformats.org/officeDocument/2006/relationships/hyperlink" Target="https://www.tcgplayer.com/product/136598" TargetMode="External" Id="rId3630" /><Relationship Type="http://schemas.openxmlformats.org/officeDocument/2006/relationships/hyperlink" Target="https://www.pricecharting.com/game/pokemon-burning-shadows/sleeved-booster-pack" TargetMode="External" Id="rId3631" /><Relationship Type="http://schemas.openxmlformats.org/officeDocument/2006/relationships/hyperlink" Target="https://www.tcgplayer.com/product/550677" TargetMode="External" Id="rId3632" /><Relationship Type="http://schemas.openxmlformats.org/officeDocument/2006/relationships/hyperlink" Target="https://www.tcgplayer.com/product/170276" TargetMode="External" Id="rId3633" /><Relationship Type="http://schemas.openxmlformats.org/officeDocument/2006/relationships/hyperlink" Target="https://www.pricecharting.com/game/pokemon-celestial-storm/booster-pack" TargetMode="External" Id="rId3634" /><Relationship Type="http://schemas.openxmlformats.org/officeDocument/2006/relationships/hyperlink" Target="https://www.tcgplayer.com/product/170274" TargetMode="External" Id="rId3635" /><Relationship Type="http://schemas.openxmlformats.org/officeDocument/2006/relationships/hyperlink" Target="https://www.tcgplayer.com/product/177898" TargetMode="External" Id="rId3636" /><Relationship Type="http://schemas.openxmlformats.org/officeDocument/2006/relationships/hyperlink" Target="https://www.tcgplayer.com/product/177899" TargetMode="External" Id="rId3637" /><Relationship Type="http://schemas.openxmlformats.org/officeDocument/2006/relationships/hyperlink" Target="https://www.pricecharting.com/game/pokemon-cosmic-eclipse/booster-pack" TargetMode="External" Id="rId3638" /><Relationship Type="http://schemas.openxmlformats.org/officeDocument/2006/relationships/hyperlink" Target="https://www.tcgplayer.com/product/199263" TargetMode="External" Id="rId3639" /><Relationship Type="http://schemas.openxmlformats.org/officeDocument/2006/relationships/hyperlink" Target="https://www.tcgplayer.com/product/199768" TargetMode="External" Id="rId3640" /><Relationship Type="http://schemas.openxmlformats.org/officeDocument/2006/relationships/hyperlink" Target="https://www.tcgplayer.com/product/199769" TargetMode="External" Id="rId3641" /><Relationship Type="http://schemas.openxmlformats.org/officeDocument/2006/relationships/hyperlink" Target="https://www.tcgplayer.com/product/546609" TargetMode="External" Id="rId3642" /><Relationship Type="http://schemas.openxmlformats.org/officeDocument/2006/relationships/hyperlink" Target="https://www.tcgplayer.com/product/177873" TargetMode="External" Id="rId3643" /><Relationship Type="http://schemas.openxmlformats.org/officeDocument/2006/relationships/hyperlink" Target="https://www.pricecharting.com/game/pokemon-crimson-invasion/booster-pack" TargetMode="External" Id="rId3644" /><Relationship Type="http://schemas.openxmlformats.org/officeDocument/2006/relationships/hyperlink" Target="https://www.tcgplayer.com/product/146996" TargetMode="External" Id="rId3645" /><Relationship Type="http://schemas.openxmlformats.org/officeDocument/2006/relationships/hyperlink" Target="https://www.tcgplayer.com/product/177875" TargetMode="External" Id="rId3646" /><Relationship Type="http://schemas.openxmlformats.org/officeDocument/2006/relationships/hyperlink" Target="https://www.tcgplayer.com/product/164299" TargetMode="External" Id="rId3647" /><Relationship Type="http://schemas.openxmlformats.org/officeDocument/2006/relationships/hyperlink" Target="https://www.tcgplayer.com/product/641117" TargetMode="External" Id="rId3648" /><Relationship Type="http://schemas.openxmlformats.org/officeDocument/2006/relationships/hyperlink" Target="https://www.pricecharting.com/game/pokemon-forbidden-light/booster-pack" TargetMode="External" Id="rId3649" /><Relationship Type="http://schemas.openxmlformats.org/officeDocument/2006/relationships/hyperlink" Target="https://www.tcgplayer.com/product/164297" TargetMode="External" Id="rId3650" /><Relationship Type="http://schemas.openxmlformats.org/officeDocument/2006/relationships/hyperlink" Target="https://www.tcgplayer.com/product/164301" TargetMode="External" Id="rId3651" /><Relationship Type="http://schemas.openxmlformats.org/officeDocument/2006/relationships/hyperlink" Target="https://www.tcgplayer.com/product/164302" TargetMode="External" Id="rId3652" /><Relationship Type="http://schemas.openxmlformats.org/officeDocument/2006/relationships/hyperlink" Target="https://www.tcgplayer.com/product/184339" TargetMode="External" Id="rId3653" /><Relationship Type="http://schemas.openxmlformats.org/officeDocument/2006/relationships/hyperlink" Target="https://www.pricecharting.com/game/pokemon-guardians-rising/booster-pack" TargetMode="External" Id="rId3654" /><Relationship Type="http://schemas.openxmlformats.org/officeDocument/2006/relationships/hyperlink" Target="https://www.tcgplayer.com/product/129889" TargetMode="External" Id="rId3655" /><Relationship Type="http://schemas.openxmlformats.org/officeDocument/2006/relationships/hyperlink" Target="https://www.tcgplayer.com/product/242964" TargetMode="External" Id="rId3656" /><Relationship Type="http://schemas.openxmlformats.org/officeDocument/2006/relationships/hyperlink" Target="https://www.tcgplayer.com/product/184341" TargetMode="External" Id="rId3657" /><Relationship Type="http://schemas.openxmlformats.org/officeDocument/2006/relationships/hyperlink" Target="https://www.tcgplayer.com/product/184342" TargetMode="External" Id="rId3658" /><Relationship Type="http://schemas.openxmlformats.org/officeDocument/2006/relationships/hyperlink" Target="https://www.pricecharting.com/game/pokemon-guardians-rising/sleeved-booster-pack" TargetMode="External" Id="rId3659" /><Relationship Type="http://schemas.openxmlformats.org/officeDocument/2006/relationships/hyperlink" Target="https://www.tcgplayer.com/product/616825" TargetMode="External" Id="rId3660" /><Relationship Type="http://schemas.openxmlformats.org/officeDocument/2006/relationships/hyperlink" Target="https://www.tcgplayer.com/product/177904" TargetMode="External" Id="rId3661" /><Relationship Type="http://schemas.openxmlformats.org/officeDocument/2006/relationships/hyperlink" Target="https://www.pricecharting.com/game/pokemon-lost-thunder/booster-pack" TargetMode="External" Id="rId3662" /><Relationship Type="http://schemas.openxmlformats.org/officeDocument/2006/relationships/hyperlink" Target="https://www.tcgplayer.com/product/175510" TargetMode="External" Id="rId3663" /><Relationship Type="http://schemas.openxmlformats.org/officeDocument/2006/relationships/hyperlink" Target="https://www.tcgplayer.com/product/177907" TargetMode="External" Id="rId3664" /><Relationship Type="http://schemas.openxmlformats.org/officeDocument/2006/relationships/hyperlink" Target="https://www.tcgplayer.com/product/177906" TargetMode="External" Id="rId3665" /><Relationship Type="http://schemas.openxmlformats.org/officeDocument/2006/relationships/hyperlink" Target="https://www.pricecharting.com/game/pokemon-team-up/mini-booster-pack" TargetMode="External" Id="rId3666" /><Relationship Type="http://schemas.openxmlformats.org/officeDocument/2006/relationships/hyperlink" Target="https://www.tcgplayer.com/product/690691" TargetMode="External" Id="rId3667" /><Relationship Type="http://schemas.openxmlformats.org/officeDocument/2006/relationships/hyperlink" Target="https://www.pricecharting.com/game/pokemon-team-up/booster-pack" TargetMode="External" Id="rId3668" /><Relationship Type="http://schemas.openxmlformats.org/officeDocument/2006/relationships/hyperlink" Target="https://www.tcgplayer.com/product/181699" TargetMode="External" Id="rId3669" /><Relationship Type="http://schemas.openxmlformats.org/officeDocument/2006/relationships/hyperlink" Target="https://www.tcgplayer.com/product/624521" TargetMode="External" Id="rId3670" /><Relationship Type="http://schemas.openxmlformats.org/officeDocument/2006/relationships/hyperlink" Target="https://www.tcgplayer.com/product/624522" TargetMode="External" Id="rId3671" /><Relationship Type="http://schemas.openxmlformats.org/officeDocument/2006/relationships/hyperlink" Target="https://www.tcgplayer.com/product/181702" TargetMode="External" Id="rId3672" /><Relationship Type="http://schemas.openxmlformats.org/officeDocument/2006/relationships/hyperlink" Target="https://www.pricecharting.com/game/pokemon-team-up/sleeved-booster-pack" TargetMode="External" Id="rId3673" /><Relationship Type="http://schemas.openxmlformats.org/officeDocument/2006/relationships/hyperlink" Target="https://www.tcgplayer.com/product/524330" TargetMode="External" Id="rId3674" /><Relationship Type="http://schemas.openxmlformats.org/officeDocument/2006/relationships/hyperlink" Target="https://www.tcgplayer.com/product/162037" TargetMode="External" Id="rId3675" /><Relationship Type="http://schemas.openxmlformats.org/officeDocument/2006/relationships/hyperlink" Target="https://www.pricecharting.com/game/pokemon-ultra-prism/booster-pack" TargetMode="External" Id="rId3676" /><Relationship Type="http://schemas.openxmlformats.org/officeDocument/2006/relationships/hyperlink" Target="https://www.tcgplayer.com/product/155662" TargetMode="External" Id="rId3677" /><Relationship Type="http://schemas.openxmlformats.org/officeDocument/2006/relationships/hyperlink" Target="https://www.tcgplayer.com/product/162039" TargetMode="External" Id="rId3678" /><Relationship Type="http://schemas.openxmlformats.org/officeDocument/2006/relationships/hyperlink" Target="https://www.tcgplayer.com/product/188410" TargetMode="External" Id="rId3679" /><Relationship Type="http://schemas.openxmlformats.org/officeDocument/2006/relationships/hyperlink" Target="https://www.tcgplayer.com/product/188411" TargetMode="External" Id="rId3680" /><Relationship Type="http://schemas.openxmlformats.org/officeDocument/2006/relationships/hyperlink" Target="https://www.pricecharting.com/game/pokemon-unbroken-bonds/booster-pack" TargetMode="External" Id="rId3681" /><Relationship Type="http://schemas.openxmlformats.org/officeDocument/2006/relationships/hyperlink" Target="https://www.tcgplayer.com/product/185718" TargetMode="External" Id="rId3682" /><Relationship Type="http://schemas.openxmlformats.org/officeDocument/2006/relationships/hyperlink" Target="https://www.tcgplayer.com/product/188412" TargetMode="External" Id="rId3683" /><Relationship Type="http://schemas.openxmlformats.org/officeDocument/2006/relationships/hyperlink" Target="https://www.tcgplayer.com/product/188413" TargetMode="External" Id="rId3684" /><Relationship Type="http://schemas.openxmlformats.org/officeDocument/2006/relationships/hyperlink" Target="https://www.tcgplayer.com/product/240188" TargetMode="External" Id="rId3685" /><Relationship Type="http://schemas.openxmlformats.org/officeDocument/2006/relationships/hyperlink" Target="https://www.tcgplayer.com/product/240189" TargetMode="External" Id="rId3686" /><Relationship Type="http://schemas.openxmlformats.org/officeDocument/2006/relationships/hyperlink" Target="https://www.pricecharting.com/game/pokemon-unbroken-bonds/sleeved-booster-pack" TargetMode="External" Id="rId3687" /><Relationship Type="http://schemas.openxmlformats.org/officeDocument/2006/relationships/hyperlink" Target="https://www.tcgplayer.com/product/524331" TargetMode="External" Id="rId3688" /><Relationship Type="http://schemas.openxmlformats.org/officeDocument/2006/relationships/hyperlink" Target="https://www.tcgplayer.com/product/191884" TargetMode="External" Id="rId3689" /><Relationship Type="http://schemas.openxmlformats.org/officeDocument/2006/relationships/hyperlink" Target="https://www.tcgplayer.com/product/191885" TargetMode="External" Id="rId3690" /><Relationship Type="http://schemas.openxmlformats.org/officeDocument/2006/relationships/hyperlink" Target="https://www.pricecharting.com/game/pokemon-unified-minds/booster-pack" TargetMode="External" Id="rId3691" /><Relationship Type="http://schemas.openxmlformats.org/officeDocument/2006/relationships/hyperlink" Target="https://www.tcgplayer.com/product/191883" TargetMode="External" Id="rId3692" /><Relationship Type="http://schemas.openxmlformats.org/officeDocument/2006/relationships/hyperlink" Target="https://www.tcgplayer.com/product/686509" TargetMode="External" Id="rId3693" /><Relationship Type="http://schemas.openxmlformats.org/officeDocument/2006/relationships/hyperlink" Target="https://www.tcgplayer.com/product/229579" TargetMode="External" Id="rId3694" /><Relationship Type="http://schemas.openxmlformats.org/officeDocument/2006/relationships/hyperlink" Target="https://www.tcgplayer.com/product/191886" TargetMode="External" Id="rId3695" /><Relationship Type="http://schemas.openxmlformats.org/officeDocument/2006/relationships/hyperlink" Target="https://www.tcgplayer.com/product/191887" TargetMode="External" Id="rId3696" /><Relationship Type="http://schemas.openxmlformats.org/officeDocument/2006/relationships/hyperlink" Target="https://www.tcgplayer.com/product/126054" TargetMode="External" Id="rId3697" /><Relationship Type="http://schemas.openxmlformats.org/officeDocument/2006/relationships/hyperlink" Target="https://www.tcgplayer.com/product/126052" TargetMode="External" Id="rId3698" /><Relationship Type="http://schemas.openxmlformats.org/officeDocument/2006/relationships/hyperlink" Target="https://www.tcgplayer.com/product/129385" TargetMode="External" Id="rId3699" /><Relationship Type="http://schemas.openxmlformats.org/officeDocument/2006/relationships/hyperlink" Target="https://www.tcgplayer.com/product/231690" TargetMode="External" Id="rId3700" /><Relationship Type="http://schemas.openxmlformats.org/officeDocument/2006/relationships/hyperlink" Target="https://www.tcgplayer.com/product/231689" TargetMode="External" Id="rId3701" /><Relationship Type="http://schemas.openxmlformats.org/officeDocument/2006/relationships/hyperlink" Target="https://www.tcgplayer.com/product/576913" TargetMode="External" Id="rId3702" /><Relationship Type="http://schemas.openxmlformats.org/officeDocument/2006/relationships/hyperlink" Target="https://www.tcgplayer.com/product/576950" TargetMode="External" Id="rId3703" /><Relationship Type="http://schemas.openxmlformats.org/officeDocument/2006/relationships/hyperlink" Target="https://www.tcgplayer.com/product/576952" TargetMode="External" Id="rId3704" /><Relationship Type="http://schemas.openxmlformats.org/officeDocument/2006/relationships/hyperlink" Target="https://www.tcgplayer.com/product/576916" TargetMode="External" Id="rId3705" /><Relationship Type="http://schemas.openxmlformats.org/officeDocument/2006/relationships/hyperlink" Target="https://www.tcgplayer.com/product/576954" TargetMode="External" Id="rId3706" /><Relationship Type="http://schemas.openxmlformats.org/officeDocument/2006/relationships/hyperlink" Target="https://www.tcgplayer.com/product/576956" TargetMode="External" Id="rId3707" /><Relationship Type="http://schemas.openxmlformats.org/officeDocument/2006/relationships/hyperlink" Target="https://www.tcgplayer.com/product/576918" TargetMode="External" Id="rId3708" /><Relationship Type="http://schemas.openxmlformats.org/officeDocument/2006/relationships/hyperlink" Target="https://www.tcgplayer.com/product/576963" TargetMode="External" Id="rId3709" /><Relationship Type="http://schemas.openxmlformats.org/officeDocument/2006/relationships/hyperlink" Target="https://www.tcgplayer.com/product/576924" TargetMode="External" Id="rId3710" /><Relationship Type="http://schemas.openxmlformats.org/officeDocument/2006/relationships/hyperlink" Target="https://www.tcgplayer.com/product/576868" TargetMode="External" Id="rId3711" /><Relationship Type="http://schemas.openxmlformats.org/officeDocument/2006/relationships/hyperlink" Target="https://www.tcgplayer.com/product/576926" TargetMode="External" Id="rId3712" /><Relationship Type="http://schemas.openxmlformats.org/officeDocument/2006/relationships/hyperlink" Target="https://www.tcgplayer.com/product/576903" TargetMode="External" Id="rId3713" /><Relationship Type="http://schemas.openxmlformats.org/officeDocument/2006/relationships/hyperlink" Target="https://www.tcgplayer.com/product/576901" TargetMode="External" Id="rId3714" /><Relationship Type="http://schemas.openxmlformats.org/officeDocument/2006/relationships/hyperlink" Target="https://www.tcgplayer.com/product/576905" TargetMode="External" Id="rId3715" /><Relationship Type="http://schemas.openxmlformats.org/officeDocument/2006/relationships/hyperlink" Target="https://www.tcgplayer.com/product/576928" TargetMode="External" Id="rId3716" /><Relationship Type="http://schemas.openxmlformats.org/officeDocument/2006/relationships/hyperlink" Target="https://www.tcgplayer.com/product/576930" TargetMode="External" Id="rId3717" /><Relationship Type="http://schemas.openxmlformats.org/officeDocument/2006/relationships/hyperlink" Target="https://www.tcgplayer.com/product/576932" TargetMode="External" Id="rId3718" /><Relationship Type="http://schemas.openxmlformats.org/officeDocument/2006/relationships/hyperlink" Target="https://www.tcgplayer.com/product/576941" TargetMode="External" Id="rId3719" /><Relationship Type="http://schemas.openxmlformats.org/officeDocument/2006/relationships/hyperlink" Target="https://www.tcgplayer.com/product/576909" TargetMode="External" Id="rId3720" /><Relationship Type="http://schemas.openxmlformats.org/officeDocument/2006/relationships/hyperlink" Target="https://www.tcgplayer.com/product/576943" TargetMode="External" Id="rId3721" /><Relationship Type="http://schemas.openxmlformats.org/officeDocument/2006/relationships/hyperlink" Target="https://www.tcgplayer.com/product/576960" TargetMode="External" Id="rId3722" /><Relationship Type="http://schemas.openxmlformats.org/officeDocument/2006/relationships/hyperlink" Target="https://www.tcgplayer.com/product/576911" TargetMode="External" Id="rId3723" /><Relationship Type="http://schemas.openxmlformats.org/officeDocument/2006/relationships/hyperlink" Target="https://www.tcgplayer.com/product/576945" TargetMode="External" Id="rId3724" /><Relationship Type="http://schemas.openxmlformats.org/officeDocument/2006/relationships/hyperlink" Target="https://www.tcgplayer.com/product/576947" TargetMode="External" Id="rId3725" /><Relationship Type="http://schemas.openxmlformats.org/officeDocument/2006/relationships/hyperlink" Target="https://www.tcgplayer.com/product/656885" TargetMode="External" Id="rId3726" /><Relationship Type="http://schemas.openxmlformats.org/officeDocument/2006/relationships/hyperlink" Target="https://www.pricecharting.com/game/pokemon-steam-siege/blister-pack-floette" TargetMode="External" Id="rId3727" /><Relationship Type="http://schemas.openxmlformats.org/officeDocument/2006/relationships/hyperlink" Target="https://www.pricecharting.com/game/pokemon-steam-siege/blister-pack-lucario" TargetMode="External" Id="rId3728" /><Relationship Type="http://schemas.openxmlformats.org/officeDocument/2006/relationships/hyperlink" Target="https://www.pricecharting.com/game/pokemon-steam-siege/booster-pack" TargetMode="External" Id="rId3729" /><Relationship Type="http://schemas.openxmlformats.org/officeDocument/2006/relationships/hyperlink" Target="https://www.pricecharting.com/game/pokemon-steam-siege/sleeved-booster-pack" TargetMode="External" Id="rId3730" /><Relationship Type="http://schemas.openxmlformats.org/officeDocument/2006/relationships/hyperlink" Target="https://www.pricecharting.com/game/pokemon-stellar-crown/booster-pack" TargetMode="External" Id="rId3731" /><Relationship Type="http://schemas.openxmlformats.org/officeDocument/2006/relationships/hyperlink" Target="https://www.pricecharting.com/game/pokemon-stellar-crown/horsea-blister-pack" TargetMode="External" Id="rId3732" /><Relationship Type="http://schemas.openxmlformats.org/officeDocument/2006/relationships/hyperlink" Target="https://www.pricecharting.com/game/pokemon-stellar-crown/iron-thorns-blister-pack" TargetMode="External" Id="rId3733" /><Relationship Type="http://schemas.openxmlformats.org/officeDocument/2006/relationships/hyperlink" Target="https://www.pricecharting.com/game/pokemon-stellar-crown/latias-3-pack-blister" TargetMode="External" Id="rId3734" /><Relationship Type="http://schemas.openxmlformats.org/officeDocument/2006/relationships/hyperlink" Target="https://www.pricecharting.com/game/pokemon-stellar-crown/porygon2-blister-pack" TargetMode="External" Id="rId3735" /><Relationship Type="http://schemas.openxmlformats.org/officeDocument/2006/relationships/hyperlink" Target="https://www.pricecharting.com/game/pokemon-stellar-crown/roaring-moon-blister-pack" TargetMode="External" Id="rId3736" /><Relationship Type="http://schemas.openxmlformats.org/officeDocument/2006/relationships/hyperlink" Target="https://www.pricecharting.com/game/pokemon-stellar-crown/sleeved-booster-pack" TargetMode="External" Id="rId3737" /><Relationship Type="http://schemas.openxmlformats.org/officeDocument/2006/relationships/hyperlink" Target="https://www.pricecharting.com/game/pokemon-stormfront/blister-pack" TargetMode="External" Id="rId3738" /><Relationship Type="http://schemas.openxmlformats.org/officeDocument/2006/relationships/hyperlink" Target="https://www.pricecharting.com/game/pokemon-stormfront/booster-pack" TargetMode="External" Id="rId3739" /><Relationship Type="http://schemas.openxmlformats.org/officeDocument/2006/relationships/hyperlink" Target="https://www.tcgplayer.com/product/98589" TargetMode="External" Id="rId3740" /><Relationship Type="http://schemas.openxmlformats.org/officeDocument/2006/relationships/hyperlink" Target="https://www.pricecharting.com/game/pokemon-supreme-victors/blister-pack" TargetMode="External" Id="rId3741" /><Relationship Type="http://schemas.openxmlformats.org/officeDocument/2006/relationships/hyperlink" Target="https://www.pricecharting.com/game/pokemon-supreme-victors/booster-pack" TargetMode="External" Id="rId3742" /><Relationship Type="http://schemas.openxmlformats.org/officeDocument/2006/relationships/hyperlink" Target="https://www.tcgplayer.com/product/98574" TargetMode="External" Id="rId3743" /><Relationship Type="http://schemas.openxmlformats.org/officeDocument/2006/relationships/hyperlink" Target="https://www.pricecharting.com/game/pokemon-surging-sparks/abra-checklane-blister" TargetMode="External" Id="rId3744" /><Relationship Type="http://schemas.openxmlformats.org/officeDocument/2006/relationships/hyperlink" Target="https://www.pricecharting.com/game/pokemon-surging-sparks/arcanine-checklane-blister" TargetMode="External" Id="rId3745" /><Relationship Type="http://schemas.openxmlformats.org/officeDocument/2006/relationships/hyperlink" Target="https://www.pricecharting.com/game/pokemon-surging-sparks/litwick-checklane-blister" TargetMode="External" Id="rId3746" /><Relationship Type="http://schemas.openxmlformats.org/officeDocument/2006/relationships/hyperlink" Target="https://www.pricecharting.com/game/pokemon-surging-sparks/parchirisu-blister-pack" TargetMode="External" Id="rId3747" /><Relationship Type="http://schemas.openxmlformats.org/officeDocument/2006/relationships/hyperlink" Target="https://www.pricecharting.com/game/pokemon-surging-sparks/premium-checklane-blister-sinistcha" TargetMode="External" Id="rId3748" /><Relationship Type="http://schemas.openxmlformats.org/officeDocument/2006/relationships/hyperlink" Target="https://www.pricecharting.com/game/pokemon-surging-sparks/quagsire-3-pack-blisters" TargetMode="External" Id="rId3749" /><Relationship Type="http://schemas.openxmlformats.org/officeDocument/2006/relationships/hyperlink" Target="https://www.pricecharting.com/game/pokemon-surging-sparks/sealed-fun-pack" TargetMode="External" Id="rId3750" /><Relationship Type="http://schemas.openxmlformats.org/officeDocument/2006/relationships/hyperlink" Target="https://www.pricecharting.com/game/pokemon-surging-sparks/wooper-blister-pack" TargetMode="External" Id="rId3751" /><Relationship Type="http://schemas.openxmlformats.org/officeDocument/2006/relationships/hyperlink" Target="https://www.pricecharting.com/game/pokemon-surging-sparks/zapdos-3-pack-blisters" TargetMode="External" Id="rId3752" /><Relationship Type="http://schemas.openxmlformats.org/officeDocument/2006/relationships/hyperlink" Target="https://www.tcgplayer.com/product/628278" TargetMode="External" Id="rId3753" /><Relationship Type="http://schemas.openxmlformats.org/officeDocument/2006/relationships/hyperlink" Target="https://www.tcgplayer.com/product/478761" TargetMode="External" Id="rId3754" /><Relationship Type="http://schemas.openxmlformats.org/officeDocument/2006/relationships/hyperlink" Target="https://www.tcgplayer.com/product/478762" TargetMode="External" Id="rId3755" /><Relationship Type="http://schemas.openxmlformats.org/officeDocument/2006/relationships/hyperlink" Target="https://www.tcgplayer.com/product/478763" TargetMode="External" Id="rId3756" /><Relationship Type="http://schemas.openxmlformats.org/officeDocument/2006/relationships/hyperlink" Target="https://www.tcgplayer.com/product/476451" TargetMode="External" Id="rId3757" /><Relationship Type="http://schemas.openxmlformats.org/officeDocument/2006/relationships/hyperlink" Target="https://www.tcgplayer.com/product/530121" TargetMode="External" Id="rId3758" /><Relationship Type="http://schemas.openxmlformats.org/officeDocument/2006/relationships/hyperlink" Target="https://www.tcgplayer.com/product/479328" TargetMode="External" Id="rId3759" /><Relationship Type="http://schemas.openxmlformats.org/officeDocument/2006/relationships/hyperlink" Target="https://www.tcgplayer.com/product/497166" TargetMode="External" Id="rId3760" /><Relationship Type="http://schemas.openxmlformats.org/officeDocument/2006/relationships/hyperlink" Target="https://www.tcgplayer.com/product/497167" TargetMode="External" Id="rId3761" /><Relationship Type="http://schemas.openxmlformats.org/officeDocument/2006/relationships/hyperlink" Target="https://www.tcgplayer.com/product/479330" TargetMode="External" Id="rId3762" /><Relationship Type="http://schemas.openxmlformats.org/officeDocument/2006/relationships/hyperlink" Target="https://www.tcgplayer.com/product/478766" TargetMode="External" Id="rId3763" /><Relationship Type="http://schemas.openxmlformats.org/officeDocument/2006/relationships/hyperlink" Target="https://www.tcgplayer.com/product/478767" TargetMode="External" Id="rId3764" /><Relationship Type="http://schemas.openxmlformats.org/officeDocument/2006/relationships/hyperlink" Target="https://www.tcgplayer.com/product/478765" TargetMode="External" Id="rId3765" /><Relationship Type="http://schemas.openxmlformats.org/officeDocument/2006/relationships/hyperlink" Target="https://www.tcgplayer.com/product/478273" TargetMode="External" Id="rId3766" /><Relationship Type="http://schemas.openxmlformats.org/officeDocument/2006/relationships/hyperlink" Target="https://www.tcgplayer.com/product/496908" TargetMode="External" Id="rId3767" /><Relationship Type="http://schemas.openxmlformats.org/officeDocument/2006/relationships/hyperlink" Target="https://www.tcgplayer.com/product/493997" TargetMode="External" Id="rId3768" /><Relationship Type="http://schemas.openxmlformats.org/officeDocument/2006/relationships/hyperlink" Target="https://www.tcgplayer.com/product/493998" TargetMode="External" Id="rId3769" /><Relationship Type="http://schemas.openxmlformats.org/officeDocument/2006/relationships/hyperlink" Target="https://www.pricecharting.com/game/pokemon-paldea-evolved/booster-pack" TargetMode="External" Id="rId3770" /><Relationship Type="http://schemas.openxmlformats.org/officeDocument/2006/relationships/hyperlink" Target="https://www.tcgplayer.com/product/493976" TargetMode="External" Id="rId3771" /><Relationship Type="http://schemas.openxmlformats.org/officeDocument/2006/relationships/hyperlink" Target="https://www.tcgplayer.com/product/530106" TargetMode="External" Id="rId3772" /><Relationship Type="http://schemas.openxmlformats.org/officeDocument/2006/relationships/hyperlink" Target="https://www.tcgplayer.com/product/622967" TargetMode="External" Id="rId3773" /><Relationship Type="http://schemas.openxmlformats.org/officeDocument/2006/relationships/hyperlink" Target="https://www.tcgplayer.com/product/618829" TargetMode="External" Id="rId3774" /><Relationship Type="http://schemas.openxmlformats.org/officeDocument/2006/relationships/hyperlink" Target="https://www.tcgplayer.com/product/617015" TargetMode="External" Id="rId3775" /><Relationship Type="http://schemas.openxmlformats.org/officeDocument/2006/relationships/hyperlink" Target="https://www.tcgplayer.com/product/494001" TargetMode="External" Id="rId3776" /><Relationship Type="http://schemas.openxmlformats.org/officeDocument/2006/relationships/hyperlink" Target="https://www.tcgplayer.com/product/493999" TargetMode="External" Id="rId3777" /><Relationship Type="http://schemas.openxmlformats.org/officeDocument/2006/relationships/hyperlink" Target="https://www.pricecharting.com/game/pokemon-paldea-evolved/sleeved-booster-pack" TargetMode="External" Id="rId3778" /><Relationship Type="http://schemas.openxmlformats.org/officeDocument/2006/relationships/hyperlink" Target="https://www.tcgplayer.com/product/496927" TargetMode="External" Id="rId3779" /><Relationship Type="http://schemas.openxmlformats.org/officeDocument/2006/relationships/hyperlink" Target="https://www.tcgplayer.com/product/501259" TargetMode="External" Id="rId3780" /><Relationship Type="http://schemas.openxmlformats.org/officeDocument/2006/relationships/hyperlink" Target="https://www.tcgplayer.com/product/501260" TargetMode="External" Id="rId3781" /><Relationship Type="http://schemas.openxmlformats.org/officeDocument/2006/relationships/hyperlink" Target="https://www.tcgplayer.com/product/501261" TargetMode="External" Id="rId3782" /><Relationship Type="http://schemas.openxmlformats.org/officeDocument/2006/relationships/hyperlink" Target="https://www.pricecharting.com/game/pokemon-obsidian-flames/booster-pack" TargetMode="External" Id="rId3783" /><Relationship Type="http://schemas.openxmlformats.org/officeDocument/2006/relationships/hyperlink" Target="https://www.tcgplayer.com/product/501256" TargetMode="External" Id="rId3784" /><Relationship Type="http://schemas.openxmlformats.org/officeDocument/2006/relationships/hyperlink" Target="https://www.tcgplayer.com/product/557086" TargetMode="External" Id="rId3785" /><Relationship Type="http://schemas.openxmlformats.org/officeDocument/2006/relationships/hyperlink" Target="https://www.tcgplayer.com/product/557085" TargetMode="External" Id="rId3786" /><Relationship Type="http://schemas.openxmlformats.org/officeDocument/2006/relationships/hyperlink" Target="https://www.tcgplayer.com/product/557087" TargetMode="External" Id="rId3787" /><Relationship Type="http://schemas.openxmlformats.org/officeDocument/2006/relationships/hyperlink" Target="https://www.tcgplayer.com/product/512047" TargetMode="External" Id="rId3788" /><Relationship Type="http://schemas.openxmlformats.org/officeDocument/2006/relationships/hyperlink" Target="https://www.tcgplayer.com/product/501262" TargetMode="External" Id="rId3789" /><Relationship Type="http://schemas.openxmlformats.org/officeDocument/2006/relationships/hyperlink" Target="https://www.pricecharting.com/game/pokemon-obsidian-flames/sleeved-booster-pack" TargetMode="External" Id="rId3790" /><Relationship Type="http://schemas.openxmlformats.org/officeDocument/2006/relationships/hyperlink" Target="https://www.tcgplayer.com/product/534087" TargetMode="External" Id="rId3791" /><Relationship Type="http://schemas.openxmlformats.org/officeDocument/2006/relationships/hyperlink" Target="https://www.tcgplayer.com/product/513433" TargetMode="External" Id="rId3792" /><Relationship Type="http://schemas.openxmlformats.org/officeDocument/2006/relationships/hyperlink" Target="https://www.tcgplayer.com/product/513437" TargetMode="External" Id="rId3793" /><Relationship Type="http://schemas.openxmlformats.org/officeDocument/2006/relationships/hyperlink" Target="https://www.pricecharting.com/game/pokemon-paradox-rift/booster-pack" TargetMode="External" Id="rId3794" /><Relationship Type="http://schemas.openxmlformats.org/officeDocument/2006/relationships/hyperlink" Target="https://www.tcgplayer.com/product/512822" TargetMode="External" Id="rId3795" /><Relationship Type="http://schemas.openxmlformats.org/officeDocument/2006/relationships/hyperlink" Target="https://www.tcgplayer.com/product/607504" TargetMode="External" Id="rId3796" /><Relationship Type="http://schemas.openxmlformats.org/officeDocument/2006/relationships/hyperlink" Target="https://www.tcgplayer.com/product/546605" TargetMode="External" Id="rId3797" /><Relationship Type="http://schemas.openxmlformats.org/officeDocument/2006/relationships/hyperlink" Target="https://www.tcgplayer.com/product/625582" TargetMode="External" Id="rId3798" /><Relationship Type="http://schemas.openxmlformats.org/officeDocument/2006/relationships/hyperlink" Target="https://www.tcgplayer.com/product/625581" TargetMode="External" Id="rId3799" /><Relationship Type="http://schemas.openxmlformats.org/officeDocument/2006/relationships/hyperlink" Target="https://www.tcgplayer.com/product/514224" TargetMode="External" Id="rId3800" /><Relationship Type="http://schemas.openxmlformats.org/officeDocument/2006/relationships/hyperlink" Target="https://www.tcgplayer.com/product/514223" TargetMode="External" Id="rId3801" /><Relationship Type="http://schemas.openxmlformats.org/officeDocument/2006/relationships/hyperlink" Target="https://www.pricecharting.com/game/pokemon-paradox-rift/sleeved-booster-pack" TargetMode="External" Id="rId3802" /><Relationship Type="http://schemas.openxmlformats.org/officeDocument/2006/relationships/hyperlink" Target="https://www.tcgplayer.com/product/517210" TargetMode="External" Id="rId3803" /><Relationship Type="http://schemas.openxmlformats.org/officeDocument/2006/relationships/hyperlink" Target="https://www.tcgplayer.com/product/536229" TargetMode="External" Id="rId3804" /><Relationship Type="http://schemas.openxmlformats.org/officeDocument/2006/relationships/hyperlink" Target="https://www.pricecharting.com/game/pokemon-temporal-forces/3-pack-blister-cyclizar" TargetMode="External" Id="rId3805" /><Relationship Type="http://schemas.openxmlformats.org/officeDocument/2006/relationships/hyperlink" Target="https://www.tcgplayer.com/product/536227" TargetMode="External" Id="rId3806" /><Relationship Type="http://schemas.openxmlformats.org/officeDocument/2006/relationships/hyperlink" Target="https://www.pricecharting.com/game/pokemon-temporal-forces/booster-pack" TargetMode="External" Id="rId3807" /><Relationship Type="http://schemas.openxmlformats.org/officeDocument/2006/relationships/hyperlink" Target="https://www.tcgplayer.com/product/532841" TargetMode="External" Id="rId3808" /><Relationship Type="http://schemas.openxmlformats.org/officeDocument/2006/relationships/hyperlink" Target="https://www.tcgplayer.com/product/607502" TargetMode="External" Id="rId3809" /><Relationship Type="http://schemas.openxmlformats.org/officeDocument/2006/relationships/hyperlink" Target="https://www.tcgplayer.com/product/544679" TargetMode="External" Id="rId3810" /><Relationship Type="http://schemas.openxmlformats.org/officeDocument/2006/relationships/hyperlink" Target="https://www.tcgplayer.com/product/544687" TargetMode="External" Id="rId3811" /><Relationship Type="http://schemas.openxmlformats.org/officeDocument/2006/relationships/hyperlink" Target="https://www.tcgplayer.com/product/536594" TargetMode="External" Id="rId3812" /><Relationship Type="http://schemas.openxmlformats.org/officeDocument/2006/relationships/hyperlink" Target="https://www.tcgplayer.com/product/536284" TargetMode="External" Id="rId3813" /><Relationship Type="http://schemas.openxmlformats.org/officeDocument/2006/relationships/hyperlink" Target="https://www.pricecharting.com/game/pokemon-temporal-forces/sleeved-booster-pack" TargetMode="External" Id="rId3814" /><Relationship Type="http://schemas.openxmlformats.org/officeDocument/2006/relationships/hyperlink" Target="https://www.tcgplayer.com/product/538787" TargetMode="External" Id="rId3815" /><Relationship Type="http://schemas.openxmlformats.org/officeDocument/2006/relationships/hyperlink" Target="https://www.pricecharting.com/game/pokemon-twilight-masquerade/3-pack-blister-revavroom" TargetMode="External" Id="rId3816" /><Relationship Type="http://schemas.openxmlformats.org/officeDocument/2006/relationships/hyperlink" Target="https://www.tcgplayer.com/product/544172" TargetMode="External" Id="rId3817" /><Relationship Type="http://schemas.openxmlformats.org/officeDocument/2006/relationships/hyperlink" Target="https://www.pricecharting.com/game/pokemon-twilight-masquerade/3-pack-blister-snorlax" TargetMode="External" Id="rId3818" /><Relationship Type="http://schemas.openxmlformats.org/officeDocument/2006/relationships/hyperlink" Target="https://www.tcgplayer.com/product/544171" TargetMode="External" Id="rId3819" /><Relationship Type="http://schemas.openxmlformats.org/officeDocument/2006/relationships/hyperlink" Target="https://www.pricecharting.com/game/pokemon-twilight-masquerade/booster-pack" TargetMode="External" Id="rId3820" /><Relationship Type="http://schemas.openxmlformats.org/officeDocument/2006/relationships/hyperlink" Target="https://www.tcgplayer.com/product/543843" TargetMode="External" Id="rId3821" /><Relationship Type="http://schemas.openxmlformats.org/officeDocument/2006/relationships/hyperlink" Target="https://www.tcgplayer.com/product/607501" TargetMode="External" Id="rId3822" /><Relationship Type="http://schemas.openxmlformats.org/officeDocument/2006/relationships/hyperlink" Target="https://www.pricecharting.com/game/pokemon-twilight-masquerade/premium-checklane-blister-horsea" TargetMode="External" Id="rId3823" /><Relationship Type="http://schemas.openxmlformats.org/officeDocument/2006/relationships/hyperlink" Target="https://www.tcgplayer.com/product/544182" TargetMode="External" Id="rId3824" /><Relationship Type="http://schemas.openxmlformats.org/officeDocument/2006/relationships/hyperlink" Target="https://www.tcgplayer.com/product/617190" TargetMode="External" Id="rId3825" /><Relationship Type="http://schemas.openxmlformats.org/officeDocument/2006/relationships/hyperlink" Target="https://www.pricecharting.com/game/pokemon-twilight-masquerade/premium-checklane-blister-porygon" TargetMode="External" Id="rId3826" /><Relationship Type="http://schemas.openxmlformats.org/officeDocument/2006/relationships/hyperlink" Target="https://www.tcgplayer.com/product/544180" TargetMode="External" Id="rId3827" /><Relationship Type="http://schemas.openxmlformats.org/officeDocument/2006/relationships/hyperlink" Target="https://www.tcgplayer.com/product/617189" TargetMode="External" Id="rId3828" /><Relationship Type="http://schemas.openxmlformats.org/officeDocument/2006/relationships/hyperlink" Target="https://www.tcgplayer.com/product/544177" TargetMode="External" Id="rId3829" /><Relationship Type="http://schemas.openxmlformats.org/officeDocument/2006/relationships/hyperlink" Target="https://www.tcgplayer.com/product/544179" TargetMode="External" Id="rId3830" /><Relationship Type="http://schemas.openxmlformats.org/officeDocument/2006/relationships/hyperlink" Target="https://www.pricecharting.com/game/pokemon-twilight-masquerade/sleeved-booster-pack" TargetMode="External" Id="rId3831" /><Relationship Type="http://schemas.openxmlformats.org/officeDocument/2006/relationships/hyperlink" Target="https://www.tcgplayer.com/product/544170" TargetMode="External" Id="rId3832" /><Relationship Type="http://schemas.openxmlformats.org/officeDocument/2006/relationships/hyperlink" Target="https://www.tcgplayer.com/product/557337" TargetMode="External" Id="rId3833" /><Relationship Type="http://schemas.openxmlformats.org/officeDocument/2006/relationships/hyperlink" Target="https://www.tcgplayer.com/product/557331" TargetMode="External" Id="rId3834" /><Relationship Type="http://schemas.openxmlformats.org/officeDocument/2006/relationships/hyperlink" Target="https://www.tcgplayer.com/product/599943" TargetMode="External" Id="rId3835" /><Relationship Type="http://schemas.openxmlformats.org/officeDocument/2006/relationships/hyperlink" Target="https://www.tcgplayer.com/product/599942" TargetMode="External" Id="rId3836" /><Relationship Type="http://schemas.openxmlformats.org/officeDocument/2006/relationships/hyperlink" Target="https://www.tcgplayer.com/product/557338" TargetMode="External" Id="rId3837" /><Relationship Type="http://schemas.openxmlformats.org/officeDocument/2006/relationships/hyperlink" Target="https://www.tcgplayer.com/product/557341" TargetMode="External" Id="rId3838" /><Relationship Type="http://schemas.openxmlformats.org/officeDocument/2006/relationships/hyperlink" Target="https://www.tcgplayer.com/product/557352" TargetMode="External" Id="rId3839" /><Relationship Type="http://schemas.openxmlformats.org/officeDocument/2006/relationships/hyperlink" Target="https://www.tcgplayer.com/product/565635" TargetMode="External" Id="rId3840" /><Relationship Type="http://schemas.openxmlformats.org/officeDocument/2006/relationships/hyperlink" Target="https://www.tcgplayer.com/product/565634" TargetMode="External" Id="rId3841" /><Relationship Type="http://schemas.openxmlformats.org/officeDocument/2006/relationships/hyperlink" Target="https://www.pricecharting.com/game/pokemon-surging-sparks/booster-pack" TargetMode="External" Id="rId3842" /><Relationship Type="http://schemas.openxmlformats.org/officeDocument/2006/relationships/hyperlink" Target="https://www.tcgplayer.com/product/565604" TargetMode="External" Id="rId3843" /><Relationship Type="http://schemas.openxmlformats.org/officeDocument/2006/relationships/hyperlink" Target="https://www.tcgplayer.com/product/565639" TargetMode="External" Id="rId3844" /><Relationship Type="http://schemas.openxmlformats.org/officeDocument/2006/relationships/hyperlink" Target="https://www.tcgplayer.com/product/606613" TargetMode="External" Id="rId3845" /><Relationship Type="http://schemas.openxmlformats.org/officeDocument/2006/relationships/hyperlink" Target="https://www.tcgplayer.com/product/565637" TargetMode="External" Id="rId3846" /><Relationship Type="http://schemas.openxmlformats.org/officeDocument/2006/relationships/hyperlink" Target="https://www.tcgplayer.com/product/606614" TargetMode="External" Id="rId3847" /><Relationship Type="http://schemas.openxmlformats.org/officeDocument/2006/relationships/hyperlink" Target="https://www.tcgplayer.com/product/565636" TargetMode="External" Id="rId3848" /><Relationship Type="http://schemas.openxmlformats.org/officeDocument/2006/relationships/hyperlink" Target="https://www.pricecharting.com/game/pokemon-surging-sparks/sleeved-booster-pack" TargetMode="External" Id="rId3849" /><Relationship Type="http://schemas.openxmlformats.org/officeDocument/2006/relationships/hyperlink" Target="https://www.tcgplayer.com/product/565602" TargetMode="External" Id="rId3850" /><Relationship Type="http://schemas.openxmlformats.org/officeDocument/2006/relationships/hyperlink" Target="https://www.pricecharting.com/game/pokemon-journey-together/3-pack-blister-scrafty" TargetMode="External" Id="rId3851" /><Relationship Type="http://schemas.openxmlformats.org/officeDocument/2006/relationships/hyperlink" Target="https://www.tcgplayer.com/product/610948" TargetMode="External" Id="rId3852" /><Relationship Type="http://schemas.openxmlformats.org/officeDocument/2006/relationships/hyperlink" Target="https://www.tcgplayer.com/product/631972" TargetMode="External" Id="rId3853" /><Relationship Type="http://schemas.openxmlformats.org/officeDocument/2006/relationships/hyperlink" Target="https://www.pricecharting.com/game/pokemon-journey-together/3-pack-blister-yanmega" TargetMode="External" Id="rId3854" /><Relationship Type="http://schemas.openxmlformats.org/officeDocument/2006/relationships/hyperlink" Target="https://www.tcgplayer.com/product/610940" TargetMode="External" Id="rId3855" /><Relationship Type="http://schemas.openxmlformats.org/officeDocument/2006/relationships/hyperlink" Target="https://www.pricecharting.com/game/pokemon-journey-together/booster-pack" TargetMode="External" Id="rId3856" /><Relationship Type="http://schemas.openxmlformats.org/officeDocument/2006/relationships/hyperlink" Target="https://www.tcgplayer.com/product/610935" TargetMode="External" Id="rId3857" /><Relationship Type="http://schemas.openxmlformats.org/officeDocument/2006/relationships/hyperlink" Target="https://www.tcgplayer.com/product/647762" TargetMode="External" Id="rId3858" /><Relationship Type="http://schemas.openxmlformats.org/officeDocument/2006/relationships/hyperlink" Target="https://www.tcgplayer.com/product/610952" TargetMode="External" Id="rId3859" /><Relationship Type="http://schemas.openxmlformats.org/officeDocument/2006/relationships/hyperlink" Target="https://www.tcgplayer.com/product/610951" TargetMode="External" Id="rId3860" /><Relationship Type="http://schemas.openxmlformats.org/officeDocument/2006/relationships/hyperlink" Target="https://www.tcgplayer.com/product/626562" TargetMode="External" Id="rId3861" /><Relationship Type="http://schemas.openxmlformats.org/officeDocument/2006/relationships/hyperlink" Target="https://www.tcgplayer.com/product/626630" TargetMode="External" Id="rId3862" /><Relationship Type="http://schemas.openxmlformats.org/officeDocument/2006/relationships/hyperlink" Target="https://www.tcgplayer.com/product/610949" TargetMode="External" Id="rId3863" /><Relationship Type="http://schemas.openxmlformats.org/officeDocument/2006/relationships/hyperlink" Target="https://www.tcgplayer.com/product/610950" TargetMode="External" Id="rId3864" /><Relationship Type="http://schemas.openxmlformats.org/officeDocument/2006/relationships/hyperlink" Target="https://www.pricecharting.com/game/pokemon-journey-together/sleeved-booster-pack" TargetMode="External" Id="rId3865" /><Relationship Type="http://schemas.openxmlformats.org/officeDocument/2006/relationships/hyperlink" Target="https://www.tcgplayer.com/product/610934" TargetMode="External" Id="rId3866" /><Relationship Type="http://schemas.openxmlformats.org/officeDocument/2006/relationships/hyperlink" Target="https://www.pricecharting.com/game/pokemon-destined-rivals/3-pack-blister-kangaskhan" TargetMode="External" Id="rId3867" /><Relationship Type="http://schemas.openxmlformats.org/officeDocument/2006/relationships/hyperlink" Target="https://www.tcgplayer.com/product/625683" TargetMode="External" Id="rId3868" /><Relationship Type="http://schemas.openxmlformats.org/officeDocument/2006/relationships/hyperlink" Target="https://www.pricecharting.com/game/pokemon-destined-rivals/3-pack-blister-zebstrika" TargetMode="External" Id="rId3869" /><Relationship Type="http://schemas.openxmlformats.org/officeDocument/2006/relationships/hyperlink" Target="https://www.tcgplayer.com/product/625684" TargetMode="External" Id="rId3870" /><Relationship Type="http://schemas.openxmlformats.org/officeDocument/2006/relationships/hyperlink" Target="https://www.pricecharting.com/game/pokemon-destined-rivals/booster-pack" TargetMode="External" Id="rId3871" /><Relationship Type="http://schemas.openxmlformats.org/officeDocument/2006/relationships/hyperlink" Target="https://www.tcgplayer.com/product/624683" TargetMode="External" Id="rId3872" /><Relationship Type="http://schemas.openxmlformats.org/officeDocument/2006/relationships/hyperlink" Target="https://www.pricecharting.com/game/pokemon-destined-rivals/fun-pack" TargetMode="External" Id="rId3873" /><Relationship Type="http://schemas.openxmlformats.org/officeDocument/2006/relationships/hyperlink" Target="https://www.tcgplayer.com/product/650765" TargetMode="External" Id="rId3874" /><Relationship Type="http://schemas.openxmlformats.org/officeDocument/2006/relationships/hyperlink" Target="https://www.pricecharting.com/game/pokemon-destined-rivals/premium-checklane-blister-skeledirge" TargetMode="External" Id="rId3875" /><Relationship Type="http://schemas.openxmlformats.org/officeDocument/2006/relationships/hyperlink" Target="https://www.tcgplayer.com/product/625687" TargetMode="External" Id="rId3876" /><Relationship Type="http://schemas.openxmlformats.org/officeDocument/2006/relationships/hyperlink" Target="https://www.pricecharting.com/game/pokemon-destined-rivals/premium-checklane-blister-togekiss" TargetMode="External" Id="rId3877" /><Relationship Type="http://schemas.openxmlformats.org/officeDocument/2006/relationships/hyperlink" Target="https://www.tcgplayer.com/product/625688" TargetMode="External" Id="rId3878" /><Relationship Type="http://schemas.openxmlformats.org/officeDocument/2006/relationships/hyperlink" Target="https://www.pricecharting.com/game/pokemon-destined-rivals/sleeved-booster-pack" TargetMode="External" Id="rId3879" /><Relationship Type="http://schemas.openxmlformats.org/officeDocument/2006/relationships/hyperlink" Target="https://www.tcgplayer.com/product/624684" TargetMode="External" Id="rId3880" /><Relationship Type="http://schemas.openxmlformats.org/officeDocument/2006/relationships/hyperlink" Target="https://www.tcgplayer.com/product/629198" TargetMode="External" Id="rId3881" /><Relationship Type="http://schemas.openxmlformats.org/officeDocument/2006/relationships/hyperlink" Target="https://www.tcgplayer.com/product/636736" TargetMode="External" Id="rId3882" /><Relationship Type="http://schemas.openxmlformats.org/officeDocument/2006/relationships/hyperlink" Target="https://www.tcgplayer.com/product/636739" TargetMode="External" Id="rId3883" /><Relationship Type="http://schemas.openxmlformats.org/officeDocument/2006/relationships/hyperlink" Target="https://www.tcgplayer.com/product/636737" TargetMode="External" Id="rId3884" /><Relationship Type="http://schemas.openxmlformats.org/officeDocument/2006/relationships/hyperlink" Target="https://www.tcgplayer.com/product/636738" TargetMode="External" Id="rId3885" /><Relationship Type="http://schemas.openxmlformats.org/officeDocument/2006/relationships/hyperlink" Target="https://www.tcgplayer.com/product/565249" TargetMode="External" Id="rId3886" /><Relationship Type="http://schemas.openxmlformats.org/officeDocument/2006/relationships/hyperlink" Target="https://www.tcgplayer.com/product/565246" TargetMode="External" Id="rId3887" /><Relationship Type="http://schemas.openxmlformats.org/officeDocument/2006/relationships/hyperlink" Target="https://www.tcgplayer.com/product/565245" TargetMode="External" Id="rId3888" /><Relationship Type="http://schemas.openxmlformats.org/officeDocument/2006/relationships/hyperlink" Target="https://www.tcgplayer.com/product/565242" TargetMode="External" Id="rId3889" /><Relationship Type="http://schemas.openxmlformats.org/officeDocument/2006/relationships/hyperlink" Target="https://www.tcgplayer.com/product/565241" TargetMode="External" Id="rId3890" /><Relationship Type="http://schemas.openxmlformats.org/officeDocument/2006/relationships/hyperlink" Target="https://www.tcgplayer.com/product/565238" TargetMode="External" Id="rId3891" /><Relationship Type="http://schemas.openxmlformats.org/officeDocument/2006/relationships/hyperlink" Target="https://www.tcgplayer.com/product/565237" TargetMode="External" Id="rId3892" /><Relationship Type="http://schemas.openxmlformats.org/officeDocument/2006/relationships/hyperlink" Target="https://www.tcgplayer.com/product/565234" TargetMode="External" Id="rId3893" /><Relationship Type="http://schemas.openxmlformats.org/officeDocument/2006/relationships/hyperlink" Target="https://www.tcgplayer.com/product/565233" TargetMode="External" Id="rId3894" /><Relationship Type="http://schemas.openxmlformats.org/officeDocument/2006/relationships/hyperlink" Target="https://www.tcgplayer.com/product/565230" TargetMode="External" Id="rId3895" /><Relationship Type="http://schemas.openxmlformats.org/officeDocument/2006/relationships/hyperlink" Target="https://www.tcgplayer.com/product/565229" TargetMode="External" Id="rId3896" /><Relationship Type="http://schemas.openxmlformats.org/officeDocument/2006/relationships/hyperlink" Target="https://www.tcgplayer.com/product/565227" TargetMode="External" Id="rId3897" /><Relationship Type="http://schemas.openxmlformats.org/officeDocument/2006/relationships/hyperlink" Target="https://www.tcgplayer.com/product/565224" TargetMode="External" Id="rId3898" /><Relationship Type="http://schemas.openxmlformats.org/officeDocument/2006/relationships/hyperlink" Target="https://www.tcgplayer.com/product/565223" TargetMode="External" Id="rId3899" /><Relationship Type="http://schemas.openxmlformats.org/officeDocument/2006/relationships/hyperlink" Target="https://www.tcgplayer.com/product/565220" TargetMode="External" Id="rId3900" /><Relationship Type="http://schemas.openxmlformats.org/officeDocument/2006/relationships/hyperlink" Target="https://www.tcgplayer.com/product/565219" TargetMode="External" Id="rId3901" /><Relationship Type="http://schemas.openxmlformats.org/officeDocument/2006/relationships/hyperlink" Target="https://www.tcgplayer.com/product/565216" TargetMode="External" Id="rId3902" /><Relationship Type="http://schemas.openxmlformats.org/officeDocument/2006/relationships/hyperlink" Target="https://www.tcgplayer.com/product/580710" TargetMode="External" Id="rId3903" /><Relationship Type="http://schemas.openxmlformats.org/officeDocument/2006/relationships/hyperlink" Target="https://www.tcgplayer.com/product/587727" TargetMode="External" Id="rId3904" /><Relationship Type="http://schemas.openxmlformats.org/officeDocument/2006/relationships/hyperlink" Target="https://www.tcgplayer.com/product/603429" TargetMode="External" Id="rId3905" /><Relationship Type="http://schemas.openxmlformats.org/officeDocument/2006/relationships/hyperlink" Target="https://www.tcgplayer.com/product/614703" TargetMode="External" Id="rId3906" /><Relationship Type="http://schemas.openxmlformats.org/officeDocument/2006/relationships/hyperlink" Target="https://www.tcgplayer.com/product/623311" TargetMode="External" Id="rId3907" /><Relationship Type="http://schemas.openxmlformats.org/officeDocument/2006/relationships/hyperlink" Target="https://www.pricecharting.com/game/pokemon-black-bolt/booster-pack" TargetMode="External" Id="rId3908" /><Relationship Type="http://schemas.openxmlformats.org/officeDocument/2006/relationships/hyperlink" Target="https://www.tcgplayer.com/product/630434" TargetMode="External" Id="rId3909" /><Relationship Type="http://schemas.openxmlformats.org/officeDocument/2006/relationships/hyperlink" Target="https://www.pricecharting.com/game/pokemon-paldean-fates/booster-pack" TargetMode="External" Id="rId3910" /><Relationship Type="http://schemas.openxmlformats.org/officeDocument/2006/relationships/hyperlink" Target="https://www.tcgplayer.com/product/528038" TargetMode="External" Id="rId3911" /><Relationship Type="http://schemas.openxmlformats.org/officeDocument/2006/relationships/hyperlink" Target="https://www.pricecharting.com/game/pokemon-prismatic-evolutions/booster-pack" TargetMode="External" Id="rId3912" /><Relationship Type="http://schemas.openxmlformats.org/officeDocument/2006/relationships/hyperlink" Target="https://www.tcgplayer.com/product/593294" TargetMode="External" Id="rId3913" /><Relationship Type="http://schemas.openxmlformats.org/officeDocument/2006/relationships/hyperlink" Target="https://www.tcgplayer.com/product/504467" TargetMode="External" Id="rId3914" /><Relationship Type="http://schemas.openxmlformats.org/officeDocument/2006/relationships/hyperlink" Target="https://www.tcgplayer.com/product/553007" TargetMode="External" Id="rId3915" /><Relationship Type="http://schemas.openxmlformats.org/officeDocument/2006/relationships/hyperlink" Target="https://www.pricecharting.com/game/pokemon-shrouded-fable/booster-pack" TargetMode="External" Id="rId3916" /><Relationship Type="http://schemas.openxmlformats.org/officeDocument/2006/relationships/hyperlink" Target="https://www.tcgplayer.com/product/552997" TargetMode="External" Id="rId3917" /><Relationship Type="http://schemas.openxmlformats.org/officeDocument/2006/relationships/hyperlink" Target="https://www.pricecharting.com/game/pokemon-white-flare/booster-pack" TargetMode="External" Id="rId3918" /><Relationship Type="http://schemas.openxmlformats.org/officeDocument/2006/relationships/hyperlink" Target="https://www.tcgplayer.com/product/630699" TargetMode="External" Id="rId3919" /><Relationship Type="http://schemas.openxmlformats.org/officeDocument/2006/relationships/hyperlink" Target="https://www.tcgplayer.com/product/206030" TargetMode="External" Id="rId3920" /><Relationship Type="http://schemas.openxmlformats.org/officeDocument/2006/relationships/hyperlink" Target="https://www.tcgplayer.com/product/206028" TargetMode="External" Id="rId3921" /><Relationship Type="http://schemas.openxmlformats.org/officeDocument/2006/relationships/hyperlink" Target="https://www.tcgplayer.com/product/206031" TargetMode="External" Id="rId3922" /><Relationship Type="http://schemas.openxmlformats.org/officeDocument/2006/relationships/hyperlink" Target="https://www.tcgplayer.com/product/263544" TargetMode="External" Id="rId3923" /><Relationship Type="http://schemas.openxmlformats.org/officeDocument/2006/relationships/hyperlink" Target="https://www.pricecharting.com/game/pokemon-rebel-clash/3-pack-blister-duraludon" TargetMode="External" Id="rId3924" /><Relationship Type="http://schemas.openxmlformats.org/officeDocument/2006/relationships/hyperlink" Target="https://www.tcgplayer.com/product/210567" TargetMode="External" Id="rId3925" /><Relationship Type="http://schemas.openxmlformats.org/officeDocument/2006/relationships/hyperlink" Target="https://www.pricecharting.com/game/pokemon-rebel-clash/3-pack-blister-rayquaza" TargetMode="External" Id="rId3926" /><Relationship Type="http://schemas.openxmlformats.org/officeDocument/2006/relationships/hyperlink" Target="https://www.tcgplayer.com/product/210568" TargetMode="External" Id="rId3927" /><Relationship Type="http://schemas.openxmlformats.org/officeDocument/2006/relationships/hyperlink" Target="https://www.pricecharting.com/game/pokemon-rebel-clash/booster-pack" TargetMode="External" Id="rId3928" /><Relationship Type="http://schemas.openxmlformats.org/officeDocument/2006/relationships/hyperlink" Target="https://www.tcgplayer.com/product/210562" TargetMode="External" Id="rId3929" /><Relationship Type="http://schemas.openxmlformats.org/officeDocument/2006/relationships/hyperlink" Target="https://www.tcgplayer.com/product/276576" TargetMode="External" Id="rId3930" /><Relationship Type="http://schemas.openxmlformats.org/officeDocument/2006/relationships/hyperlink" Target="https://www.tcgplayer.com/product/210564" TargetMode="External" Id="rId3931" /><Relationship Type="http://schemas.openxmlformats.org/officeDocument/2006/relationships/hyperlink" Target="https://www.pricecharting.com/game/pokemon-rebel-clash/sleeved-booster-pack" TargetMode="External" Id="rId3932" /><Relationship Type="http://schemas.openxmlformats.org/officeDocument/2006/relationships/hyperlink" Target="https://www.tcgplayer.com/product/264421" TargetMode="External" Id="rId3933" /><Relationship Type="http://schemas.openxmlformats.org/officeDocument/2006/relationships/hyperlink" Target="https://www.tcgplayer.com/product/216857" TargetMode="External" Id="rId3934" /><Relationship Type="http://schemas.openxmlformats.org/officeDocument/2006/relationships/hyperlink" Target="https://www.tcgplayer.com/product/216858" TargetMode="External" Id="rId3935" /><Relationship Type="http://schemas.openxmlformats.org/officeDocument/2006/relationships/hyperlink" Target="https://www.pricecharting.com/game/pokemon-darkness-ablaze/booster-pack" TargetMode="External" Id="rId3936" /><Relationship Type="http://schemas.openxmlformats.org/officeDocument/2006/relationships/hyperlink" Target="https://www.tcgplayer.com/product/216852" TargetMode="External" Id="rId3937" /><Relationship Type="http://schemas.openxmlformats.org/officeDocument/2006/relationships/hyperlink" Target="https://www.pricecharting.com/game/pokemon-darkness-ablaze/fun-pack" TargetMode="External" Id="rId3938" /><Relationship Type="http://schemas.openxmlformats.org/officeDocument/2006/relationships/hyperlink" Target="https://www.tcgplayer.com/product/653206" TargetMode="External" Id="rId3939" /><Relationship Type="http://schemas.openxmlformats.org/officeDocument/2006/relationships/hyperlink" Target="https://www.tcgplayer.com/product/216863" TargetMode="External" Id="rId3940" /><Relationship Type="http://schemas.openxmlformats.org/officeDocument/2006/relationships/hyperlink" Target="https://www.tcgplayer.com/product/220108" TargetMode="External" Id="rId3941" /><Relationship Type="http://schemas.openxmlformats.org/officeDocument/2006/relationships/hyperlink" Target="https://www.tcgplayer.com/product/216859" TargetMode="External" Id="rId3942" /><Relationship Type="http://schemas.openxmlformats.org/officeDocument/2006/relationships/hyperlink" Target="https://www.tcgplayer.com/product/216860" TargetMode="External" Id="rId3943" /><Relationship Type="http://schemas.openxmlformats.org/officeDocument/2006/relationships/hyperlink" Target="https://www.pricecharting.com/game/pokemon-darkness-ablaze/sleeved-booster-pack" TargetMode="External" Id="rId3944" /><Relationship Type="http://schemas.openxmlformats.org/officeDocument/2006/relationships/hyperlink" Target="https://www.tcgplayer.com/product/257320" TargetMode="External" Id="rId3945" /><Relationship Type="http://schemas.openxmlformats.org/officeDocument/2006/relationships/hyperlink" Target="https://www.tcgplayer.com/product/668526" TargetMode="External" Id="rId3946" /><Relationship Type="http://schemas.openxmlformats.org/officeDocument/2006/relationships/hyperlink" Target="https://www.tcgplayer.com/product/221744" TargetMode="External" Id="rId3947" /><Relationship Type="http://schemas.openxmlformats.org/officeDocument/2006/relationships/hyperlink" Target="https://www.pricecharting.com/game/pokemon-vivid-voltage/booster-pack" TargetMode="External" Id="rId3948" /><Relationship Type="http://schemas.openxmlformats.org/officeDocument/2006/relationships/hyperlink" Target="https://www.tcgplayer.com/product/221312" TargetMode="External" Id="rId3949" /><Relationship Type="http://schemas.openxmlformats.org/officeDocument/2006/relationships/hyperlink" Target="https://www.tcgplayer.com/product/230087" TargetMode="External" Id="rId3950" /><Relationship Type="http://schemas.openxmlformats.org/officeDocument/2006/relationships/hyperlink" Target="https://www.tcgplayer.com/product/221746" TargetMode="External" Id="rId3951" /><Relationship Type="http://schemas.openxmlformats.org/officeDocument/2006/relationships/hyperlink" Target="https://www.pricecharting.com/game/pokemon-vivid-voltage/single-pack-blister-scorbunny" TargetMode="External" Id="rId3952" /><Relationship Type="http://schemas.openxmlformats.org/officeDocument/2006/relationships/hyperlink" Target="https://www.tcgplayer.com/product/221747" TargetMode="External" Id="rId3953" /><Relationship Type="http://schemas.openxmlformats.org/officeDocument/2006/relationships/hyperlink" Target="https://www.pricecharting.com/game/pokemon-vivid-voltage/sleeved-booster-pack" TargetMode="External" Id="rId3954" /><Relationship Type="http://schemas.openxmlformats.org/officeDocument/2006/relationships/hyperlink" Target="https://www.tcgplayer.com/product/245143" TargetMode="External" Id="rId3955" /><Relationship Type="http://schemas.openxmlformats.org/officeDocument/2006/relationships/hyperlink" Target="https://www.tcgplayer.com/product/229283" TargetMode="External" Id="rId3956" /><Relationship Type="http://schemas.openxmlformats.org/officeDocument/2006/relationships/hyperlink" Target="https://www.tcgplayer.com/product/229282" TargetMode="External" Id="rId3957" /><Relationship Type="http://schemas.openxmlformats.org/officeDocument/2006/relationships/hyperlink" Target="https://www.pricecharting.com/game/pokemon-battle-styles/booster-pack" TargetMode="External" Id="rId3958" /><Relationship Type="http://schemas.openxmlformats.org/officeDocument/2006/relationships/hyperlink" Target="https://www.tcgplayer.com/product/229276" TargetMode="External" Id="rId3959" /><Relationship Type="http://schemas.openxmlformats.org/officeDocument/2006/relationships/hyperlink" Target="https://www.tcgplayer.com/product/236457" TargetMode="External" Id="rId3960" /><Relationship Type="http://schemas.openxmlformats.org/officeDocument/2006/relationships/hyperlink" Target="https://www.tcgplayer.com/product/229281" TargetMode="External" Id="rId3961" /><Relationship Type="http://schemas.openxmlformats.org/officeDocument/2006/relationships/hyperlink" Target="https://www.pricecharting.com/game/pokemon-battle-styles/sleeved-booster-pack" TargetMode="External" Id="rId3962" /><Relationship Type="http://schemas.openxmlformats.org/officeDocument/2006/relationships/hyperlink" Target="https://www.tcgplayer.com/product/251879" TargetMode="External" Id="rId3963" /><Relationship Type="http://schemas.openxmlformats.org/officeDocument/2006/relationships/hyperlink" Target="https://www.tcgplayer.com/product/245856" TargetMode="External" Id="rId3964" /><Relationship Type="http://schemas.openxmlformats.org/officeDocument/2006/relationships/hyperlink" Target="https://www.pricecharting.com/game/pokemon-chilling-reign/3-pack-blister-eevee" TargetMode="External" Id="rId3965" /><Relationship Type="http://schemas.openxmlformats.org/officeDocument/2006/relationships/hyperlink" Target="https://www.tcgplayer.com/product/236268" TargetMode="External" Id="rId3966" /><Relationship Type="http://schemas.openxmlformats.org/officeDocument/2006/relationships/hyperlink" Target="https://www.pricecharting.com/game/pokemon-chilling-reign/booster-pack" TargetMode="External" Id="rId3967" /><Relationship Type="http://schemas.openxmlformats.org/officeDocument/2006/relationships/hyperlink" Target="https://www.tcgplayer.com/product/236257" TargetMode="External" Id="rId3968" /><Relationship Type="http://schemas.openxmlformats.org/officeDocument/2006/relationships/hyperlink" Target="https://www.tcgplayer.com/product/702296" TargetMode="External" Id="rId3969" /><Relationship Type="http://schemas.openxmlformats.org/officeDocument/2006/relationships/hyperlink" Target="https://www.tcgplayer.com/product/236276" TargetMode="External" Id="rId3970" /><Relationship Type="http://schemas.openxmlformats.org/officeDocument/2006/relationships/hyperlink" Target="https://www.tcgplayer.com/product/236278" TargetMode="External" Id="rId3971" /><Relationship Type="http://schemas.openxmlformats.org/officeDocument/2006/relationships/hyperlink" Target="https://www.tcgplayer.com/product/236273" TargetMode="External" Id="rId3972" /><Relationship Type="http://schemas.openxmlformats.org/officeDocument/2006/relationships/hyperlink" Target="https://www.tcgplayer.com/product/236272" TargetMode="External" Id="rId3973" /><Relationship Type="http://schemas.openxmlformats.org/officeDocument/2006/relationships/hyperlink" Target="https://www.pricecharting.com/game/pokemon-chilling-reign/sleeved-booster-pack" TargetMode="External" Id="rId3974" /><Relationship Type="http://schemas.openxmlformats.org/officeDocument/2006/relationships/hyperlink" Target="https://www.tcgplayer.com/product/242013" TargetMode="External" Id="rId3975" /><Relationship Type="http://schemas.openxmlformats.org/officeDocument/2006/relationships/hyperlink" Target="https://www.pricecharting.com/game/pokemon-evolving-skies/3-pack-blister-eiscue" TargetMode="External" Id="rId3976" /><Relationship Type="http://schemas.openxmlformats.org/officeDocument/2006/relationships/hyperlink" Target="https://www.tcgplayer.com/product/242435" TargetMode="External" Id="rId3977" /><Relationship Type="http://schemas.openxmlformats.org/officeDocument/2006/relationships/hyperlink" Target="https://www.pricecharting.com/game/pokemon-evolving-skies/3-pack-blister-umbreon" TargetMode="External" Id="rId3978" /><Relationship Type="http://schemas.openxmlformats.org/officeDocument/2006/relationships/hyperlink" Target="https://www.tcgplayer.com/product/242444" TargetMode="External" Id="rId3979" /><Relationship Type="http://schemas.openxmlformats.org/officeDocument/2006/relationships/hyperlink" Target="https://www.pricecharting.com/game/pokemon-evolving-skies/booster-pack" TargetMode="External" Id="rId3980" /><Relationship Type="http://schemas.openxmlformats.org/officeDocument/2006/relationships/hyperlink" Target="https://www.tcgplayer.com/product/244337" TargetMode="External" Id="rId3981" /><Relationship Type="http://schemas.openxmlformats.org/officeDocument/2006/relationships/hyperlink" Target="https://www.pricecharting.com/game/pokemon-evolving-skies/fun-pack" TargetMode="External" Id="rId3982" /><Relationship Type="http://schemas.openxmlformats.org/officeDocument/2006/relationships/hyperlink" Target="https://www.tcgplayer.com/product/662620" TargetMode="External" Id="rId3983" /><Relationship Type="http://schemas.openxmlformats.org/officeDocument/2006/relationships/hyperlink" Target="https://www.tcgplayer.com/product/247603" TargetMode="External" Id="rId3984" /><Relationship Type="http://schemas.openxmlformats.org/officeDocument/2006/relationships/hyperlink" Target="https://www.tcgplayer.com/product/242447" TargetMode="External" Id="rId3985" /><Relationship Type="http://schemas.openxmlformats.org/officeDocument/2006/relationships/hyperlink" Target="https://www.tcgplayer.com/product/242448" TargetMode="External" Id="rId3986" /><Relationship Type="http://schemas.openxmlformats.org/officeDocument/2006/relationships/hyperlink" Target="https://www.tcgplayer.com/product/247604" TargetMode="External" Id="rId3987" /><Relationship Type="http://schemas.openxmlformats.org/officeDocument/2006/relationships/hyperlink" Target="https://www.pricecharting.com/game/pokemon-evolving-skies/sleeved-booster-pack" TargetMode="External" Id="rId3988" /><Relationship Type="http://schemas.openxmlformats.org/officeDocument/2006/relationships/hyperlink" Target="https://www.tcgplayer.com/product/242438" TargetMode="External" Id="rId3989" /><Relationship Type="http://schemas.openxmlformats.org/officeDocument/2006/relationships/hyperlink" Target="https://www.tcgplayer.com/product/247667" TargetMode="External" Id="rId3990" /><Relationship Type="http://schemas.openxmlformats.org/officeDocument/2006/relationships/hyperlink" Target="https://www.tcgplayer.com/product/247668" TargetMode="External" Id="rId3991" /><Relationship Type="http://schemas.openxmlformats.org/officeDocument/2006/relationships/hyperlink" Target="https://www.pricecharting.com/game/pokemon-fusion-strike/booster-pack" TargetMode="External" Id="rId3992" /><Relationship Type="http://schemas.openxmlformats.org/officeDocument/2006/relationships/hyperlink" Target="https://www.tcgplayer.com/product/247646" TargetMode="External" Id="rId3993" /><Relationship Type="http://schemas.openxmlformats.org/officeDocument/2006/relationships/hyperlink" Target="https://www.pricecharting.com/game/pokemon-fusion-strike/fun-pack" TargetMode="External" Id="rId3994" /><Relationship Type="http://schemas.openxmlformats.org/officeDocument/2006/relationships/hyperlink" Target="https://www.tcgplayer.com/product/509886" TargetMode="External" Id="rId3995" /><Relationship Type="http://schemas.openxmlformats.org/officeDocument/2006/relationships/hyperlink" Target="https://www.tcgplayer.com/product/247675" TargetMode="External" Id="rId3996" /><Relationship Type="http://schemas.openxmlformats.org/officeDocument/2006/relationships/hyperlink" Target="https://www.tcgplayer.com/product/247670" TargetMode="External" Id="rId3997" /><Relationship Type="http://schemas.openxmlformats.org/officeDocument/2006/relationships/hyperlink" Target="https://www.tcgplayer.com/product/247669" TargetMode="External" Id="rId3998" /><Relationship Type="http://schemas.openxmlformats.org/officeDocument/2006/relationships/hyperlink" Target="https://www.pricecharting.com/game/pokemon-fusion-strike/sleeved-booster-pack" TargetMode="External" Id="rId3999" /><Relationship Type="http://schemas.openxmlformats.org/officeDocument/2006/relationships/hyperlink" Target="https://www.tcgplayer.com/product/247656" TargetMode="External" Id="rId4000" /><Relationship Type="http://schemas.openxmlformats.org/officeDocument/2006/relationships/hyperlink" Target="https://www.tcgplayer.com/product/263545" TargetMode="External" Id="rId4001" /><Relationship Type="http://schemas.openxmlformats.org/officeDocument/2006/relationships/hyperlink" Target="https://www.tcgplayer.com/product/256132" TargetMode="External" Id="rId4002" /><Relationship Type="http://schemas.openxmlformats.org/officeDocument/2006/relationships/hyperlink" Target="https://www.tcgplayer.com/product/256130" TargetMode="External" Id="rId4003" /><Relationship Type="http://schemas.openxmlformats.org/officeDocument/2006/relationships/hyperlink" Target="https://www.pricecharting.com/game/pokemon-brilliant-stars/booster-pack" TargetMode="External" Id="rId4004" /><Relationship Type="http://schemas.openxmlformats.org/officeDocument/2006/relationships/hyperlink" Target="https://www.tcgplayer.com/product/256124" TargetMode="External" Id="rId4005" /><Relationship Type="http://schemas.openxmlformats.org/officeDocument/2006/relationships/hyperlink" Target="https://www.tcgplayer.com/product/509881" TargetMode="External" Id="rId4006" /><Relationship Type="http://schemas.openxmlformats.org/officeDocument/2006/relationships/hyperlink" Target="https://www.tcgplayer.com/product/684658" TargetMode="External" Id="rId4007" /><Relationship Type="http://schemas.openxmlformats.org/officeDocument/2006/relationships/hyperlink" Target="https://www.tcgplayer.com/product/256129" TargetMode="External" Id="rId4008" /><Relationship Type="http://schemas.openxmlformats.org/officeDocument/2006/relationships/hyperlink" Target="https://www.pricecharting.com/game/pokemon-brilliant-stars/sleeved-booster-pack" TargetMode="External" Id="rId4009" /><Relationship Type="http://schemas.openxmlformats.org/officeDocument/2006/relationships/hyperlink" Target="https://www.tcgplayer.com/product/256125" TargetMode="External" Id="rId4010" /><Relationship Type="http://schemas.openxmlformats.org/officeDocument/2006/relationships/hyperlink" Target="https://www.tcgplayer.com/product/265524" TargetMode="External" Id="rId4011" /><Relationship Type="http://schemas.openxmlformats.org/officeDocument/2006/relationships/hyperlink" Target="https://www.tcgplayer.com/product/265546" TargetMode="External" Id="rId4012" /><Relationship Type="http://schemas.openxmlformats.org/officeDocument/2006/relationships/hyperlink" Target="https://www.tcgplayer.com/product/265525" TargetMode="External" Id="rId4013" /><Relationship Type="http://schemas.openxmlformats.org/officeDocument/2006/relationships/hyperlink" Target="https://www.pricecharting.com/game/pokemon-astral-radiance/booster-pack" TargetMode="External" Id="rId4014" /><Relationship Type="http://schemas.openxmlformats.org/officeDocument/2006/relationships/hyperlink" Target="https://www.tcgplayer.com/product/265521" TargetMode="External" Id="rId4015" /><Relationship Type="http://schemas.openxmlformats.org/officeDocument/2006/relationships/hyperlink" Target="https://www.tcgplayer.com/product/509895" TargetMode="External" Id="rId4016" /><Relationship Type="http://schemas.openxmlformats.org/officeDocument/2006/relationships/hyperlink" Target="https://www.tcgplayer.com/product/489340" TargetMode="External" Id="rId4017" /><Relationship Type="http://schemas.openxmlformats.org/officeDocument/2006/relationships/hyperlink" Target="https://www.tcgplayer.com/product/489341" TargetMode="External" Id="rId4018" /><Relationship Type="http://schemas.openxmlformats.org/officeDocument/2006/relationships/hyperlink" Target="https://www.tcgplayer.com/product/489339" TargetMode="External" Id="rId4019" /><Relationship Type="http://schemas.openxmlformats.org/officeDocument/2006/relationships/hyperlink" Target="https://www.tcgplayer.com/product/265523" TargetMode="External" Id="rId4020" /><Relationship Type="http://schemas.openxmlformats.org/officeDocument/2006/relationships/hyperlink" Target="https://www.tcgplayer.com/product/265558" TargetMode="External" Id="rId4021" /><Relationship Type="http://schemas.openxmlformats.org/officeDocument/2006/relationships/hyperlink" Target="https://www.tcgplayer.com/product/265522" TargetMode="External" Id="rId4022" /><Relationship Type="http://schemas.openxmlformats.org/officeDocument/2006/relationships/hyperlink" Target="https://www.pricecharting.com/game/pokemon-astral-radiance/sleeved-booster-pack" TargetMode="External" Id="rId4023" /><Relationship Type="http://schemas.openxmlformats.org/officeDocument/2006/relationships/hyperlink" Target="https://www.tcgplayer.com/product/265526" TargetMode="External" Id="rId4024" /><Relationship Type="http://schemas.openxmlformats.org/officeDocument/2006/relationships/hyperlink" Target="https://www.tcgplayer.com/product/277329" TargetMode="External" Id="rId4025" /><Relationship Type="http://schemas.openxmlformats.org/officeDocument/2006/relationships/hyperlink" Target="https://www.pricecharting.com/game/pokemon-lost-origin/booster-pack" TargetMode="External" Id="rId4026" /><Relationship Type="http://schemas.openxmlformats.org/officeDocument/2006/relationships/hyperlink" Target="https://www.tcgplayer.com/product/277325" TargetMode="External" Id="rId4027" /><Relationship Type="http://schemas.openxmlformats.org/officeDocument/2006/relationships/hyperlink" Target="https://www.tcgplayer.com/product/277331" TargetMode="External" Id="rId4028" /><Relationship Type="http://schemas.openxmlformats.org/officeDocument/2006/relationships/hyperlink" Target="https://www.tcgplayer.com/product/277334" TargetMode="External" Id="rId4029" /><Relationship Type="http://schemas.openxmlformats.org/officeDocument/2006/relationships/hyperlink" Target="https://www.tcgplayer.com/product/277327" TargetMode="External" Id="rId4030" /><Relationship Type="http://schemas.openxmlformats.org/officeDocument/2006/relationships/hyperlink" Target="https://www.tcgplayer.com/product/277328" TargetMode="External" Id="rId4031" /><Relationship Type="http://schemas.openxmlformats.org/officeDocument/2006/relationships/hyperlink" Target="https://www.tcgplayer.com/product/278797" TargetMode="External" Id="rId4032" /><Relationship Type="http://schemas.openxmlformats.org/officeDocument/2006/relationships/hyperlink" Target="https://www.pricecharting.com/game/pokemon-lost-origin/sleeved-booster-pack" TargetMode="External" Id="rId4033" /><Relationship Type="http://schemas.openxmlformats.org/officeDocument/2006/relationships/hyperlink" Target="https://www.tcgplayer.com/product/277326" TargetMode="External" Id="rId4034" /><Relationship Type="http://schemas.openxmlformats.org/officeDocument/2006/relationships/hyperlink" Target="https://www.tcgplayer.com/product/283394" TargetMode="External" Id="rId4035" /><Relationship Type="http://schemas.openxmlformats.org/officeDocument/2006/relationships/hyperlink" Target="https://www.tcgplayer.com/product/285779" TargetMode="External" Id="rId4036" /><Relationship Type="http://schemas.openxmlformats.org/officeDocument/2006/relationships/hyperlink" Target="https://www.pricecharting.com/game/pokemon-silver-tempest/3-pack-blister-togetic" TargetMode="External" Id="rId4037" /><Relationship Type="http://schemas.openxmlformats.org/officeDocument/2006/relationships/hyperlink" Target="https://www.tcgplayer.com/product/283393" TargetMode="External" Id="rId4038" /><Relationship Type="http://schemas.openxmlformats.org/officeDocument/2006/relationships/hyperlink" Target="https://www.pricecharting.com/game/pokemon-silver-tempest/booster-pack" TargetMode="External" Id="rId4039" /><Relationship Type="http://schemas.openxmlformats.org/officeDocument/2006/relationships/hyperlink" Target="https://www.tcgplayer.com/product/283388" TargetMode="External" Id="rId4040" /><Relationship Type="http://schemas.openxmlformats.org/officeDocument/2006/relationships/hyperlink" Target="https://www.tcgplayer.com/product/285784" TargetMode="External" Id="rId4041" /><Relationship Type="http://schemas.openxmlformats.org/officeDocument/2006/relationships/hyperlink" Target="https://www.tcgplayer.com/product/285783" TargetMode="External" Id="rId4042" /><Relationship Type="http://schemas.openxmlformats.org/officeDocument/2006/relationships/hyperlink" Target="https://www.tcgplayer.com/product/285780" TargetMode="External" Id="rId4043" /><Relationship Type="http://schemas.openxmlformats.org/officeDocument/2006/relationships/hyperlink" Target="https://www.tcgplayer.com/product/285781" TargetMode="External" Id="rId4044" /><Relationship Type="http://schemas.openxmlformats.org/officeDocument/2006/relationships/hyperlink" Target="https://www.tcgplayer.com/product/285782" TargetMode="External" Id="rId4045" /><Relationship Type="http://schemas.openxmlformats.org/officeDocument/2006/relationships/hyperlink" Target="https://www.pricecharting.com/game/pokemon-silver-tempest/sleeved-booster-pack" TargetMode="External" Id="rId4046" /><Relationship Type="http://schemas.openxmlformats.org/officeDocument/2006/relationships/hyperlink" Target="https://www.tcgplayer.com/product/283397" TargetMode="External" Id="rId4047" /><Relationship Type="http://schemas.openxmlformats.org/officeDocument/2006/relationships/hyperlink" Target="https://www.pricecharting.com/game/pokemon-crown-zenith/booster-pack" TargetMode="External" Id="rId4048" /><Relationship Type="http://schemas.openxmlformats.org/officeDocument/2006/relationships/hyperlink" Target="https://www.tcgplayer.com/product/453466" TargetMode="External" Id="rId4049" /><Relationship Type="http://schemas.openxmlformats.org/officeDocument/2006/relationships/hyperlink" Target="https://www.pricecharting.com/game/pokemon-team-rocket/booster-pack" TargetMode="External" Id="rId4050" /><Relationship Type="http://schemas.openxmlformats.org/officeDocument/2006/relationships/hyperlink" Target="https://www.pricecharting.com/game/pokemon-team-rocket/booster-pack-1st-edition" TargetMode="External" Id="rId4051" /><Relationship Type="http://schemas.openxmlformats.org/officeDocument/2006/relationships/hyperlink" Target="https://www.tcgplayer.com/product/138136" TargetMode="External" Id="rId4052" /><Relationship Type="http://schemas.openxmlformats.org/officeDocument/2006/relationships/hyperlink" Target="https://www.tcgplayer.com/product/138135" TargetMode="External" Id="rId4053" /><Relationship Type="http://schemas.openxmlformats.org/officeDocument/2006/relationships/hyperlink" Target="https://www.pricecharting.com/game/pokemon-team-rocket-returns/blister-pack" TargetMode="External" Id="rId4054" /><Relationship Type="http://schemas.openxmlformats.org/officeDocument/2006/relationships/hyperlink" Target="https://www.pricecharting.com/game/pokemon-team-up/blister-pack" TargetMode="External" Id="rId4055" /><Relationship Type="http://schemas.openxmlformats.org/officeDocument/2006/relationships/hyperlink" Target="https://www.pricecharting.com/game/pokemon-team-up/sampling-pack" TargetMode="External" Id="rId4056" /><Relationship Type="http://schemas.openxmlformats.org/officeDocument/2006/relationships/hyperlink" Target="https://www.pricecharting.com/game/pokemon-temporal-forces/single-blister-pack-bellibolt" TargetMode="External" Id="rId4057" /><Relationship Type="http://schemas.openxmlformats.org/officeDocument/2006/relationships/hyperlink" Target="https://www.pricecharting.com/game/pokemon-temporal-forces/single-blister-pack-carvanha" TargetMode="External" Id="rId4058" /><Relationship Type="http://schemas.openxmlformats.org/officeDocument/2006/relationships/hyperlink" Target="https://www.pricecharting.com/game/pokemon-trick-or-trade-2022/booster-pack" TargetMode="External" Id="rId4059" /><Relationship Type="http://schemas.openxmlformats.org/officeDocument/2006/relationships/hyperlink" Target="https://www.pricecharting.com/game/pokemon-trick-or-trade-2023/booster-pack" TargetMode="External" Id="rId4060" /><Relationship Type="http://schemas.openxmlformats.org/officeDocument/2006/relationships/hyperlink" Target="https://www.pricecharting.com/game/pokemon-trick-or-trade-2024/booster-pack" TargetMode="External" Id="rId4061" /><Relationship Type="http://schemas.openxmlformats.org/officeDocument/2006/relationships/hyperlink" Target="https://www.pricecharting.com/game/pokemon-triumphant/blister-pack" TargetMode="External" Id="rId4062" /><Relationship Type="http://schemas.openxmlformats.org/officeDocument/2006/relationships/hyperlink" Target="https://www.pricecharting.com/game/pokemon-triumphant/booster-pack" TargetMode="External" Id="rId4063" /><Relationship Type="http://schemas.openxmlformats.org/officeDocument/2006/relationships/hyperlink" Target="https://www.tcgplayer.com/product/98534" TargetMode="External" Id="rId4064" /><Relationship Type="http://schemas.openxmlformats.org/officeDocument/2006/relationships/hyperlink" Target="https://www.pricecharting.com/game/pokemon-twilight-masquerade/blister-pack-pupitar" TargetMode="External" Id="rId4065" /><Relationship Type="http://schemas.openxmlformats.org/officeDocument/2006/relationships/hyperlink" Target="https://www.pricecharting.com/game/pokemon-twilight-masquerade/blister-pack-toxel" TargetMode="External" Id="rId4066" /><Relationship Type="http://schemas.openxmlformats.org/officeDocument/2006/relationships/hyperlink" Target="https://www.pricecharting.com/game/pokemon-unbroken-bonds/blister-pack" TargetMode="External" Id="rId4067" /><Relationship Type="http://schemas.openxmlformats.org/officeDocument/2006/relationships/hyperlink" Target="https://www.pricecharting.com/game/pokemon-unbroken-bonds/blister-pack-pikachu" TargetMode="External" Id="rId4068" /><Relationship Type="http://schemas.openxmlformats.org/officeDocument/2006/relationships/hyperlink" Target="https://www.pricecharting.com/game/pokemon-unbroken-bonds/mini-booster-pack" TargetMode="External" Id="rId4069" /><Relationship Type="http://schemas.openxmlformats.org/officeDocument/2006/relationships/hyperlink" Target="https://www.pricecharting.com/game/pokemon-undaunted/blister-pack" TargetMode="External" Id="rId4070" /><Relationship Type="http://schemas.openxmlformats.org/officeDocument/2006/relationships/hyperlink" Target="https://www.pricecharting.com/game/pokemon-undaunted/booster-pack" TargetMode="External" Id="rId4071" /><Relationship Type="http://schemas.openxmlformats.org/officeDocument/2006/relationships/hyperlink" Target="https://www.tcgplayer.com/product/98586" TargetMode="External" Id="rId4072" /><Relationship Type="http://schemas.openxmlformats.org/officeDocument/2006/relationships/hyperlink" Target="https://www.pricecharting.com/game/pokemon-unified-minds/mini-booster-pack" TargetMode="External" Id="rId4073" /><Relationship Type="http://schemas.openxmlformats.org/officeDocument/2006/relationships/hyperlink" Target="https://www.pricecharting.com/game/pokemon-unified-minds/pikachu-blister-pack" TargetMode="External" Id="rId4074" /><Relationship Type="http://schemas.openxmlformats.org/officeDocument/2006/relationships/hyperlink" Target="https://www.pricecharting.com/game/pokemon-unified-minds/triple-blister-pack" TargetMode="External" Id="rId4075" /><Relationship Type="http://schemas.openxmlformats.org/officeDocument/2006/relationships/hyperlink" Target="https://www.pricecharting.com/game/pokemon-unleashed/blister-pack" TargetMode="External" Id="rId4076" /><Relationship Type="http://schemas.openxmlformats.org/officeDocument/2006/relationships/hyperlink" Target="https://www.pricecharting.com/game/pokemon-unleashed/booster-pack" TargetMode="External" Id="rId4077" /><Relationship Type="http://schemas.openxmlformats.org/officeDocument/2006/relationships/hyperlink" Target="https://www.tcgplayer.com/product/98582" TargetMode="External" Id="rId4078" /><Relationship Type="http://schemas.openxmlformats.org/officeDocument/2006/relationships/hyperlink" Target="https://www.tcgplayer.com/product/477048" TargetMode="External" Id="rId4079" /><Relationship Type="http://schemas.openxmlformats.org/officeDocument/2006/relationships/hyperlink" Target="https://www.pricecharting.com/game/pokemon-xy/booster-pack" TargetMode="External" Id="rId4080" /><Relationship Type="http://schemas.openxmlformats.org/officeDocument/2006/relationships/hyperlink" Target="https://www.pricecharting.com/game/pokemon-xy/mini-booster-pack" TargetMode="External" Id="rId4081" /><Relationship Type="http://schemas.openxmlformats.org/officeDocument/2006/relationships/hyperlink" Target="https://www.pricecharting.com/game/pokemon-xy/sleeved-booster-pack" TargetMode="External" Id="rId4082" /><Relationship Type="http://schemas.openxmlformats.org/officeDocument/2006/relationships/hyperlink" Target="https://www.pricecharting.com/game/pokemon-ancient-origins/3-pack-blister-salamence" TargetMode="External" Id="rId4083" /><Relationship Type="http://schemas.openxmlformats.org/officeDocument/2006/relationships/hyperlink" Target="https://www.tcgplayer.com/product/100494" TargetMode="External" Id="rId4084" /><Relationship Type="http://schemas.openxmlformats.org/officeDocument/2006/relationships/hyperlink" Target="https://www.tcgplayer.com/product/100490" TargetMode="External" Id="rId4085" /><Relationship Type="http://schemas.openxmlformats.org/officeDocument/2006/relationships/hyperlink" Target="https://www.tcgplayer.com/product/117272" TargetMode="External" Id="rId4086" /><Relationship Type="http://schemas.openxmlformats.org/officeDocument/2006/relationships/hyperlink" Target="https://www.tcgplayer.com/product/117271" TargetMode="External" Id="rId4087" /><Relationship Type="http://schemas.openxmlformats.org/officeDocument/2006/relationships/hyperlink" Target="https://www.tcgplayer.com/product/542096" TargetMode="External" Id="rId4088" /><Relationship Type="http://schemas.openxmlformats.org/officeDocument/2006/relationships/hyperlink" Target="https://www.tcgplayer.com/product/111279" TargetMode="External" Id="rId4089" /><Relationship Type="http://schemas.openxmlformats.org/officeDocument/2006/relationships/hyperlink" Target="https://www.tcgplayer.com/product/117275" TargetMode="External" Id="rId4090" /><Relationship Type="http://schemas.openxmlformats.org/officeDocument/2006/relationships/hyperlink" Target="https://www.tcgplayer.com/product/108638" TargetMode="External" Id="rId4091" /><Relationship Type="http://schemas.openxmlformats.org/officeDocument/2006/relationships/hyperlink" Target="https://www.tcgplayer.com/product/108637" TargetMode="External" Id="rId4092" /><Relationship Type="http://schemas.openxmlformats.org/officeDocument/2006/relationships/hyperlink" Target="https://www.pricecharting.com/game/pokemon-breakthrough/sleeved-booster-pack" TargetMode="External" Id="rId4093" /><Relationship Type="http://schemas.openxmlformats.org/officeDocument/2006/relationships/hyperlink" Target="https://www.tcgplayer.com/product/550675" TargetMode="External" Id="rId4094" /><Relationship Type="http://schemas.openxmlformats.org/officeDocument/2006/relationships/hyperlink" Target="https://www.tcgplayer.com/product/107666" TargetMode="External" Id="rId4095" /><Relationship Type="http://schemas.openxmlformats.org/officeDocument/2006/relationships/hyperlink" Target="https://www.pricecharting.com/game/pokemon-evolutions/booster-pack" TargetMode="External" Id="rId4096" /><Relationship Type="http://schemas.openxmlformats.org/officeDocument/2006/relationships/hyperlink" Target="https://www.tcgplayer.com/product/129907" TargetMode="External" Id="rId4097" /><Relationship Type="http://schemas.openxmlformats.org/officeDocument/2006/relationships/hyperlink" Target="https://www.tcgplayer.com/product/686507" TargetMode="External" Id="rId4098" /><Relationship Type="http://schemas.openxmlformats.org/officeDocument/2006/relationships/hyperlink" Target="https://www.tcgplayer.com/product/272648" TargetMode="External" Id="rId4099" /><Relationship Type="http://schemas.openxmlformats.org/officeDocument/2006/relationships/hyperlink" Target="https://www.tcgplayer.com/product/603422" TargetMode="External" Id="rId4100" /><Relationship Type="http://schemas.openxmlformats.org/officeDocument/2006/relationships/hyperlink" Target="https://www.tcgplayer.com/product/603423" TargetMode="External" Id="rId4101" /><Relationship Type="http://schemas.openxmlformats.org/officeDocument/2006/relationships/hyperlink" Target="https://www.tcgplayer.com/product/118338" TargetMode="External" Id="rId4102" /><Relationship Type="http://schemas.openxmlformats.org/officeDocument/2006/relationships/hyperlink" Target="https://www.tcgplayer.com/product/118337" TargetMode="External" Id="rId4103" /><Relationship Type="http://schemas.openxmlformats.org/officeDocument/2006/relationships/hyperlink" Target="https://www.tcgplayer.com/product/118340" TargetMode="External" Id="rId4104" /><Relationship Type="http://schemas.openxmlformats.org/officeDocument/2006/relationships/hyperlink" Target="https://www.tcgplayer.com/product/504699" TargetMode="External" Id="rId4105" /><Relationship Type="http://schemas.openxmlformats.org/officeDocument/2006/relationships/hyperlink" Target="https://www.tcgplayer.com/product/504697" TargetMode="External" Id="rId4106" /><Relationship Type="http://schemas.openxmlformats.org/officeDocument/2006/relationships/hyperlink" Target="https://www.tcgplayer.com/product/504700" TargetMode="External" Id="rId4107" /><Relationship Type="http://schemas.openxmlformats.org/officeDocument/2006/relationships/hyperlink" Target="https://www.tcgplayer.com/product/168114" TargetMode="External" Id="rId4108" /><Relationship Type="http://schemas.openxmlformats.org/officeDocument/2006/relationships/hyperlink" Target="https://www.pricecharting.com/game/pokemon-flashfire/booster-pack" TargetMode="External" Id="rId4109" /><Relationship Type="http://schemas.openxmlformats.org/officeDocument/2006/relationships/hyperlink" Target="https://www.tcgplayer.com/product/91595" TargetMode="External" Id="rId4110" /><Relationship Type="http://schemas.openxmlformats.org/officeDocument/2006/relationships/hyperlink" Target="https://www.tcgplayer.com/product/524332" TargetMode="External" Id="rId4111" /><Relationship Type="http://schemas.openxmlformats.org/officeDocument/2006/relationships/hyperlink" Target="https://www.tcgplayer.com/product/97772" TargetMode="External" Id="rId4112" /><Relationship Type="http://schemas.openxmlformats.org/officeDocument/2006/relationships/hyperlink" Target="https://www.tcgplayer.com/product/97768" TargetMode="External" Id="rId4113" /><Relationship Type="http://schemas.openxmlformats.org/officeDocument/2006/relationships/hyperlink" Target="https://www.tcgplayer.com/product/97770" TargetMode="External" Id="rId4114" /><Relationship Type="http://schemas.openxmlformats.org/officeDocument/2006/relationships/hyperlink" Target="https://www.tcgplayer.com/product/97771" TargetMode="External" Id="rId4115" /><Relationship Type="http://schemas.openxmlformats.org/officeDocument/2006/relationships/hyperlink" Target="https://www.tcgplayer.com/product/550673" TargetMode="External" Id="rId4116" /><Relationship Type="http://schemas.openxmlformats.org/officeDocument/2006/relationships/hyperlink" Target="https://www.pricecharting.com/game/pokemon-phantom-forces/sleeved-booster-pack" TargetMode="External" Id="rId4117" /><Relationship Type="http://schemas.openxmlformats.org/officeDocument/2006/relationships/hyperlink" Target="https://www.tcgplayer.com/product/550676" TargetMode="External" Id="rId4118" /><Relationship Type="http://schemas.openxmlformats.org/officeDocument/2006/relationships/hyperlink" Target="https://www.tcgplayer.com/product/94622" TargetMode="External" Id="rId4119" /><Relationship Type="http://schemas.openxmlformats.org/officeDocument/2006/relationships/hyperlink" Target="https://www.tcgplayer.com/product/97758" TargetMode="External" Id="rId4120" /><Relationship Type="http://schemas.openxmlformats.org/officeDocument/2006/relationships/hyperlink" Target="https://www.tcgplayer.com/product/97759" TargetMode="External" Id="rId4121" /><Relationship Type="http://schemas.openxmlformats.org/officeDocument/2006/relationships/hyperlink" Target="https://www.tcgplayer.com/product/100501" TargetMode="External" Id="rId4122" /><Relationship Type="http://schemas.openxmlformats.org/officeDocument/2006/relationships/hyperlink" Target="https://www.pricecharting.com/game/pokemon-roaring-skies/booster-pack" TargetMode="External" Id="rId4123" /><Relationship Type="http://schemas.openxmlformats.org/officeDocument/2006/relationships/hyperlink" Target="https://www.tcgplayer.com/product/129906" TargetMode="External" Id="rId4124" /><Relationship Type="http://schemas.openxmlformats.org/officeDocument/2006/relationships/hyperlink" Target="https://www.pricecharting.com/game/pokemon-roaring-skies/sleeved-booster-pack" TargetMode="External" Id="rId4125" /><Relationship Type="http://schemas.openxmlformats.org/officeDocument/2006/relationships/hyperlink" Target="https://www.tcgplayer.com/product/697502" TargetMode="External" Id="rId4126" /><Relationship Type="http://schemas.openxmlformats.org/officeDocument/2006/relationships/hyperlink" Target="https://www.tcgplayer.com/product/120704" TargetMode="External" Id="rId4127" /><Relationship Type="http://schemas.openxmlformats.org/officeDocument/2006/relationships/hyperlink" Target="https://www.tcgplayer.com/product/120705" TargetMode="External" Id="rId4128" /><Relationship Type="http://schemas.openxmlformats.org/officeDocument/2006/relationships/hyperlink" Target="https://www.tcgplayer.com/product/130013" TargetMode="External" Id="rId4129" /><Relationship Type="http://schemas.openxmlformats.org/officeDocument/2006/relationships/hyperlink" Target="https://www.tcgplayer.com/product/120703" TargetMode="External" Id="rId4130" /><Relationship Type="http://schemas.openxmlformats.org/officeDocument/2006/relationships/hyperlink" Target="https://www.tcgplayer.com/product/120702" TargetMode="External" Id="rId4131" /><Relationship Type="http://schemas.openxmlformats.org/officeDocument/2006/relationships/hyperlink" Target="https://www.tcgplayer.com/product/268448" TargetMode="External" Id="rId4132" /><Relationship Type="http://schemas.openxmlformats.org/officeDocument/2006/relationships/hyperlink" Target="https://www.tcgplayer.com/product/562107" TargetMode="External" Id="rId4133" /><Relationship Type="http://schemas.openxmlformats.org/officeDocument/2006/relationships/hyperlink" Target="https://www.tcgplayer.com/product/91602" TargetMode="External" Id="rId4134" /><Relationship Type="http://schemas.openxmlformats.org/officeDocument/2006/relationships/hyperlink" Target="https://www.tcgplayer.com/product/97733" TargetMode="External" Id="rId413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pricecharting.com/game/one-piece-japanese-premium-booster/sealed-storage-box-set" TargetMode="External" Id="rId1" /><Relationship Type="http://schemas.openxmlformats.org/officeDocument/2006/relationships/hyperlink" Target="https://www.tcgplayer.com/product/717458" TargetMode="External" Id="rId2" /><Relationship Type="http://schemas.openxmlformats.org/officeDocument/2006/relationships/hyperlink" Target="https://www.tcgplayer.com/product/700808" TargetMode="External" Id="rId3" /><Relationship Type="http://schemas.openxmlformats.org/officeDocument/2006/relationships/hyperlink" Target="https://www.pricecharting.com/game/one-piece-promo/sealed-anniversary-storage-box" TargetMode="External" Id="rId4" /><Relationship Type="http://schemas.openxmlformats.org/officeDocument/2006/relationships/hyperlink" Target="https://www.pricecharting.com/game/one-piece-seven-warlords-of-the-sea-binder-set/sealed-binder-set" TargetMode="External" Id="rId5" /><Relationship Type="http://schemas.openxmlformats.org/officeDocument/2006/relationships/hyperlink" Target="https://www.tcgplayer.com/product/532107" TargetMode="External" Id="rId6" /><Relationship Type="http://schemas.openxmlformats.org/officeDocument/2006/relationships/hyperlink" Target="https://www.tcgplayer.com/product/549495" TargetMode="External" Id="rId7" /><Relationship Type="http://schemas.openxmlformats.org/officeDocument/2006/relationships/hyperlink" Target="https://www.tcgplayer.com/product/620181" TargetMode="External" Id="rId8" /><Relationship Type="http://schemas.openxmlformats.org/officeDocument/2006/relationships/hyperlink" Target="https://www.tcgplayer.com/product/606562" TargetMode="External" Id="rId9" /><Relationship Type="http://schemas.openxmlformats.org/officeDocument/2006/relationships/hyperlink" Target="https://www.tcgplayer.com/product/682058" TargetMode="External" Id="rId10" /><Relationship Type="http://schemas.openxmlformats.org/officeDocument/2006/relationships/hyperlink" Target="https://www.tcgplayer.com/product/682790" TargetMode="External" Id="rId11" /><Relationship Type="http://schemas.openxmlformats.org/officeDocument/2006/relationships/hyperlink" Target="https://www.tcgplayer.com/product/498735" TargetMode="External" Id="rId12" /><Relationship Type="http://schemas.openxmlformats.org/officeDocument/2006/relationships/hyperlink" Target="https://www.tcgplayer.com/product/527062" TargetMode="External" Id="rId13" /><Relationship Type="http://schemas.openxmlformats.org/officeDocument/2006/relationships/hyperlink" Target="https://www.tcgplayer.com/product/527063" TargetMode="External" Id="rId14" /><Relationship Type="http://schemas.openxmlformats.org/officeDocument/2006/relationships/hyperlink" Target="https://www.tcgplayer.com/product/628353" TargetMode="External" Id="rId15" /><Relationship Type="http://schemas.openxmlformats.org/officeDocument/2006/relationships/hyperlink" Target="https://www.tcgplayer.com/product/563843" TargetMode="External" Id="rId16" /><Relationship Type="http://schemas.openxmlformats.org/officeDocument/2006/relationships/hyperlink" Target="https://www.tcgplayer.com/product/563835" TargetMode="External" Id="rId17" /><Relationship Type="http://schemas.openxmlformats.org/officeDocument/2006/relationships/hyperlink" Target="https://www.tcgplayer.com/product/594070" TargetMode="External" Id="rId18" /><Relationship Type="http://schemas.openxmlformats.org/officeDocument/2006/relationships/hyperlink" Target="https://www.tcgplayer.com/product/521162" TargetMode="External" Id="rId19" /><Relationship Type="http://schemas.openxmlformats.org/officeDocument/2006/relationships/hyperlink" Target="https://www.tcgplayer.com/product/711386" TargetMode="External" Id="rId20" /><Relationship Type="http://schemas.openxmlformats.org/officeDocument/2006/relationships/hyperlink" Target="https://www.tcgplayer.com/product/666892" TargetMode="External" Id="rId21" /><Relationship Type="http://schemas.openxmlformats.org/officeDocument/2006/relationships/hyperlink" Target="https://www.tcgplayer.com/product/514029" TargetMode="External" Id="rId22" /><Relationship Type="http://schemas.openxmlformats.org/officeDocument/2006/relationships/hyperlink" Target="https://www.tcgplayer.com/product/485834" TargetMode="External" Id="rId23" /><Relationship Type="http://schemas.openxmlformats.org/officeDocument/2006/relationships/hyperlink" Target="https://www.tcgplayer.com/product/628479" TargetMode="External" Id="rId24" /><Relationship Type="http://schemas.openxmlformats.org/officeDocument/2006/relationships/hyperlink" Target="https://www.tcgplayer.com/product/628349" TargetMode="External" Id="rId25" /><Relationship Type="http://schemas.openxmlformats.org/officeDocument/2006/relationships/hyperlink" Target="https://www.tcgplayer.com/product/628347" TargetMode="External" Id="rId26" /><Relationship Type="http://schemas.openxmlformats.org/officeDocument/2006/relationships/hyperlink" Target="https://www.tcgplayer.com/product/593447" TargetMode="External" Id="rId27" /><Relationship Type="http://schemas.openxmlformats.org/officeDocument/2006/relationships/hyperlink" Target="https://www.tcgplayer.com/product/493744" TargetMode="External" Id="rId28" /><Relationship Type="http://schemas.openxmlformats.org/officeDocument/2006/relationships/hyperlink" Target="https://www.tcgplayer.com/product/672601" TargetMode="External" Id="rId29" /><Relationship Type="http://schemas.openxmlformats.org/officeDocument/2006/relationships/hyperlink" Target="https://www.tcgplayer.com/product/672604" TargetMode="External" Id="rId30" /><Relationship Type="http://schemas.openxmlformats.org/officeDocument/2006/relationships/hyperlink" Target="https://www.tcgplayer.com/product/711511" TargetMode="External" Id="rId31" /><Relationship Type="http://schemas.openxmlformats.org/officeDocument/2006/relationships/hyperlink" Target="https://www.tcgplayer.com/product/711512" TargetMode="External" Id="rId32" /><Relationship Type="http://schemas.openxmlformats.org/officeDocument/2006/relationships/hyperlink" Target="https://www.tcgplayer.com/product/620280" TargetMode="External" Id="rId33" /><Relationship Type="http://schemas.openxmlformats.org/officeDocument/2006/relationships/hyperlink" Target="https://www.tcgplayer.com/product/620281" TargetMode="External" Id="rId34" /><Relationship Type="http://schemas.openxmlformats.org/officeDocument/2006/relationships/hyperlink" Target="https://www.tcgplayer.com/product/657218" TargetMode="External" Id="rId35" /><Relationship Type="http://schemas.openxmlformats.org/officeDocument/2006/relationships/hyperlink" Target="https://www.tcgplayer.com/product/657219" TargetMode="External" Id="rId36" /><Relationship Type="http://schemas.openxmlformats.org/officeDocument/2006/relationships/hyperlink" Target="https://www.tcgplayer.com/product/646249" TargetMode="External" Id="rId37" /><Relationship Type="http://schemas.openxmlformats.org/officeDocument/2006/relationships/hyperlink" Target="https://www.tcgplayer.com/product/455867" TargetMode="External" Id="rId38" /><Relationship Type="http://schemas.openxmlformats.org/officeDocument/2006/relationships/hyperlink" Target="https://www.tcgplayer.com/product/477177" TargetMode="External" Id="rId39" /><Relationship Type="http://schemas.openxmlformats.org/officeDocument/2006/relationships/hyperlink" Target="https://www.pricecharting.com/game/one-piece-premium-booster/premium-booster-display-prb01" TargetMode="External" Id="rId40" /><Relationship Type="http://schemas.openxmlformats.org/officeDocument/2006/relationships/hyperlink" Target="https://www.tcgplayer.com/product/545400" TargetMode="External" Id="rId41" /><Relationship Type="http://schemas.openxmlformats.org/officeDocument/2006/relationships/hyperlink" Target="https://www.tcgplayer.com/product/628453" TargetMode="External" Id="rId42" /><Relationship Type="http://schemas.openxmlformats.org/officeDocument/2006/relationships/hyperlink" Target="https://www.tcgplayer.com/product/650853" TargetMode="External" Id="rId43" /><Relationship Type="http://schemas.openxmlformats.org/officeDocument/2006/relationships/hyperlink" Target="https://www.tcgplayer.com/product/450087" TargetMode="External" Id="rId44" /><Relationship Type="http://schemas.openxmlformats.org/officeDocument/2006/relationships/hyperlink" Target="https://www.tcgplayer.com/product/586673" TargetMode="External" Id="rId45" /><Relationship Type="http://schemas.openxmlformats.org/officeDocument/2006/relationships/hyperlink" Target="https://www.tcgplayer.com/product/694894" TargetMode="External" Id="rId46" /><Relationship Type="http://schemas.openxmlformats.org/officeDocument/2006/relationships/hyperlink" Target="https://www.tcgplayer.com/product/515296" TargetMode="External" Id="rId47" /><Relationship Type="http://schemas.openxmlformats.org/officeDocument/2006/relationships/hyperlink" Target="https://www.tcgplayer.com/product/536586" TargetMode="External" Id="rId48" /><Relationship Type="http://schemas.openxmlformats.org/officeDocument/2006/relationships/hyperlink" Target="https://www.tcgplayer.com/product/545028" TargetMode="External" Id="rId49" /><Relationship Type="http://schemas.openxmlformats.org/officeDocument/2006/relationships/hyperlink" Target="https://www.tcgplayer.com/product/545034" TargetMode="External" Id="rId50" /><Relationship Type="http://schemas.openxmlformats.org/officeDocument/2006/relationships/hyperlink" Target="https://www.tcgplayer.com/product/545037" TargetMode="External" Id="rId51" /><Relationship Type="http://schemas.openxmlformats.org/officeDocument/2006/relationships/hyperlink" Target="https://www.tcgplayer.com/product/545040" TargetMode="External" Id="rId52" /><Relationship Type="http://schemas.openxmlformats.org/officeDocument/2006/relationships/hyperlink" Target="https://www.tcgplayer.com/product/545043" TargetMode="External" Id="rId53" /><Relationship Type="http://schemas.openxmlformats.org/officeDocument/2006/relationships/hyperlink" Target="https://www.tcgplayer.com/product/545046" TargetMode="External" Id="rId54" /><Relationship Type="http://schemas.openxmlformats.org/officeDocument/2006/relationships/hyperlink" Target="https://www.tcgplayer.com/product/288222" TargetMode="External" Id="rId55" /><Relationship Type="http://schemas.openxmlformats.org/officeDocument/2006/relationships/hyperlink" Target="https://www.tcgplayer.com/product/628449" TargetMode="External" Id="rId56" /><Relationship Type="http://schemas.openxmlformats.org/officeDocument/2006/relationships/hyperlink" Target="https://www.tcgplayer.com/product/627670" TargetMode="External" Id="rId57" /><Relationship Type="http://schemas.openxmlformats.org/officeDocument/2006/relationships/hyperlink" Target="https://www.tcgplayer.com/product/627671" TargetMode="External" Id="rId58" /><Relationship Type="http://schemas.openxmlformats.org/officeDocument/2006/relationships/hyperlink" Target="https://www.tcgplayer.com/product/627675" TargetMode="External" Id="rId59" /><Relationship Type="http://schemas.openxmlformats.org/officeDocument/2006/relationships/hyperlink" Target="https://www.tcgplayer.com/product/627676" TargetMode="External" Id="rId60" /><Relationship Type="http://schemas.openxmlformats.org/officeDocument/2006/relationships/hyperlink" Target="https://www.tcgplayer.com/product/627679" TargetMode="External" Id="rId61" /><Relationship Type="http://schemas.openxmlformats.org/officeDocument/2006/relationships/hyperlink" Target="https://www.tcgplayer.com/product/627680" TargetMode="External" Id="rId62" /><Relationship Type="http://schemas.openxmlformats.org/officeDocument/2006/relationships/hyperlink" Target="https://www.tcgplayer.com/product/671480" TargetMode="External" Id="rId63" /><Relationship Type="http://schemas.openxmlformats.org/officeDocument/2006/relationships/hyperlink" Target="https://www.tcgplayer.com/product/704886" TargetMode="External" Id="rId64" /><Relationship Type="http://schemas.openxmlformats.org/officeDocument/2006/relationships/hyperlink" Target="https://www.tcgplayer.com/product/704888" TargetMode="External" Id="rId65" /><Relationship Type="http://schemas.openxmlformats.org/officeDocument/2006/relationships/hyperlink" Target="https://www.tcgplayer.com/product/704891" TargetMode="External" Id="rId66" /><Relationship Type="http://schemas.openxmlformats.org/officeDocument/2006/relationships/hyperlink" Target="https://www.tcgplayer.com/product/704892" TargetMode="External" Id="rId67" /><Relationship Type="http://schemas.openxmlformats.org/officeDocument/2006/relationships/hyperlink" Target="https://www.tcgplayer.com/product/704895" TargetMode="External" Id="rId68" /><Relationship Type="http://schemas.openxmlformats.org/officeDocument/2006/relationships/hyperlink" Target="https://www.tcgplayer.com/product/704896" TargetMode="External" Id="rId69" /><Relationship Type="http://schemas.openxmlformats.org/officeDocument/2006/relationships/hyperlink" Target="https://www.tcgplayer.com/product/288223" TargetMode="External" Id="rId70" /><Relationship Type="http://schemas.openxmlformats.org/officeDocument/2006/relationships/hyperlink" Target="https://www.tcgplayer.com/product/455860" TargetMode="External" Id="rId71" /><Relationship Type="http://schemas.openxmlformats.org/officeDocument/2006/relationships/hyperlink" Target="https://www.tcgplayer.com/product/455869" TargetMode="External" Id="rId72" /><Relationship Type="http://schemas.openxmlformats.org/officeDocument/2006/relationships/hyperlink" Target="https://www.tcgplayer.com/product/480240" TargetMode="External" Id="rId73" /><Relationship Type="http://schemas.openxmlformats.org/officeDocument/2006/relationships/hyperlink" Target="https://www.tcgplayer.com/product/502976" TargetMode="External" Id="rId74" /><Relationship Type="http://schemas.openxmlformats.org/officeDocument/2006/relationships/hyperlink" Target="https://www.tcgplayer.com/product/502979" TargetMode="External" Id="rId75" /><Relationship Type="http://schemas.openxmlformats.org/officeDocument/2006/relationships/hyperlink" Target="https://www.tcgplayer.com/product/502980" TargetMode="External" Id="rId76" /><Relationship Type="http://schemas.openxmlformats.org/officeDocument/2006/relationships/hyperlink" Target="https://www.tcgplayer.com/product/606576" TargetMode="External" Id="rId77" /><Relationship Type="http://schemas.openxmlformats.org/officeDocument/2006/relationships/hyperlink" Target="https://www.tcgplayer.com/product/692139" TargetMode="External" Id="rId78" /><Relationship Type="http://schemas.openxmlformats.org/officeDocument/2006/relationships/hyperlink" Target="https://www.tcgplayer.com/product/666579" TargetMode="External" Id="rId79" /><Relationship Type="http://schemas.openxmlformats.org/officeDocument/2006/relationships/hyperlink" Target="https://www.tcgplayer.com/product/665599" TargetMode="External" Id="rId80" /><Relationship Type="http://schemas.openxmlformats.org/officeDocument/2006/relationships/hyperlink" Target="https://www.tcgplayer.com/product/712909" TargetMode="External" Id="rId81" /><Relationship Type="http://schemas.openxmlformats.org/officeDocument/2006/relationships/hyperlink" Target="https://www.tcgplayer.com/product/712902" TargetMode="External" Id="rId82" /><Relationship Type="http://schemas.openxmlformats.org/officeDocument/2006/relationships/hyperlink" Target="https://www.tcgplayer.com/product/693365" TargetMode="External" Id="rId83" /><Relationship Type="http://schemas.openxmlformats.org/officeDocument/2006/relationships/hyperlink" Target="https://www.tcgplayer.com/product/689338" TargetMode="External" Id="rId84" /><Relationship Type="http://schemas.openxmlformats.org/officeDocument/2006/relationships/hyperlink" Target="https://www.tcgplayer.com/product/704878" TargetMode="External" Id="rId85" /><Relationship Type="http://schemas.openxmlformats.org/officeDocument/2006/relationships/hyperlink" Target="https://www.tcgplayer.com/product/704754" TargetMode="External" Id="rId86" /><Relationship Type="http://schemas.openxmlformats.org/officeDocument/2006/relationships/hyperlink" Target="https://www.tcgplayer.com/product/561690" TargetMode="External" Id="rId87" /><Relationship Type="http://schemas.openxmlformats.org/officeDocument/2006/relationships/hyperlink" Target="https://www.tcgplayer.com/product/542505" TargetMode="External" Id="rId88" /><Relationship Type="http://schemas.openxmlformats.org/officeDocument/2006/relationships/hyperlink" Target="https://www.tcgplayer.com/product/543596" TargetMode="External" Id="rId89" /><Relationship Type="http://schemas.openxmlformats.org/officeDocument/2006/relationships/hyperlink" Target="https://www.tcgplayer.com/product/502983" TargetMode="External" Id="rId90" /><Relationship Type="http://schemas.openxmlformats.org/officeDocument/2006/relationships/hyperlink" Target="https://www.tcgplayer.com/product/541543" TargetMode="External" Id="rId91" /><Relationship Type="http://schemas.openxmlformats.org/officeDocument/2006/relationships/hyperlink" Target="https://www.tcgplayer.com/product/541544" TargetMode="External" Id="rId92" /><Relationship Type="http://schemas.openxmlformats.org/officeDocument/2006/relationships/hyperlink" Target="https://www.tcgplayer.com/product/515081" TargetMode="External" Id="rId93" /><Relationship Type="http://schemas.openxmlformats.org/officeDocument/2006/relationships/hyperlink" Target="https://www.pricecharting.com/game/one-piece-japanese-promo/family-deck-set" TargetMode="External" Id="rId94" /><Relationship Type="http://schemas.openxmlformats.org/officeDocument/2006/relationships/hyperlink" Target="https://www.pricecharting.com/game/one-piece-japanese-starter-deck-1-straw-hat-crew/sealed-deck" TargetMode="External" Id="rId95" /><Relationship Type="http://schemas.openxmlformats.org/officeDocument/2006/relationships/hyperlink" Target="https://www.pricecharting.com/game/one-piece-japanese-starter-deck-11-uta/sealed-deck" TargetMode="External" Id="rId96" /><Relationship Type="http://schemas.openxmlformats.org/officeDocument/2006/relationships/hyperlink" Target="https://www.pricecharting.com/game/one-piece-japanese-starter-deck-12/sealed-deck" TargetMode="External" Id="rId97" /><Relationship Type="http://schemas.openxmlformats.org/officeDocument/2006/relationships/hyperlink" Target="https://www.pricecharting.com/game/one-piece-japanese-starter-deck-14-3d2y/sealed-deck" TargetMode="External" Id="rId98" /><Relationship Type="http://schemas.openxmlformats.org/officeDocument/2006/relationships/hyperlink" Target="https://www.pricecharting.com/game/one-piece-japanese-starter-deck-15-edward-newgate/sealed-deck" TargetMode="External" Id="rId99" /><Relationship Type="http://schemas.openxmlformats.org/officeDocument/2006/relationships/hyperlink" Target="https://www.pricecharting.com/game/one-piece-japanese-starter-deck-18-monkeydluffy/sealed-deck" TargetMode="External" Id="rId100" /><Relationship Type="http://schemas.openxmlformats.org/officeDocument/2006/relationships/hyperlink" Target="https://www.pricecharting.com/game/one-piece-japanese-starter-deck-2-worst-generation/sealed-deck" TargetMode="External" Id="rId101" /><Relationship Type="http://schemas.openxmlformats.org/officeDocument/2006/relationships/hyperlink" Target="https://www.pricecharting.com/game/one-piece-japanese-starter-deck-25-blue-buggy/sealed-deck" TargetMode="External" Id="rId102" /><Relationship Type="http://schemas.openxmlformats.org/officeDocument/2006/relationships/hyperlink" Target="https://www.pricecharting.com/game/one-piece-japanese-starter-deck-28-yellow-yamato/sealed-deck" TargetMode="External" Id="rId103" /><Relationship Type="http://schemas.openxmlformats.org/officeDocument/2006/relationships/hyperlink" Target="https://www.pricecharting.com/game/one-piece-japanese-starter-deck-29-egghead-arc/sealed-deck" TargetMode="External" Id="rId104" /><Relationship Type="http://schemas.openxmlformats.org/officeDocument/2006/relationships/hyperlink" Target="https://www.pricecharting.com/game/one-piece-japanese-starter-deck-3-the-seven-warlords-of-the-sea/sealed-deck" TargetMode="External" Id="rId105" /><Relationship Type="http://schemas.openxmlformats.org/officeDocument/2006/relationships/hyperlink" Target="https://www.pricecharting.com/game/one-piece-japanese-starter-deck-6-absolute-justice/sealed-deck" TargetMode="External" Id="rId106" /><Relationship Type="http://schemas.openxmlformats.org/officeDocument/2006/relationships/hyperlink" Target="https://www.pricecharting.com/game/one-piece-japanese-starter-deck-7-big-mom-pirates/sealed-deck" TargetMode="External" Id="rId107" /><Relationship Type="http://schemas.openxmlformats.org/officeDocument/2006/relationships/hyperlink" Target="https://www.pricecharting.com/game/one-piece-japanese-starter-deck-8-monkeydluffy/sealed-deck" TargetMode="External" Id="rId108" /><Relationship Type="http://schemas.openxmlformats.org/officeDocument/2006/relationships/hyperlink" Target="https://www.pricecharting.com/game/one-piece-japanese-starter-deck-9-yamato/sealed-deck" TargetMode="External" Id="rId109" /><Relationship Type="http://schemas.openxmlformats.org/officeDocument/2006/relationships/hyperlink" Target="https://www.pricecharting.com/game/one-piece-japanese-ultra-deck-the-three-brothers/sealed-deck" TargetMode="External" Id="rId110" /><Relationship Type="http://schemas.openxmlformats.org/officeDocument/2006/relationships/hyperlink" Target="https://www.pricecharting.com/game/one-piece-japanese-ultra-deck-the-three-captains/sealed-deck" TargetMode="External" Id="rId111" /><Relationship Type="http://schemas.openxmlformats.org/officeDocument/2006/relationships/hyperlink" Target="https://www.tcgplayer.com/product/628478" TargetMode="External" Id="rId112" /><Relationship Type="http://schemas.openxmlformats.org/officeDocument/2006/relationships/hyperlink" Target="https://www.pricecharting.com/game/one-piece-learn-together-deck-set/sealed-learn-together-deck-set" TargetMode="External" Id="rId113" /><Relationship Type="http://schemas.openxmlformats.org/officeDocument/2006/relationships/hyperlink" Target="https://www.tcgplayer.com/product/636531" TargetMode="External" Id="rId114" /><Relationship Type="http://schemas.openxmlformats.org/officeDocument/2006/relationships/hyperlink" Target="https://www.tcgplayer.com/product/636532" TargetMode="External" Id="rId115" /><Relationship Type="http://schemas.openxmlformats.org/officeDocument/2006/relationships/hyperlink" Target="https://www.tcgplayer.com/product/546889" TargetMode="External" Id="rId116" /><Relationship Type="http://schemas.openxmlformats.org/officeDocument/2006/relationships/hyperlink" Target="https://www.tcgplayer.com/product/694893" TargetMode="External" Id="rId117" /><Relationship Type="http://schemas.openxmlformats.org/officeDocument/2006/relationships/hyperlink" Target="https://www.pricecharting.com/game/one-piece-starter-deck-1-straw-hat-crew/sealed-deck" TargetMode="External" Id="rId118" /><Relationship Type="http://schemas.openxmlformats.org/officeDocument/2006/relationships/hyperlink" Target="https://www.pricecharting.com/game/one-piece-starter-deck-1-straw-hat-crew/super-pre-release-starter-deck-1" TargetMode="External" Id="rId119" /><Relationship Type="http://schemas.openxmlformats.org/officeDocument/2006/relationships/hyperlink" Target="https://www.pricecharting.com/game/one-piece-starter-deck-11-uta/sealed-deck" TargetMode="External" Id="rId120" /><Relationship Type="http://schemas.openxmlformats.org/officeDocument/2006/relationships/hyperlink" Target="https://www.tcgplayer.com/product/515294" TargetMode="External" Id="rId121" /><Relationship Type="http://schemas.openxmlformats.org/officeDocument/2006/relationships/hyperlink" Target="https://www.pricecharting.com/game/one-piece-starter-deck-12/sealed-deck" TargetMode="External" Id="rId122" /><Relationship Type="http://schemas.openxmlformats.org/officeDocument/2006/relationships/hyperlink" Target="https://www.tcgplayer.com/product/536585" TargetMode="External" Id="rId123" /><Relationship Type="http://schemas.openxmlformats.org/officeDocument/2006/relationships/hyperlink" Target="https://www.pricecharting.com/game/one-piece-starter-deck-14-3d2y/sealed-deck" TargetMode="External" Id="rId124" /><Relationship Type="http://schemas.openxmlformats.org/officeDocument/2006/relationships/hyperlink" Target="https://www.tcgplayer.com/product/545026" TargetMode="External" Id="rId125" /><Relationship Type="http://schemas.openxmlformats.org/officeDocument/2006/relationships/hyperlink" Target="https://www.pricecharting.com/game/one-piece-starter-deck-15-edward-newgate/sealed-deck" TargetMode="External" Id="rId126" /><Relationship Type="http://schemas.openxmlformats.org/officeDocument/2006/relationships/hyperlink" Target="https://www.tcgplayer.com/product/545033" TargetMode="External" Id="rId127" /><Relationship Type="http://schemas.openxmlformats.org/officeDocument/2006/relationships/hyperlink" Target="https://www.tcgplayer.com/product/594381" TargetMode="External" Id="rId128" /><Relationship Type="http://schemas.openxmlformats.org/officeDocument/2006/relationships/hyperlink" Target="https://www.pricecharting.com/game/one-piece-starter-deck-16-uta/sealed-deck" TargetMode="External" Id="rId129" /><Relationship Type="http://schemas.openxmlformats.org/officeDocument/2006/relationships/hyperlink" Target="https://www.tcgplayer.com/product/545036" TargetMode="External" Id="rId130" /><Relationship Type="http://schemas.openxmlformats.org/officeDocument/2006/relationships/hyperlink" Target="https://www.pricecharting.com/game/one-piece-starter-deck-17-donquixote-donflamingo/sealed-deck" TargetMode="External" Id="rId131" /><Relationship Type="http://schemas.openxmlformats.org/officeDocument/2006/relationships/hyperlink" Target="https://www.tcgplayer.com/product/545039" TargetMode="External" Id="rId132" /><Relationship Type="http://schemas.openxmlformats.org/officeDocument/2006/relationships/hyperlink" Target="https://www.pricecharting.com/game/one-piece-starter-deck-18-monkeydluffy/sealed-deck" TargetMode="External" Id="rId133" /><Relationship Type="http://schemas.openxmlformats.org/officeDocument/2006/relationships/hyperlink" Target="https://www.tcgplayer.com/product/545042" TargetMode="External" Id="rId134" /><Relationship Type="http://schemas.openxmlformats.org/officeDocument/2006/relationships/hyperlink" Target="https://www.pricecharting.com/game/one-piece-starter-deck-19-smoker/sealed-deck" TargetMode="External" Id="rId135" /><Relationship Type="http://schemas.openxmlformats.org/officeDocument/2006/relationships/hyperlink" Target="https://www.tcgplayer.com/product/545045" TargetMode="External" Id="rId136" /><Relationship Type="http://schemas.openxmlformats.org/officeDocument/2006/relationships/hyperlink" Target="https://www.tcgplayer.com/product/288221" TargetMode="External" Id="rId137" /><Relationship Type="http://schemas.openxmlformats.org/officeDocument/2006/relationships/hyperlink" Target="https://www.pricecharting.com/game/one-piece-starter-deck-1-straw-hat-crew/starter-decks-1-4-set-of-4" TargetMode="External" Id="rId138" /><Relationship Type="http://schemas.openxmlformats.org/officeDocument/2006/relationships/hyperlink" Target="https://www.tcgplayer.com/product/288225" TargetMode="External" Id="rId139" /><Relationship Type="http://schemas.openxmlformats.org/officeDocument/2006/relationships/hyperlink" Target="https://www.pricecharting.com/game/one-piece-starter-deck-2-worst-generation/sealed-deck" TargetMode="External" Id="rId140" /><Relationship Type="http://schemas.openxmlformats.org/officeDocument/2006/relationships/hyperlink" Target="https://www.pricecharting.com/game/one-piece-starter-deck-2-worst-generation/super-pre-release-starter-deck-2" TargetMode="External" Id="rId141" /><Relationship Type="http://schemas.openxmlformats.org/officeDocument/2006/relationships/hyperlink" Target="https://www.pricecharting.com/game/one-piece-starter-deck-20-charlotte-katakuri/sealed-deck" TargetMode="External" Id="rId142" /><Relationship Type="http://schemas.openxmlformats.org/officeDocument/2006/relationships/hyperlink" Target="https://www.tcgplayer.com/product/545048" TargetMode="External" Id="rId143" /><Relationship Type="http://schemas.openxmlformats.org/officeDocument/2006/relationships/hyperlink" Target="https://www.pricecharting.com/game/one-piece-starter-deck-21-gear5/sealed-deck" TargetMode="External" Id="rId144" /><Relationship Type="http://schemas.openxmlformats.org/officeDocument/2006/relationships/hyperlink" Target="https://www.tcgplayer.com/product/628448" TargetMode="External" Id="rId145" /><Relationship Type="http://schemas.openxmlformats.org/officeDocument/2006/relationships/hyperlink" Target="https://www.pricecharting.com/game/one-piece-starter-deck-23-red-shanks/sealed-deck" TargetMode="External" Id="rId146" /><Relationship Type="http://schemas.openxmlformats.org/officeDocument/2006/relationships/hyperlink" Target="https://www.tcgplayer.com/product/627669" TargetMode="External" Id="rId147" /><Relationship Type="http://schemas.openxmlformats.org/officeDocument/2006/relationships/hyperlink" Target="https://www.tcgplayer.com/product/659940" TargetMode="External" Id="rId148" /><Relationship Type="http://schemas.openxmlformats.org/officeDocument/2006/relationships/hyperlink" Target="https://www.pricecharting.com/game/one-piece-starter-deck-24-green-jewelry-bonney/sealed-starter-deck" TargetMode="External" Id="rId149" /><Relationship Type="http://schemas.openxmlformats.org/officeDocument/2006/relationships/hyperlink" Target="https://www.tcgplayer.com/product/627672" TargetMode="External" Id="rId150" /><Relationship Type="http://schemas.openxmlformats.org/officeDocument/2006/relationships/hyperlink" Target="https://www.pricecharting.com/game/one-piece-starter-deck-25-blue-buggy/sealed-starter-deck" TargetMode="External" Id="rId151" /><Relationship Type="http://schemas.openxmlformats.org/officeDocument/2006/relationships/hyperlink" Target="https://www.tcgplayer.com/product/627674" TargetMode="External" Id="rId152" /><Relationship Type="http://schemas.openxmlformats.org/officeDocument/2006/relationships/hyperlink" Target="https://www.pricecharting.com/game/one-piece-starter-deck-26-purple-monkeydluffy/sealed-starter-deck" TargetMode="External" Id="rId153" /><Relationship Type="http://schemas.openxmlformats.org/officeDocument/2006/relationships/hyperlink" Target="https://www.tcgplayer.com/product/627677" TargetMode="External" Id="rId154" /><Relationship Type="http://schemas.openxmlformats.org/officeDocument/2006/relationships/hyperlink" Target="https://www.pricecharting.com/game/one-piece-starter-deck-27-black-marshalldteach/sealed-starter-deck" TargetMode="External" Id="rId155" /><Relationship Type="http://schemas.openxmlformats.org/officeDocument/2006/relationships/hyperlink" Target="https://www.tcgplayer.com/product/627678" TargetMode="External" Id="rId156" /><Relationship Type="http://schemas.openxmlformats.org/officeDocument/2006/relationships/hyperlink" Target="https://www.pricecharting.com/game/one-piece-starter-deck-28-yellow-yamato/sealed-starter-deck" TargetMode="External" Id="rId157" /><Relationship Type="http://schemas.openxmlformats.org/officeDocument/2006/relationships/hyperlink" Target="https://www.tcgplayer.com/product/627681" TargetMode="External" Id="rId158" /><Relationship Type="http://schemas.openxmlformats.org/officeDocument/2006/relationships/hyperlink" Target="https://www.pricecharting.com/game/one-piece-starter-deck-29-egghead/sealed-deck" TargetMode="External" Id="rId159" /><Relationship Type="http://schemas.openxmlformats.org/officeDocument/2006/relationships/hyperlink" Target="https://www.tcgplayer.com/product/671479" TargetMode="External" Id="rId160" /><Relationship Type="http://schemas.openxmlformats.org/officeDocument/2006/relationships/hyperlink" Target="https://www.tcgplayer.com/product/672894" TargetMode="External" Id="rId161" /><Relationship Type="http://schemas.openxmlformats.org/officeDocument/2006/relationships/hyperlink" Target="https://www.tcgplayer.com/product/288226" TargetMode="External" Id="rId162" /><Relationship Type="http://schemas.openxmlformats.org/officeDocument/2006/relationships/hyperlink" Target="https://www.pricecharting.com/game/one-piece-starter-deck-3-the-seven-warlords-of-the-sea/sealed-deck" TargetMode="External" Id="rId163" /><Relationship Type="http://schemas.openxmlformats.org/officeDocument/2006/relationships/hyperlink" Target="https://www.pricecharting.com/game/one-piece-starter-deck-3-the-seven-warlords-of-the-sea/super-pre-release-starter-deck-3" TargetMode="External" Id="rId164" /><Relationship Type="http://schemas.openxmlformats.org/officeDocument/2006/relationships/hyperlink" Target="https://www.pricecharting.com/game/one-piece-starter-deck-31-red-monkeydluffy/sealed-deck" TargetMode="External" Id="rId165" /><Relationship Type="http://schemas.openxmlformats.org/officeDocument/2006/relationships/hyperlink" Target="https://www.tcgplayer.com/product/704885" TargetMode="External" Id="rId166" /><Relationship Type="http://schemas.openxmlformats.org/officeDocument/2006/relationships/hyperlink" Target="https://www.tcgplayer.com/product/712853" TargetMode="External" Id="rId167" /><Relationship Type="http://schemas.openxmlformats.org/officeDocument/2006/relationships/hyperlink" Target="https://www.tcgplayer.com/product/704889" TargetMode="External" Id="rId168" /><Relationship Type="http://schemas.openxmlformats.org/officeDocument/2006/relationships/hyperlink" Target="https://www.tcgplayer.com/product/704890" TargetMode="External" Id="rId169" /><Relationship Type="http://schemas.openxmlformats.org/officeDocument/2006/relationships/hyperlink" Target="https://www.tcgplayer.com/product/704893" TargetMode="External" Id="rId170" /><Relationship Type="http://schemas.openxmlformats.org/officeDocument/2006/relationships/hyperlink" Target="https://www.tcgplayer.com/product/704894" TargetMode="External" Id="rId171" /><Relationship Type="http://schemas.openxmlformats.org/officeDocument/2006/relationships/hyperlink" Target="https://www.tcgplayer.com/product/704897" TargetMode="External" Id="rId172" /><Relationship Type="http://schemas.openxmlformats.org/officeDocument/2006/relationships/hyperlink" Target="https://www.tcgplayer.com/product/288227" TargetMode="External" Id="rId173" /><Relationship Type="http://schemas.openxmlformats.org/officeDocument/2006/relationships/hyperlink" Target="https://www.pricecharting.com/game/one-piece-starter-deck-4-animal-kingdom-pirates/sealed-deck" TargetMode="External" Id="rId174" /><Relationship Type="http://schemas.openxmlformats.org/officeDocument/2006/relationships/hyperlink" Target="https://www.pricecharting.com/game/one-piece-starter-deck-4-animal-kingdom-pirates/super-pre-release-starter-deck-4" TargetMode="External" Id="rId175" /><Relationship Type="http://schemas.openxmlformats.org/officeDocument/2006/relationships/hyperlink" Target="https://www.tcgplayer.com/product/288224" TargetMode="External" Id="rId176" /><Relationship Type="http://schemas.openxmlformats.org/officeDocument/2006/relationships/hyperlink" Target="https://www.pricecharting.com/game/one-piece-starter-deck-5-film-edition/sealed-deck" TargetMode="External" Id="rId177" /><Relationship Type="http://schemas.openxmlformats.org/officeDocument/2006/relationships/hyperlink" Target="https://www.tcgplayer.com/product/455859" TargetMode="External" Id="rId178" /><Relationship Type="http://schemas.openxmlformats.org/officeDocument/2006/relationships/hyperlink" Target="https://www.pricecharting.com/game/one-piece-starter-deck-6-absolute-justice/sealed-deck" TargetMode="External" Id="rId179" /><Relationship Type="http://schemas.openxmlformats.org/officeDocument/2006/relationships/hyperlink" Target="https://www.pricecharting.com/game/one-piece-starter-deck-6-absolute-justice/starter-deck-6-absolute-justice" TargetMode="External" Id="rId180" /><Relationship Type="http://schemas.openxmlformats.org/officeDocument/2006/relationships/hyperlink" Target="https://www.tcgplayer.com/product/455868" TargetMode="External" Id="rId181" /><Relationship Type="http://schemas.openxmlformats.org/officeDocument/2006/relationships/hyperlink" Target="https://www.pricecharting.com/game/one-piece-starter-deck-7-big-mom-pirates/sealed-deck" TargetMode="External" Id="rId182" /><Relationship Type="http://schemas.openxmlformats.org/officeDocument/2006/relationships/hyperlink" Target="https://www.tcgplayer.com/product/480236" TargetMode="External" Id="rId183" /><Relationship Type="http://schemas.openxmlformats.org/officeDocument/2006/relationships/hyperlink" Target="https://www.pricecharting.com/game/one-piece-starter-deck-8-monkeydluffy/sealed-deck" TargetMode="External" Id="rId184" /><Relationship Type="http://schemas.openxmlformats.org/officeDocument/2006/relationships/hyperlink" Target="https://www.tcgplayer.com/product/502975" TargetMode="External" Id="rId185" /><Relationship Type="http://schemas.openxmlformats.org/officeDocument/2006/relationships/hyperlink" Target="https://www.pricecharting.com/game/one-piece-starter-deck-9-yamato/sealed-deck" TargetMode="External" Id="rId186" /><Relationship Type="http://schemas.openxmlformats.org/officeDocument/2006/relationships/hyperlink" Target="https://www.tcgplayer.com/product/502978" TargetMode="External" Id="rId187" /><Relationship Type="http://schemas.openxmlformats.org/officeDocument/2006/relationships/hyperlink" Target="https://www.tcgplayer.com/product/606575" TargetMode="External" Id="rId188" /><Relationship Type="http://schemas.openxmlformats.org/officeDocument/2006/relationships/hyperlink" Target="https://www.tcgplayer.com/product/628485" TargetMode="External" Id="rId189" /><Relationship Type="http://schemas.openxmlformats.org/officeDocument/2006/relationships/hyperlink" Target="https://www.tcgplayer.com/product/692138" TargetMode="External" Id="rId190" /><Relationship Type="http://schemas.openxmlformats.org/officeDocument/2006/relationships/hyperlink" Target="https://www.tcgplayer.com/product/692140" TargetMode="External" Id="rId191" /><Relationship Type="http://schemas.openxmlformats.org/officeDocument/2006/relationships/hyperlink" Target="https://www.pricecharting.com/game/one-piece-starter-starter-deck-32-green-roronoa-zoro/sealed-deck" TargetMode="External" Id="rId192" /><Relationship Type="http://schemas.openxmlformats.org/officeDocument/2006/relationships/hyperlink" Target="https://www.pricecharting.com/game/one-piece-starter-starter-deck-33-blue-kuzan/sealed-deck" TargetMode="External" Id="rId193" /><Relationship Type="http://schemas.openxmlformats.org/officeDocument/2006/relationships/hyperlink" Target="https://www.pricecharting.com/game/one-piece-starter-starter-deck-34-purple-charlotte-katakuri/sealed-deck" TargetMode="External" Id="rId194" /><Relationship Type="http://schemas.openxmlformats.org/officeDocument/2006/relationships/hyperlink" Target="https://www.pricecharting.com/game/one-piece-starter-starter-deck-35-red-black-sabo/sealed-deck" TargetMode="External" Id="rId195" /><Relationship Type="http://schemas.openxmlformats.org/officeDocument/2006/relationships/hyperlink" Target="https://www.pricecharting.com/game/one-piece-starter-starter-deck-36-yellow-eustass-captain-kid/sealed-deck" TargetMode="External" Id="rId196" /><Relationship Type="http://schemas.openxmlformats.org/officeDocument/2006/relationships/hyperlink" Target="https://www.tcgplayer.com/product/409506" TargetMode="External" Id="rId197" /><Relationship Type="http://schemas.openxmlformats.org/officeDocument/2006/relationships/hyperlink" Target="https://www.tcgplayer.com/product/411372" TargetMode="External" Id="rId198" /><Relationship Type="http://schemas.openxmlformats.org/officeDocument/2006/relationships/hyperlink" Target="https://www.tcgplayer.com/product/408197" TargetMode="External" Id="rId199" /><Relationship Type="http://schemas.openxmlformats.org/officeDocument/2006/relationships/hyperlink" Target="https://www.tcgplayer.com/product/411279" TargetMode="External" Id="rId200" /><Relationship Type="http://schemas.openxmlformats.org/officeDocument/2006/relationships/hyperlink" Target="https://www.tcgplayer.com/product/422137" TargetMode="External" Id="rId201" /><Relationship Type="http://schemas.openxmlformats.org/officeDocument/2006/relationships/hyperlink" Target="https://www.pricecharting.com/game/one-piece-ultra-deck-the-three-brothers/sealed-deck" TargetMode="External" Id="rId202" /><Relationship Type="http://schemas.openxmlformats.org/officeDocument/2006/relationships/hyperlink" Target="https://www.pricecharting.com/game/one-piece-ultra-deck-the-three-captains/sealed-deck" TargetMode="External" Id="rId203" /><Relationship Type="http://schemas.openxmlformats.org/officeDocument/2006/relationships/hyperlink" Target="https://www.tcgplayer.com/product/543595" TargetMode="External" Id="rId204" /><Relationship Type="http://schemas.openxmlformats.org/officeDocument/2006/relationships/hyperlink" Target="https://www.tcgplayer.com/product/502982" TargetMode="External" Id="rId205" /><Relationship Type="http://schemas.openxmlformats.org/officeDocument/2006/relationships/hyperlink" Target="https://www.pricecharting.com/game/pokemon-japanese-promo/bea-rubber-playmat-set" TargetMode="External" Id="rId206" /><Relationship Type="http://schemas.openxmlformats.org/officeDocument/2006/relationships/hyperlink" Target="https://www.pricecharting.com/game/pokemon-japanese-vmax-climax/victor-&amp;-gloria-rubber-playmat-set" TargetMode="External" Id="rId207" /><Relationship Type="http://schemas.openxmlformats.org/officeDocument/2006/relationships/hyperlink" Target="https://www.pricecharting.com/game/pokemon-promo/elite-trainer-deck-shield-dawn-wings-necrozma" TargetMode="External" Id="rId208" /><Relationship Type="http://schemas.openxmlformats.org/officeDocument/2006/relationships/hyperlink" Target="https://www.pricecharting.com/game/pokemon-steam-siege/volcanion-elite-trainer-deck-shield" TargetMode="External" Id="rId209" /><Relationship Type="http://schemas.openxmlformats.org/officeDocument/2006/relationships/hyperlink" Target="https://www.pricecharting.com/game/pokemon-steam-siege/zygarde-elite-trainer-deck-shield" TargetMode="External" Id="rId210" /><Relationship Type="http://schemas.openxmlformats.org/officeDocument/2006/relationships/hyperlink" Target="https://www.tcgplayer.com/product/688727" TargetMode="External" Id="rId211" /><Relationship Type="http://schemas.openxmlformats.org/officeDocument/2006/relationships/hyperlink" Target="https://www.tcgplayer.com/product/455796" TargetMode="External" Id="rId212" /><Relationship Type="http://schemas.openxmlformats.org/officeDocument/2006/relationships/hyperlink" Target="https://www.tcgplayer.com/product/251880" TargetMode="External" Id="rId213" /><Relationship Type="http://schemas.openxmlformats.org/officeDocument/2006/relationships/hyperlink" Target="https://www.tcgplayer.com/product/256970" TargetMode="External" Id="rId214" /><Relationship Type="http://schemas.openxmlformats.org/officeDocument/2006/relationships/hyperlink" Target="https://www.pricecharting.com/game/pokemon-celebrations/mini-tin-display" TargetMode="External" Id="rId215" /><Relationship Type="http://schemas.openxmlformats.org/officeDocument/2006/relationships/hyperlink" Target="https://www.tcgplayer.com/product/242812" TargetMode="External" Id="rId216" /><Relationship Type="http://schemas.openxmlformats.org/officeDocument/2006/relationships/hyperlink" Target="https://www.tcgplayer.com/product/247385" TargetMode="External" Id="rId217" /><Relationship Type="http://schemas.openxmlformats.org/officeDocument/2006/relationships/hyperlink" Target="https://www.tcgplayer.com/product/218792" TargetMode="External" Id="rId218" /><Relationship Type="http://schemas.openxmlformats.org/officeDocument/2006/relationships/hyperlink" Target="https://www.pricecharting.com/game/pokemon-chaos-rising/build-&amp;-battle-display" TargetMode="External" Id="rId219" /><Relationship Type="http://schemas.openxmlformats.org/officeDocument/2006/relationships/hyperlink" Target="https://www.pricecharting.com/game/pokemon-chinese-promo/charizard-card-display-frame-gift-box" TargetMode="External" Id="rId220" /><Relationship Type="http://schemas.openxmlformats.org/officeDocument/2006/relationships/hyperlink" Target="https://www.pricecharting.com/game/pokemon-chinese-promo/eevee-card-display-frame-gift-box" TargetMode="External" Id="rId221" /><Relationship Type="http://schemas.openxmlformats.org/officeDocument/2006/relationships/hyperlink" Target="https://www.pricecharting.com/game/pokemon-crown-zenith/sealed-tin-display" TargetMode="External" Id="rId222" /><Relationship Type="http://schemas.openxmlformats.org/officeDocument/2006/relationships/hyperlink" Target="https://www.pricecharting.com/game/pokemon-detective-pikachu/detective-pikachu-case-file" TargetMode="External" Id="rId223" /><Relationship Type="http://schemas.openxmlformats.org/officeDocument/2006/relationships/hyperlink" Target="https://www.tcgplayer.com/product/185245" TargetMode="External" Id="rId224" /><Relationship Type="http://schemas.openxmlformats.org/officeDocument/2006/relationships/hyperlink" Target="https://www.pricecharting.com/game/pokemon-detective-pikachu/detective-pikachu-case-file-display" TargetMode="External" Id="rId225" /><Relationship Type="http://schemas.openxmlformats.org/officeDocument/2006/relationships/hyperlink" Target="https://www.pricecharting.com/game/pokemon-detective-pikachu/charizard-gx-special-case-file" TargetMode="External" Id="rId226" /><Relationship Type="http://schemas.openxmlformats.org/officeDocument/2006/relationships/hyperlink" Target="https://www.pricecharting.com/game/pokemon-detective-pikachu/detective-pikachu-on-the-case-figure-collection" TargetMode="External" Id="rId227" /><Relationship Type="http://schemas.openxmlformats.org/officeDocument/2006/relationships/hyperlink" Target="https://www.tcgplayer.com/product/197563" TargetMode="External" Id="rId228" /><Relationship Type="http://schemas.openxmlformats.org/officeDocument/2006/relationships/hyperlink" Target="https://www.tcgplayer.com/product/190325" TargetMode="External" Id="rId229" /><Relationship Type="http://schemas.openxmlformats.org/officeDocument/2006/relationships/hyperlink" Target="https://www.pricecharting.com/game/pokemon-detective-pikachu/charizard-gx-case-file" TargetMode="External" Id="rId230" /><Relationship Type="http://schemas.openxmlformats.org/officeDocument/2006/relationships/hyperlink" Target="https://www.tcgplayer.com/product/185242" TargetMode="External" Id="rId231" /><Relationship Type="http://schemas.openxmlformats.org/officeDocument/2006/relationships/hyperlink" Target="https://www.pricecharting.com/game/pokemon-detective-pikachu/greninja-gx-case-file" TargetMode="External" Id="rId232" /><Relationship Type="http://schemas.openxmlformats.org/officeDocument/2006/relationships/hyperlink" Target="https://www.tcgplayer.com/product/185243" TargetMode="External" Id="rId233" /><Relationship Type="http://schemas.openxmlformats.org/officeDocument/2006/relationships/hyperlink" Target="https://www.tcgplayer.com/product/190324" TargetMode="External" Id="rId234" /><Relationship Type="http://schemas.openxmlformats.org/officeDocument/2006/relationships/hyperlink" Target="https://www.tcgplayer.com/product/673439" TargetMode="External" Id="rId235" /><Relationship Type="http://schemas.openxmlformats.org/officeDocument/2006/relationships/hyperlink" Target="https://www.tcgplayer.com/product/688716" TargetMode="External" Id="rId236" /><Relationship Type="http://schemas.openxmlformats.org/officeDocument/2006/relationships/hyperlink" Target="https://www.tcgplayer.com/product/695402" TargetMode="External" Id="rId237" /><Relationship Type="http://schemas.openxmlformats.org/officeDocument/2006/relationships/hyperlink" Target="https://www.tcgplayer.com/product/648466" TargetMode="External" Id="rId238" /><Relationship Type="http://schemas.openxmlformats.org/officeDocument/2006/relationships/hyperlink" Target="https://www.pricecharting.com/game/pokemon-japanese-glory-of-team-rocket/attache-case-set" TargetMode="External" Id="rId239" /><Relationship Type="http://schemas.openxmlformats.org/officeDocument/2006/relationships/hyperlink" Target="https://www.tcgplayer.com/product/644731" TargetMode="External" Id="rId240" /><Relationship Type="http://schemas.openxmlformats.org/officeDocument/2006/relationships/hyperlink" Target="https://www.tcgplayer.com/product/644730" TargetMode="External" Id="rId241" /><Relationship Type="http://schemas.openxmlformats.org/officeDocument/2006/relationships/hyperlink" Target="https://www.tcgplayer.com/product/644733" TargetMode="External" Id="rId242" /><Relationship Type="http://schemas.openxmlformats.org/officeDocument/2006/relationships/hyperlink" Target="https://www.tcgplayer.com/product/644727" TargetMode="External" Id="rId243" /><Relationship Type="http://schemas.openxmlformats.org/officeDocument/2006/relationships/hyperlink" Target="https://www.tcgplayer.com/product/646173" TargetMode="External" Id="rId244" /><Relationship Type="http://schemas.openxmlformats.org/officeDocument/2006/relationships/hyperlink" Target="https://www.tcgplayer.com/product/650766" TargetMode="External" Id="rId245" /><Relationship Type="http://schemas.openxmlformats.org/officeDocument/2006/relationships/hyperlink" Target="https://www.tcgplayer.com/product/649392" TargetMode="External" Id="rId246" /><Relationship Type="http://schemas.openxmlformats.org/officeDocument/2006/relationships/hyperlink" Target="https://www.tcgplayer.com/product/685215" TargetMode="External" Id="rId247" /><Relationship Type="http://schemas.openxmlformats.org/officeDocument/2006/relationships/hyperlink" Target="https://www.tcgplayer.com/product/655281" TargetMode="External" Id="rId248" /><Relationship Type="http://schemas.openxmlformats.org/officeDocument/2006/relationships/hyperlink" Target="https://www.tcgplayer.com/product/654162" TargetMode="External" Id="rId249" /><Relationship Type="http://schemas.openxmlformats.org/officeDocument/2006/relationships/hyperlink" Target="https://www.tcgplayer.com/product/654164" TargetMode="External" Id="rId250" /><Relationship Type="http://schemas.openxmlformats.org/officeDocument/2006/relationships/hyperlink" Target="https://www.tcgplayer.com/product/654170" TargetMode="External" Id="rId251" /><Relationship Type="http://schemas.openxmlformats.org/officeDocument/2006/relationships/hyperlink" Target="https://www.tcgplayer.com/product/655282" TargetMode="External" Id="rId252" /><Relationship Type="http://schemas.openxmlformats.org/officeDocument/2006/relationships/hyperlink" Target="https://www.tcgplayer.com/product/706309" TargetMode="External" Id="rId253" /><Relationship Type="http://schemas.openxmlformats.org/officeDocument/2006/relationships/hyperlink" Target="https://www.tcgplayer.com/product/672395" TargetMode="External" Id="rId254" /><Relationship Type="http://schemas.openxmlformats.org/officeDocument/2006/relationships/hyperlink" Target="https://www.tcgplayer.com/product/672397" TargetMode="External" Id="rId255" /><Relationship Type="http://schemas.openxmlformats.org/officeDocument/2006/relationships/hyperlink" Target="https://www.tcgplayer.com/product/672402" TargetMode="External" Id="rId256" /><Relationship Type="http://schemas.openxmlformats.org/officeDocument/2006/relationships/hyperlink" Target="https://www.tcgplayer.com/product/672405" TargetMode="External" Id="rId257" /><Relationship Type="http://schemas.openxmlformats.org/officeDocument/2006/relationships/hyperlink" Target="https://www.tcgplayer.com/product/672411" TargetMode="External" Id="rId258" /><Relationship Type="http://schemas.openxmlformats.org/officeDocument/2006/relationships/hyperlink" Target="https://www.tcgplayer.com/product/695118" TargetMode="External" Id="rId259" /><Relationship Type="http://schemas.openxmlformats.org/officeDocument/2006/relationships/hyperlink" Target="https://www.tcgplayer.com/product/684445" TargetMode="External" Id="rId260" /><Relationship Type="http://schemas.openxmlformats.org/officeDocument/2006/relationships/hyperlink" Target="https://www.tcgplayer.com/product/688949" TargetMode="External" Id="rId261" /><Relationship Type="http://schemas.openxmlformats.org/officeDocument/2006/relationships/hyperlink" Target="https://www.tcgplayer.com/product/684455" TargetMode="External" Id="rId262" /><Relationship Type="http://schemas.openxmlformats.org/officeDocument/2006/relationships/hyperlink" Target="https://www.tcgplayer.com/product/684451" TargetMode="External" Id="rId263" /><Relationship Type="http://schemas.openxmlformats.org/officeDocument/2006/relationships/hyperlink" Target="https://www.tcgplayer.com/product/690684" TargetMode="External" Id="rId264" /><Relationship Type="http://schemas.openxmlformats.org/officeDocument/2006/relationships/hyperlink" Target="https://www.tcgplayer.com/product/693589" TargetMode="External" Id="rId265" /><Relationship Type="http://schemas.openxmlformats.org/officeDocument/2006/relationships/hyperlink" Target="https://www.tcgplayer.com/product/692941" TargetMode="External" Id="rId266" /><Relationship Type="http://schemas.openxmlformats.org/officeDocument/2006/relationships/hyperlink" Target="https://www.tcgplayer.com/product/692943" TargetMode="External" Id="rId267" /><Relationship Type="http://schemas.openxmlformats.org/officeDocument/2006/relationships/hyperlink" Target="https://www.tcgplayer.com/product/693586" TargetMode="External" Id="rId268" /><Relationship Type="http://schemas.openxmlformats.org/officeDocument/2006/relationships/hyperlink" Target="https://www.tcgplayer.com/product/692948" TargetMode="External" Id="rId269" /><Relationship Type="http://schemas.openxmlformats.org/officeDocument/2006/relationships/hyperlink" Target="https://www.tcgplayer.com/product/692956" TargetMode="External" Id="rId270" /><Relationship Type="http://schemas.openxmlformats.org/officeDocument/2006/relationships/hyperlink" Target="https://www.tcgplayer.com/product/712096" TargetMode="External" Id="rId271" /><Relationship Type="http://schemas.openxmlformats.org/officeDocument/2006/relationships/hyperlink" Target="https://www.tcgplayer.com/product/712098" TargetMode="External" Id="rId272" /><Relationship Type="http://schemas.openxmlformats.org/officeDocument/2006/relationships/hyperlink" Target="https://www.tcgplayer.com/product/712103" TargetMode="External" Id="rId273" /><Relationship Type="http://schemas.openxmlformats.org/officeDocument/2006/relationships/hyperlink" Target="https://www.tcgplayer.com/product/712111" TargetMode="External" Id="rId274" /><Relationship Type="http://schemas.openxmlformats.org/officeDocument/2006/relationships/hyperlink" Target="https://www.tcgplayer.com/product/709016" TargetMode="External" Id="rId275" /><Relationship Type="http://schemas.openxmlformats.org/officeDocument/2006/relationships/hyperlink" Target="https://www.tcgplayer.com/product/709032" TargetMode="External" Id="rId276" /><Relationship Type="http://schemas.openxmlformats.org/officeDocument/2006/relationships/hyperlink" Target="https://www.tcgplayer.com/product/709017" TargetMode="External" Id="rId277" /><Relationship Type="http://schemas.openxmlformats.org/officeDocument/2006/relationships/hyperlink" Target="https://www.tcgplayer.com/product/709018" TargetMode="External" Id="rId278" /><Relationship Type="http://schemas.openxmlformats.org/officeDocument/2006/relationships/hyperlink" Target="https://www.tcgplayer.com/product/709036" TargetMode="External" Id="rId279" /><Relationship Type="http://schemas.openxmlformats.org/officeDocument/2006/relationships/hyperlink" Target="https://www.tcgplayer.com/product/709037" TargetMode="External" Id="rId280" /><Relationship Type="http://schemas.openxmlformats.org/officeDocument/2006/relationships/hyperlink" Target="https://www.tcgplayer.com/product/709031" TargetMode="External" Id="rId281" /><Relationship Type="http://schemas.openxmlformats.org/officeDocument/2006/relationships/hyperlink" Target="https://www.tcgplayer.com/product/709019" TargetMode="External" Id="rId282" /><Relationship Type="http://schemas.openxmlformats.org/officeDocument/2006/relationships/hyperlink" Target="https://www.tcgplayer.com/product/709035" TargetMode="External" Id="rId283" /><Relationship Type="http://schemas.openxmlformats.org/officeDocument/2006/relationships/hyperlink" Target="https://www.pricecharting.com/game/pokemon-30th-celebration/mini-tin-display" TargetMode="External" Id="rId284" /><Relationship Type="http://schemas.openxmlformats.org/officeDocument/2006/relationships/hyperlink" Target="https://www.tcgplayer.com/product/704186" TargetMode="External" Id="rId285" /><Relationship Type="http://schemas.openxmlformats.org/officeDocument/2006/relationships/hyperlink" Target="https://www.tcgplayer.com/product/709030" TargetMode="External" Id="rId286" /><Relationship Type="http://schemas.openxmlformats.org/officeDocument/2006/relationships/hyperlink" Target="https://www.tcgplayer.com/product/709033" TargetMode="External" Id="rId287" /><Relationship Type="http://schemas.openxmlformats.org/officeDocument/2006/relationships/hyperlink" Target="https://www.tcgplayer.com/product/709034" TargetMode="External" Id="rId288" /><Relationship Type="http://schemas.openxmlformats.org/officeDocument/2006/relationships/hyperlink" Target="https://www.tcgplayer.com/product/709029" TargetMode="External" Id="rId289" /><Relationship Type="http://schemas.openxmlformats.org/officeDocument/2006/relationships/hyperlink" Target="https://www.tcgplayer.com/product/681339" TargetMode="External" Id="rId290" /><Relationship Type="http://schemas.openxmlformats.org/officeDocument/2006/relationships/hyperlink" Target="https://www.tcgplayer.com/product/692362" TargetMode="External" Id="rId291" /><Relationship Type="http://schemas.openxmlformats.org/officeDocument/2006/relationships/hyperlink" Target="https://www.tcgplayer.com/product/679558" TargetMode="External" Id="rId292" /><Relationship Type="http://schemas.openxmlformats.org/officeDocument/2006/relationships/hyperlink" Target="https://www.tcgplayer.com/product/672392" TargetMode="External" Id="rId293" /><Relationship Type="http://schemas.openxmlformats.org/officeDocument/2006/relationships/hyperlink" Target="https://www.tcgplayer.com/product/672737" TargetMode="External" Id="rId294" /><Relationship Type="http://schemas.openxmlformats.org/officeDocument/2006/relationships/hyperlink" Target="https://www.pricecharting.com/game/pokemon-ascended-heroes/mini-tin-display" TargetMode="External" Id="rId295" /><Relationship Type="http://schemas.openxmlformats.org/officeDocument/2006/relationships/hyperlink" Target="https://www.tcgplayer.com/product/679556" TargetMode="External" Id="rId296" /><Relationship Type="http://schemas.openxmlformats.org/officeDocument/2006/relationships/hyperlink" Target="https://www.tcgplayer.com/product/689031" TargetMode="External" Id="rId297" /><Relationship Type="http://schemas.openxmlformats.org/officeDocument/2006/relationships/hyperlink" Target="https://www.tcgplayer.com/product/702501" TargetMode="External" Id="rId298" /><Relationship Type="http://schemas.openxmlformats.org/officeDocument/2006/relationships/hyperlink" Target="https://www.tcgplayer.com/product/685195" TargetMode="External" Id="rId299" /><Relationship Type="http://schemas.openxmlformats.org/officeDocument/2006/relationships/hyperlink" Target="https://www.tcgplayer.com/product/681333" TargetMode="External" Id="rId300" /><Relationship Type="http://schemas.openxmlformats.org/officeDocument/2006/relationships/hyperlink" Target="https://www.tcgplayer.com/product/685000" TargetMode="External" Id="rId301" /><Relationship Type="http://schemas.openxmlformats.org/officeDocument/2006/relationships/hyperlink" Target="https://www.pricecharting.com/game/pokemon-mega-evolution/mini-tin-display" TargetMode="External" Id="rId302" /><Relationship Type="http://schemas.openxmlformats.org/officeDocument/2006/relationships/hyperlink" Target="https://www.tcgplayer.com/product/523954" TargetMode="External" Id="rId303" /><Relationship Type="http://schemas.openxmlformats.org/officeDocument/2006/relationships/hyperlink" Target="https://www.tcgplayer.com/product/639446" TargetMode="External" Id="rId304" /><Relationship Type="http://schemas.openxmlformats.org/officeDocument/2006/relationships/hyperlink" Target="https://www.tcgplayer.com/product/649295" TargetMode="External" Id="rId305" /><Relationship Type="http://schemas.openxmlformats.org/officeDocument/2006/relationships/hyperlink" Target="https://www.tcgplayer.com/product/477289" TargetMode="External" Id="rId306" /><Relationship Type="http://schemas.openxmlformats.org/officeDocument/2006/relationships/hyperlink" Target="https://www.tcgplayer.com/product/604240" TargetMode="External" Id="rId307" /><Relationship Type="http://schemas.openxmlformats.org/officeDocument/2006/relationships/hyperlink" Target="https://www.tcgplayer.com/product/243573" TargetMode="External" Id="rId308" /><Relationship Type="http://schemas.openxmlformats.org/officeDocument/2006/relationships/hyperlink" Target="https://www.tcgplayer.com/product/207991" TargetMode="External" Id="rId309" /><Relationship Type="http://schemas.openxmlformats.org/officeDocument/2006/relationships/hyperlink" Target="https://www.tcgplayer.com/product/639830" TargetMode="External" Id="rId310" /><Relationship Type="http://schemas.openxmlformats.org/officeDocument/2006/relationships/hyperlink" Target="https://www.tcgplayer.com/product/224742" TargetMode="External" Id="rId311" /><Relationship Type="http://schemas.openxmlformats.org/officeDocument/2006/relationships/hyperlink" Target="https://www.tcgplayer.com/product/718644" TargetMode="External" Id="rId312" /><Relationship Type="http://schemas.openxmlformats.org/officeDocument/2006/relationships/hyperlink" Target="https://www.tcgplayer.com/product/684107" TargetMode="External" Id="rId313" /><Relationship Type="http://schemas.openxmlformats.org/officeDocument/2006/relationships/hyperlink" Target="https://www.tcgplayer.com/product/271998" TargetMode="External" Id="rId314" /><Relationship Type="http://schemas.openxmlformats.org/officeDocument/2006/relationships/hyperlink" Target="https://www.tcgplayer.com/product/657111" TargetMode="External" Id="rId315" /><Relationship Type="http://schemas.openxmlformats.org/officeDocument/2006/relationships/hyperlink" Target="https://www.tcgplayer.com/product/685574" TargetMode="External" Id="rId316" /><Relationship Type="http://schemas.openxmlformats.org/officeDocument/2006/relationships/hyperlink" Target="https://www.tcgplayer.com/product/685581" TargetMode="External" Id="rId317" /><Relationship Type="http://schemas.openxmlformats.org/officeDocument/2006/relationships/hyperlink" Target="https://www.tcgplayer.com/product/532404" TargetMode="External" Id="rId318" /><Relationship Type="http://schemas.openxmlformats.org/officeDocument/2006/relationships/hyperlink" Target="https://www.tcgplayer.com/product/664895" TargetMode="External" Id="rId319" /><Relationship Type="http://schemas.openxmlformats.org/officeDocument/2006/relationships/hyperlink" Target="https://www.tcgplayer.com/product/702509" TargetMode="External" Id="rId320" /><Relationship Type="http://schemas.openxmlformats.org/officeDocument/2006/relationships/hyperlink" Target="https://www.tcgplayer.com/product/690661" TargetMode="External" Id="rId321" /><Relationship Type="http://schemas.openxmlformats.org/officeDocument/2006/relationships/hyperlink" Target="https://www.tcgplayer.com/product/656488" TargetMode="External" Id="rId322" /><Relationship Type="http://schemas.openxmlformats.org/officeDocument/2006/relationships/hyperlink" Target="https://www.tcgplayer.com/product/686439" TargetMode="External" Id="rId323" /><Relationship Type="http://schemas.openxmlformats.org/officeDocument/2006/relationships/hyperlink" Target="https://www.tcgplayer.com/product/682940" TargetMode="External" Id="rId324" /><Relationship Type="http://schemas.openxmlformats.org/officeDocument/2006/relationships/hyperlink" Target="https://www.tcgplayer.com/product/621135" TargetMode="External" Id="rId325" /><Relationship Type="http://schemas.openxmlformats.org/officeDocument/2006/relationships/hyperlink" Target="https://www.tcgplayer.com/product/496020" TargetMode="External" Id="rId326" /><Relationship Type="http://schemas.openxmlformats.org/officeDocument/2006/relationships/hyperlink" Target="https://www.tcgplayer.com/product/257717" TargetMode="External" Id="rId327" /><Relationship Type="http://schemas.openxmlformats.org/officeDocument/2006/relationships/hyperlink" Target="https://www.tcgplayer.com/product/265250" TargetMode="External" Id="rId328" /><Relationship Type="http://schemas.openxmlformats.org/officeDocument/2006/relationships/hyperlink" Target="https://www.tcgplayer.com/product/516946" TargetMode="External" Id="rId329" /><Relationship Type="http://schemas.openxmlformats.org/officeDocument/2006/relationships/hyperlink" Target="https://www.tcgplayer.com/product/257718" TargetMode="External" Id="rId330" /><Relationship Type="http://schemas.openxmlformats.org/officeDocument/2006/relationships/hyperlink" Target="https://www.tcgplayer.com/product/564280" TargetMode="External" Id="rId331" /><Relationship Type="http://schemas.openxmlformats.org/officeDocument/2006/relationships/hyperlink" Target="https://www.tcgplayer.com/product/654590" TargetMode="External" Id="rId332" /><Relationship Type="http://schemas.openxmlformats.org/officeDocument/2006/relationships/hyperlink" Target="https://www.tcgplayer.com/product/668591" TargetMode="External" Id="rId333" /><Relationship Type="http://schemas.openxmlformats.org/officeDocument/2006/relationships/hyperlink" Target="https://www.tcgplayer.com/product/616298" TargetMode="External" Id="rId334" /><Relationship Type="http://schemas.openxmlformats.org/officeDocument/2006/relationships/hyperlink" Target="https://www.tcgplayer.com/product/273613" TargetMode="External" Id="rId335" /><Relationship Type="http://schemas.openxmlformats.org/officeDocument/2006/relationships/hyperlink" Target="https://www.tcgplayer.com/product/497851" TargetMode="External" Id="rId336" /><Relationship Type="http://schemas.openxmlformats.org/officeDocument/2006/relationships/hyperlink" Target="https://www.tcgplayer.com/product/549443" TargetMode="External" Id="rId337" /><Relationship Type="http://schemas.openxmlformats.org/officeDocument/2006/relationships/hyperlink" Target="https://www.tcgplayer.com/product/277564" TargetMode="External" Id="rId338" /><Relationship Type="http://schemas.openxmlformats.org/officeDocument/2006/relationships/hyperlink" Target="https://www.tcgplayer.com/product/514256" TargetMode="External" Id="rId339" /><Relationship Type="http://schemas.openxmlformats.org/officeDocument/2006/relationships/hyperlink" Target="https://www.tcgplayer.com/product/278924" TargetMode="External" Id="rId340" /><Relationship Type="http://schemas.openxmlformats.org/officeDocument/2006/relationships/hyperlink" Target="https://www.tcgplayer.com/product/263259" TargetMode="External" Id="rId341" /><Relationship Type="http://schemas.openxmlformats.org/officeDocument/2006/relationships/hyperlink" Target="https://www.tcgplayer.com/product/634607" TargetMode="External" Id="rId342" /><Relationship Type="http://schemas.openxmlformats.org/officeDocument/2006/relationships/hyperlink" Target="https://www.tcgplayer.com/product/664898" TargetMode="External" Id="rId343" /><Relationship Type="http://schemas.openxmlformats.org/officeDocument/2006/relationships/hyperlink" Target="https://www.tcgplayer.com/product/696827" TargetMode="External" Id="rId344" /><Relationship Type="http://schemas.openxmlformats.org/officeDocument/2006/relationships/hyperlink" Target="https://www.tcgplayer.com/product/692924" TargetMode="External" Id="rId345" /><Relationship Type="http://schemas.openxmlformats.org/officeDocument/2006/relationships/hyperlink" Target="https://www.tcgplayer.com/product/230393" TargetMode="External" Id="rId346" /><Relationship Type="http://schemas.openxmlformats.org/officeDocument/2006/relationships/hyperlink" Target="https://www.tcgplayer.com/product/554175" TargetMode="External" Id="rId347" /><Relationship Type="http://schemas.openxmlformats.org/officeDocument/2006/relationships/hyperlink" Target="https://www.pricecharting.com/game/pokemon-paldean-fates/tech-sticker-collection-display" TargetMode="External" Id="rId348" /><Relationship Type="http://schemas.openxmlformats.org/officeDocument/2006/relationships/hyperlink" Target="https://www.tcgplayer.com/product/692922" TargetMode="External" Id="rId349" /><Relationship Type="http://schemas.openxmlformats.org/officeDocument/2006/relationships/hyperlink" Target="https://www.tcgplayer.com/product/271511" TargetMode="External" Id="rId350" /><Relationship Type="http://schemas.openxmlformats.org/officeDocument/2006/relationships/hyperlink" Target="https://www.tcgplayer.com/product/630089" TargetMode="External" Id="rId351" /><Relationship Type="http://schemas.openxmlformats.org/officeDocument/2006/relationships/hyperlink" Target="https://www.pricecharting.com/game/pokemon-promo/back-to-school-pencil-case-2024" TargetMode="External" Id="rId352" /><Relationship Type="http://schemas.openxmlformats.org/officeDocument/2006/relationships/hyperlink" Target="https://www.pricecharting.com/game/pokemon-promo/collector's-chest-plus-pencil-case" TargetMode="External" Id="rId353" /><Relationship Type="http://schemas.openxmlformats.org/officeDocument/2006/relationships/hyperlink" Target="https://www.pricecharting.com/game/pokemon-promo/lumiose-city-mini-tin-display" TargetMode="External" Id="rId354" /><Relationship Type="http://schemas.openxmlformats.org/officeDocument/2006/relationships/hyperlink" Target="https://www.pricecharting.com/game/pokemon-promo/poke-ball-tin-display-q1-2019" TargetMode="External" Id="rId355" /><Relationship Type="http://schemas.openxmlformats.org/officeDocument/2006/relationships/hyperlink" Target="https://www.pricecharting.com/game/pokemon-promo/poke-ball-tin-display-q1-2020" TargetMode="External" Id="rId356" /><Relationship Type="http://schemas.openxmlformats.org/officeDocument/2006/relationships/hyperlink" Target="https://www.pricecharting.com/game/pokemon-promo/poke-ball-tin-display-q2-2020" TargetMode="External" Id="rId357" /><Relationship Type="http://schemas.openxmlformats.org/officeDocument/2006/relationships/hyperlink" Target="https://www.pricecharting.com/game/pokemon-promo/poke-ball-tin-display-q2-2022" TargetMode="External" Id="rId358" /><Relationship Type="http://schemas.openxmlformats.org/officeDocument/2006/relationships/hyperlink" Target="https://www.pricecharting.com/game/pokemon-promo/poke-ball-tin-display-q2-2026" TargetMode="External" Id="rId359" /><Relationship Type="http://schemas.openxmlformats.org/officeDocument/2006/relationships/hyperlink" Target="https://www.pricecharting.com/game/pokemon-promo/poke-ball-tin-display-q3-2023" TargetMode="External" Id="rId360" /><Relationship Type="http://schemas.openxmlformats.org/officeDocument/2006/relationships/hyperlink" Target="https://www.pricecharting.com/game/pokemon-promo/poke-ball-tin-display-q4-2021" TargetMode="External" Id="rId361" /><Relationship Type="http://schemas.openxmlformats.org/officeDocument/2006/relationships/hyperlink" Target="https://www.pricecharting.com/game/pokemon-promo/poke-ball-tin-display-q4-2024" TargetMode="External" Id="rId362" /><Relationship Type="http://schemas.openxmlformats.org/officeDocument/2006/relationships/hyperlink" Target="https://www.pricecharting.com/game/pokemon-promo/stacking-tin-display" TargetMode="External" Id="rId363" /><Relationship Type="http://schemas.openxmlformats.org/officeDocument/2006/relationships/hyperlink" Target="https://www.tcgplayer.com/product/268484" TargetMode="External" Id="rId364" /><Relationship Type="http://schemas.openxmlformats.org/officeDocument/2006/relationships/hyperlink" Target="https://www.tcgplayer.com/product/266962" TargetMode="External" Id="rId365" /><Relationship Type="http://schemas.openxmlformats.org/officeDocument/2006/relationships/hyperlink" Target="https://www.pricecharting.com/game/pokemon-shining-fates/mad-party-pin-collection-display" TargetMode="External" Id="rId366" /><Relationship Type="http://schemas.openxmlformats.org/officeDocument/2006/relationships/hyperlink" Target="https://www.tcgplayer.com/product/233315" TargetMode="External" Id="rId367" /><Relationship Type="http://schemas.openxmlformats.org/officeDocument/2006/relationships/hyperlink" Target="https://www.tcgplayer.com/product/230961" TargetMode="External" Id="rId368" /><Relationship Type="http://schemas.openxmlformats.org/officeDocument/2006/relationships/hyperlink" Target="https://www.tcgplayer.com/product/268482" TargetMode="External" Id="rId369" /><Relationship Type="http://schemas.openxmlformats.org/officeDocument/2006/relationships/hyperlink" Target="https://www.tcgplayer.com/product/644826" TargetMode="External" Id="rId370" /><Relationship Type="http://schemas.openxmlformats.org/officeDocument/2006/relationships/hyperlink" Target="https://www.tcgplayer.com/product/475436" TargetMode="External" Id="rId371" /><Relationship Type="http://schemas.openxmlformats.org/officeDocument/2006/relationships/hyperlink" Target="https://www.tcgplayer.com/product/656706" TargetMode="External" Id="rId372" /><Relationship Type="http://schemas.openxmlformats.org/officeDocument/2006/relationships/hyperlink" Target="https://www.tcgplayer.com/product/591049" TargetMode="External" Id="rId373" /><Relationship Type="http://schemas.openxmlformats.org/officeDocument/2006/relationships/hyperlink" Target="https://www.tcgplayer.com/product/595411" TargetMode="External" Id="rId374" /><Relationship Type="http://schemas.openxmlformats.org/officeDocument/2006/relationships/hyperlink" Target="https://www.tcgplayer.com/product/547128" TargetMode="External" Id="rId375" /><Relationship Type="http://schemas.openxmlformats.org/officeDocument/2006/relationships/hyperlink" Target="https://www.tcgplayer.com/product/656707" TargetMode="External" Id="rId376" /><Relationship Type="http://schemas.openxmlformats.org/officeDocument/2006/relationships/hyperlink" Target="https://www.tcgplayer.com/product/243052" TargetMode="External" Id="rId377" /><Relationship Type="http://schemas.openxmlformats.org/officeDocument/2006/relationships/hyperlink" Target="https://www.tcgplayer.com/product/253837" TargetMode="External" Id="rId378" /><Relationship Type="http://schemas.openxmlformats.org/officeDocument/2006/relationships/hyperlink" Target="https://www.tcgplayer.com/product/476453" TargetMode="External" Id="rId379" /><Relationship Type="http://schemas.openxmlformats.org/officeDocument/2006/relationships/hyperlink" Target="https://www.tcgplayer.com/product/478254" TargetMode="External" Id="rId380" /><Relationship Type="http://schemas.openxmlformats.org/officeDocument/2006/relationships/hyperlink" Target="https://www.tcgplayer.com/product/488776" TargetMode="External" Id="rId381" /><Relationship Type="http://schemas.openxmlformats.org/officeDocument/2006/relationships/hyperlink" Target="https://www.tcgplayer.com/product/496905" TargetMode="External" Id="rId382" /><Relationship Type="http://schemas.openxmlformats.org/officeDocument/2006/relationships/hyperlink" Target="https://www.tcgplayer.com/product/656928" TargetMode="External" Id="rId383" /><Relationship Type="http://schemas.openxmlformats.org/officeDocument/2006/relationships/hyperlink" Target="https://www.tcgplayer.com/product/496931" TargetMode="External" Id="rId384" /><Relationship Type="http://schemas.openxmlformats.org/officeDocument/2006/relationships/hyperlink" Target="https://www.tcgplayer.com/product/496911" TargetMode="External" Id="rId385" /><Relationship Type="http://schemas.openxmlformats.org/officeDocument/2006/relationships/hyperlink" Target="https://www.tcgplayer.com/product/537410" TargetMode="External" Id="rId386" /><Relationship Type="http://schemas.openxmlformats.org/officeDocument/2006/relationships/hyperlink" Target="https://www.tcgplayer.com/product/609027" TargetMode="External" Id="rId387" /><Relationship Type="http://schemas.openxmlformats.org/officeDocument/2006/relationships/hyperlink" Target="https://www.tcgplayer.com/product/501258" TargetMode="External" Id="rId388" /><Relationship Type="http://schemas.openxmlformats.org/officeDocument/2006/relationships/hyperlink" Target="https://www.tcgplayer.com/product/514193" TargetMode="External" Id="rId389" /><Relationship Type="http://schemas.openxmlformats.org/officeDocument/2006/relationships/hyperlink" Target="https://www.tcgplayer.com/product/501265" TargetMode="External" Id="rId390" /><Relationship Type="http://schemas.openxmlformats.org/officeDocument/2006/relationships/hyperlink" Target="https://www.tcgplayer.com/product/606743" TargetMode="External" Id="rId391" /><Relationship Type="http://schemas.openxmlformats.org/officeDocument/2006/relationships/hyperlink" Target="https://www.tcgplayer.com/product/512828" TargetMode="External" Id="rId392" /><Relationship Type="http://schemas.openxmlformats.org/officeDocument/2006/relationships/hyperlink" Target="https://www.tcgplayer.com/product/514069" TargetMode="External" Id="rId393" /><Relationship Type="http://schemas.openxmlformats.org/officeDocument/2006/relationships/hyperlink" Target="https://www.tcgplayer.com/product/514071" TargetMode="External" Id="rId394" /><Relationship Type="http://schemas.openxmlformats.org/officeDocument/2006/relationships/hyperlink" Target="https://www.tcgplayer.com/product/657210" TargetMode="External" Id="rId395" /><Relationship Type="http://schemas.openxmlformats.org/officeDocument/2006/relationships/hyperlink" Target="https://www.tcgplayer.com/product/641808" TargetMode="External" Id="rId396" /><Relationship Type="http://schemas.openxmlformats.org/officeDocument/2006/relationships/hyperlink" Target="https://www.tcgplayer.com/product/537417" TargetMode="External" Id="rId397" /><Relationship Type="http://schemas.openxmlformats.org/officeDocument/2006/relationships/hyperlink" Target="https://www.tcgplayer.com/product/537409" TargetMode="External" Id="rId398" /><Relationship Type="http://schemas.openxmlformats.org/officeDocument/2006/relationships/hyperlink" Target="https://www.tcgplayer.com/product/537418" TargetMode="External" Id="rId399" /><Relationship Type="http://schemas.openxmlformats.org/officeDocument/2006/relationships/hyperlink" Target="https://www.tcgplayer.com/product/550822" TargetMode="External" Id="rId400" /><Relationship Type="http://schemas.openxmlformats.org/officeDocument/2006/relationships/hyperlink" Target="https://www.tcgplayer.com/product/550823" TargetMode="External" Id="rId401" /><Relationship Type="http://schemas.openxmlformats.org/officeDocument/2006/relationships/hyperlink" Target="https://www.tcgplayer.com/product/544384" TargetMode="External" Id="rId402" /><Relationship Type="http://schemas.openxmlformats.org/officeDocument/2006/relationships/hyperlink" Target="https://www.tcgplayer.com/product/549489" TargetMode="External" Id="rId403" /><Relationship Type="http://schemas.openxmlformats.org/officeDocument/2006/relationships/hyperlink" Target="https://www.tcgplayer.com/product/593672" TargetMode="External" Id="rId404" /><Relationship Type="http://schemas.openxmlformats.org/officeDocument/2006/relationships/hyperlink" Target="https://www.tcgplayer.com/product/557365" TargetMode="External" Id="rId405" /><Relationship Type="http://schemas.openxmlformats.org/officeDocument/2006/relationships/hyperlink" Target="https://www.tcgplayer.com/product/559102" TargetMode="External" Id="rId406" /><Relationship Type="http://schemas.openxmlformats.org/officeDocument/2006/relationships/hyperlink" Target="https://www.tcgplayer.com/product/559530" TargetMode="External" Id="rId407" /><Relationship Type="http://schemas.openxmlformats.org/officeDocument/2006/relationships/hyperlink" Target="https://www.tcgplayer.com/product/711388" TargetMode="External" Id="rId408" /><Relationship Type="http://schemas.openxmlformats.org/officeDocument/2006/relationships/hyperlink" Target="https://www.tcgplayer.com/product/580708" TargetMode="External" Id="rId409" /><Relationship Type="http://schemas.openxmlformats.org/officeDocument/2006/relationships/hyperlink" Target="https://www.tcgplayer.com/product/594269" TargetMode="External" Id="rId410" /><Relationship Type="http://schemas.openxmlformats.org/officeDocument/2006/relationships/hyperlink" Target="https://www.tcgplayer.com/product/565600" TargetMode="External" Id="rId411" /><Relationship Type="http://schemas.openxmlformats.org/officeDocument/2006/relationships/hyperlink" Target="https://www.tcgplayer.com/product/565631" TargetMode="External" Id="rId412" /><Relationship Type="http://schemas.openxmlformats.org/officeDocument/2006/relationships/hyperlink" Target="https://www.tcgplayer.com/product/565633" TargetMode="External" Id="rId413" /><Relationship Type="http://schemas.openxmlformats.org/officeDocument/2006/relationships/hyperlink" Target="https://www.tcgplayer.com/product/593687" TargetMode="External" Id="rId414" /><Relationship Type="http://schemas.openxmlformats.org/officeDocument/2006/relationships/hyperlink" Target="https://www.tcgplayer.com/product/614449" TargetMode="External" Id="rId415" /><Relationship Type="http://schemas.openxmlformats.org/officeDocument/2006/relationships/hyperlink" Target="https://www.tcgplayer.com/product/625584" TargetMode="External" Id="rId416" /><Relationship Type="http://schemas.openxmlformats.org/officeDocument/2006/relationships/hyperlink" Target="https://www.tcgplayer.com/product/629568" TargetMode="External" Id="rId417" /><Relationship Type="http://schemas.openxmlformats.org/officeDocument/2006/relationships/hyperlink" Target="https://www.tcgplayer.com/product/614450" TargetMode="External" Id="rId418" /><Relationship Type="http://schemas.openxmlformats.org/officeDocument/2006/relationships/hyperlink" Target="https://www.tcgplayer.com/product/625583" TargetMode="External" Id="rId419" /><Relationship Type="http://schemas.openxmlformats.org/officeDocument/2006/relationships/hyperlink" Target="https://www.tcgplayer.com/product/624925" TargetMode="External" Id="rId420" /><Relationship Type="http://schemas.openxmlformats.org/officeDocument/2006/relationships/hyperlink" Target="https://www.tcgplayer.com/product/624678" TargetMode="External" Id="rId421" /><Relationship Type="http://schemas.openxmlformats.org/officeDocument/2006/relationships/hyperlink" Target="https://www.tcgplayer.com/product/628428" TargetMode="External" Id="rId422" /><Relationship Type="http://schemas.openxmlformats.org/officeDocument/2006/relationships/hyperlink" Target="https://www.tcgplayer.com/product/634383" TargetMode="External" Id="rId423" /><Relationship Type="http://schemas.openxmlformats.org/officeDocument/2006/relationships/hyperlink" Target="https://www.tcgplayer.com/product/628398" TargetMode="External" Id="rId424" /><Relationship Type="http://schemas.openxmlformats.org/officeDocument/2006/relationships/hyperlink" Target="https://www.tcgplayer.com/product/628413" TargetMode="External" Id="rId425" /><Relationship Type="http://schemas.openxmlformats.org/officeDocument/2006/relationships/hyperlink" Target="https://www.tcgplayer.com/product/625585" TargetMode="External" Id="rId426" /><Relationship Type="http://schemas.openxmlformats.org/officeDocument/2006/relationships/hyperlink" Target="https://www.tcgplayer.com/product/630429" TargetMode="External" Id="rId427" /><Relationship Type="http://schemas.openxmlformats.org/officeDocument/2006/relationships/hyperlink" Target="https://www.tcgplayer.com/product/630432" TargetMode="External" Id="rId428" /><Relationship Type="http://schemas.openxmlformats.org/officeDocument/2006/relationships/hyperlink" Target="https://www.tcgplayer.com/product/630433" TargetMode="External" Id="rId429" /><Relationship Type="http://schemas.openxmlformats.org/officeDocument/2006/relationships/hyperlink" Target="https://www.pricecharting.com/game/pokemon-black-bolt/unova-mini-tin-display" TargetMode="External" Id="rId430" /><Relationship Type="http://schemas.openxmlformats.org/officeDocument/2006/relationships/hyperlink" Target="https://www.tcgplayer.com/product/630446" TargetMode="External" Id="rId431" /><Relationship Type="http://schemas.openxmlformats.org/officeDocument/2006/relationships/hyperlink" Target="https://www.tcgplayer.com/product/630447" TargetMode="External" Id="rId432" /><Relationship Type="http://schemas.openxmlformats.org/officeDocument/2006/relationships/hyperlink" Target="https://www.tcgplayer.com/product/630613" TargetMode="External" Id="rId433" /><Relationship Type="http://schemas.openxmlformats.org/officeDocument/2006/relationships/hyperlink" Target="https://www.tcgplayer.com/product/649220" TargetMode="External" Id="rId434" /><Relationship Type="http://schemas.openxmlformats.org/officeDocument/2006/relationships/hyperlink" Target="https://www.pricecharting.com/game/pokemon-paldean-fates/booster-bundle-display" TargetMode="External" Id="rId435" /><Relationship Type="http://schemas.openxmlformats.org/officeDocument/2006/relationships/hyperlink" Target="https://www.tcgplayer.com/product/530704" TargetMode="External" Id="rId436" /><Relationship Type="http://schemas.openxmlformats.org/officeDocument/2006/relationships/hyperlink" Target="https://www.tcgplayer.com/product/530700" TargetMode="External" Id="rId437" /><Relationship Type="http://schemas.openxmlformats.org/officeDocument/2006/relationships/hyperlink" Target="https://www.tcgplayer.com/product/528047" TargetMode="External" Id="rId438" /><Relationship Type="http://schemas.openxmlformats.org/officeDocument/2006/relationships/hyperlink" Target="https://www.tcgplayer.com/product/693612" TargetMode="External" Id="rId439" /><Relationship Type="http://schemas.openxmlformats.org/officeDocument/2006/relationships/hyperlink" Target="https://www.tcgplayer.com/product/536266" TargetMode="External" Id="rId440" /><Relationship Type="http://schemas.openxmlformats.org/officeDocument/2006/relationships/hyperlink" Target="https://www.tcgplayer.com/product/654599" TargetMode="External" Id="rId441" /><Relationship Type="http://schemas.openxmlformats.org/officeDocument/2006/relationships/hyperlink" Target="https://www.tcgplayer.com/product/688258" TargetMode="External" Id="rId442" /><Relationship Type="http://schemas.openxmlformats.org/officeDocument/2006/relationships/hyperlink" Target="https://www.tcgplayer.com/product/635011" TargetMode="External" Id="rId443" /><Relationship Type="http://schemas.openxmlformats.org/officeDocument/2006/relationships/hyperlink" Target="https://www.tcgplayer.com/product/598488" TargetMode="External" Id="rId444" /><Relationship Type="http://schemas.openxmlformats.org/officeDocument/2006/relationships/hyperlink" Target="https://www.tcgplayer.com/product/620024" TargetMode="External" Id="rId445" /><Relationship Type="http://schemas.openxmlformats.org/officeDocument/2006/relationships/hyperlink" Target="https://www.tcgplayer.com/product/629828" TargetMode="External" Id="rId446" /><Relationship Type="http://schemas.openxmlformats.org/officeDocument/2006/relationships/hyperlink" Target="https://www.tcgplayer.com/product/615027" TargetMode="External" Id="rId447" /><Relationship Type="http://schemas.openxmlformats.org/officeDocument/2006/relationships/hyperlink" Target="https://www.tcgplayer.com/product/610317" TargetMode="External" Id="rId448" /><Relationship Type="http://schemas.openxmlformats.org/officeDocument/2006/relationships/hyperlink" Target="https://www.tcgplayer.com/product/598487" TargetMode="External" Id="rId449" /><Relationship Type="http://schemas.openxmlformats.org/officeDocument/2006/relationships/hyperlink" Target="https://www.tcgplayer.com/product/670608" TargetMode="External" Id="rId450" /><Relationship Type="http://schemas.openxmlformats.org/officeDocument/2006/relationships/hyperlink" Target="https://www.pricecharting.com/game/pokemon-prismatic-evolutions/mini-tin-display" TargetMode="External" Id="rId451" /><Relationship Type="http://schemas.openxmlformats.org/officeDocument/2006/relationships/hyperlink" Target="https://www.tcgplayer.com/product/593463" TargetMode="External" Id="rId452" /><Relationship Type="http://schemas.openxmlformats.org/officeDocument/2006/relationships/hyperlink" Target="https://www.tcgplayer.com/product/614356" TargetMode="External" Id="rId453" /><Relationship Type="http://schemas.openxmlformats.org/officeDocument/2006/relationships/hyperlink" Target="https://www.tcgplayer.com/product/600697" TargetMode="External" Id="rId454" /><Relationship Type="http://schemas.openxmlformats.org/officeDocument/2006/relationships/hyperlink" Target="https://www.tcgplayer.com/product/598486" TargetMode="External" Id="rId455" /><Relationship Type="http://schemas.openxmlformats.org/officeDocument/2006/relationships/hyperlink" Target="https://www.tcgplayer.com/product/650804" TargetMode="External" Id="rId456" /><Relationship Type="http://schemas.openxmlformats.org/officeDocument/2006/relationships/hyperlink" Target="https://www.tcgplayer.com/product/638058" TargetMode="External" Id="rId457" /><Relationship Type="http://schemas.openxmlformats.org/officeDocument/2006/relationships/hyperlink" Target="https://www.tcgplayer.com/product/598470" TargetMode="External" Id="rId458" /><Relationship Type="http://schemas.openxmlformats.org/officeDocument/2006/relationships/hyperlink" Target="https://www.tcgplayer.com/product/598489" TargetMode="External" Id="rId459" /><Relationship Type="http://schemas.openxmlformats.org/officeDocument/2006/relationships/hyperlink" Target="https://www.tcgplayer.com/product/502003" TargetMode="External" Id="rId460" /><Relationship Type="http://schemas.openxmlformats.org/officeDocument/2006/relationships/hyperlink" Target="https://www.tcgplayer.com/product/530105" TargetMode="External" Id="rId461" /><Relationship Type="http://schemas.openxmlformats.org/officeDocument/2006/relationships/hyperlink" Target="https://www.tcgplayer.com/product/513405" TargetMode="External" Id="rId462" /><Relationship Type="http://schemas.openxmlformats.org/officeDocument/2006/relationships/hyperlink" Target="https://www.tcgplayer.com/product/518782" TargetMode="External" Id="rId463" /><Relationship Type="http://schemas.openxmlformats.org/officeDocument/2006/relationships/hyperlink" Target="https://www.tcgplayer.com/product/506640" TargetMode="External" Id="rId464" /><Relationship Type="http://schemas.openxmlformats.org/officeDocument/2006/relationships/hyperlink" Target="https://www.tcgplayer.com/product/502008" TargetMode="External" Id="rId465" /><Relationship Type="http://schemas.openxmlformats.org/officeDocument/2006/relationships/hyperlink" Target="https://www.tcgplayer.com/product/668357" TargetMode="External" Id="rId466" /><Relationship Type="http://schemas.openxmlformats.org/officeDocument/2006/relationships/hyperlink" Target="https://www.tcgplayer.com/product/528030" TargetMode="External" Id="rId467" /><Relationship Type="http://schemas.openxmlformats.org/officeDocument/2006/relationships/hyperlink" Target="https://www.tcgplayer.com/product/502002" TargetMode="External" Id="rId468" /><Relationship Type="http://schemas.openxmlformats.org/officeDocument/2006/relationships/hyperlink" Target="https://www.tcgplayer.com/product/515970" TargetMode="External" Id="rId469" /><Relationship Type="http://schemas.openxmlformats.org/officeDocument/2006/relationships/hyperlink" Target="https://www.tcgplayer.com/product/553094" TargetMode="External" Id="rId470" /><Relationship Type="http://schemas.openxmlformats.org/officeDocument/2006/relationships/hyperlink" Target="https://www.tcgplayer.com/product/635736" TargetMode="External" Id="rId471" /><Relationship Type="http://schemas.openxmlformats.org/officeDocument/2006/relationships/hyperlink" Target="https://www.tcgplayer.com/product/618355" TargetMode="External" Id="rId472" /><Relationship Type="http://schemas.openxmlformats.org/officeDocument/2006/relationships/hyperlink" Target="https://www.pricecharting.com/game/pokemon-shrouded-fable/mini-tin-display" TargetMode="External" Id="rId473" /><Relationship Type="http://schemas.openxmlformats.org/officeDocument/2006/relationships/hyperlink" Target="https://www.tcgplayer.com/product/553008" TargetMode="External" Id="rId474" /><Relationship Type="http://schemas.openxmlformats.org/officeDocument/2006/relationships/hyperlink" Target="https://www.tcgplayer.com/product/553102" TargetMode="External" Id="rId475" /><Relationship Type="http://schemas.openxmlformats.org/officeDocument/2006/relationships/hyperlink" Target="https://www.tcgplayer.com/product/553075" TargetMode="External" Id="rId476" /><Relationship Type="http://schemas.openxmlformats.org/officeDocument/2006/relationships/hyperlink" Target="https://www.tcgplayer.com/product/630694" TargetMode="External" Id="rId477" /><Relationship Type="http://schemas.openxmlformats.org/officeDocument/2006/relationships/hyperlink" Target="https://www.tcgplayer.com/product/630697" TargetMode="External" Id="rId478" /><Relationship Type="http://schemas.openxmlformats.org/officeDocument/2006/relationships/hyperlink" Target="https://www.tcgplayer.com/product/630698" TargetMode="External" Id="rId479" /><Relationship Type="http://schemas.openxmlformats.org/officeDocument/2006/relationships/hyperlink" Target="https://www.tcgplayer.com/product/630693" TargetMode="External" Id="rId480" /><Relationship Type="http://schemas.openxmlformats.org/officeDocument/2006/relationships/hyperlink" Target="https://www.tcgplayer.com/product/530142" TargetMode="External" Id="rId481" /><Relationship Type="http://schemas.openxmlformats.org/officeDocument/2006/relationships/hyperlink" Target="https://www.tcgplayer.com/product/206034" TargetMode="External" Id="rId482" /><Relationship Type="http://schemas.openxmlformats.org/officeDocument/2006/relationships/hyperlink" Target="https://www.tcgplayer.com/product/212820" TargetMode="External" Id="rId483" /><Relationship Type="http://schemas.openxmlformats.org/officeDocument/2006/relationships/hyperlink" Target="https://www.tcgplayer.com/product/256971" TargetMode="External" Id="rId484" /><Relationship Type="http://schemas.openxmlformats.org/officeDocument/2006/relationships/hyperlink" Target="https://www.tcgplayer.com/product/216862" TargetMode="External" Id="rId485" /><Relationship Type="http://schemas.openxmlformats.org/officeDocument/2006/relationships/hyperlink" Target="https://www.tcgplayer.com/product/266951" TargetMode="External" Id="rId486" /><Relationship Type="http://schemas.openxmlformats.org/officeDocument/2006/relationships/hyperlink" Target="https://www.tcgplayer.com/product/683003" TargetMode="External" Id="rId487" /><Relationship Type="http://schemas.openxmlformats.org/officeDocument/2006/relationships/hyperlink" Target="https://www.tcgplayer.com/product/243051" TargetMode="External" Id="rId488" /><Relationship Type="http://schemas.openxmlformats.org/officeDocument/2006/relationships/hyperlink" Target="https://www.tcgplayer.com/product/221749" TargetMode="External" Id="rId489" /><Relationship Type="http://schemas.openxmlformats.org/officeDocument/2006/relationships/hyperlink" Target="https://www.tcgplayer.com/product/278642" TargetMode="External" Id="rId490" /><Relationship Type="http://schemas.openxmlformats.org/officeDocument/2006/relationships/hyperlink" Target="https://www.tcgplayer.com/product/233335" TargetMode="External" Id="rId491" /><Relationship Type="http://schemas.openxmlformats.org/officeDocument/2006/relationships/hyperlink" Target="https://www.tcgplayer.com/product/229279" TargetMode="External" Id="rId492" /><Relationship Type="http://schemas.openxmlformats.org/officeDocument/2006/relationships/hyperlink" Target="https://www.tcgplayer.com/product/235284" TargetMode="External" Id="rId493" /><Relationship Type="http://schemas.openxmlformats.org/officeDocument/2006/relationships/hyperlink" Target="https://www.tcgplayer.com/product/236259" TargetMode="External" Id="rId494" /><Relationship Type="http://schemas.openxmlformats.org/officeDocument/2006/relationships/hyperlink" Target="https://www.tcgplayer.com/product/236266" TargetMode="External" Id="rId495" /><Relationship Type="http://schemas.openxmlformats.org/officeDocument/2006/relationships/hyperlink" Target="https://www.tcgplayer.com/product/236263" TargetMode="External" Id="rId496" /><Relationship Type="http://schemas.openxmlformats.org/officeDocument/2006/relationships/hyperlink" Target="https://www.tcgplayer.com/product/657836" TargetMode="External" Id="rId497" /><Relationship Type="http://schemas.openxmlformats.org/officeDocument/2006/relationships/hyperlink" Target="https://www.tcgplayer.com/product/248124" TargetMode="External" Id="rId498" /><Relationship Type="http://schemas.openxmlformats.org/officeDocument/2006/relationships/hyperlink" Target="https://www.tcgplayer.com/product/242450" TargetMode="External" Id="rId499" /><Relationship Type="http://schemas.openxmlformats.org/officeDocument/2006/relationships/hyperlink" Target="https://www.tcgplayer.com/product/243722" TargetMode="External" Id="rId500" /><Relationship Type="http://schemas.openxmlformats.org/officeDocument/2006/relationships/hyperlink" Target="https://www.tcgplayer.com/product/628319" TargetMode="External" Id="rId501" /><Relationship Type="http://schemas.openxmlformats.org/officeDocument/2006/relationships/hyperlink" Target="https://www.tcgplayer.com/product/247655" TargetMode="External" Id="rId502" /><Relationship Type="http://schemas.openxmlformats.org/officeDocument/2006/relationships/hyperlink" Target="https://www.pricecharting.com/game/pokemon-fusion-strike/build-&amp;-battle-box-display" TargetMode="External" Id="rId503" /><Relationship Type="http://schemas.openxmlformats.org/officeDocument/2006/relationships/hyperlink" Target="https://www.tcgplayer.com/product/247660" TargetMode="External" Id="rId504" /><Relationship Type="http://schemas.openxmlformats.org/officeDocument/2006/relationships/hyperlink" Target="https://www.tcgplayer.com/product/557076" TargetMode="External" Id="rId505" /><Relationship Type="http://schemas.openxmlformats.org/officeDocument/2006/relationships/hyperlink" Target="https://www.tcgplayer.com/product/547703" TargetMode="External" Id="rId506" /><Relationship Type="http://schemas.openxmlformats.org/officeDocument/2006/relationships/hyperlink" Target="https://www.tcgplayer.com/product/651285" TargetMode="External" Id="rId507" /><Relationship Type="http://schemas.openxmlformats.org/officeDocument/2006/relationships/hyperlink" Target="https://www.tcgplayer.com/product/256144" TargetMode="External" Id="rId508" /><Relationship Type="http://schemas.openxmlformats.org/officeDocument/2006/relationships/hyperlink" Target="https://www.tcgplayer.com/product/264269" TargetMode="External" Id="rId509" /><Relationship Type="http://schemas.openxmlformats.org/officeDocument/2006/relationships/hyperlink" Target="https://www.tcgplayer.com/product/599964" TargetMode="External" Id="rId510" /><Relationship Type="http://schemas.openxmlformats.org/officeDocument/2006/relationships/hyperlink" Target="https://www.tcgplayer.com/product/679043" TargetMode="External" Id="rId511" /><Relationship Type="http://schemas.openxmlformats.org/officeDocument/2006/relationships/hyperlink" Target="https://www.tcgplayer.com/product/265520" TargetMode="External" Id="rId512" /><Relationship Type="http://schemas.openxmlformats.org/officeDocument/2006/relationships/hyperlink" Target="https://www.tcgplayer.com/product/272137" TargetMode="External" Id="rId513" /><Relationship Type="http://schemas.openxmlformats.org/officeDocument/2006/relationships/hyperlink" Target="https://www.tcgplayer.com/product/279424" TargetMode="External" Id="rId514" /><Relationship Type="http://schemas.openxmlformats.org/officeDocument/2006/relationships/hyperlink" Target="https://www.tcgplayer.com/product/496130" TargetMode="External" Id="rId515" /><Relationship Type="http://schemas.openxmlformats.org/officeDocument/2006/relationships/hyperlink" Target="https://www.tcgplayer.com/product/278793" TargetMode="External" Id="rId516" /><Relationship Type="http://schemas.openxmlformats.org/officeDocument/2006/relationships/hyperlink" Target="https://www.tcgplayer.com/product/479361" TargetMode="External" Id="rId517" /><Relationship Type="http://schemas.openxmlformats.org/officeDocument/2006/relationships/hyperlink" Target="https://www.tcgplayer.com/product/278795" TargetMode="External" Id="rId518" /><Relationship Type="http://schemas.openxmlformats.org/officeDocument/2006/relationships/hyperlink" Target="https://www.tcgplayer.com/product/648474" TargetMode="External" Id="rId519" /><Relationship Type="http://schemas.openxmlformats.org/officeDocument/2006/relationships/hyperlink" Target="https://www.tcgplayer.com/product/278796" TargetMode="External" Id="rId520" /><Relationship Type="http://schemas.openxmlformats.org/officeDocument/2006/relationships/hyperlink" Target="https://www.tcgplayer.com/product/652759" TargetMode="External" Id="rId521" /><Relationship Type="http://schemas.openxmlformats.org/officeDocument/2006/relationships/hyperlink" Target="https://www.tcgplayer.com/product/496131" TargetMode="External" Id="rId522" /><Relationship Type="http://schemas.openxmlformats.org/officeDocument/2006/relationships/hyperlink" Target="https://www.tcgplayer.com/product/282407" TargetMode="External" Id="rId523" /><Relationship Type="http://schemas.openxmlformats.org/officeDocument/2006/relationships/hyperlink" Target="https://www.tcgplayer.com/product/454377" TargetMode="External" Id="rId524" /><Relationship Type="http://schemas.openxmlformats.org/officeDocument/2006/relationships/hyperlink" Target="https://www.tcgplayer.com/product/283391" TargetMode="External" Id="rId525" /><Relationship Type="http://schemas.openxmlformats.org/officeDocument/2006/relationships/hyperlink" Target="https://www.tcgplayer.com/product/562366" TargetMode="External" Id="rId526" /><Relationship Type="http://schemas.openxmlformats.org/officeDocument/2006/relationships/hyperlink" Target="https://www.tcgplayer.com/product/285775" TargetMode="External" Id="rId527" /><Relationship Type="http://schemas.openxmlformats.org/officeDocument/2006/relationships/hyperlink" Target="https://www.tcgplayer.com/product/285777" TargetMode="External" Id="rId528" /><Relationship Type="http://schemas.openxmlformats.org/officeDocument/2006/relationships/hyperlink" Target="https://www.tcgplayer.com/product/550837" TargetMode="External" Id="rId529" /><Relationship Type="http://schemas.openxmlformats.org/officeDocument/2006/relationships/hyperlink" Target="https://www.tcgplayer.com/product/609238" TargetMode="External" Id="rId530" /><Relationship Type="http://schemas.openxmlformats.org/officeDocument/2006/relationships/hyperlink" Target="https://www.tcgplayer.com/product/453471" TargetMode="External" Id="rId531" /><Relationship Type="http://schemas.openxmlformats.org/officeDocument/2006/relationships/hyperlink" Target="https://www.tcgplayer.com/product/453493" TargetMode="External" Id="rId532" /><Relationship Type="http://schemas.openxmlformats.org/officeDocument/2006/relationships/hyperlink" Target="https://www.tcgplayer.com/product/631791" TargetMode="External" Id="rId533" /><Relationship Type="http://schemas.openxmlformats.org/officeDocument/2006/relationships/hyperlink" Target="https://www.tcgplayer.com/product/711447" TargetMode="External" Id="rId534" /><Relationship Type="http://schemas.openxmlformats.org/officeDocument/2006/relationships/hyperlink" Target="https://www.tcgplayer.com/product/454247" TargetMode="External" Id="rId535" /><Relationship Type="http://schemas.openxmlformats.org/officeDocument/2006/relationships/hyperlink" Target="https://www.tcgplayer.com/product/664978" TargetMode="External" Id="rId536" /><Relationship Type="http://schemas.openxmlformats.org/officeDocument/2006/relationships/hyperlink" Target="https://www.tcgplayer.com/product/616290" TargetMode="External" Id="rId537" /><Relationship Type="http://schemas.openxmlformats.org/officeDocument/2006/relationships/hyperlink" Target="https://www.tcgplayer.com/product/485423" TargetMode="External" Id="rId538" /><Relationship Type="http://schemas.openxmlformats.org/officeDocument/2006/relationships/hyperlink" Target="https://www.tcgplayer.com/product/558714" TargetMode="External" Id="rId539" /><Relationship Type="http://schemas.openxmlformats.org/officeDocument/2006/relationships/hyperlink" Target="https://www.pricecharting.com/game/pokemon-vivid-voltage/theme-deck-display" TargetMode="External" Id="rId540" /><Relationship Type="http://schemas.openxmlformats.org/officeDocument/2006/relationships/hyperlink" Target="https://www.tcgplayer.com/product/226363" TargetMode="External" Id="rId541" /><Relationship Type="http://schemas.openxmlformats.org/officeDocument/2006/relationships/hyperlink" Target="https://www.tcgplayer.com/product/656708" TargetMode="External" Id="rId542" /><Relationship Type="http://schemas.openxmlformats.org/officeDocument/2006/relationships/hyperlink" Target="https://www.tcgplayer.com/product/656718" TargetMode="External" Id="rId543" /><Relationship Type="http://schemas.openxmlformats.org/officeDocument/2006/relationships/hyperlink" Target="https://www.pricecharting.com/game/pokemon-2020-battle-academy/battle-academy-box" TargetMode="External" Id="rId544" /><Relationship Type="http://schemas.openxmlformats.org/officeDocument/2006/relationships/hyperlink" Target="https://www.tcgplayer.com/product/678179" TargetMode="External" Id="rId545" /><Relationship Type="http://schemas.openxmlformats.org/officeDocument/2006/relationships/hyperlink" Target="https://www.tcgplayer.com/product/678178" TargetMode="External" Id="rId546" /><Relationship Type="http://schemas.openxmlformats.org/officeDocument/2006/relationships/hyperlink" Target="https://www.pricecharting.com/game/pokemon-base-set/2-player-starter-set" TargetMode="External" Id="rId547" /><Relationship Type="http://schemas.openxmlformats.org/officeDocument/2006/relationships/hyperlink" Target="https://www.pricecharting.com/game/pokemon-base-set/starter-gift-box" TargetMode="External" Id="rId548" /><Relationship Type="http://schemas.openxmlformats.org/officeDocument/2006/relationships/hyperlink" Target="https://www.tcgplayer.com/product/136401" TargetMode="External" Id="rId549" /><Relationship Type="http://schemas.openxmlformats.org/officeDocument/2006/relationships/hyperlink" Target="https://www.tcgplayer.com/product/136403" TargetMode="External" Id="rId550" /><Relationship Type="http://schemas.openxmlformats.org/officeDocument/2006/relationships/hyperlink" Target="https://www.tcgplayer.com/product/136404" TargetMode="External" Id="rId551" /><Relationship Type="http://schemas.openxmlformats.org/officeDocument/2006/relationships/hyperlink" Target="https://www.tcgplayer.com/product/136402" TargetMode="External" Id="rId552" /><Relationship Type="http://schemas.openxmlformats.org/officeDocument/2006/relationships/hyperlink" Target="https://www.tcgplayer.com/product/136400" TargetMode="External" Id="rId553" /><Relationship Type="http://schemas.openxmlformats.org/officeDocument/2006/relationships/hyperlink" Target="https://www.tcgplayer.com/product/107604" TargetMode="External" Id="rId554" /><Relationship Type="http://schemas.openxmlformats.org/officeDocument/2006/relationships/hyperlink" Target="https://www.tcgplayer.com/product/107605" TargetMode="External" Id="rId555" /><Relationship Type="http://schemas.openxmlformats.org/officeDocument/2006/relationships/hyperlink" Target="https://www.tcgplayer.com/product/107606" TargetMode="External" Id="rId556" /><Relationship Type="http://schemas.openxmlformats.org/officeDocument/2006/relationships/hyperlink" Target="https://www.pricecharting.com/game/pokemon-base-set-2/2-player-cd-rom-starter-set" TargetMode="External" Id="rId557" /><Relationship Type="http://schemas.openxmlformats.org/officeDocument/2006/relationships/hyperlink" Target="https://www.tcgplayer.com/product/107609" TargetMode="External" Id="rId558" /><Relationship Type="http://schemas.openxmlformats.org/officeDocument/2006/relationships/hyperlink" Target="https://www.pricecharting.com/game/pokemon-base-set-2/grass-chopper-theme-deck" TargetMode="External" Id="rId559" /><Relationship Type="http://schemas.openxmlformats.org/officeDocument/2006/relationships/hyperlink" Target="https://www.pricecharting.com/game/pokemon-base-set-2/hot-water-theme-deck" TargetMode="External" Id="rId560" /><Relationship Type="http://schemas.openxmlformats.org/officeDocument/2006/relationships/hyperlink" Target="https://www.pricecharting.com/game/pokemon-base-set-2/lightning-bug-theme-deck" TargetMode="External" Id="rId561" /><Relationship Type="http://schemas.openxmlformats.org/officeDocument/2006/relationships/hyperlink" Target="https://www.pricecharting.com/game/pokemon-base-set-2/psych-out-theme-deck" TargetMode="External" Id="rId562" /><Relationship Type="http://schemas.openxmlformats.org/officeDocument/2006/relationships/hyperlink" Target="https://www.tcgplayer.com/product/107611" TargetMode="External" Id="rId563" /><Relationship Type="http://schemas.openxmlformats.org/officeDocument/2006/relationships/hyperlink" Target="https://www.tcgplayer.com/product/107612" TargetMode="External" Id="rId564" /><Relationship Type="http://schemas.openxmlformats.org/officeDocument/2006/relationships/hyperlink" Target="https://www.tcgplayer.com/product/107613" TargetMode="External" Id="rId565" /><Relationship Type="http://schemas.openxmlformats.org/officeDocument/2006/relationships/hyperlink" Target="https://www.tcgplayer.com/product/107614" TargetMode="External" Id="rId566" /><Relationship Type="http://schemas.openxmlformats.org/officeDocument/2006/relationships/hyperlink" Target="https://www.tcgplayer.com/product/594590" TargetMode="External" Id="rId567" /><Relationship Type="http://schemas.openxmlformats.org/officeDocument/2006/relationships/hyperlink" Target="https://www.tcgplayer.com/product/218626" TargetMode="External" Id="rId568" /><Relationship Type="http://schemas.openxmlformats.org/officeDocument/2006/relationships/hyperlink" Target="https://www.tcgplayer.com/product/265253" TargetMode="External" Id="rId569" /><Relationship Type="http://schemas.openxmlformats.org/officeDocument/2006/relationships/hyperlink" Target="https://www.tcgplayer.com/product/551930" TargetMode="External" Id="rId570" /><Relationship Type="http://schemas.openxmlformats.org/officeDocument/2006/relationships/hyperlink" Target="https://www.tcgplayer.com/product/98612" TargetMode="External" Id="rId571" /><Relationship Type="http://schemas.openxmlformats.org/officeDocument/2006/relationships/hyperlink" Target="https://www.tcgplayer.com/product/98611" TargetMode="External" Id="rId572" /><Relationship Type="http://schemas.openxmlformats.org/officeDocument/2006/relationships/hyperlink" Target="https://www.tcgplayer.com/product/208574" TargetMode="External" Id="rId573" /><Relationship Type="http://schemas.openxmlformats.org/officeDocument/2006/relationships/hyperlink" Target="https://www.pricecharting.com/game/pokemon-brilliant-stars/corviknight-v-battle-deck" TargetMode="External" Id="rId574" /><Relationship Type="http://schemas.openxmlformats.org/officeDocument/2006/relationships/hyperlink" Target="https://www.pricecharting.com/game/pokemon-brilliant-stars/lycanroc-v-battle-deck" TargetMode="External" Id="rId575" /><Relationship Type="http://schemas.openxmlformats.org/officeDocument/2006/relationships/hyperlink" Target="https://www.pricecharting.com/game/pokemon-burning-shadows/luminous-frost-theme-deck" TargetMode="External" Id="rId576" /><Relationship Type="http://schemas.openxmlformats.org/officeDocument/2006/relationships/hyperlink" Target="https://www.pricecharting.com/game/pokemon-burning-shadows/theme-deck-lycanroc-rock-steady" TargetMode="External" Id="rId577" /><Relationship Type="http://schemas.openxmlformats.org/officeDocument/2006/relationships/hyperlink" Target="https://www.pricecharting.com/game/pokemon-burning-shadows/theme-deck-ninetales-luminous-frost" TargetMode="External" Id="rId578" /><Relationship Type="http://schemas.openxmlformats.org/officeDocument/2006/relationships/hyperlink" Target="https://www.tcgplayer.com/product/228805" TargetMode="External" Id="rId579" /><Relationship Type="http://schemas.openxmlformats.org/officeDocument/2006/relationships/hyperlink" Target="https://www.tcgplayer.com/product/98618" TargetMode="External" Id="rId580" /><Relationship Type="http://schemas.openxmlformats.org/officeDocument/2006/relationships/hyperlink" Target="https://www.tcgplayer.com/product/98617" TargetMode="External" Id="rId581" /><Relationship Type="http://schemas.openxmlformats.org/officeDocument/2006/relationships/hyperlink" Target="https://www.pricecharting.com/game/pokemon-evolutions/mewtwo-mayhem-theme-deck" TargetMode="External" Id="rId582" /><Relationship Type="http://schemas.openxmlformats.org/officeDocument/2006/relationships/hyperlink" Target="https://www.pricecharting.com/game/pokemon-evolutions/pikachu-power-theme-deck" TargetMode="External" Id="rId583" /><Relationship Type="http://schemas.openxmlformats.org/officeDocument/2006/relationships/hyperlink" Target="https://www.tcgplayer.com/product/232864" TargetMode="External" Id="rId584" /><Relationship Type="http://schemas.openxmlformats.org/officeDocument/2006/relationships/hyperlink" Target="https://www.tcgplayer.com/product/232874" TargetMode="External" Id="rId585" /><Relationship Type="http://schemas.openxmlformats.org/officeDocument/2006/relationships/hyperlink" Target="https://www.tcgplayer.com/product/232875" TargetMode="External" Id="rId586" /><Relationship Type="http://schemas.openxmlformats.org/officeDocument/2006/relationships/hyperlink" Target="https://www.tcgplayer.com/product/215765" TargetMode="External" Id="rId587" /><Relationship Type="http://schemas.openxmlformats.org/officeDocument/2006/relationships/hyperlink" Target="https://www.tcgplayer.com/product/234511" TargetMode="External" Id="rId588" /><Relationship Type="http://schemas.openxmlformats.org/officeDocument/2006/relationships/hyperlink" Target="https://www.tcgplayer.com/product/488301" TargetMode="External" Id="rId589" /><Relationship Type="http://schemas.openxmlformats.org/officeDocument/2006/relationships/hyperlink" Target="https://www.tcgplayer.com/product/232866" TargetMode="External" Id="rId590" /><Relationship Type="http://schemas.openxmlformats.org/officeDocument/2006/relationships/hyperlink" Target="https://www.pricecharting.com/game/pokemon-expedition/electric-garden-theme-deck" TargetMode="External" Id="rId591" /><Relationship Type="http://schemas.openxmlformats.org/officeDocument/2006/relationships/hyperlink" Target="https://www.tcgplayer.com/product/234504" TargetMode="External" Id="rId592" /><Relationship Type="http://schemas.openxmlformats.org/officeDocument/2006/relationships/hyperlink" Target="https://www.pricecharting.com/game/pokemon-fossil/bodyguard-theme-deck" TargetMode="External" Id="rId593" /><Relationship Type="http://schemas.openxmlformats.org/officeDocument/2006/relationships/hyperlink" Target="https://www.pricecharting.com/game/pokemon-fossil/lockdown-theme-deck" TargetMode="External" Id="rId594" /><Relationship Type="http://schemas.openxmlformats.org/officeDocument/2006/relationships/hyperlink" Target="https://www.tcgplayer.com/product/107607" TargetMode="External" Id="rId595" /><Relationship Type="http://schemas.openxmlformats.org/officeDocument/2006/relationships/hyperlink" Target="https://www.tcgplayer.com/product/107608" TargetMode="External" Id="rId596" /><Relationship Type="http://schemas.openxmlformats.org/officeDocument/2006/relationships/hyperlink" Target="https://www.pricecharting.com/game/pokemon-go/dragonite-vstar-premier-deck-holder-collection" TargetMode="External" Id="rId597" /><Relationship Type="http://schemas.openxmlformats.org/officeDocument/2006/relationships/hyperlink" Target="https://www.pricecharting.com/game/pokemon-go/v-battle-deck-melmetal" TargetMode="External" Id="rId598" /><Relationship Type="http://schemas.openxmlformats.org/officeDocument/2006/relationships/hyperlink" Target="https://www.pricecharting.com/game/pokemon-go/v-battle-deck-mewtwo" TargetMode="External" Id="rId599" /><Relationship Type="http://schemas.openxmlformats.org/officeDocument/2006/relationships/hyperlink" Target="https://www.pricecharting.com/game/pokemon-gym-challenge/koga-theme-deck" TargetMode="External" Id="rId600" /><Relationship Type="http://schemas.openxmlformats.org/officeDocument/2006/relationships/hyperlink" Target="https://www.tcgplayer.com/product/277128" TargetMode="External" Id="rId601" /><Relationship Type="http://schemas.openxmlformats.org/officeDocument/2006/relationships/hyperlink" Target="https://www.tcgplayer.com/product/277129" TargetMode="External" Id="rId602" /><Relationship Type="http://schemas.openxmlformats.org/officeDocument/2006/relationships/hyperlink" Target="https://www.tcgplayer.com/product/277126" TargetMode="External" Id="rId603" /><Relationship Type="http://schemas.openxmlformats.org/officeDocument/2006/relationships/hyperlink" Target="https://www.pricecharting.com/game/pokemon-gym-heroes/lt-surge-theme-deck" TargetMode="External" Id="rId604" /><Relationship Type="http://schemas.openxmlformats.org/officeDocument/2006/relationships/hyperlink" Target="https://www.tcgplayer.com/product/234502" TargetMode="External" Id="rId605" /><Relationship Type="http://schemas.openxmlformats.org/officeDocument/2006/relationships/hyperlink" Target="https://www.tcgplayer.com/product/451095" TargetMode="External" Id="rId606" /><Relationship Type="http://schemas.openxmlformats.org/officeDocument/2006/relationships/hyperlink" Target="https://www.pricecharting.com/game/pokemon-japanese-challenge-from-the-darkness/guren-town-gym-theme-deck" TargetMode="External" Id="rId607" /><Relationship Type="http://schemas.openxmlformats.org/officeDocument/2006/relationships/hyperlink" Target="https://www.pricecharting.com/game/pokemon-japanese-expansion-pack/starter-deck" TargetMode="External" Id="rId608" /><Relationship Type="http://schemas.openxmlformats.org/officeDocument/2006/relationships/hyperlink" Target="https://www.pricecharting.com/game/pokemon-japanese-mega-starter-deck-gengar-ex/sealed-mega-starter-set" TargetMode="External" Id="rId609" /><Relationship Type="http://schemas.openxmlformats.org/officeDocument/2006/relationships/hyperlink" Target="https://www.pricecharting.com/game/pokemon-japanese-old-maid/old-maid-deck" TargetMode="External" Id="rId610" /><Relationship Type="http://schemas.openxmlformats.org/officeDocument/2006/relationships/hyperlink" Target="https://www.pricecharting.com/game/pokemon-japanese-old-maid/old-maid-deck-blue" TargetMode="External" Id="rId611" /><Relationship Type="http://schemas.openxmlformats.org/officeDocument/2006/relationships/hyperlink" Target="https://www.pricecharting.com/game/pokemon-japanese-start-deck-100-battle-collection/sealed-deck" TargetMode="External" Id="rId612" /><Relationship Type="http://schemas.openxmlformats.org/officeDocument/2006/relationships/hyperlink" Target="https://www.pricecharting.com/game/pokemon-japanese-svg-special-set/venusaur-&amp;-charizard-&amp;-blastoise-special-deck-set-ex" TargetMode="External" Id="rId613" /><Relationship Type="http://schemas.openxmlformats.org/officeDocument/2006/relationships/hyperlink" Target="https://www.pricecharting.com/game/pokemon-japanese-tag-team-starter-set/starter-deluxe-set" TargetMode="External" Id="rId614" /><Relationship Type="http://schemas.openxmlformats.org/officeDocument/2006/relationships/hyperlink" Target="https://www.pricecharting.com/game/pokemon-japanese-vending/deck-battle-series-iii" TargetMode="External" Id="rId615" /><Relationship Type="http://schemas.openxmlformats.org/officeDocument/2006/relationships/hyperlink" Target="https://www.pricecharting.com/game/pokemon-japanese-vending/deck-exchange-series-iii" TargetMode="External" Id="rId616" /><Relationship Type="http://schemas.openxmlformats.org/officeDocument/2006/relationships/hyperlink" Target="https://www.pricecharting.com/game/pokemon-japanese-yamabuki-city-gym/yamabuki-city-gym-theme-deck" TargetMode="External" Id="rId617" /><Relationship Type="http://schemas.openxmlformats.org/officeDocument/2006/relationships/hyperlink" Target="https://www.pricecharting.com/game/pokemon-jungle/power-reserve-theme-deck" TargetMode="External" Id="rId618" /><Relationship Type="http://schemas.openxmlformats.org/officeDocument/2006/relationships/hyperlink" Target="https://www.tcgplayer.com/product/234498" TargetMode="External" Id="rId619" /><Relationship Type="http://schemas.openxmlformats.org/officeDocument/2006/relationships/hyperlink" Target="https://www.tcgplayer.com/product/234499" TargetMode="External" Id="rId620" /><Relationship Type="http://schemas.openxmlformats.org/officeDocument/2006/relationships/hyperlink" Target="https://www.pricecharting.com/game/pokemon-jungle/water-blast-theme-deck" TargetMode="External" Id="rId621" /><Relationship Type="http://schemas.openxmlformats.org/officeDocument/2006/relationships/hyperlink" Target="https://www.pricecharting.com/game/pokemon-legendary-collection/lava-theme-deck" TargetMode="External" Id="rId622" /><Relationship Type="http://schemas.openxmlformats.org/officeDocument/2006/relationships/hyperlink" Target="https://www.tcgplayer.com/product/693133" TargetMode="External" Id="rId623" /><Relationship Type="http://schemas.openxmlformats.org/officeDocument/2006/relationships/hyperlink" Target="https://www.pricecharting.com/game/pokemon-lost-thunder/storm-caller-theme-deck" TargetMode="External" Id="rId624" /><Relationship Type="http://schemas.openxmlformats.org/officeDocument/2006/relationships/hyperlink" Target="https://www.tcgplayer.com/product/229132" TargetMode="External" Id="rId625" /><Relationship Type="http://schemas.openxmlformats.org/officeDocument/2006/relationships/hyperlink" Target="https://www.tcgplayer.com/product/653859" TargetMode="External" Id="rId626" /><Relationship Type="http://schemas.openxmlformats.org/officeDocument/2006/relationships/hyperlink" Target="https://www.tcgplayer.com/product/653844" TargetMode="External" Id="rId627" /><Relationship Type="http://schemas.openxmlformats.org/officeDocument/2006/relationships/hyperlink" Target="https://www.pricecharting.com/game/pokemon-30th-celebration/battle-deck-espeon-ex" TargetMode="External" Id="rId628" /><Relationship Type="http://schemas.openxmlformats.org/officeDocument/2006/relationships/hyperlink" Target="https://www.tcgplayer.com/product/704187" TargetMode="External" Id="rId629" /><Relationship Type="http://schemas.openxmlformats.org/officeDocument/2006/relationships/hyperlink" Target="https://www.pricecharting.com/game/pokemon-30th-celebration/battle-deck-umbreon-ex" TargetMode="External" Id="rId630" /><Relationship Type="http://schemas.openxmlformats.org/officeDocument/2006/relationships/hyperlink" Target="https://www.tcgplayer.com/product/704188" TargetMode="External" Id="rId631" /><Relationship Type="http://schemas.openxmlformats.org/officeDocument/2006/relationships/hyperlink" Target="https://www.tcgplayer.com/product/709112" TargetMode="External" Id="rId632" /><Relationship Type="http://schemas.openxmlformats.org/officeDocument/2006/relationships/hyperlink" Target="https://www.tcgplayer.com/product/709113" TargetMode="External" Id="rId633" /><Relationship Type="http://schemas.openxmlformats.org/officeDocument/2006/relationships/hyperlink" Target="https://www.tcgplayer.com/product/709114" TargetMode="External" Id="rId634" /><Relationship Type="http://schemas.openxmlformats.org/officeDocument/2006/relationships/hyperlink" Target="https://www.tcgplayer.com/product/716802" TargetMode="External" Id="rId635" /><Relationship Type="http://schemas.openxmlformats.org/officeDocument/2006/relationships/hyperlink" Target="https://www.tcgplayer.com/product/198526" TargetMode="External" Id="rId636" /><Relationship Type="http://schemas.openxmlformats.org/officeDocument/2006/relationships/hyperlink" Target="https://www.tcgplayer.com/product/198527" TargetMode="External" Id="rId637" /><Relationship Type="http://schemas.openxmlformats.org/officeDocument/2006/relationships/hyperlink" Target="https://www.tcgplayer.com/product/710570" TargetMode="External" Id="rId638" /><Relationship Type="http://schemas.openxmlformats.org/officeDocument/2006/relationships/hyperlink" Target="https://www.tcgplayer.com/product/564146" TargetMode="External" Id="rId639" /><Relationship Type="http://schemas.openxmlformats.org/officeDocument/2006/relationships/hyperlink" Target="https://www.tcgplayer.com/product/504250" TargetMode="External" Id="rId640" /><Relationship Type="http://schemas.openxmlformats.org/officeDocument/2006/relationships/hyperlink" Target="https://www.tcgplayer.com/product/564145" TargetMode="External" Id="rId641" /><Relationship Type="http://schemas.openxmlformats.org/officeDocument/2006/relationships/hyperlink" Target="https://www.tcgplayer.com/product/539429" TargetMode="External" Id="rId642" /><Relationship Type="http://schemas.openxmlformats.org/officeDocument/2006/relationships/hyperlink" Target="https://www.tcgplayer.com/product/504252" TargetMode="External" Id="rId643" /><Relationship Type="http://schemas.openxmlformats.org/officeDocument/2006/relationships/hyperlink" Target="https://www.tcgplayer.com/product/539428" TargetMode="External" Id="rId644" /><Relationship Type="http://schemas.openxmlformats.org/officeDocument/2006/relationships/hyperlink" Target="https://www.tcgplayer.com/product/564248" TargetMode="External" Id="rId645" /><Relationship Type="http://schemas.openxmlformats.org/officeDocument/2006/relationships/hyperlink" Target="https://www.tcgplayer.com/product/504257" TargetMode="External" Id="rId646" /><Relationship Type="http://schemas.openxmlformats.org/officeDocument/2006/relationships/hyperlink" Target="https://www.tcgplayer.com/product/497967" TargetMode="External" Id="rId647" /><Relationship Type="http://schemas.openxmlformats.org/officeDocument/2006/relationships/hyperlink" Target="https://www.tcgplayer.com/product/484380" TargetMode="External" Id="rId648" /><Relationship Type="http://schemas.openxmlformats.org/officeDocument/2006/relationships/hyperlink" Target="https://www.tcgplayer.com/product/497842" TargetMode="External" Id="rId649" /><Relationship Type="http://schemas.openxmlformats.org/officeDocument/2006/relationships/hyperlink" Target="https://www.tcgplayer.com/product/527671" TargetMode="External" Id="rId650" /><Relationship Type="http://schemas.openxmlformats.org/officeDocument/2006/relationships/hyperlink" Target="https://www.tcgplayer.com/product/564278" TargetMode="External" Id="rId651" /><Relationship Type="http://schemas.openxmlformats.org/officeDocument/2006/relationships/hyperlink" Target="https://www.tcgplayer.com/product/527674" TargetMode="External" Id="rId652" /><Relationship Type="http://schemas.openxmlformats.org/officeDocument/2006/relationships/hyperlink" Target="https://www.tcgplayer.com/product/484382" TargetMode="External" Id="rId653" /><Relationship Type="http://schemas.openxmlformats.org/officeDocument/2006/relationships/hyperlink" Target="https://www.tcgplayer.com/product/557327" TargetMode="External" Id="rId654" /><Relationship Type="http://schemas.openxmlformats.org/officeDocument/2006/relationships/hyperlink" Target="https://www.tcgplayer.com/product/484384" TargetMode="External" Id="rId655" /><Relationship Type="http://schemas.openxmlformats.org/officeDocument/2006/relationships/hyperlink" Target="https://www.tcgplayer.com/product/564277" TargetMode="External" Id="rId656" /><Relationship Type="http://schemas.openxmlformats.org/officeDocument/2006/relationships/hyperlink" Target="https://www.tcgplayer.com/product/497841" TargetMode="External" Id="rId657" /><Relationship Type="http://schemas.openxmlformats.org/officeDocument/2006/relationships/hyperlink" Target="https://www.tcgplayer.com/product/557326" TargetMode="External" Id="rId658" /><Relationship Type="http://schemas.openxmlformats.org/officeDocument/2006/relationships/hyperlink" Target="https://www.tcgplayer.com/product/575186" TargetMode="External" Id="rId659" /><Relationship Type="http://schemas.openxmlformats.org/officeDocument/2006/relationships/hyperlink" Target="https://www.tcgplayer.com/product/575294" TargetMode="External" Id="rId660" /><Relationship Type="http://schemas.openxmlformats.org/officeDocument/2006/relationships/hyperlink" Target="https://www.tcgplayer.com/product/623029" TargetMode="External" Id="rId661" /><Relationship Type="http://schemas.openxmlformats.org/officeDocument/2006/relationships/hyperlink" Target="https://www.tcgplayer.com/product/539385" TargetMode="External" Id="rId662" /><Relationship Type="http://schemas.openxmlformats.org/officeDocument/2006/relationships/hyperlink" Target="https://www.tcgplayer.com/product/271947" TargetMode="External" Id="rId663" /><Relationship Type="http://schemas.openxmlformats.org/officeDocument/2006/relationships/hyperlink" Target="https://www.tcgplayer.com/product/236379" TargetMode="External" Id="rId664" /><Relationship Type="http://schemas.openxmlformats.org/officeDocument/2006/relationships/hyperlink" Target="https://www.tcgplayer.com/product/718643" TargetMode="External" Id="rId665" /><Relationship Type="http://schemas.openxmlformats.org/officeDocument/2006/relationships/hyperlink" Target="https://www.tcgplayer.com/product/684106" TargetMode="External" Id="rId666" /><Relationship Type="http://schemas.openxmlformats.org/officeDocument/2006/relationships/hyperlink" Target="https://www.tcgplayer.com/product/516580" TargetMode="External" Id="rId667" /><Relationship Type="http://schemas.openxmlformats.org/officeDocument/2006/relationships/hyperlink" Target="https://www.tcgplayer.com/product/484213" TargetMode="External" Id="rId668" /><Relationship Type="http://schemas.openxmlformats.org/officeDocument/2006/relationships/hyperlink" Target="https://www.tcgplayer.com/product/248072" TargetMode="External" Id="rId669" /><Relationship Type="http://schemas.openxmlformats.org/officeDocument/2006/relationships/hyperlink" Target="https://www.tcgplayer.com/product/248073" TargetMode="External" Id="rId670" /><Relationship Type="http://schemas.openxmlformats.org/officeDocument/2006/relationships/hyperlink" Target="https://www.tcgplayer.com/product/271946" TargetMode="External" Id="rId671" /><Relationship Type="http://schemas.openxmlformats.org/officeDocument/2006/relationships/hyperlink" Target="https://www.tcgplayer.com/product/271997" TargetMode="External" Id="rId672" /><Relationship Type="http://schemas.openxmlformats.org/officeDocument/2006/relationships/hyperlink" Target="https://www.tcgplayer.com/product/248071" TargetMode="External" Id="rId673" /><Relationship Type="http://schemas.openxmlformats.org/officeDocument/2006/relationships/hyperlink" Target="https://www.tcgplayer.com/product/654567" TargetMode="External" Id="rId674" /><Relationship Type="http://schemas.openxmlformats.org/officeDocument/2006/relationships/hyperlink" Target="https://www.tcgplayer.com/product/226138" TargetMode="External" Id="rId675" /><Relationship Type="http://schemas.openxmlformats.org/officeDocument/2006/relationships/hyperlink" Target="https://www.tcgplayer.com/product/214269" TargetMode="External" Id="rId676" /><Relationship Type="http://schemas.openxmlformats.org/officeDocument/2006/relationships/hyperlink" Target="https://www.tcgplayer.com/product/214270" TargetMode="External" Id="rId677" /><Relationship Type="http://schemas.openxmlformats.org/officeDocument/2006/relationships/hyperlink" Target="https://www.tcgplayer.com/product/181697" TargetMode="External" Id="rId678" /><Relationship Type="http://schemas.openxmlformats.org/officeDocument/2006/relationships/hyperlink" Target="https://www.tcgplayer.com/product/181696" TargetMode="External" Id="rId679" /><Relationship Type="http://schemas.openxmlformats.org/officeDocument/2006/relationships/hyperlink" Target="https://www.tcgplayer.com/product/659193" TargetMode="External" Id="rId680" /><Relationship Type="http://schemas.openxmlformats.org/officeDocument/2006/relationships/hyperlink" Target="https://www.tcgplayer.com/product/659192" TargetMode="External" Id="rId681" /><Relationship Type="http://schemas.openxmlformats.org/officeDocument/2006/relationships/hyperlink" Target="https://www.tcgplayer.com/product/661999" TargetMode="External" Id="rId682" /><Relationship Type="http://schemas.openxmlformats.org/officeDocument/2006/relationships/hyperlink" Target="https://www.tcgplayer.com/product/210197" TargetMode="External" Id="rId683" /><Relationship Type="http://schemas.openxmlformats.org/officeDocument/2006/relationships/hyperlink" Target="https://www.tcgplayer.com/product/623014" TargetMode="External" Id="rId684" /><Relationship Type="http://schemas.openxmlformats.org/officeDocument/2006/relationships/hyperlink" Target="https://www.tcgplayer.com/product/623015" TargetMode="External" Id="rId685" /><Relationship Type="http://schemas.openxmlformats.org/officeDocument/2006/relationships/hyperlink" Target="https://www.tcgplayer.com/product/271999" TargetMode="External" Id="rId686" /><Relationship Type="http://schemas.openxmlformats.org/officeDocument/2006/relationships/hyperlink" Target="https://www.tcgplayer.com/product/272000" TargetMode="External" Id="rId687" /><Relationship Type="http://schemas.openxmlformats.org/officeDocument/2006/relationships/hyperlink" Target="https://www.tcgplayer.com/product/230396" TargetMode="External" Id="rId688" /><Relationship Type="http://schemas.openxmlformats.org/officeDocument/2006/relationships/hyperlink" Target="https://www.tcgplayer.com/product/280857" TargetMode="External" Id="rId689" /><Relationship Type="http://schemas.openxmlformats.org/officeDocument/2006/relationships/hyperlink" Target="https://www.tcgplayer.com/product/233357" TargetMode="External" Id="rId690" /><Relationship Type="http://schemas.openxmlformats.org/officeDocument/2006/relationships/hyperlink" Target="https://www.tcgplayer.com/product/264757" TargetMode="External" Id="rId691" /><Relationship Type="http://schemas.openxmlformats.org/officeDocument/2006/relationships/hyperlink" Target="https://www.tcgplayer.com/product/245733" TargetMode="External" Id="rId692" /><Relationship Type="http://schemas.openxmlformats.org/officeDocument/2006/relationships/hyperlink" Target="https://www.tcgplayer.com/product/230397" TargetMode="External" Id="rId693" /><Relationship Type="http://schemas.openxmlformats.org/officeDocument/2006/relationships/hyperlink" Target="https://www.tcgplayer.com/product/233356" TargetMode="External" Id="rId694" /><Relationship Type="http://schemas.openxmlformats.org/officeDocument/2006/relationships/hyperlink" Target="https://www.tcgplayer.com/product/280858" TargetMode="External" Id="rId695" /><Relationship Type="http://schemas.openxmlformats.org/officeDocument/2006/relationships/hyperlink" Target="https://www.tcgplayer.com/product/229177" TargetMode="External" Id="rId696" /><Relationship Type="http://schemas.openxmlformats.org/officeDocument/2006/relationships/hyperlink" Target="https://www.tcgplayer.com/product/229176" TargetMode="External" Id="rId697" /><Relationship Type="http://schemas.openxmlformats.org/officeDocument/2006/relationships/hyperlink" Target="https://www.pricecharting.com/game/pokemon-neo-destiny/dark-theme-deck" TargetMode="External" Id="rId698" /><Relationship Type="http://schemas.openxmlformats.org/officeDocument/2006/relationships/hyperlink" Target="https://www.pricecharting.com/game/pokemon-neo-destiny/light-theme-deck" TargetMode="External" Id="rId699" /><Relationship Type="http://schemas.openxmlformats.org/officeDocument/2006/relationships/hyperlink" Target="https://www.tcgplayer.com/product/232869" TargetMode="External" Id="rId700" /><Relationship Type="http://schemas.openxmlformats.org/officeDocument/2006/relationships/hyperlink" Target="https://www.pricecharting.com/game/pokemon-neo-discovery/brain-wave-theme-deck" TargetMode="External" Id="rId701" /><Relationship Type="http://schemas.openxmlformats.org/officeDocument/2006/relationships/hyperlink" Target="https://www.tcgplayer.com/product/234510" TargetMode="External" Id="rId702" /><Relationship Type="http://schemas.openxmlformats.org/officeDocument/2006/relationships/hyperlink" Target="https://www.tcgplayer.com/product/234505" TargetMode="External" Id="rId703" /><Relationship Type="http://schemas.openxmlformats.org/officeDocument/2006/relationships/hyperlink" Target="https://www.tcgplayer.com/product/98626" TargetMode="External" Id="rId704" /><Relationship Type="http://schemas.openxmlformats.org/officeDocument/2006/relationships/hyperlink" Target="https://www.tcgplayer.com/product/229173" TargetMode="External" Id="rId705" /><Relationship Type="http://schemas.openxmlformats.org/officeDocument/2006/relationships/hyperlink" Target="https://www.tcgplayer.com/product/229175" TargetMode="External" Id="rId706" /><Relationship Type="http://schemas.openxmlformats.org/officeDocument/2006/relationships/hyperlink" Target="https://www.tcgplayer.com/product/275842" TargetMode="External" Id="rId707" /><Relationship Type="http://schemas.openxmlformats.org/officeDocument/2006/relationships/hyperlink" Target="https://www.tcgplayer.com/product/270711" TargetMode="External" Id="rId708" /><Relationship Type="http://schemas.openxmlformats.org/officeDocument/2006/relationships/hyperlink" Target="https://www.tcgplayer.com/product/270710" TargetMode="External" Id="rId709" /><Relationship Type="http://schemas.openxmlformats.org/officeDocument/2006/relationships/hyperlink" Target="https://www.pricecharting.com/game/pokemon-power-keepers/dark-blast-theme-deck" TargetMode="External" Id="rId710" /><Relationship Type="http://schemas.openxmlformats.org/officeDocument/2006/relationships/hyperlink" Target="https://www.pricecharting.com/game/pokemon-power-keepers/mind-game-theme-deck" TargetMode="External" Id="rId711" /><Relationship Type="http://schemas.openxmlformats.org/officeDocument/2006/relationships/hyperlink" Target="https://www.pricecharting.com/game/pokemon-promo/battle-academy-2022" TargetMode="External" Id="rId712" /><Relationship Type="http://schemas.openxmlformats.org/officeDocument/2006/relationships/hyperlink" Target="https://www.pricecharting.com/game/pokemon-promo/deluxe-battle-deck-meowscarada-ex" TargetMode="External" Id="rId713" /><Relationship Type="http://schemas.openxmlformats.org/officeDocument/2006/relationships/hyperlink" Target="https://www.pricecharting.com/game/pokemon-promo/deluxe-battle-deck-ninetales" TargetMode="External" Id="rId714" /><Relationship Type="http://schemas.openxmlformats.org/officeDocument/2006/relationships/hyperlink" Target="https://www.pricecharting.com/game/pokemon-promo/deluxe-battle-deck-zapdos" TargetMode="External" Id="rId715" /><Relationship Type="http://schemas.openxmlformats.org/officeDocument/2006/relationships/hyperlink" Target="https://www.pricecharting.com/game/pokemon-promo/ex-battle-deck-chien-pao" TargetMode="External" Id="rId716" /><Relationship Type="http://schemas.openxmlformats.org/officeDocument/2006/relationships/hyperlink" Target="https://www.pricecharting.com/game/pokemon-promo/ex-battle-deck-tapu-koko" TargetMode="External" Id="rId717" /><Relationship Type="http://schemas.openxmlformats.org/officeDocument/2006/relationships/hyperlink" Target="https://www.pricecharting.com/game/pokemon-promo/ex-battle-deck-houndoom-ex" TargetMode="External" Id="rId718" /><Relationship Type="http://schemas.openxmlformats.org/officeDocument/2006/relationships/hyperlink" Target="https://www.pricecharting.com/game/pokemon-promo/ex-battle-deck-iron-leaves-ex" TargetMode="External" Id="rId719" /><Relationship Type="http://schemas.openxmlformats.org/officeDocument/2006/relationships/hyperlink" Target="https://www.pricecharting.com/game/pokemon-promo/ex-battle-deck-melmetal" TargetMode="External" Id="rId720" /><Relationship Type="http://schemas.openxmlformats.org/officeDocument/2006/relationships/hyperlink" Target="https://www.pricecharting.com/game/pokemon-promo/gardevoir-v-battle-deck" TargetMode="External" Id="rId721" /><Relationship Type="http://schemas.openxmlformats.org/officeDocument/2006/relationships/hyperlink" Target="https://www.pricecharting.com/game/pokemon-promo/league-battle-deck-charizard-ex" TargetMode="External" Id="rId722" /><Relationship Type="http://schemas.openxmlformats.org/officeDocument/2006/relationships/hyperlink" Target="https://www.pricecharting.com/game/pokemon-promo/league-battle-deck-gardevoir-ex" TargetMode="External" Id="rId723" /><Relationship Type="http://schemas.openxmlformats.org/officeDocument/2006/relationships/hyperlink" Target="https://www.pricecharting.com/game/pokemon-promo/league-battle-deck-mega-lucario-ex" TargetMode="External" Id="rId724" /><Relationship Type="http://schemas.openxmlformats.org/officeDocument/2006/relationships/hyperlink" Target="https://www.pricecharting.com/game/pokemon-promo/league-battle-deck-mew-vmax" TargetMode="External" Id="rId725" /><Relationship Type="http://schemas.openxmlformats.org/officeDocument/2006/relationships/hyperlink" Target="https://www.pricecharting.com/game/pokemon-promo/league-battle-deck-miraidon-ex" TargetMode="External" Id="rId726" /><Relationship Type="http://schemas.openxmlformats.org/officeDocument/2006/relationships/hyperlink" Target="https://www.pricecharting.com/game/pokemon-promo/league-battle-deck-shadow-rider-calyrex-vmax" TargetMode="External" Id="rId727" /><Relationship Type="http://schemas.openxmlformats.org/officeDocument/2006/relationships/hyperlink" Target="https://www.pricecharting.com/game/pokemon-promo/league-battle-deck-team-rocket's-mewtwo-ex" TargetMode="External" Id="rId728" /><Relationship Type="http://schemas.openxmlformats.org/officeDocument/2006/relationships/hyperlink" Target="https://www.pricecharting.com/game/pokemon-promo/league-battle-deck-zacian-v" TargetMode="External" Id="rId729" /><Relationship Type="http://schemas.openxmlformats.org/officeDocument/2006/relationships/hyperlink" Target="https://www.pricecharting.com/game/pokemon-promo/lucario-ex-battle-deck" TargetMode="External" Id="rId730" /><Relationship Type="http://schemas.openxmlformats.org/officeDocument/2006/relationships/hyperlink" Target="https://www.pricecharting.com/game/pokemon-promo/mega-battle-deck-mega-diancie-ex" TargetMode="External" Id="rId731" /><Relationship Type="http://schemas.openxmlformats.org/officeDocument/2006/relationships/hyperlink" Target="https://www.pricecharting.com/game/pokemon-promo/rival-battle-deck-marnie" TargetMode="External" Id="rId732" /><Relationship Type="http://schemas.openxmlformats.org/officeDocument/2006/relationships/hyperlink" Target="https://www.pricecharting.com/game/pokemon-promo/rival-battle-deck-steven" TargetMode="External" Id="rId733" /><Relationship Type="http://schemas.openxmlformats.org/officeDocument/2006/relationships/hyperlink" Target="https://www.pricecharting.com/game/pokemon-promo/sealed-mega-battle-deck-mega-gengar-ex" TargetMode="External" Id="rId734" /><Relationship Type="http://schemas.openxmlformats.org/officeDocument/2006/relationships/hyperlink" Target="https://www.pricecharting.com/game/pokemon-promo/v-battle-deck-noivern" TargetMode="External" Id="rId735" /><Relationship Type="http://schemas.openxmlformats.org/officeDocument/2006/relationships/hyperlink" Target="https://www.pricecharting.com/game/pokemon-promo/v-battle-deck-rayquaza-v" TargetMode="External" Id="rId736" /><Relationship Type="http://schemas.openxmlformats.org/officeDocument/2006/relationships/hyperlink" Target="https://www.pricecharting.com/game/pokemon-promo/v-battle-deck-zeraora-v" TargetMode="External" Id="rId737" /><Relationship Type="http://schemas.openxmlformats.org/officeDocument/2006/relationships/hyperlink" Target="https://www.pricecharting.com/game/pokemon-promo/v-battle-deck-blastoise" TargetMode="External" Id="rId738" /><Relationship Type="http://schemas.openxmlformats.org/officeDocument/2006/relationships/hyperlink" Target="https://www.pricecharting.com/game/pokemon-promo/v-battle-deck-venusaur" TargetMode="External" Id="rId739" /><Relationship Type="http://schemas.openxmlformats.org/officeDocument/2006/relationships/hyperlink" Target="https://www.tcgplayer.com/product/644827" TargetMode="External" Id="rId740" /><Relationship Type="http://schemas.openxmlformats.org/officeDocument/2006/relationships/hyperlink" Target="https://www.pricecharting.com/game/pokemon-skyridge/theme-deck-mind-machine" TargetMode="External" Id="rId741" /><Relationship Type="http://schemas.openxmlformats.org/officeDocument/2006/relationships/hyperlink" Target="https://www.tcgplayer.com/product/133778" TargetMode="External" Id="rId742" /><Relationship Type="http://schemas.openxmlformats.org/officeDocument/2006/relationships/hyperlink" Target="https://www.tcgplayer.com/product/133777" TargetMode="External" Id="rId743" /><Relationship Type="http://schemas.openxmlformats.org/officeDocument/2006/relationships/hyperlink" Target="https://www.tcgplayer.com/product/175553" TargetMode="External" Id="rId744" /><Relationship Type="http://schemas.openxmlformats.org/officeDocument/2006/relationships/hyperlink" Target="https://www.tcgplayer.com/product/175552" TargetMode="External" Id="rId745" /><Relationship Type="http://schemas.openxmlformats.org/officeDocument/2006/relationships/hyperlink" Target="https://www.tcgplayer.com/product/170279" TargetMode="External" Id="rId746" /><Relationship Type="http://schemas.openxmlformats.org/officeDocument/2006/relationships/hyperlink" Target="https://www.tcgplayer.com/product/170278" TargetMode="External" Id="rId747" /><Relationship Type="http://schemas.openxmlformats.org/officeDocument/2006/relationships/hyperlink" Target="https://www.tcgplayer.com/product/199306" TargetMode="External" Id="rId748" /><Relationship Type="http://schemas.openxmlformats.org/officeDocument/2006/relationships/hyperlink" Target="https://www.tcgplayer.com/product/199305" TargetMode="External" Id="rId749" /><Relationship Type="http://schemas.openxmlformats.org/officeDocument/2006/relationships/hyperlink" Target="https://www.tcgplayer.com/product/149379" TargetMode="External" Id="rId750" /><Relationship Type="http://schemas.openxmlformats.org/officeDocument/2006/relationships/hyperlink" Target="https://www.tcgplayer.com/product/149380" TargetMode="External" Id="rId751" /><Relationship Type="http://schemas.openxmlformats.org/officeDocument/2006/relationships/hyperlink" Target="https://www.tcgplayer.com/product/164306" TargetMode="External" Id="rId752" /><Relationship Type="http://schemas.openxmlformats.org/officeDocument/2006/relationships/hyperlink" Target="https://www.tcgplayer.com/product/129891" TargetMode="External" Id="rId753" /><Relationship Type="http://schemas.openxmlformats.org/officeDocument/2006/relationships/hyperlink" Target="https://www.tcgplayer.com/product/129892" TargetMode="External" Id="rId754" /><Relationship Type="http://schemas.openxmlformats.org/officeDocument/2006/relationships/hyperlink" Target="https://www.tcgplayer.com/product/177527" TargetMode="External" Id="rId755" /><Relationship Type="http://schemas.openxmlformats.org/officeDocument/2006/relationships/hyperlink" Target="https://www.tcgplayer.com/product/177528" TargetMode="External" Id="rId756" /><Relationship Type="http://schemas.openxmlformats.org/officeDocument/2006/relationships/hyperlink" Target="https://www.tcgplayer.com/product/181705" TargetMode="External" Id="rId757" /><Relationship Type="http://schemas.openxmlformats.org/officeDocument/2006/relationships/hyperlink" Target="https://www.tcgplayer.com/product/181706" TargetMode="External" Id="rId758" /><Relationship Type="http://schemas.openxmlformats.org/officeDocument/2006/relationships/hyperlink" Target="https://www.tcgplayer.com/product/155666" TargetMode="External" Id="rId759" /><Relationship Type="http://schemas.openxmlformats.org/officeDocument/2006/relationships/hyperlink" Target="https://www.tcgplayer.com/product/188400" TargetMode="External" Id="rId760" /><Relationship Type="http://schemas.openxmlformats.org/officeDocument/2006/relationships/hyperlink" Target="https://www.tcgplayer.com/product/191889" TargetMode="External" Id="rId761" /><Relationship Type="http://schemas.openxmlformats.org/officeDocument/2006/relationships/hyperlink" Target="https://www.tcgplayer.com/product/191888" TargetMode="External" Id="rId762" /><Relationship Type="http://schemas.openxmlformats.org/officeDocument/2006/relationships/hyperlink" Target="https://www.tcgplayer.com/product/194708" TargetMode="External" Id="rId763" /><Relationship Type="http://schemas.openxmlformats.org/officeDocument/2006/relationships/hyperlink" Target="https://www.tcgplayer.com/product/126174" TargetMode="External" Id="rId764" /><Relationship Type="http://schemas.openxmlformats.org/officeDocument/2006/relationships/hyperlink" Target="https://www.tcgplayer.com/product/126172" TargetMode="External" Id="rId765" /><Relationship Type="http://schemas.openxmlformats.org/officeDocument/2006/relationships/hyperlink" Target="https://www.tcgplayer.com/product/126173" TargetMode="External" Id="rId766" /><Relationship Type="http://schemas.openxmlformats.org/officeDocument/2006/relationships/hyperlink" Target="https://www.tcgplayer.com/product/162111" TargetMode="External" Id="rId767" /><Relationship Type="http://schemas.openxmlformats.org/officeDocument/2006/relationships/hyperlink" Target="https://www.tcgplayer.com/product/152815" TargetMode="External" Id="rId768" /><Relationship Type="http://schemas.openxmlformats.org/officeDocument/2006/relationships/hyperlink" Target="https://www.tcgplayer.com/product/670145" TargetMode="External" Id="rId769" /><Relationship Type="http://schemas.openxmlformats.org/officeDocument/2006/relationships/hyperlink" Target="https://www.tcgplayer.com/product/593969" TargetMode="External" Id="rId770" /><Relationship Type="http://schemas.openxmlformats.org/officeDocument/2006/relationships/hyperlink" Target="https://www.tcgplayer.com/product/593910" TargetMode="External" Id="rId771" /><Relationship Type="http://schemas.openxmlformats.org/officeDocument/2006/relationships/hyperlink" Target="https://www.tcgplayer.com/product/593967" TargetMode="External" Id="rId772" /><Relationship Type="http://schemas.openxmlformats.org/officeDocument/2006/relationships/hyperlink" Target="https://www.tcgplayer.com/product/594599" TargetMode="External" Id="rId773" /><Relationship Type="http://schemas.openxmlformats.org/officeDocument/2006/relationships/hyperlink" Target="https://www.tcgplayer.com/product/594595" TargetMode="External" Id="rId774" /><Relationship Type="http://schemas.openxmlformats.org/officeDocument/2006/relationships/hyperlink" Target="https://www.tcgplayer.com/product/594597" TargetMode="External" Id="rId775" /><Relationship Type="http://schemas.openxmlformats.org/officeDocument/2006/relationships/hyperlink" Target="https://www.tcgplayer.com/product/594598" TargetMode="External" Id="rId776" /><Relationship Type="http://schemas.openxmlformats.org/officeDocument/2006/relationships/hyperlink" Target="https://www.tcgplayer.com/product/594376" TargetMode="External" Id="rId777" /><Relationship Type="http://schemas.openxmlformats.org/officeDocument/2006/relationships/hyperlink" Target="https://www.tcgplayer.com/product/619294" TargetMode="External" Id="rId778" /><Relationship Type="http://schemas.openxmlformats.org/officeDocument/2006/relationships/hyperlink" Target="https://www.tcgplayer.com/product/594169" TargetMode="External" Id="rId779" /><Relationship Type="http://schemas.openxmlformats.org/officeDocument/2006/relationships/hyperlink" Target="https://www.tcgplayer.com/product/594377" TargetMode="External" Id="rId780" /><Relationship Type="http://schemas.openxmlformats.org/officeDocument/2006/relationships/hyperlink" Target="https://www.tcgplayer.com/product/594375" TargetMode="External" Id="rId781" /><Relationship Type="http://schemas.openxmlformats.org/officeDocument/2006/relationships/hyperlink" Target="https://www.tcgplayer.com/product/619293" TargetMode="External" Id="rId782" /><Relationship Type="http://schemas.openxmlformats.org/officeDocument/2006/relationships/hyperlink" Target="https://www.tcgplayer.com/product/593970" TargetMode="External" Id="rId783" /><Relationship Type="http://schemas.openxmlformats.org/officeDocument/2006/relationships/hyperlink" Target="https://www.tcgplayer.com/product/594100" TargetMode="External" Id="rId784" /><Relationship Type="http://schemas.openxmlformats.org/officeDocument/2006/relationships/hyperlink" Target="https://www.tcgplayer.com/product/594102" TargetMode="External" Id="rId785" /><Relationship Type="http://schemas.openxmlformats.org/officeDocument/2006/relationships/hyperlink" Target="https://www.tcgplayer.com/product/594101" TargetMode="External" Id="rId786" /><Relationship Type="http://schemas.openxmlformats.org/officeDocument/2006/relationships/hyperlink" Target="https://www.tcgplayer.com/product/593911" TargetMode="External" Id="rId787" /><Relationship Type="http://schemas.openxmlformats.org/officeDocument/2006/relationships/hyperlink" Target="https://www.tcgplayer.com/product/593968" TargetMode="External" Id="rId788" /><Relationship Type="http://schemas.openxmlformats.org/officeDocument/2006/relationships/hyperlink" Target="https://www.tcgplayer.com/product/594075" TargetMode="External" Id="rId789" /><Relationship Type="http://schemas.openxmlformats.org/officeDocument/2006/relationships/hyperlink" Target="https://www.tcgplayer.com/product/643135" TargetMode="External" Id="rId790" /><Relationship Type="http://schemas.openxmlformats.org/officeDocument/2006/relationships/hyperlink" Target="https://www.tcgplayer.com/product/643140" TargetMode="External" Id="rId791" /><Relationship Type="http://schemas.openxmlformats.org/officeDocument/2006/relationships/hyperlink" Target="https://www.tcgplayer.com/product/643134" TargetMode="External" Id="rId792" /><Relationship Type="http://schemas.openxmlformats.org/officeDocument/2006/relationships/hyperlink" Target="https://www.tcgplayer.com/product/643133" TargetMode="External" Id="rId793" /><Relationship Type="http://schemas.openxmlformats.org/officeDocument/2006/relationships/hyperlink" Target="https://www.tcgplayer.com/product/643132" TargetMode="External" Id="rId794" /><Relationship Type="http://schemas.openxmlformats.org/officeDocument/2006/relationships/hyperlink" Target="https://www.tcgplayer.com/product/643136" TargetMode="External" Id="rId795" /><Relationship Type="http://schemas.openxmlformats.org/officeDocument/2006/relationships/hyperlink" Target="https://www.tcgplayer.com/product/643138" TargetMode="External" Id="rId796" /><Relationship Type="http://schemas.openxmlformats.org/officeDocument/2006/relationships/hyperlink" Target="https://www.tcgplayer.com/product/643137" TargetMode="External" Id="rId797" /><Relationship Type="http://schemas.openxmlformats.org/officeDocument/2006/relationships/hyperlink" Target="https://www.tcgplayer.com/product/643139" TargetMode="External" Id="rId798" /><Relationship Type="http://schemas.openxmlformats.org/officeDocument/2006/relationships/hyperlink" Target="https://www.tcgplayer.com/product/656152" TargetMode="External" Id="rId799" /><Relationship Type="http://schemas.openxmlformats.org/officeDocument/2006/relationships/hyperlink" Target="https://www.tcgplayer.com/product/614704" TargetMode="External" Id="rId800" /><Relationship Type="http://schemas.openxmlformats.org/officeDocument/2006/relationships/hyperlink" Target="https://www.tcgplayer.com/product/206035" TargetMode="External" Id="rId801" /><Relationship Type="http://schemas.openxmlformats.org/officeDocument/2006/relationships/hyperlink" Target="https://www.tcgplayer.com/product/206036" TargetMode="External" Id="rId802" /><Relationship Type="http://schemas.openxmlformats.org/officeDocument/2006/relationships/hyperlink" Target="https://www.tcgplayer.com/product/206037" TargetMode="External" Id="rId803" /><Relationship Type="http://schemas.openxmlformats.org/officeDocument/2006/relationships/hyperlink" Target="https://www.tcgplayer.com/product/206044" TargetMode="External" Id="rId804" /><Relationship Type="http://schemas.openxmlformats.org/officeDocument/2006/relationships/hyperlink" Target="https://www.tcgplayer.com/product/210571" TargetMode="External" Id="rId805" /><Relationship Type="http://schemas.openxmlformats.org/officeDocument/2006/relationships/hyperlink" Target="https://www.tcgplayer.com/product/210570" TargetMode="External" Id="rId806" /><Relationship Type="http://schemas.openxmlformats.org/officeDocument/2006/relationships/hyperlink" Target="https://www.tcgplayer.com/product/216865" TargetMode="External" Id="rId807" /><Relationship Type="http://schemas.openxmlformats.org/officeDocument/2006/relationships/hyperlink" Target="https://www.tcgplayer.com/product/216866" TargetMode="External" Id="rId808" /><Relationship Type="http://schemas.openxmlformats.org/officeDocument/2006/relationships/hyperlink" Target="https://www.tcgplayer.com/product/221750" TargetMode="External" Id="rId809" /><Relationship Type="http://schemas.openxmlformats.org/officeDocument/2006/relationships/hyperlink" Target="https://www.tcgplayer.com/product/221751" TargetMode="External" Id="rId810" /><Relationship Type="http://schemas.openxmlformats.org/officeDocument/2006/relationships/hyperlink" Target="https://www.tcgplayer.com/product/283599" TargetMode="External" Id="rId811" /><Relationship Type="http://schemas.openxmlformats.org/officeDocument/2006/relationships/hyperlink" Target="https://www.pricecharting.com/game/pokemon-team-rocket/theme-deck-devastation" TargetMode="External" Id="rId812" /><Relationship Type="http://schemas.openxmlformats.org/officeDocument/2006/relationships/hyperlink" Target="https://www.tcgplayer.com/product/176942" TargetMode="External" Id="rId813" /><Relationship Type="http://schemas.openxmlformats.org/officeDocument/2006/relationships/hyperlink" Target="https://www.pricecharting.com/game/pokemon-team-rocket/theme-deck-trouble" TargetMode="External" Id="rId814" /><Relationship Type="http://schemas.openxmlformats.org/officeDocument/2006/relationships/hyperlink" Target="https://www.tcgplayer.com/product/176943" TargetMode="External" Id="rId815" /><Relationship Type="http://schemas.openxmlformats.org/officeDocument/2006/relationships/hyperlink" Target="https://www.pricecharting.com/game/pokemon-team-up/blastoise-theme-deck-torrential-cannon" TargetMode="External" Id="rId816" /><Relationship Type="http://schemas.openxmlformats.org/officeDocument/2006/relationships/hyperlink" Target="https://www.pricecharting.com/game/pokemon-team-up/charizard-theme-deck-relentless-flame" TargetMode="External" Id="rId817" /><Relationship Type="http://schemas.openxmlformats.org/officeDocument/2006/relationships/hyperlink" Target="https://www.tcgplayer.com/product/656429" TargetMode="External" Id="rId818" /><Relationship Type="http://schemas.openxmlformats.org/officeDocument/2006/relationships/hyperlink" Target="https://www.pricecharting.com/game/pokemon-unified-minds/dragonite-theme-deck-soaring-storm" TargetMode="External" Id="rId819" /><Relationship Type="http://schemas.openxmlformats.org/officeDocument/2006/relationships/hyperlink" Target="https://www.pricecharting.com/game/pokemon-unified-minds/necrozma-theme-deck-laser-focus" TargetMode="External" Id="rId820" /><Relationship Type="http://schemas.openxmlformats.org/officeDocument/2006/relationships/hyperlink" Target="https://www.pricecharting.com/game/pokemon-vivid-voltage/charizard-theme-deck" TargetMode="External" Id="rId821" /><Relationship Type="http://schemas.openxmlformats.org/officeDocument/2006/relationships/hyperlink" Target="https://www.pricecharting.com/game/pokemon-vivid-voltage/drednaw-theme-deck" TargetMode="External" Id="rId822" /><Relationship Type="http://schemas.openxmlformats.org/officeDocument/2006/relationships/hyperlink" Target="https://www.tcgplayer.com/product/594103" TargetMode="External" Id="rId823" /><Relationship Type="http://schemas.openxmlformats.org/officeDocument/2006/relationships/hyperlink" Target="https://www.tcgplayer.com/product/170457" TargetMode="External" Id="rId824" /><Relationship Type="http://schemas.openxmlformats.org/officeDocument/2006/relationships/hyperlink" Target="https://www.tcgplayer.com/product/175267" TargetMode="External" Id="rId825" /><Relationship Type="http://schemas.openxmlformats.org/officeDocument/2006/relationships/hyperlink" Target="https://www.tcgplayer.com/product/175268" TargetMode="External" Id="rId826" /><Relationship Type="http://schemas.openxmlformats.org/officeDocument/2006/relationships/hyperlink" Target="https://www.tcgplayer.com/product/175265" TargetMode="External" Id="rId827" /><Relationship Type="http://schemas.openxmlformats.org/officeDocument/2006/relationships/hyperlink" Target="https://www.tcgplayer.com/product/175266" TargetMode="External" Id="rId828" /><Relationship Type="http://schemas.openxmlformats.org/officeDocument/2006/relationships/hyperlink" Target="https://www.tcgplayer.com/product/200138" TargetMode="External" Id="rId829" /><Relationship Type="http://schemas.openxmlformats.org/officeDocument/2006/relationships/hyperlink" Target="https://www.tcgplayer.com/product/200137" TargetMode="External" Id="rId830" /><Relationship Type="http://schemas.openxmlformats.org/officeDocument/2006/relationships/hyperlink" Target="https://www.tcgplayer.com/product/477232" TargetMode="External" Id="rId831" /><Relationship Type="http://schemas.openxmlformats.org/officeDocument/2006/relationships/hyperlink" Target="https://www.tcgplayer.com/product/475656" TargetMode="External" Id="rId832" /><Relationship Type="http://schemas.openxmlformats.org/officeDocument/2006/relationships/hyperlink" Target="https://www.tcgplayer.com/product/475658" TargetMode="External" Id="rId833" /><Relationship Type="http://schemas.openxmlformats.org/officeDocument/2006/relationships/hyperlink" Target="https://www.tcgplayer.com/product/475659" TargetMode="External" Id="rId834" /><Relationship Type="http://schemas.openxmlformats.org/officeDocument/2006/relationships/hyperlink" Target="https://www.tcgplayer.com/product/532028" TargetMode="External" Id="rId835" /><Relationship Type="http://schemas.openxmlformats.org/officeDocument/2006/relationships/hyperlink" Target="https://www.tcgplayer.com/product/532031" TargetMode="External" Id="rId836" /><Relationship Type="http://schemas.openxmlformats.org/officeDocument/2006/relationships/hyperlink" Target="https://www.tcgplayer.com/product/532030" TargetMode="External" Id="rId837" /><Relationship Type="http://schemas.openxmlformats.org/officeDocument/2006/relationships/hyperlink" Target="https://www.tcgplayer.com/product/532029" TargetMode="External" Id="rId838" /><Relationship Type="http://schemas.openxmlformats.org/officeDocument/2006/relationships/hyperlink" Target="https://www.tcgplayer.com/product/616300" TargetMode="External" Id="rId839" /><Relationship Type="http://schemas.openxmlformats.org/officeDocument/2006/relationships/hyperlink" Target="https://www.tcgplayer.com/product/616299" TargetMode="External" Id="rId840" /><Relationship Type="http://schemas.openxmlformats.org/officeDocument/2006/relationships/hyperlink" Target="https://www.tcgplayer.com/product/616302" TargetMode="External" Id="rId841" /><Relationship Type="http://schemas.openxmlformats.org/officeDocument/2006/relationships/hyperlink" Target="https://www.tcgplayer.com/product/616301" TargetMode="External" Id="rId842" /><Relationship Type="http://schemas.openxmlformats.org/officeDocument/2006/relationships/hyperlink" Target="https://www.tcgplayer.com/product/696639" TargetMode="External" Id="rId843" /><Relationship Type="http://schemas.openxmlformats.org/officeDocument/2006/relationships/hyperlink" Target="https://www.tcgplayer.com/product/696637" TargetMode="External" Id="rId844" /><Relationship Type="http://schemas.openxmlformats.org/officeDocument/2006/relationships/hyperlink" Target="https://www.tcgplayer.com/product/696636" TargetMode="External" Id="rId845" /><Relationship Type="http://schemas.openxmlformats.org/officeDocument/2006/relationships/hyperlink" Target="https://www.tcgplayer.com/product/696638" TargetMode="External" Id="rId846" /><Relationship Type="http://schemas.openxmlformats.org/officeDocument/2006/relationships/hyperlink" Target="https://www.tcgplayer.com/product/100492" TargetMode="External" Id="rId847" /><Relationship Type="http://schemas.openxmlformats.org/officeDocument/2006/relationships/hyperlink" Target="https://www.tcgplayer.com/product/113531" TargetMode="External" Id="rId848" /><Relationship Type="http://schemas.openxmlformats.org/officeDocument/2006/relationships/hyperlink" Target="https://www.tcgplayer.com/product/113530" TargetMode="External" Id="rId849" /><Relationship Type="http://schemas.openxmlformats.org/officeDocument/2006/relationships/hyperlink" Target="https://www.tcgplayer.com/product/107102" TargetMode="External" Id="rId850" /><Relationship Type="http://schemas.openxmlformats.org/officeDocument/2006/relationships/hyperlink" Target="https://www.tcgplayer.com/product/107103" TargetMode="External" Id="rId851" /><Relationship Type="http://schemas.openxmlformats.org/officeDocument/2006/relationships/hyperlink" Target="https://www.tcgplayer.com/product/123450" TargetMode="External" Id="rId852" /><Relationship Type="http://schemas.openxmlformats.org/officeDocument/2006/relationships/hyperlink" Target="https://www.tcgplayer.com/product/123449" TargetMode="External" Id="rId853" /><Relationship Type="http://schemas.openxmlformats.org/officeDocument/2006/relationships/hyperlink" Target="https://www.tcgplayer.com/product/117480" TargetMode="External" Id="rId854" /><Relationship Type="http://schemas.openxmlformats.org/officeDocument/2006/relationships/hyperlink" Target="https://www.tcgplayer.com/product/91597" TargetMode="External" Id="rId855" /><Relationship Type="http://schemas.openxmlformats.org/officeDocument/2006/relationships/hyperlink" Target="https://www.tcgplayer.com/product/92217" TargetMode="External" Id="rId856" /><Relationship Type="http://schemas.openxmlformats.org/officeDocument/2006/relationships/hyperlink" Target="https://www.tcgplayer.com/product/94625" TargetMode="External" Id="rId857" /><Relationship Type="http://schemas.openxmlformats.org/officeDocument/2006/relationships/hyperlink" Target="https://www.tcgplayer.com/product/94624" TargetMode="External" Id="rId858" /><Relationship Type="http://schemas.openxmlformats.org/officeDocument/2006/relationships/hyperlink" Target="https://www.tcgplayer.com/product/97753" TargetMode="External" Id="rId859" /><Relationship Type="http://schemas.openxmlformats.org/officeDocument/2006/relationships/hyperlink" Target="https://www.tcgplayer.com/product/97752" TargetMode="External" Id="rId860" /><Relationship Type="http://schemas.openxmlformats.org/officeDocument/2006/relationships/hyperlink" Target="https://www.tcgplayer.com/product/98029" TargetMode="External" Id="rId861" /><Relationship Type="http://schemas.openxmlformats.org/officeDocument/2006/relationships/hyperlink" Target="https://www.tcgplayer.com/product/120698" TargetMode="External" Id="rId862" /><Relationship Type="http://schemas.openxmlformats.org/officeDocument/2006/relationships/hyperlink" Target="https://www.tcgplayer.com/product/120699" TargetMode="External" Id="rId863" /><Relationship Type="http://schemas.openxmlformats.org/officeDocument/2006/relationships/hyperlink" Target="https://www.tcgplayer.com/product/91604" TargetMode="External" Id="rId864" /><Relationship Type="http://schemas.openxmlformats.org/officeDocument/2006/relationships/hyperlink" Target="https://www.tcgplayer.com/product/118797" TargetMode="External" Id="rId865" /><Relationship Type="http://schemas.openxmlformats.org/officeDocument/2006/relationships/hyperlink" Target="https://www.tcgplayer.com/product/97728" TargetMode="External" Id="rId866" /><Relationship Type="http://schemas.openxmlformats.org/officeDocument/2006/relationships/hyperlink" Target="https://www.tcgplayer.com/product/261803" TargetMode="External" Id="rId867" /><Relationship Type="http://schemas.openxmlformats.org/officeDocument/2006/relationships/hyperlink" Target="https://www.tcgplayer.com/product/651131" TargetMode="External" Id="rId868" /><Relationship Type="http://schemas.openxmlformats.org/officeDocument/2006/relationships/hyperlink" Target="https://www.tcgplayer.com/product/625049" TargetMode="External" Id="rId869" /><Relationship Type="http://schemas.openxmlformats.org/officeDocument/2006/relationships/hyperlink" Target="https://www.tcgplayer.com/product/625038" TargetMode="External" Id="rId870" /><Relationship Type="http://schemas.openxmlformats.org/officeDocument/2006/relationships/hyperlink" Target="https://www.tcgplayer.com/product/625050" TargetMode="External" Id="rId871" /><Relationship Type="http://schemas.openxmlformats.org/officeDocument/2006/relationships/hyperlink" Target="https://www.tcgplayer.com/product/625051" TargetMode="External" Id="rId872" /><Relationship Type="http://schemas.openxmlformats.org/officeDocument/2006/relationships/hyperlink" Target="https://www.tcgplayer.com/product/239237" TargetMode="External" Id="rId873" /><Relationship Type="http://schemas.openxmlformats.org/officeDocument/2006/relationships/hyperlink" Target="https://www.tcgplayer.com/product/280859" TargetMode="External" Id="rId874" /><Relationship Type="http://schemas.openxmlformats.org/officeDocument/2006/relationships/hyperlink" Target="https://www.tcgplayer.com/product/239236" TargetMode="External" Id="rId875" /><Relationship Type="http://schemas.openxmlformats.org/officeDocument/2006/relationships/hyperlink" Target="https://www.tcgplayer.com/product/282250" TargetMode="External" Id="rId876" /><Relationship Type="http://schemas.openxmlformats.org/officeDocument/2006/relationships/hyperlink" Target="https://www.tcgplayer.com/product/505939" TargetMode="External" Id="rId877" /><Relationship Type="http://schemas.openxmlformats.org/officeDocument/2006/relationships/hyperlink" Target="https://www.tcgplayer.com/product/559089" TargetMode="External" Id="rId878" /><Relationship Type="http://schemas.openxmlformats.org/officeDocument/2006/relationships/hyperlink" Target="https://www.tcgplayer.com/product/639828" TargetMode="External" Id="rId879" /><Relationship Type="http://schemas.openxmlformats.org/officeDocument/2006/relationships/hyperlink" Target="https://www.tcgplayer.com/product/264764" TargetMode="External" Id="rId880" /><Relationship Type="http://schemas.openxmlformats.org/officeDocument/2006/relationships/hyperlink" Target="https://www.tcgplayer.com/product/633081" TargetMode="External" Id="rId881" /><Relationship Type="http://schemas.openxmlformats.org/officeDocument/2006/relationships/hyperlink" Target="https://www.tcgplayer.com/product/498043" TargetMode="External" Id="rId882" /><Relationship Type="http://schemas.openxmlformats.org/officeDocument/2006/relationships/hyperlink" Target="https://www.tcgplayer.com/product/214360" TargetMode="External" Id="rId883" /><Relationship Type="http://schemas.openxmlformats.org/officeDocument/2006/relationships/hyperlink" Target="https://www.tcgplayer.com/product/241109" TargetMode="External" Id="rId884" /><Relationship Type="http://schemas.openxmlformats.org/officeDocument/2006/relationships/hyperlink" Target="https://www.tcgplayer.com/product/275938" TargetMode="External" Id="rId885" /><Relationship Type="http://schemas.openxmlformats.org/officeDocument/2006/relationships/hyperlink" Target="https://www.tcgplayer.com/product/564274" TargetMode="External" Id="rId886" /><Relationship Type="http://schemas.openxmlformats.org/officeDocument/2006/relationships/hyperlink" Target="https://www.tcgplayer.com/product/653203" TargetMode="External" Id="rId887" /><Relationship Type="http://schemas.openxmlformats.org/officeDocument/2006/relationships/hyperlink" Target="https://www.tcgplayer.com/product/624518" TargetMode="External" Id="rId888" /><Relationship Type="http://schemas.openxmlformats.org/officeDocument/2006/relationships/hyperlink" Target="https://www.tcgplayer.com/product/245731" TargetMode="External" Id="rId889" /><Relationship Type="http://schemas.openxmlformats.org/officeDocument/2006/relationships/hyperlink" Target="https://www.tcgplayer.com/product/616920" TargetMode="External" Id="rId890" /><Relationship Type="http://schemas.openxmlformats.org/officeDocument/2006/relationships/hyperlink" Target="https://www.tcgplayer.com/product/659947" TargetMode="External" Id="rId891" /><Relationship Type="http://schemas.openxmlformats.org/officeDocument/2006/relationships/hyperlink" Target="https://www.tcgplayer.com/product/520782" TargetMode="External" Id="rId892" /><Relationship Type="http://schemas.openxmlformats.org/officeDocument/2006/relationships/hyperlink" Target="https://www.tcgplayer.com/product/520781" TargetMode="External" Id="rId893" /><Relationship Type="http://schemas.openxmlformats.org/officeDocument/2006/relationships/hyperlink" Target="https://www.tcgplayer.com/product/138147" TargetMode="External" Id="rId894" /><Relationship Type="http://schemas.openxmlformats.org/officeDocument/2006/relationships/hyperlink" Target="https://www.tcgplayer.com/product/271504" TargetMode="External" Id="rId895" /><Relationship Type="http://schemas.openxmlformats.org/officeDocument/2006/relationships/hyperlink" Target="https://www.pricecharting.com/game/pokemon-promo/battle-arena-decks-kyurem" TargetMode="External" Id="rId896" /><Relationship Type="http://schemas.openxmlformats.org/officeDocument/2006/relationships/hyperlink" Target="https://www.pricecharting.com/game/pokemon-roaring-skies/mega-evolution-collector's-pin-blisters-rayquaza" TargetMode="External" Id="rId897" /><Relationship Type="http://schemas.openxmlformats.org/officeDocument/2006/relationships/hyperlink" Target="https://www.tcgplayer.com/product/133810" TargetMode="External" Id="rId898" /><Relationship Type="http://schemas.openxmlformats.org/officeDocument/2006/relationships/hyperlink" Target="https://www.tcgplayer.com/product/133811" TargetMode="External" Id="rId899" /><Relationship Type="http://schemas.openxmlformats.org/officeDocument/2006/relationships/hyperlink" Target="https://www.tcgplayer.com/product/133812" TargetMode="External" Id="rId900" /><Relationship Type="http://schemas.openxmlformats.org/officeDocument/2006/relationships/hyperlink" Target="https://www.pricecharting.com/game/pokemon-stellar-crown/tinkaton-3-pack-blister" TargetMode="External" Id="rId901" /><Relationship Type="http://schemas.openxmlformats.org/officeDocument/2006/relationships/hyperlink" Target="https://www.tcgplayer.com/product/489369" TargetMode="External" Id="rId902" /><Relationship Type="http://schemas.openxmlformats.org/officeDocument/2006/relationships/hyperlink" Target="https://www.tcgplayer.com/product/512834" TargetMode="External" Id="rId903" /><Relationship Type="http://schemas.openxmlformats.org/officeDocument/2006/relationships/hyperlink" Target="https://www.tcgplayer.com/product/635328" TargetMode="External" Id="rId904" /><Relationship Type="http://schemas.openxmlformats.org/officeDocument/2006/relationships/hyperlink" Target="https://www.tcgplayer.com/product/633105" TargetMode="External" Id="rId905" /><Relationship Type="http://schemas.openxmlformats.org/officeDocument/2006/relationships/hyperlink" Target="https://www.tcgplayer.com/product/633106" TargetMode="External" Id="rId906" /><Relationship Type="http://schemas.openxmlformats.org/officeDocument/2006/relationships/hyperlink" Target="https://www.tcgplayer.com/product/690290" TargetMode="External" Id="rId907" /><Relationship Type="http://schemas.openxmlformats.org/officeDocument/2006/relationships/hyperlink" Target="https://www.tcgplayer.com/product/528229" TargetMode="External" Id="rId908" /><Relationship Type="http://schemas.openxmlformats.org/officeDocument/2006/relationships/hyperlink" Target="https://www.tcgplayer.com/product/662302" TargetMode="External" Id="rId909" /><Relationship Type="http://schemas.openxmlformats.org/officeDocument/2006/relationships/hyperlink" Target="https://www.tcgplayer.com/product/518886" TargetMode="External" Id="rId910" /><Relationship Type="http://schemas.openxmlformats.org/officeDocument/2006/relationships/hyperlink" Target="https://www.tcgplayer.com/product/97779" TargetMode="External" Id="rId911" /><Relationship Type="http://schemas.openxmlformats.org/officeDocument/2006/relationships/hyperlink" Target="https://www.tcgplayer.com/product/99150" TargetMode="External" Id="rId912" /><Relationship Type="http://schemas.openxmlformats.org/officeDocument/2006/relationships/hyperlink" Target="https://www.tcgplayer.com/product/123439" TargetMode="External" Id="rId913" /><Relationship Type="http://schemas.openxmlformats.org/officeDocument/2006/relationships/hyperlink" Target="https://www.tcgplayer.com/product/177156" TargetMode="External" Id="rId914" /><Relationship Type="http://schemas.openxmlformats.org/officeDocument/2006/relationships/hyperlink" Target="https://www.tcgplayer.com/product/177157" TargetMode="External" Id="rId91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0" customWidth="1" min="5" max="5"/>
    <col width="12" customWidth="1" min="6" max="6"/>
    <col width="34" customWidth="1" min="7" max="7"/>
    <col width="17" customWidth="1" min="8" max="8"/>
    <col width="16" customWidth="1" min="9" max="9"/>
    <col width="16" customWidth="1" min="10" max="10"/>
    <col width="16" customWidth="1" min="11" max="11"/>
    <col width="24" customWidth="1" min="12" max="12"/>
    <col width="60" customWidth="1" min="13" max="13"/>
    <col width="50" customWidth="1" min="14" max="14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Game</t>
        </is>
      </c>
      <c r="F1" s="1" t="inlineStr">
        <is>
          <t>Category</t>
        </is>
      </c>
      <c r="G1" s="1" t="inlineStr">
        <is>
          <t>Set</t>
        </is>
      </c>
      <c r="H1" s="1" t="inlineStr">
        <is>
          <t>PriceCharting Price</t>
        </is>
      </c>
      <c r="I1" s="1" t="inlineStr">
        <is>
          <t>TCGplayer Market</t>
        </is>
      </c>
      <c r="J1" s="1" t="inlineStr">
        <is>
          <t>TCGplayer Median</t>
        </is>
      </c>
      <c r="K1" s="1" t="inlineStr">
        <is>
          <t>TCGplayer Lowest</t>
        </is>
      </c>
      <c r="L1" s="1" t="inlineStr">
        <is>
          <t>Sources</t>
        </is>
      </c>
      <c r="M1" s="1" t="inlineStr">
        <is>
          <t>PriceCharting Link</t>
        </is>
      </c>
      <c r="N1" s="1" t="inlineStr">
        <is>
          <t>TCGplayer Link</t>
        </is>
      </c>
    </row>
    <row r="2">
      <c r="A2" s="2" t="inlineStr">
        <is>
          <t>500 Years in the Future - Booster Box</t>
        </is>
      </c>
      <c r="B2" s="3">
        <f>IF(H2&lt;&gt;"",H2,IF(I2&lt;&gt;"",I2,IF(J2&lt;&gt;"",J2,K2)))</f>
        <v>286.12</v>
      </c>
      <c r="C2" s="3">
        <f>MEDIAN(H2:K2)</f>
        <v>286.12</v>
      </c>
      <c r="D2" s="3">
        <f>ROUND(C2*(1-Settings!$B$2),2)</f>
        <v>200.28</v>
      </c>
      <c r="E2" s="2" t="inlineStr">
        <is>
          <t>One Piece</t>
        </is>
      </c>
      <c r="F2" s="2" t="inlineStr">
        <is>
          <t>Box</t>
        </is>
      </c>
      <c r="G2" s="2" t="inlineStr">
        <is>
          <t>500 Years in the Future</t>
        </is>
      </c>
      <c r="H2" s="3" t="n">
        <v>286.12</v>
      </c>
      <c r="I2" s="3" t="n">
        <v>328.25</v>
      </c>
      <c r="J2" s="3" t="n"/>
      <c r="K2" s="3" t="n">
        <v>81</v>
      </c>
      <c r="L2" s="2" t="inlineStr">
        <is>
          <t>PriceCharting + TCGplayer</t>
        </is>
      </c>
      <c r="M2" s="4" t="inlineStr">
        <is>
          <t>https://www.pricecharting.com/game/one-piece-500-years-in-the-future/booster-box</t>
        </is>
      </c>
      <c r="N2" s="4" t="inlineStr">
        <is>
          <t>https://www.tcgplayer.com/product/532106</t>
        </is>
      </c>
    </row>
    <row r="3">
      <c r="A3" s="2" t="inlineStr">
        <is>
          <t>500 Years In The Future Double Pack DP-04 Display Box</t>
        </is>
      </c>
      <c r="B3" s="3">
        <f>IF(H3&lt;&gt;"",H3,IF(I3&lt;&gt;"",I3,IF(J3&lt;&gt;"",J3,K3)))</f>
        <v>337.0</v>
      </c>
      <c r="C3" s="3">
        <f>MEDIAN(H3:K3)</f>
        <v>337.0</v>
      </c>
      <c r="D3" s="3">
        <f>ROUND(C3*(1-Settings!$B$2),2)</f>
        <v>235.9</v>
      </c>
      <c r="E3" s="2" t="inlineStr">
        <is>
          <t>One Piece</t>
        </is>
      </c>
      <c r="F3" s="2" t="inlineStr">
        <is>
          <t>Box</t>
        </is>
      </c>
      <c r="G3" s="2" t="inlineStr">
        <is>
          <t>500 Years In The Future</t>
        </is>
      </c>
      <c r="H3" s="3" t="n">
        <v>337</v>
      </c>
      <c r="I3" s="3" t="n"/>
      <c r="J3" s="3" t="n"/>
      <c r="K3" s="3" t="n"/>
      <c r="L3" s="2" t="inlineStr">
        <is>
          <t>PriceCharting</t>
        </is>
      </c>
      <c r="M3" s="4" t="inlineStr">
        <is>
          <t>https://www.pricecharting.com/game/one-piece-500-years-in-the-future/double-pack-dp-04-display-box</t>
        </is>
      </c>
    </row>
    <row r="4">
      <c r="A4" s="2" t="inlineStr">
        <is>
          <t>A Fist of Divine Speed Booster Box</t>
        </is>
      </c>
      <c r="B4" s="3">
        <f>IF(H4&lt;&gt;"",H4,IF(I4&lt;&gt;"",I4,IF(J4&lt;&gt;"",J4,K4)))</f>
        <v>595.59</v>
      </c>
      <c r="C4" s="3">
        <f>MEDIAN(H4:K4)</f>
        <v>563.7950000000001</v>
      </c>
      <c r="D4" s="3">
        <f>ROUND(C4*(1-Settings!$B$2),2)</f>
        <v>394.66</v>
      </c>
      <c r="E4" s="2" t="inlineStr">
        <is>
          <t>One Piece</t>
        </is>
      </c>
      <c r="F4" s="2" t="inlineStr">
        <is>
          <t>Box</t>
        </is>
      </c>
      <c r="G4" s="2" t="inlineStr">
        <is>
          <t>A Fist of Divine Speed</t>
        </is>
      </c>
      <c r="H4" s="3" t="n"/>
      <c r="I4" s="3" t="n">
        <v>595.59</v>
      </c>
      <c r="J4" s="3" t="n"/>
      <c r="K4" s="3" t="n">
        <v>532</v>
      </c>
      <c r="L4" s="2" t="inlineStr">
        <is>
          <t>TCGplayer</t>
        </is>
      </c>
      <c r="N4" s="4" t="inlineStr">
        <is>
          <t>https://www.tcgplayer.com/product/620180</t>
        </is>
      </c>
    </row>
    <row r="5">
      <c r="A5" s="2" t="inlineStr">
        <is>
          <t>Adventure on Kami's Island Booster Box</t>
        </is>
      </c>
      <c r="B5" s="3">
        <f>IF(H5&lt;&gt;"",H5,IF(I5&lt;&gt;"",I5,IF(J5&lt;&gt;"",J5,K5)))</f>
        <v>255.73</v>
      </c>
      <c r="C5" s="3">
        <f>MEDIAN(H5:K5)</f>
        <v>162.85999999999999</v>
      </c>
      <c r="D5" s="3">
        <f>ROUND(C5*(1-Settings!$B$2),2)</f>
        <v>114.0</v>
      </c>
      <c r="E5" s="2" t="inlineStr">
        <is>
          <t>One Piece</t>
        </is>
      </c>
      <c r="F5" s="2" t="inlineStr">
        <is>
          <t>Box</t>
        </is>
      </c>
      <c r="G5" s="2" t="inlineStr">
        <is>
          <t>Adventure on Kami's Island</t>
        </is>
      </c>
      <c r="H5" s="3" t="n"/>
      <c r="I5" s="3" t="n">
        <v>255.73</v>
      </c>
      <c r="J5" s="3" t="n"/>
      <c r="K5" s="3" t="n">
        <v>69.98999999999999</v>
      </c>
      <c r="L5" s="2" t="inlineStr">
        <is>
          <t>TCGplayer</t>
        </is>
      </c>
      <c r="N5" s="4" t="inlineStr">
        <is>
          <t>https://www.tcgplayer.com/product/682057</t>
        </is>
      </c>
    </row>
    <row r="6">
      <c r="A6" s="2" t="inlineStr">
        <is>
          <t>Awakening of the New Era - Booster Box</t>
        </is>
      </c>
      <c r="B6" s="3">
        <f>IF(H6&lt;&gt;"",H6,IF(I6&lt;&gt;"",I6,IF(J6&lt;&gt;"",J6,K6)))</f>
        <v>1061.0</v>
      </c>
      <c r="C6" s="3">
        <f>MEDIAN(H6:K6)</f>
        <v>1060.99</v>
      </c>
      <c r="D6" s="3">
        <f>ROUND(C6*(1-Settings!$B$2),2)</f>
        <v>742.69</v>
      </c>
      <c r="E6" s="2" t="inlineStr">
        <is>
          <t>One Piece</t>
        </is>
      </c>
      <c r="F6" s="2" t="inlineStr">
        <is>
          <t>Box</t>
        </is>
      </c>
      <c r="G6" s="2" t="inlineStr">
        <is>
          <t>Awakening of the New Era</t>
        </is>
      </c>
      <c r="H6" s="3" t="n">
        <v>1061</v>
      </c>
      <c r="I6" s="3" t="n">
        <v>1060.99</v>
      </c>
      <c r="J6" s="3" t="n"/>
      <c r="K6" s="3" t="n">
        <v>1024.99</v>
      </c>
      <c r="L6" s="2" t="inlineStr">
        <is>
          <t>PriceCharting + TCGplayer</t>
        </is>
      </c>
      <c r="M6" s="4" t="inlineStr">
        <is>
          <t>https://www.pricecharting.com/game/one-piece-awakening-of-the-new-era/booster-box</t>
        </is>
      </c>
      <c r="N6" s="4" t="inlineStr">
        <is>
          <t>https://www.tcgplayer.com/product/498734</t>
        </is>
      </c>
    </row>
    <row r="7">
      <c r="A7" s="2" t="inlineStr">
        <is>
          <t>Awakening Of The New Era Double Pack DP-02 Display Box</t>
        </is>
      </c>
      <c r="B7" s="3">
        <f>IF(H7&lt;&gt;"",H7,IF(I7&lt;&gt;"",I7,IF(J7&lt;&gt;"",J7,K7)))</f>
        <v>314.99</v>
      </c>
      <c r="C7" s="3">
        <f>MEDIAN(H7:K7)</f>
        <v>314.99</v>
      </c>
      <c r="D7" s="3">
        <f>ROUND(C7*(1-Settings!$B$2),2)</f>
        <v>220.49</v>
      </c>
      <c r="E7" s="2" t="inlineStr">
        <is>
          <t>One Piece</t>
        </is>
      </c>
      <c r="F7" s="2" t="inlineStr">
        <is>
          <t>Box</t>
        </is>
      </c>
      <c r="G7" s="2" t="inlineStr">
        <is>
          <t>Awakening Of The New Era</t>
        </is>
      </c>
      <c r="H7" s="3" t="n">
        <v>314.99</v>
      </c>
      <c r="I7" s="3" t="n"/>
      <c r="J7" s="3" t="n"/>
      <c r="K7" s="3" t="n"/>
      <c r="L7" s="2" t="inlineStr">
        <is>
          <t>PriceCharting</t>
        </is>
      </c>
      <c r="M7" s="4" t="inlineStr">
        <is>
          <t>https://www.pricecharting.com/game/one-piece-awakening-of-the-new-era/double-pack-dp-02-display-box</t>
        </is>
      </c>
    </row>
    <row r="8">
      <c r="A8" s="2" t="inlineStr">
        <is>
          <t>Carrying On His Will Booster Box</t>
        </is>
      </c>
      <c r="B8" s="3">
        <f>IF(H8&lt;&gt;"",H8,IF(I8&lt;&gt;"",I8,IF(J8&lt;&gt;"",J8,K8)))</f>
        <v>453.35</v>
      </c>
      <c r="C8" s="3">
        <f>MEDIAN(H8:K8)</f>
        <v>438.28</v>
      </c>
      <c r="D8" s="3">
        <f>ROUND(C8*(1-Settings!$B$2),2)</f>
        <v>306.8</v>
      </c>
      <c r="E8" s="2" t="inlineStr">
        <is>
          <t>One Piece</t>
        </is>
      </c>
      <c r="F8" s="2" t="inlineStr">
        <is>
          <t>Box</t>
        </is>
      </c>
      <c r="G8" s="2" t="inlineStr">
        <is>
          <t>Carrying On His Will</t>
        </is>
      </c>
      <c r="H8" s="3" t="n">
        <v>453.35</v>
      </c>
      <c r="I8" s="3" t="n">
        <v>438.28</v>
      </c>
      <c r="J8" s="3" t="n"/>
      <c r="K8" s="3" t="n">
        <v>24.99</v>
      </c>
      <c r="L8" s="2" t="inlineStr">
        <is>
          <t>PriceCharting + TCGplayer</t>
        </is>
      </c>
      <c r="M8" s="4" t="inlineStr">
        <is>
          <t>https://www.pricecharting.com/game/one-piece-carrying-on-his-will/booster-box</t>
        </is>
      </c>
      <c r="N8" s="4" t="inlineStr">
        <is>
          <t>https://www.tcgplayer.com/product/628352</t>
        </is>
      </c>
    </row>
    <row r="9">
      <c r="A9" s="2" t="inlineStr">
        <is>
          <t>Emperors in the New World - Booster Box</t>
        </is>
      </c>
      <c r="B9" s="3">
        <f>IF(H9&lt;&gt;"",H9,IF(I9&lt;&gt;"",I9,IF(J9&lt;&gt;"",J9,K9)))</f>
        <v>628.85</v>
      </c>
      <c r="C9" s="3">
        <f>MEDIAN(H9:K9)</f>
        <v>628.85</v>
      </c>
      <c r="D9" s="3">
        <f>ROUND(C9*(1-Settings!$B$2),2)</f>
        <v>440.2</v>
      </c>
      <c r="E9" s="2" t="inlineStr">
        <is>
          <t>One Piece</t>
        </is>
      </c>
      <c r="F9" s="2" t="inlineStr">
        <is>
          <t>Box</t>
        </is>
      </c>
      <c r="G9" s="2" t="inlineStr">
        <is>
          <t>Emperors in the New World</t>
        </is>
      </c>
      <c r="H9" s="3" t="n">
        <v>628.85</v>
      </c>
      <c r="I9" s="3" t="n">
        <v>654.47</v>
      </c>
      <c r="J9" s="3" t="n"/>
      <c r="K9" s="3" t="n">
        <v>93.98999999999999</v>
      </c>
      <c r="L9" s="2" t="inlineStr">
        <is>
          <t>PriceCharting + TCGplayer</t>
        </is>
      </c>
      <c r="M9" s="4" t="inlineStr">
        <is>
          <t>https://www.pricecharting.com/game/one-piece-emperors-in-the-new-world/booster-box</t>
        </is>
      </c>
      <c r="N9" s="4" t="inlineStr">
        <is>
          <t>https://www.tcgplayer.com/product/563834</t>
        </is>
      </c>
    </row>
    <row r="10">
      <c r="A10" s="2" t="inlineStr">
        <is>
          <t>Emperors In The New World Double Pack DP-06 Display Box</t>
        </is>
      </c>
      <c r="B10" s="3">
        <f>IF(H10&lt;&gt;"",H10,IF(I10&lt;&gt;"",I10,IF(J10&lt;&gt;"",J10,K10)))</f>
        <v>311.0</v>
      </c>
      <c r="C10" s="3">
        <f>MEDIAN(H10:K10)</f>
        <v>311.0</v>
      </c>
      <c r="D10" s="3">
        <f>ROUND(C10*(1-Settings!$B$2),2)</f>
        <v>217.7</v>
      </c>
      <c r="E10" s="2" t="inlineStr">
        <is>
          <t>One Piece</t>
        </is>
      </c>
      <c r="F10" s="2" t="inlineStr">
        <is>
          <t>Box</t>
        </is>
      </c>
      <c r="G10" s="2" t="inlineStr">
        <is>
          <t>Emperors In The New World</t>
        </is>
      </c>
      <c r="H10" s="3" t="n">
        <v>311</v>
      </c>
      <c r="I10" s="3" t="n"/>
      <c r="J10" s="3" t="n"/>
      <c r="K10" s="3" t="n"/>
      <c r="L10" s="2" t="inlineStr">
        <is>
          <t>PriceCharting</t>
        </is>
      </c>
      <c r="M10" s="4" t="inlineStr">
        <is>
          <t>https://www.pricecharting.com/game/one-piece-emperors-in-the-new-world/double-pack-dp-06-display-box</t>
        </is>
      </c>
    </row>
    <row r="11">
      <c r="A11" s="2" t="inlineStr">
        <is>
          <t>Extra Booster Anime 25th Collection Booster Box</t>
        </is>
      </c>
      <c r="B11" s="3">
        <f>IF(H11&lt;&gt;"",H11,IF(I11&lt;&gt;"",I11,IF(J11&lt;&gt;"",J11,K11)))</f>
        <v>794.8</v>
      </c>
      <c r="C11" s="3">
        <f>MEDIAN(H11:K11)</f>
        <v>794.8</v>
      </c>
      <c r="D11" s="3">
        <f>ROUND(C11*(1-Settings!$B$2),2)</f>
        <v>556.36</v>
      </c>
      <c r="E11" s="2" t="inlineStr">
        <is>
          <t>One Piece</t>
        </is>
      </c>
      <c r="F11" s="2" t="inlineStr">
        <is>
          <t>Box</t>
        </is>
      </c>
      <c r="G11" s="2" t="inlineStr">
        <is>
          <t>Extra Booster Anime 25th Collection</t>
        </is>
      </c>
      <c r="H11" s="3" t="n">
        <v>794.8</v>
      </c>
      <c r="I11" s="3" t="n"/>
      <c r="J11" s="3" t="n"/>
      <c r="K11" s="3" t="n"/>
      <c r="L11" s="2" t="inlineStr">
        <is>
          <t>PriceCharting</t>
        </is>
      </c>
      <c r="M11" s="4" t="inlineStr">
        <is>
          <t>https://www.pricecharting.com/game/one-piece-extra-booster-anime-25th-collection/booster-box</t>
        </is>
      </c>
    </row>
    <row r="12">
      <c r="A12" s="2" t="inlineStr">
        <is>
          <t>Extra Booster Heroines Edition Booster Box</t>
        </is>
      </c>
      <c r="B12" s="3">
        <f>IF(H12&lt;&gt;"",H12,IF(I12&lt;&gt;"",I12,IF(J12&lt;&gt;"",J12,K12)))</f>
        <v>325.0</v>
      </c>
      <c r="C12" s="3">
        <f>MEDIAN(H12:K12)</f>
        <v>325.0</v>
      </c>
      <c r="D12" s="3">
        <f>ROUND(C12*(1-Settings!$B$2),2)</f>
        <v>227.5</v>
      </c>
      <c r="E12" s="2" t="inlineStr">
        <is>
          <t>One Piece</t>
        </is>
      </c>
      <c r="F12" s="2" t="inlineStr">
        <is>
          <t>Box</t>
        </is>
      </c>
      <c r="G12" s="2" t="inlineStr">
        <is>
          <t>Extra Booster Heroines Edition</t>
        </is>
      </c>
      <c r="H12" s="3" t="n">
        <v>325</v>
      </c>
      <c r="I12" s="3" t="n"/>
      <c r="J12" s="3" t="n"/>
      <c r="K12" s="3" t="n"/>
      <c r="L12" s="2" t="inlineStr">
        <is>
          <t>PriceCharting</t>
        </is>
      </c>
      <c r="M12" s="4" t="inlineStr">
        <is>
          <t>https://www.pricecharting.com/game/one-piece-extra-booster-heroines-edition/booster-box</t>
        </is>
      </c>
    </row>
    <row r="13">
      <c r="A13" s="2" t="inlineStr">
        <is>
          <t>Extra Booster Memorial Collection Sealed Booster Box</t>
        </is>
      </c>
      <c r="B13" s="3">
        <f>IF(H13&lt;&gt;"",H13,IF(I13&lt;&gt;"",I13,IF(J13&lt;&gt;"",J13,K13)))</f>
        <v>872.49</v>
      </c>
      <c r="C13" s="3">
        <f>MEDIAN(H13:K13)</f>
        <v>872.49</v>
      </c>
      <c r="D13" s="3">
        <f>ROUND(C13*(1-Settings!$B$2),2)</f>
        <v>610.74</v>
      </c>
      <c r="E13" s="2" t="inlineStr">
        <is>
          <t>One Piece</t>
        </is>
      </c>
      <c r="F13" s="2" t="inlineStr">
        <is>
          <t>Box</t>
        </is>
      </c>
      <c r="G13" s="2" t="inlineStr">
        <is>
          <t>Extra Booster Memorial Collection</t>
        </is>
      </c>
      <c r="H13" s="3" t="n">
        <v>872.49</v>
      </c>
      <c r="I13" s="3" t="n"/>
      <c r="J13" s="3" t="n"/>
      <c r="K13" s="3" t="n"/>
      <c r="L13" s="2" t="inlineStr">
        <is>
          <t>PriceCharting</t>
        </is>
      </c>
      <c r="M13" s="4" t="inlineStr">
        <is>
          <t>https://www.pricecharting.com/game/one-piece-extra-booster-memorial-collection/sealed-booster-box</t>
        </is>
      </c>
    </row>
    <row r="14">
      <c r="A14" s="2" t="inlineStr">
        <is>
          <t>Memorial Collection - Booster Box</t>
        </is>
      </c>
      <c r="B14" s="3">
        <f>IF(H14&lt;&gt;"",H14,IF(I14&lt;&gt;"",I14,IF(J14&lt;&gt;"",J14,K14)))</f>
        <v>873.81</v>
      </c>
      <c r="C14" s="3">
        <f>MEDIAN(H14:K14)</f>
        <v>861.905</v>
      </c>
      <c r="D14" s="3">
        <f>ROUND(C14*(1-Settings!$B$2),2)</f>
        <v>603.33</v>
      </c>
      <c r="E14" s="2" t="inlineStr">
        <is>
          <t>One Piece</t>
        </is>
      </c>
      <c r="F14" s="2" t="inlineStr">
        <is>
          <t>Box</t>
        </is>
      </c>
      <c r="G14" s="2" t="inlineStr">
        <is>
          <t>Extra Booster: Memorial Collection</t>
        </is>
      </c>
      <c r="H14" s="3" t="n"/>
      <c r="I14" s="3" t="n">
        <v>873.8099999999999</v>
      </c>
      <c r="J14" s="3" t="n"/>
      <c r="K14" s="3" t="n">
        <v>850</v>
      </c>
      <c r="L14" s="2" t="inlineStr">
        <is>
          <t>TCGplayer</t>
        </is>
      </c>
      <c r="N14" s="4" t="inlineStr">
        <is>
          <t>https://www.tcgplayer.com/product/521161</t>
        </is>
      </c>
    </row>
    <row r="15">
      <c r="A15" s="2" t="inlineStr">
        <is>
          <t>Extra Booster: One Piece Heroines Edition Vol.2 - Booster Box</t>
        </is>
      </c>
      <c r="B15" s="3">
        <f>IF(H15&lt;&gt;"",H15,IF(I15&lt;&gt;"",I15,IF(J15&lt;&gt;"",J15,K15)))</f>
        <v>396.47</v>
      </c>
      <c r="C15" s="3">
        <f>MEDIAN(H15:K15)</f>
        <v>390.885</v>
      </c>
      <c r="D15" s="3">
        <f>ROUND(C15*(1-Settings!$B$2),2)</f>
        <v>273.62</v>
      </c>
      <c r="E15" s="2" t="inlineStr">
        <is>
          <t>One Piece</t>
        </is>
      </c>
      <c r="F15" s="2" t="inlineStr">
        <is>
          <t>Box</t>
        </is>
      </c>
      <c r="G15" s="2" t="inlineStr">
        <is>
          <t>Extra Booster: One Piece Heroine's Edition Vol. 2</t>
        </is>
      </c>
      <c r="H15" s="3" t="n"/>
      <c r="I15" s="3" t="n">
        <v>396.47</v>
      </c>
      <c r="J15" s="3" t="n"/>
      <c r="K15" s="3" t="n">
        <v>385.3</v>
      </c>
      <c r="L15" s="2" t="inlineStr">
        <is>
          <t>TCGplayer</t>
        </is>
      </c>
      <c r="N15" s="4" t="inlineStr">
        <is>
          <t>https://www.tcgplayer.com/product/711385</t>
        </is>
      </c>
    </row>
    <row r="16">
      <c r="A16" s="2" t="inlineStr">
        <is>
          <t>Fist Of Divine Speed Booster Box</t>
        </is>
      </c>
      <c r="B16" s="3">
        <f>IF(H16&lt;&gt;"",H16,IF(I16&lt;&gt;"",I16,IF(J16&lt;&gt;"",J16,K16)))</f>
        <v>579.78</v>
      </c>
      <c r="C16" s="3">
        <f>MEDIAN(H16:K16)</f>
        <v>579.78</v>
      </c>
      <c r="D16" s="3">
        <f>ROUND(C16*(1-Settings!$B$2),2)</f>
        <v>405.85</v>
      </c>
      <c r="E16" s="2" t="inlineStr">
        <is>
          <t>One Piece</t>
        </is>
      </c>
      <c r="F16" s="2" t="inlineStr">
        <is>
          <t>Box</t>
        </is>
      </c>
      <c r="G16" s="2" t="inlineStr">
        <is>
          <t>Fist Of Divine Speed</t>
        </is>
      </c>
      <c r="H16" s="3" t="n">
        <v>579.78</v>
      </c>
      <c r="I16" s="3" t="n"/>
      <c r="J16" s="3" t="n"/>
      <c r="K16" s="3" t="n"/>
      <c r="L16" s="2" t="inlineStr">
        <is>
          <t>PriceCharting</t>
        </is>
      </c>
      <c r="M16" s="4" t="inlineStr">
        <is>
          <t>https://www.pricecharting.com/game/one-piece-fist-of-divine-speed/booster-box</t>
        </is>
      </c>
    </row>
    <row r="17">
      <c r="A17" s="2" t="inlineStr">
        <is>
          <t>Japanese 500 Years In The Future Booster Box</t>
        </is>
      </c>
      <c r="B17" s="3">
        <f>IF(H17&lt;&gt;"",H17,IF(I17&lt;&gt;"",I17,IF(J17&lt;&gt;"",J17,K17)))</f>
        <v>90.2</v>
      </c>
      <c r="C17" s="3">
        <f>MEDIAN(H17:K17)</f>
        <v>90.2</v>
      </c>
      <c r="D17" s="3">
        <f>ROUND(C17*(1-Settings!$B$2),2)</f>
        <v>63.14</v>
      </c>
      <c r="E17" s="2" t="inlineStr">
        <is>
          <t>One Piece</t>
        </is>
      </c>
      <c r="F17" s="2" t="inlineStr">
        <is>
          <t>Box</t>
        </is>
      </c>
      <c r="G17" s="2" t="inlineStr">
        <is>
          <t>Japanese 500 Years In The Future</t>
        </is>
      </c>
      <c r="H17" s="3" t="n">
        <v>90.2</v>
      </c>
      <c r="I17" s="3" t="n"/>
      <c r="J17" s="3" t="n"/>
      <c r="K17" s="3" t="n"/>
      <c r="L17" s="2" t="inlineStr">
        <is>
          <t>PriceCharting</t>
        </is>
      </c>
      <c r="M17" s="4" t="inlineStr">
        <is>
          <t>https://www.pricecharting.com/game/one-piece-japanese-500-years-in-the-future/booster-box</t>
        </is>
      </c>
    </row>
    <row r="18">
      <c r="A18" s="2" t="inlineStr">
        <is>
          <t>Japanese Awakening Of The New Era Booster Box</t>
        </is>
      </c>
      <c r="B18" s="3">
        <f>IF(H18&lt;&gt;"",H18,IF(I18&lt;&gt;"",I18,IF(J18&lt;&gt;"",J18,K18)))</f>
        <v>193.68</v>
      </c>
      <c r="C18" s="3">
        <f>MEDIAN(H18:K18)</f>
        <v>193.68</v>
      </c>
      <c r="D18" s="3">
        <f>ROUND(C18*(1-Settings!$B$2),2)</f>
        <v>135.58</v>
      </c>
      <c r="E18" s="2" t="inlineStr">
        <is>
          <t>One Piece</t>
        </is>
      </c>
      <c r="F18" s="2" t="inlineStr">
        <is>
          <t>Box</t>
        </is>
      </c>
      <c r="G18" s="2" t="inlineStr">
        <is>
          <t>Japanese Awakening Of The New Era</t>
        </is>
      </c>
      <c r="H18" s="3" t="n">
        <v>193.68</v>
      </c>
      <c r="I18" s="3" t="n"/>
      <c r="J18" s="3" t="n"/>
      <c r="K18" s="3" t="n"/>
      <c r="L18" s="2" t="inlineStr">
        <is>
          <t>PriceCharting</t>
        </is>
      </c>
      <c r="M18" s="4" t="inlineStr">
        <is>
          <t>https://www.pricecharting.com/game/one-piece-japanese-awakening-of-the-new-era/booster-box</t>
        </is>
      </c>
    </row>
    <row r="19">
      <c r="A19" s="2" t="inlineStr">
        <is>
          <t>Japanese Carrying On His Will Booster Box</t>
        </is>
      </c>
      <c r="B19" s="3">
        <f>IF(H19&lt;&gt;"",H19,IF(I19&lt;&gt;"",I19,IF(J19&lt;&gt;"",J19,K19)))</f>
        <v>143.91</v>
      </c>
      <c r="C19" s="3">
        <f>MEDIAN(H19:K19)</f>
        <v>143.91</v>
      </c>
      <c r="D19" s="3">
        <f>ROUND(C19*(1-Settings!$B$2),2)</f>
        <v>100.74</v>
      </c>
      <c r="E19" s="2" t="inlineStr">
        <is>
          <t>One Piece</t>
        </is>
      </c>
      <c r="F19" s="2" t="inlineStr">
        <is>
          <t>Box</t>
        </is>
      </c>
      <c r="G19" s="2" t="inlineStr">
        <is>
          <t>Japanese Carrying On His Will</t>
        </is>
      </c>
      <c r="H19" s="3" t="n">
        <v>143.91</v>
      </c>
      <c r="I19" s="3" t="n"/>
      <c r="J19" s="3" t="n"/>
      <c r="K19" s="3" t="n"/>
      <c r="L19" s="2" t="inlineStr">
        <is>
          <t>PriceCharting</t>
        </is>
      </c>
      <c r="M19" s="4" t="inlineStr">
        <is>
          <t>https://www.pricecharting.com/game/one-piece-japanese-carrying-on-his-will/booster-box</t>
        </is>
      </c>
    </row>
    <row r="20">
      <c r="A20" s="2" t="inlineStr">
        <is>
          <t>Japanese Emperors In The New World Booster Box</t>
        </is>
      </c>
      <c r="B20" s="3">
        <f>IF(H20&lt;&gt;"",H20,IF(I20&lt;&gt;"",I20,IF(J20&lt;&gt;"",J20,K20)))</f>
        <v>213.2</v>
      </c>
      <c r="C20" s="3">
        <f>MEDIAN(H20:K20)</f>
        <v>213.2</v>
      </c>
      <c r="D20" s="3">
        <f>ROUND(C20*(1-Settings!$B$2),2)</f>
        <v>149.24</v>
      </c>
      <c r="E20" s="2" t="inlineStr">
        <is>
          <t>One Piece</t>
        </is>
      </c>
      <c r="F20" s="2" t="inlineStr">
        <is>
          <t>Box</t>
        </is>
      </c>
      <c r="G20" s="2" t="inlineStr">
        <is>
          <t>Japanese Emperors In The New World</t>
        </is>
      </c>
      <c r="H20" s="3" t="n">
        <v>213.2</v>
      </c>
      <c r="I20" s="3" t="n"/>
      <c r="J20" s="3" t="n"/>
      <c r="K20" s="3" t="n"/>
      <c r="L20" s="2" t="inlineStr">
        <is>
          <t>PriceCharting</t>
        </is>
      </c>
      <c r="M20" s="4" t="inlineStr">
        <is>
          <t>https://www.pricecharting.com/game/one-piece-japanese-emperors-in-the-new-world/booster-box</t>
        </is>
      </c>
    </row>
    <row r="21">
      <c r="A21" s="2" t="inlineStr">
        <is>
          <t>Japanese Extra Booster Anime 25th Collection Booster Box</t>
        </is>
      </c>
      <c r="B21" s="3">
        <f>IF(H21&lt;&gt;"",H21,IF(I21&lt;&gt;"",I21,IF(J21&lt;&gt;"",J21,K21)))</f>
        <v>134.5</v>
      </c>
      <c r="C21" s="3">
        <f>MEDIAN(H21:K21)</f>
        <v>134.5</v>
      </c>
      <c r="D21" s="3">
        <f>ROUND(C21*(1-Settings!$B$2),2)</f>
        <v>94.15</v>
      </c>
      <c r="E21" s="2" t="inlineStr">
        <is>
          <t>One Piece</t>
        </is>
      </c>
      <c r="F21" s="2" t="inlineStr">
        <is>
          <t>Box</t>
        </is>
      </c>
      <c r="G21" s="2" t="inlineStr">
        <is>
          <t>Japanese Extra Booster Anime 25th Collection</t>
        </is>
      </c>
      <c r="H21" s="3" t="n">
        <v>134.5</v>
      </c>
      <c r="I21" s="3" t="n"/>
      <c r="J21" s="3" t="n"/>
      <c r="K21" s="3" t="n"/>
      <c r="L21" s="2" t="inlineStr">
        <is>
          <t>PriceCharting</t>
        </is>
      </c>
      <c r="M21" s="4" t="inlineStr">
        <is>
          <t>https://www.pricecharting.com/game/one-piece-japanese-extra-booster-anime-25th-collection/booster-box</t>
        </is>
      </c>
    </row>
    <row r="22">
      <c r="A22" s="2" t="inlineStr">
        <is>
          <t>Japanese Extra Booster Egghead Crisis Booster Box</t>
        </is>
      </c>
      <c r="B22" s="3">
        <f>IF(H22&lt;&gt;"",H22,IF(I22&lt;&gt;"",I22,IF(J22&lt;&gt;"",J22,K22)))</f>
        <v>91.19</v>
      </c>
      <c r="C22" s="3">
        <f>MEDIAN(H22:K22)</f>
        <v>91.19</v>
      </c>
      <c r="D22" s="3">
        <f>ROUND(C22*(1-Settings!$B$2),2)</f>
        <v>63.83</v>
      </c>
      <c r="E22" s="2" t="inlineStr">
        <is>
          <t>One Piece</t>
        </is>
      </c>
      <c r="F22" s="2" t="inlineStr">
        <is>
          <t>Box</t>
        </is>
      </c>
      <c r="G22" s="2" t="inlineStr">
        <is>
          <t>Japanese Extra Booster Egghead Crisis</t>
        </is>
      </c>
      <c r="H22" s="3" t="n">
        <v>91.19</v>
      </c>
      <c r="I22" s="3" t="n"/>
      <c r="J22" s="3" t="n"/>
      <c r="K22" s="3" t="n"/>
      <c r="L22" s="2" t="inlineStr">
        <is>
          <t>PriceCharting</t>
        </is>
      </c>
      <c r="M22" s="4" t="inlineStr">
        <is>
          <t>https://www.pricecharting.com/game/one-piece-japanese-extra-booster-egghead-crisis/booster-box</t>
        </is>
      </c>
    </row>
    <row r="23">
      <c r="A23" s="2" t="inlineStr">
        <is>
          <t>Japanese Extra Booster Heroines Edition Booster Box</t>
        </is>
      </c>
      <c r="B23" s="3">
        <f>IF(H23&lt;&gt;"",H23,IF(I23&lt;&gt;"",I23,IF(J23&lt;&gt;"",J23,K23)))</f>
        <v>115.0</v>
      </c>
      <c r="C23" s="3">
        <f>MEDIAN(H23:K23)</f>
        <v>115.0</v>
      </c>
      <c r="D23" s="3">
        <f>ROUND(C23*(1-Settings!$B$2),2)</f>
        <v>80.5</v>
      </c>
      <c r="E23" s="2" t="inlineStr">
        <is>
          <t>One Piece</t>
        </is>
      </c>
      <c r="F23" s="2" t="inlineStr">
        <is>
          <t>Box</t>
        </is>
      </c>
      <c r="G23" s="2" t="inlineStr">
        <is>
          <t>Japanese Extra Booster Heroines Edition</t>
        </is>
      </c>
      <c r="H23" s="3" t="n">
        <v>115</v>
      </c>
      <c r="I23" s="3" t="n"/>
      <c r="J23" s="3" t="n"/>
      <c r="K23" s="3" t="n"/>
      <c r="L23" s="2" t="inlineStr">
        <is>
          <t>PriceCharting</t>
        </is>
      </c>
      <c r="M23" s="4" t="inlineStr">
        <is>
          <t>https://www.pricecharting.com/game/one-piece-japanese-extra-booster-heroines-edition/booster-box</t>
        </is>
      </c>
    </row>
    <row r="24">
      <c r="A24" s="2" t="inlineStr">
        <is>
          <t>Japanese Extra Booster Memorial Collection Booster Box</t>
        </is>
      </c>
      <c r="B24" s="3">
        <f>IF(H24&lt;&gt;"",H24,IF(I24&lt;&gt;"",I24,IF(J24&lt;&gt;"",J24,K24)))</f>
        <v>112.12</v>
      </c>
      <c r="C24" s="3">
        <f>MEDIAN(H24:K24)</f>
        <v>112.12</v>
      </c>
      <c r="D24" s="3">
        <f>ROUND(C24*(1-Settings!$B$2),2)</f>
        <v>78.48</v>
      </c>
      <c r="E24" s="2" t="inlineStr">
        <is>
          <t>One Piece</t>
        </is>
      </c>
      <c r="F24" s="2" t="inlineStr">
        <is>
          <t>Box</t>
        </is>
      </c>
      <c r="G24" s="2" t="inlineStr">
        <is>
          <t>Japanese Extra Booster Memorial Collection</t>
        </is>
      </c>
      <c r="H24" s="3" t="n">
        <v>112.12</v>
      </c>
      <c r="I24" s="3" t="n"/>
      <c r="J24" s="3" t="n"/>
      <c r="K24" s="3" t="n"/>
      <c r="L24" s="2" t="inlineStr">
        <is>
          <t>PriceCharting</t>
        </is>
      </c>
      <c r="M24" s="4" t="inlineStr">
        <is>
          <t>https://www.pricecharting.com/game/one-piece-japanese-extra-booster-memorial-collection/booster-box</t>
        </is>
      </c>
    </row>
    <row r="25">
      <c r="A25" s="2" t="inlineStr">
        <is>
          <t>Japanese Fist Of Divine Speed Booster Box</t>
        </is>
      </c>
      <c r="B25" s="3">
        <f>IF(H25&lt;&gt;"",H25,IF(I25&lt;&gt;"",I25,IF(J25&lt;&gt;"",J25,K25)))</f>
        <v>145.88</v>
      </c>
      <c r="C25" s="3">
        <f>MEDIAN(H25:K25)</f>
        <v>145.88</v>
      </c>
      <c r="D25" s="3">
        <f>ROUND(C25*(1-Settings!$B$2),2)</f>
        <v>102.12</v>
      </c>
      <c r="E25" s="2" t="inlineStr">
        <is>
          <t>One Piece</t>
        </is>
      </c>
      <c r="F25" s="2" t="inlineStr">
        <is>
          <t>Box</t>
        </is>
      </c>
      <c r="G25" s="2" t="inlineStr">
        <is>
          <t>Japanese Fist Of Divine Speed</t>
        </is>
      </c>
      <c r="H25" s="3" t="n">
        <v>145.88</v>
      </c>
      <c r="I25" s="3" t="n"/>
      <c r="J25" s="3" t="n"/>
      <c r="K25" s="3" t="n"/>
      <c r="L25" s="2" t="inlineStr">
        <is>
          <t>PriceCharting</t>
        </is>
      </c>
      <c r="M25" s="4" t="inlineStr">
        <is>
          <t>https://www.pricecharting.com/game/one-piece-japanese-fist-of-divine-speed/booster-box</t>
        </is>
      </c>
    </row>
    <row r="26">
      <c r="A26" s="2" t="inlineStr">
        <is>
          <t>Japanese Kingdoms Of Intrigue Booster Box</t>
        </is>
      </c>
      <c r="B26" s="3">
        <f>IF(H26&lt;&gt;"",H26,IF(I26&lt;&gt;"",I26,IF(J26&lt;&gt;"",J26,K26)))</f>
        <v>116.54</v>
      </c>
      <c r="C26" s="3">
        <f>MEDIAN(H26:K26)</f>
        <v>116.54</v>
      </c>
      <c r="D26" s="3">
        <f>ROUND(C26*(1-Settings!$B$2),2)</f>
        <v>81.58</v>
      </c>
      <c r="E26" s="2" t="inlineStr">
        <is>
          <t>One Piece</t>
        </is>
      </c>
      <c r="F26" s="2" t="inlineStr">
        <is>
          <t>Box</t>
        </is>
      </c>
      <c r="G26" s="2" t="inlineStr">
        <is>
          <t>Japanese Kingdoms Of Intrigue</t>
        </is>
      </c>
      <c r="H26" s="3" t="n">
        <v>116.54</v>
      </c>
      <c r="I26" s="3" t="n"/>
      <c r="J26" s="3" t="n"/>
      <c r="K26" s="3" t="n"/>
      <c r="L26" s="2" t="inlineStr">
        <is>
          <t>PriceCharting</t>
        </is>
      </c>
      <c r="M26" s="4" t="inlineStr">
        <is>
          <t>https://www.pricecharting.com/game/one-piece-japanese-kingdoms-of-intrigue/booster-box</t>
        </is>
      </c>
    </row>
    <row r="27">
      <c r="A27" s="2" t="inlineStr">
        <is>
          <t>Japanese Legacy Of The Master Booster Box</t>
        </is>
      </c>
      <c r="B27" s="3">
        <f>IF(H27&lt;&gt;"",H27,IF(I27&lt;&gt;"",I27,IF(J27&lt;&gt;"",J27,K27)))</f>
        <v>80.31</v>
      </c>
      <c r="C27" s="3">
        <f>MEDIAN(H27:K27)</f>
        <v>80.31</v>
      </c>
      <c r="D27" s="3">
        <f>ROUND(C27*(1-Settings!$B$2),2)</f>
        <v>56.22</v>
      </c>
      <c r="E27" s="2" t="inlineStr">
        <is>
          <t>One Piece</t>
        </is>
      </c>
      <c r="F27" s="2" t="inlineStr">
        <is>
          <t>Box</t>
        </is>
      </c>
      <c r="G27" s="2" t="inlineStr">
        <is>
          <t>Japanese Legacy Of The Master</t>
        </is>
      </c>
      <c r="H27" s="3" t="n">
        <v>80.31</v>
      </c>
      <c r="I27" s="3" t="n"/>
      <c r="J27" s="3" t="n"/>
      <c r="K27" s="3" t="n"/>
      <c r="L27" s="2" t="inlineStr">
        <is>
          <t>PriceCharting</t>
        </is>
      </c>
      <c r="M27" s="4" t="inlineStr">
        <is>
          <t>https://www.pricecharting.com/game/one-piece-japanese-legacy-of-the-master/booster-box</t>
        </is>
      </c>
    </row>
    <row r="28">
      <c r="A28" s="2" t="inlineStr">
        <is>
          <t>Japanese Paramount War Booster Box</t>
        </is>
      </c>
      <c r="B28" s="3">
        <f>IF(H28&lt;&gt;"",H28,IF(I28&lt;&gt;"",I28,IF(J28&lt;&gt;"",J28,K28)))</f>
        <v>306.63</v>
      </c>
      <c r="C28" s="3">
        <f>MEDIAN(H28:K28)</f>
        <v>306.63</v>
      </c>
      <c r="D28" s="3">
        <f>ROUND(C28*(1-Settings!$B$2),2)</f>
        <v>214.64</v>
      </c>
      <c r="E28" s="2" t="inlineStr">
        <is>
          <t>One Piece</t>
        </is>
      </c>
      <c r="F28" s="2" t="inlineStr">
        <is>
          <t>Box</t>
        </is>
      </c>
      <c r="G28" s="2" t="inlineStr">
        <is>
          <t>Japanese Paramount War</t>
        </is>
      </c>
      <c r="H28" s="3" t="n">
        <v>306.63</v>
      </c>
      <c r="I28" s="3" t="n"/>
      <c r="J28" s="3" t="n"/>
      <c r="K28" s="3" t="n"/>
      <c r="L28" s="2" t="inlineStr">
        <is>
          <t>PriceCharting</t>
        </is>
      </c>
      <c r="M28" s="4" t="inlineStr">
        <is>
          <t>https://www.pricecharting.com/game/one-piece-japanese-paramount-war/booster-box</t>
        </is>
      </c>
    </row>
    <row r="29">
      <c r="A29" s="2" t="inlineStr">
        <is>
          <t>Japanese Pillars Of Strength Booster Box</t>
        </is>
      </c>
      <c r="B29" s="3">
        <f>IF(H29&lt;&gt;"",H29,IF(I29&lt;&gt;"",I29,IF(J29&lt;&gt;"",J29,K29)))</f>
        <v>115.03</v>
      </c>
      <c r="C29" s="3">
        <f>MEDIAN(H29:K29)</f>
        <v>115.03</v>
      </c>
      <c r="D29" s="3">
        <f>ROUND(C29*(1-Settings!$B$2),2)</f>
        <v>80.52</v>
      </c>
      <c r="E29" s="2" t="inlineStr">
        <is>
          <t>One Piece</t>
        </is>
      </c>
      <c r="F29" s="2" t="inlineStr">
        <is>
          <t>Box</t>
        </is>
      </c>
      <c r="G29" s="2" t="inlineStr">
        <is>
          <t>Japanese Pillars Of Strength</t>
        </is>
      </c>
      <c r="H29" s="3" t="n">
        <v>115.03</v>
      </c>
      <c r="I29" s="3" t="n"/>
      <c r="J29" s="3" t="n"/>
      <c r="K29" s="3" t="n"/>
      <c r="L29" s="2" t="inlineStr">
        <is>
          <t>PriceCharting</t>
        </is>
      </c>
      <c r="M29" s="4" t="inlineStr">
        <is>
          <t>https://www.pricecharting.com/game/one-piece-japanese-pillars-of-strength/booster-box</t>
        </is>
      </c>
    </row>
    <row r="30">
      <c r="A30" s="2" t="inlineStr">
        <is>
          <t>Japanese Premium Booster Booster Box [PRB01]</t>
        </is>
      </c>
      <c r="B30" s="3">
        <f>IF(H30&lt;&gt;"",H30,IF(I30&lt;&gt;"",I30,IF(J30&lt;&gt;"",J30,K30)))</f>
        <v>112.25</v>
      </c>
      <c r="C30" s="3">
        <f>MEDIAN(H30:K30)</f>
        <v>112.25</v>
      </c>
      <c r="D30" s="3">
        <f>ROUND(C30*(1-Settings!$B$2),2)</f>
        <v>78.58</v>
      </c>
      <c r="E30" s="2" t="inlineStr">
        <is>
          <t>One Piece</t>
        </is>
      </c>
      <c r="F30" s="2" t="inlineStr">
        <is>
          <t>Box</t>
        </is>
      </c>
      <c r="G30" s="2" t="inlineStr">
        <is>
          <t>Japanese Premium Booster</t>
        </is>
      </c>
      <c r="H30" s="3" t="n">
        <v>112.25</v>
      </c>
      <c r="I30" s="3" t="n"/>
      <c r="J30" s="3" t="n"/>
      <c r="K30" s="3" t="n"/>
      <c r="L30" s="2" t="inlineStr">
        <is>
          <t>PriceCharting</t>
        </is>
      </c>
      <c r="M30" s="4" t="inlineStr">
        <is>
          <t>https://www.pricecharting.com/game/one-piece-japanese-premium-booster/booster-box-prb01</t>
        </is>
      </c>
    </row>
    <row r="31">
      <c r="A31" s="2" t="inlineStr">
        <is>
          <t>Japanese Premium Booster 2 Booster Box</t>
        </is>
      </c>
      <c r="B31" s="3">
        <f>IF(H31&lt;&gt;"",H31,IF(I31&lt;&gt;"",I31,IF(J31&lt;&gt;"",J31,K31)))</f>
        <v>69.5</v>
      </c>
      <c r="C31" s="3">
        <f>MEDIAN(H31:K31)</f>
        <v>69.5</v>
      </c>
      <c r="D31" s="3">
        <f>ROUND(C31*(1-Settings!$B$2),2)</f>
        <v>48.65</v>
      </c>
      <c r="E31" s="2" t="inlineStr">
        <is>
          <t>One Piece</t>
        </is>
      </c>
      <c r="F31" s="2" t="inlineStr">
        <is>
          <t>Box</t>
        </is>
      </c>
      <c r="G31" s="2" t="inlineStr">
        <is>
          <t>Japanese Premium Booster 2</t>
        </is>
      </c>
      <c r="H31" s="3" t="n">
        <v>69.5</v>
      </c>
      <c r="I31" s="3" t="n"/>
      <c r="J31" s="3" t="n"/>
      <c r="K31" s="3" t="n"/>
      <c r="L31" s="2" t="inlineStr">
        <is>
          <t>PriceCharting</t>
        </is>
      </c>
      <c r="M31" s="4" t="inlineStr">
        <is>
          <t>https://www.pricecharting.com/game/one-piece-japanese-premium-booster-2/booster-box</t>
        </is>
      </c>
    </row>
    <row r="32">
      <c r="A32" s="2" t="inlineStr">
        <is>
          <t>Japanese Romance Dawn Booster Box</t>
        </is>
      </c>
      <c r="B32" s="3">
        <f>IF(H32&lt;&gt;"",H32,IF(I32&lt;&gt;"",I32,IF(J32&lt;&gt;"",J32,K32)))</f>
        <v>205.27</v>
      </c>
      <c r="C32" s="3">
        <f>MEDIAN(H32:K32)</f>
        <v>205.27</v>
      </c>
      <c r="D32" s="3">
        <f>ROUND(C32*(1-Settings!$B$2),2)</f>
        <v>143.69</v>
      </c>
      <c r="E32" s="2" t="inlineStr">
        <is>
          <t>One Piece</t>
        </is>
      </c>
      <c r="F32" s="2" t="inlineStr">
        <is>
          <t>Box</t>
        </is>
      </c>
      <c r="G32" s="2" t="inlineStr">
        <is>
          <t>Japanese Romance Dawn</t>
        </is>
      </c>
      <c r="H32" s="3" t="n">
        <v>205.27</v>
      </c>
      <c r="I32" s="3" t="n"/>
      <c r="J32" s="3" t="n"/>
      <c r="K32" s="3" t="n"/>
      <c r="L32" s="2" t="inlineStr">
        <is>
          <t>PriceCharting</t>
        </is>
      </c>
      <c r="M32" s="4" t="inlineStr">
        <is>
          <t>https://www.pricecharting.com/game/one-piece-japanese-romance-dawn/booster-box</t>
        </is>
      </c>
    </row>
    <row r="33">
      <c r="A33" s="2" t="inlineStr">
        <is>
          <t>Japanese Royal Blood Booster Box</t>
        </is>
      </c>
      <c r="B33" s="3">
        <f>IF(H33&lt;&gt;"",H33,IF(I33&lt;&gt;"",I33,IF(J33&lt;&gt;"",J33,K33)))</f>
        <v>83.15</v>
      </c>
      <c r="C33" s="3">
        <f>MEDIAN(H33:K33)</f>
        <v>83.15</v>
      </c>
      <c r="D33" s="3">
        <f>ROUND(C33*(1-Settings!$B$2),2)</f>
        <v>58.21</v>
      </c>
      <c r="E33" s="2" t="inlineStr">
        <is>
          <t>One Piece</t>
        </is>
      </c>
      <c r="F33" s="2" t="inlineStr">
        <is>
          <t>Box</t>
        </is>
      </c>
      <c r="G33" s="2" t="inlineStr">
        <is>
          <t>Japanese Royal Blood</t>
        </is>
      </c>
      <c r="H33" s="3" t="n">
        <v>83.15000000000001</v>
      </c>
      <c r="I33" s="3" t="n"/>
      <c r="J33" s="3" t="n"/>
      <c r="K33" s="3" t="n"/>
      <c r="L33" s="2" t="inlineStr">
        <is>
          <t>PriceCharting</t>
        </is>
      </c>
      <c r="M33" s="4" t="inlineStr">
        <is>
          <t>https://www.pricecharting.com/game/one-piece-japanese-royal-blood/booster-box</t>
        </is>
      </c>
    </row>
    <row r="34">
      <c r="A34" s="2" t="inlineStr">
        <is>
          <t>Japanese The Time Of Battle Booster Box</t>
        </is>
      </c>
      <c r="B34" s="3">
        <f>IF(H34&lt;&gt;"",H34,IF(I34&lt;&gt;"",I34,IF(J34&lt;&gt;"",J34,K34)))</f>
        <v>119.86</v>
      </c>
      <c r="C34" s="3">
        <f>MEDIAN(H34:K34)</f>
        <v>119.86</v>
      </c>
      <c r="D34" s="3">
        <f>ROUND(C34*(1-Settings!$B$2),2)</f>
        <v>83.9</v>
      </c>
      <c r="E34" s="2" t="inlineStr">
        <is>
          <t>One Piece</t>
        </is>
      </c>
      <c r="F34" s="2" t="inlineStr">
        <is>
          <t>Box</t>
        </is>
      </c>
      <c r="G34" s="2" t="inlineStr">
        <is>
          <t>Japanese The Time Of Battle</t>
        </is>
      </c>
      <c r="H34" s="3" t="n">
        <v>119.86</v>
      </c>
      <c r="I34" s="3" t="n"/>
      <c r="J34" s="3" t="n"/>
      <c r="K34" s="3" t="n"/>
      <c r="L34" s="2" t="inlineStr">
        <is>
          <t>PriceCharting</t>
        </is>
      </c>
      <c r="M34" s="4" t="inlineStr">
        <is>
          <t>https://www.pricecharting.com/game/one-piece-japanese-the-time-of-battle/booster-box</t>
        </is>
      </c>
    </row>
    <row r="35">
      <c r="A35" s="2" t="inlineStr">
        <is>
          <t>Japanese Two Legends Booster Box</t>
        </is>
      </c>
      <c r="B35" s="3">
        <f>IF(H35&lt;&gt;"",H35,IF(I35&lt;&gt;"",I35,IF(J35&lt;&gt;"",J35,K35)))</f>
        <v>106.9</v>
      </c>
      <c r="C35" s="3">
        <f>MEDIAN(H35:K35)</f>
        <v>106.9</v>
      </c>
      <c r="D35" s="3">
        <f>ROUND(C35*(1-Settings!$B$2),2)</f>
        <v>74.83</v>
      </c>
      <c r="E35" s="2" t="inlineStr">
        <is>
          <t>One Piece</t>
        </is>
      </c>
      <c r="F35" s="2" t="inlineStr">
        <is>
          <t>Box</t>
        </is>
      </c>
      <c r="G35" s="2" t="inlineStr">
        <is>
          <t>Japanese Two Legends</t>
        </is>
      </c>
      <c r="H35" s="3" t="n">
        <v>106.9</v>
      </c>
      <c r="I35" s="3" t="n"/>
      <c r="J35" s="3" t="n"/>
      <c r="K35" s="3" t="n"/>
      <c r="L35" s="2" t="inlineStr">
        <is>
          <t>PriceCharting</t>
        </is>
      </c>
      <c r="M35" s="4" t="inlineStr">
        <is>
          <t>https://www.pricecharting.com/game/one-piece-japanese-two-legends/booster-box</t>
        </is>
      </c>
    </row>
    <row r="36">
      <c r="A36" s="2" t="inlineStr">
        <is>
          <t>Japanese Wings Of The Captain Booster Box</t>
        </is>
      </c>
      <c r="B36" s="3">
        <f>IF(H36&lt;&gt;"",H36,IF(I36&lt;&gt;"",I36,IF(J36&lt;&gt;"",J36,K36)))</f>
        <v>211.1</v>
      </c>
      <c r="C36" s="3">
        <f>MEDIAN(H36:K36)</f>
        <v>211.1</v>
      </c>
      <c r="D36" s="3">
        <f>ROUND(C36*(1-Settings!$B$2),2)</f>
        <v>147.77</v>
      </c>
      <c r="E36" s="2" t="inlineStr">
        <is>
          <t>One Piece</t>
        </is>
      </c>
      <c r="F36" s="2" t="inlineStr">
        <is>
          <t>Box</t>
        </is>
      </c>
      <c r="G36" s="2" t="inlineStr">
        <is>
          <t>Japanese Wings Of The Captain</t>
        </is>
      </c>
      <c r="H36" s="3" t="n">
        <v>211.1</v>
      </c>
      <c r="I36" s="3" t="n"/>
      <c r="J36" s="3" t="n"/>
      <c r="K36" s="3" t="n"/>
      <c r="L36" s="2" t="inlineStr">
        <is>
          <t>PriceCharting</t>
        </is>
      </c>
      <c r="M36" s="4" t="inlineStr">
        <is>
          <t>https://www.pricecharting.com/game/one-piece-japanese-wings-of-the-captain/booster-box</t>
        </is>
      </c>
    </row>
    <row r="37">
      <c r="A37" s="2" t="inlineStr">
        <is>
          <t>Kingdoms of Intrigue - Booster Box</t>
        </is>
      </c>
      <c r="B37" s="3">
        <f>IF(H37&lt;&gt;"",H37,IF(I37&lt;&gt;"",I37,IF(J37&lt;&gt;"",J37,K37)))</f>
        <v>491.2</v>
      </c>
      <c r="C37" s="3">
        <f>MEDIAN(H37:K37)</f>
        <v>499.49</v>
      </c>
      <c r="D37" s="3">
        <f>ROUND(C37*(1-Settings!$B$2),2)</f>
        <v>349.64</v>
      </c>
      <c r="E37" s="2" t="inlineStr">
        <is>
          <t>One Piece</t>
        </is>
      </c>
      <c r="F37" s="2" t="inlineStr">
        <is>
          <t>Box</t>
        </is>
      </c>
      <c r="G37" s="2" t="inlineStr">
        <is>
          <t>Kingdoms of Intrigue</t>
        </is>
      </c>
      <c r="H37" s="3" t="n">
        <v>491.2</v>
      </c>
      <c r="I37" s="3" t="n">
        <v>500.19</v>
      </c>
      <c r="J37" s="3" t="n"/>
      <c r="K37" s="3" t="n">
        <v>499.49</v>
      </c>
      <c r="L37" s="2" t="inlineStr">
        <is>
          <t>PriceCharting + TCGplayer</t>
        </is>
      </c>
      <c r="M37" s="4" t="inlineStr">
        <is>
          <t>https://www.pricecharting.com/game/one-piece-kingdoms-of-intrigue/booster-box</t>
        </is>
      </c>
      <c r="N37" s="4" t="inlineStr">
        <is>
          <t>https://www.tcgplayer.com/product/485833</t>
        </is>
      </c>
    </row>
    <row r="38">
      <c r="A38" s="2" t="inlineStr">
        <is>
          <t>Kingdoms Of Intrigue Double Pack DP-01 Display Box</t>
        </is>
      </c>
      <c r="B38" s="3">
        <f>IF(H38&lt;&gt;"",H38,IF(I38&lt;&gt;"",I38,IF(J38&lt;&gt;"",J38,K38)))</f>
        <v>212.54</v>
      </c>
      <c r="C38" s="3">
        <f>MEDIAN(H38:K38)</f>
        <v>212.54</v>
      </c>
      <c r="D38" s="3">
        <f>ROUND(C38*(1-Settings!$B$2),2)</f>
        <v>148.78</v>
      </c>
      <c r="E38" s="2" t="inlineStr">
        <is>
          <t>One Piece</t>
        </is>
      </c>
      <c r="F38" s="2" t="inlineStr">
        <is>
          <t>Box</t>
        </is>
      </c>
      <c r="G38" s="2" t="inlineStr">
        <is>
          <t>Kingdoms Of Intrigue</t>
        </is>
      </c>
      <c r="H38" s="3" t="n">
        <v>212.54</v>
      </c>
      <c r="I38" s="3" t="n"/>
      <c r="J38" s="3" t="n"/>
      <c r="K38" s="3" t="n"/>
      <c r="L38" s="2" t="inlineStr">
        <is>
          <t>PriceCharting</t>
        </is>
      </c>
      <c r="M38" s="4" t="inlineStr">
        <is>
          <t>https://www.pricecharting.com/game/one-piece-kingdoms-of-intrigue/double-pack-dp-01-display-box</t>
        </is>
      </c>
    </row>
    <row r="39">
      <c r="A39" s="2" t="inlineStr">
        <is>
          <t>Legacy of the Master Booster Box</t>
        </is>
      </c>
      <c r="B39" s="3">
        <f>IF(H39&lt;&gt;"",H39,IF(I39&lt;&gt;"",I39,IF(J39&lt;&gt;"",J39,K39)))</f>
        <v>275.0</v>
      </c>
      <c r="C39" s="3">
        <f>MEDIAN(H39:K39)</f>
        <v>275.0</v>
      </c>
      <c r="D39" s="3">
        <f>ROUND(C39*(1-Settings!$B$2),2)</f>
        <v>192.5</v>
      </c>
      <c r="E39" s="2" t="inlineStr">
        <is>
          <t>One Piece</t>
        </is>
      </c>
      <c r="F39" s="2" t="inlineStr">
        <is>
          <t>Box</t>
        </is>
      </c>
      <c r="G39" s="2" t="inlineStr">
        <is>
          <t>Legacy of the Master</t>
        </is>
      </c>
      <c r="H39" s="3" t="n">
        <v>275</v>
      </c>
      <c r="I39" s="3" t="n">
        <v>285.06</v>
      </c>
      <c r="J39" s="3" t="n"/>
      <c r="K39" s="3" t="n">
        <v>22.98</v>
      </c>
      <c r="L39" s="2" t="inlineStr">
        <is>
          <t>PriceCharting + TCGplayer</t>
        </is>
      </c>
      <c r="M39" s="4" t="inlineStr">
        <is>
          <t>https://www.pricecharting.com/game/one-piece-legacy-of-the-master/booster-box</t>
        </is>
      </c>
      <c r="N39" s="4" t="inlineStr">
        <is>
          <t>https://www.tcgplayer.com/product/628346</t>
        </is>
      </c>
    </row>
    <row r="40">
      <c r="A40" s="2" t="inlineStr">
        <is>
          <t>Legacy Of The Master Double Pack DP-08 Display Box</t>
        </is>
      </c>
      <c r="B40" s="3">
        <f>IF(H40&lt;&gt;"",H40,IF(I40&lt;&gt;"",I40,IF(J40&lt;&gt;"",J40,K40)))</f>
        <v>324.39</v>
      </c>
      <c r="C40" s="3">
        <f>MEDIAN(H40:K40)</f>
        <v>324.39</v>
      </c>
      <c r="D40" s="3">
        <f>ROUND(C40*(1-Settings!$B$2),2)</f>
        <v>227.07</v>
      </c>
      <c r="E40" s="2" t="inlineStr">
        <is>
          <t>One Piece</t>
        </is>
      </c>
      <c r="F40" s="2" t="inlineStr">
        <is>
          <t>Box</t>
        </is>
      </c>
      <c r="G40" s="2" t="inlineStr">
        <is>
          <t>Legacy Of The Master</t>
        </is>
      </c>
      <c r="H40" s="3" t="n">
        <v>324.39</v>
      </c>
      <c r="I40" s="3" t="n"/>
      <c r="J40" s="3" t="n"/>
      <c r="K40" s="3" t="n"/>
      <c r="L40" s="2" t="inlineStr">
        <is>
          <t>PriceCharting</t>
        </is>
      </c>
      <c r="M40" s="4" t="inlineStr">
        <is>
          <t>https://www.pricecharting.com/game/one-piece-legacy-of-the-master/double-pack-dp-08-display-box</t>
        </is>
      </c>
    </row>
    <row r="41">
      <c r="A41" s="2" t="inlineStr">
        <is>
          <t>Paramount War - Booster Box</t>
        </is>
      </c>
      <c r="B41" s="3">
        <f>IF(H41&lt;&gt;"",H41,IF(I41&lt;&gt;"",I41,IF(J41&lt;&gt;"",J41,K41)))</f>
        <v>506.79</v>
      </c>
      <c r="C41" s="3">
        <f>MEDIAN(H41:K41)</f>
        <v>506.79</v>
      </c>
      <c r="D41" s="3">
        <f>ROUND(C41*(1-Settings!$B$2),2)</f>
        <v>354.75</v>
      </c>
      <c r="E41" s="2" t="inlineStr">
        <is>
          <t>One Piece</t>
        </is>
      </c>
      <c r="F41" s="2" t="inlineStr">
        <is>
          <t>Box</t>
        </is>
      </c>
      <c r="G41" s="2" t="inlineStr">
        <is>
          <t>Paramount War</t>
        </is>
      </c>
      <c r="H41" s="3" t="n">
        <v>506.79</v>
      </c>
      <c r="I41" s="3" t="n">
        <v>564.37</v>
      </c>
      <c r="J41" s="3" t="n"/>
      <c r="K41" s="3" t="n">
        <v>500</v>
      </c>
      <c r="L41" s="2" t="inlineStr">
        <is>
          <t>PriceCharting + TCGplayer</t>
        </is>
      </c>
      <c r="M41" s="4" t="inlineStr">
        <is>
          <t>https://www.pricecharting.com/game/one-piece-paramount-war/booster-box</t>
        </is>
      </c>
      <c r="N41" s="4" t="inlineStr">
        <is>
          <t>https://www.tcgplayer.com/product/455866</t>
        </is>
      </c>
    </row>
    <row r="42">
      <c r="A42" s="2" t="inlineStr">
        <is>
          <t>Pillars of Strength - Booster Box</t>
        </is>
      </c>
      <c r="B42" s="3">
        <f>IF(H42&lt;&gt;"",H42,IF(I42&lt;&gt;"",I42,IF(J42&lt;&gt;"",J42,K42)))</f>
        <v>496.99</v>
      </c>
      <c r="C42" s="3">
        <f>MEDIAN(H42:K42)</f>
        <v>500.0</v>
      </c>
      <c r="D42" s="3">
        <f>ROUND(C42*(1-Settings!$B$2),2)</f>
        <v>350.0</v>
      </c>
      <c r="E42" s="2" t="inlineStr">
        <is>
          <t>One Piece</t>
        </is>
      </c>
      <c r="F42" s="2" t="inlineStr">
        <is>
          <t>Box</t>
        </is>
      </c>
      <c r="G42" s="2" t="inlineStr">
        <is>
          <t>Pillars of Strength</t>
        </is>
      </c>
      <c r="H42" s="3" t="n">
        <v>496.99</v>
      </c>
      <c r="I42" s="3" t="n">
        <v>508.06</v>
      </c>
      <c r="J42" s="3" t="n"/>
      <c r="K42" s="3" t="n">
        <v>500</v>
      </c>
      <c r="L42" s="2" t="inlineStr">
        <is>
          <t>PriceCharting + TCGplayer</t>
        </is>
      </c>
      <c r="M42" s="4" t="inlineStr">
        <is>
          <t>https://www.pricecharting.com/game/one-piece-pillars-of-strength/booster-box</t>
        </is>
      </c>
      <c r="N42" s="4" t="inlineStr">
        <is>
          <t>https://www.tcgplayer.com/product/477176</t>
        </is>
      </c>
    </row>
    <row r="43">
      <c r="A43" s="2" t="inlineStr">
        <is>
          <t>Premium Booster - Booster Box</t>
        </is>
      </c>
      <c r="B43" s="3">
        <f>IF(H43&lt;&gt;"",H43,IF(I43&lt;&gt;"",I43,IF(J43&lt;&gt;"",J43,K43)))</f>
        <v>900.28</v>
      </c>
      <c r="C43" s="3">
        <f>MEDIAN(H43:K43)</f>
        <v>525.135</v>
      </c>
      <c r="D43" s="3">
        <f>ROUND(C43*(1-Settings!$B$2),2)</f>
        <v>367.59</v>
      </c>
      <c r="E43" s="2" t="inlineStr">
        <is>
          <t>One Piece</t>
        </is>
      </c>
      <c r="F43" s="2" t="inlineStr">
        <is>
          <t>Box</t>
        </is>
      </c>
      <c r="G43" s="2" t="inlineStr">
        <is>
          <t>Premium Booster -The Best-</t>
        </is>
      </c>
      <c r="H43" s="3" t="n"/>
      <c r="I43" s="3" t="n">
        <v>900.28</v>
      </c>
      <c r="J43" s="3" t="n"/>
      <c r="K43" s="3" t="n">
        <v>149.99</v>
      </c>
      <c r="L43" s="2" t="inlineStr">
        <is>
          <t>TCGplayer</t>
        </is>
      </c>
      <c r="N43" s="4" t="inlineStr">
        <is>
          <t>https://www.tcgplayer.com/product/545399</t>
        </is>
      </c>
    </row>
    <row r="44">
      <c r="A44" s="2" t="inlineStr">
        <is>
          <t>Premium Booster Vol. 2 - Booster Box</t>
        </is>
      </c>
      <c r="B44" s="3">
        <f>IF(H44&lt;&gt;"",H44,IF(I44&lt;&gt;"",I44,IF(J44&lt;&gt;"",J44,K44)))</f>
        <v>378.5</v>
      </c>
      <c r="C44" s="3">
        <f>MEDIAN(H44:K44)</f>
        <v>238.725</v>
      </c>
      <c r="D44" s="3">
        <f>ROUND(C44*(1-Settings!$B$2),2)</f>
        <v>167.11</v>
      </c>
      <c r="E44" s="2" t="inlineStr">
        <is>
          <t>One Piece</t>
        </is>
      </c>
      <c r="F44" s="2" t="inlineStr">
        <is>
          <t>Box</t>
        </is>
      </c>
      <c r="G44" s="2" t="inlineStr">
        <is>
          <t>Premium Booster -The Best- Vol. 2</t>
        </is>
      </c>
      <c r="H44" s="3" t="n"/>
      <c r="I44" s="3" t="n">
        <v>378.5</v>
      </c>
      <c r="J44" s="3" t="n"/>
      <c r="K44" s="3" t="n">
        <v>98.95</v>
      </c>
      <c r="L44" s="2" t="inlineStr">
        <is>
          <t>TCGplayer</t>
        </is>
      </c>
      <c r="N44" s="4" t="inlineStr">
        <is>
          <t>https://www.tcgplayer.com/product/628452</t>
        </is>
      </c>
    </row>
    <row r="45">
      <c r="A45" s="2" t="inlineStr">
        <is>
          <t>Premium Booster 2 Booster Box</t>
        </is>
      </c>
      <c r="B45" s="3">
        <f>IF(H45&lt;&gt;"",H45,IF(I45&lt;&gt;"",I45,IF(J45&lt;&gt;"",J45,K45)))</f>
        <v>380.0</v>
      </c>
      <c r="C45" s="3">
        <f>MEDIAN(H45:K45)</f>
        <v>380.0</v>
      </c>
      <c r="D45" s="3">
        <f>ROUND(C45*(1-Settings!$B$2),2)</f>
        <v>266.0</v>
      </c>
      <c r="E45" s="2" t="inlineStr">
        <is>
          <t>One Piece</t>
        </is>
      </c>
      <c r="F45" s="2" t="inlineStr">
        <is>
          <t>Box</t>
        </is>
      </c>
      <c r="G45" s="2" t="inlineStr">
        <is>
          <t>Premium Booster 2</t>
        </is>
      </c>
      <c r="H45" s="3" t="n">
        <v>380</v>
      </c>
      <c r="I45" s="3" t="n"/>
      <c r="J45" s="3" t="n"/>
      <c r="K45" s="3" t="n"/>
      <c r="L45" s="2" t="inlineStr">
        <is>
          <t>PriceCharting</t>
        </is>
      </c>
      <c r="M45" s="4" t="inlineStr">
        <is>
          <t>https://www.pricecharting.com/game/one-piece-premium-booster-2/booster-box</t>
        </is>
      </c>
    </row>
    <row r="46">
      <c r="A46" s="2" t="inlineStr">
        <is>
          <t>Romance Dawn - Booster Box (Wave 1 - Blue)</t>
        </is>
      </c>
      <c r="B46" s="3">
        <f>IF(H46&lt;&gt;"",H46,IF(I46&lt;&gt;"",I46,IF(J46&lt;&gt;"",J46,K46)))</f>
        <v>4680.11</v>
      </c>
      <c r="C46" s="3">
        <f>MEDIAN(H46:K46)</f>
        <v>4779.805</v>
      </c>
      <c r="D46" s="3">
        <f>ROUND(C46*(1-Settings!$B$2),2)</f>
        <v>3345.86</v>
      </c>
      <c r="E46" s="2" t="inlineStr">
        <is>
          <t>One Piece</t>
        </is>
      </c>
      <c r="F46" s="2" t="inlineStr">
        <is>
          <t>Box</t>
        </is>
      </c>
      <c r="G46" s="2" t="inlineStr">
        <is>
          <t>Romance Dawn</t>
        </is>
      </c>
      <c r="H46" s="3" t="n"/>
      <c r="I46" s="3" t="n">
        <v>4680.11</v>
      </c>
      <c r="J46" s="3" t="n"/>
      <c r="K46" s="3" t="n">
        <v>4879.5</v>
      </c>
      <c r="L46" s="2" t="inlineStr">
        <is>
          <t>TCGplayer</t>
        </is>
      </c>
      <c r="N46" s="4" t="inlineStr">
        <is>
          <t>https://www.tcgplayer.com/product/450086</t>
        </is>
      </c>
    </row>
    <row r="47">
      <c r="A47" s="2" t="inlineStr">
        <is>
          <t>Romance Dawn - Booster Box (Wave 2 - White)</t>
        </is>
      </c>
      <c r="B47" s="3">
        <f>IF(H47&lt;&gt;"",H47,IF(I47&lt;&gt;"",I47,IF(J47&lt;&gt;"",J47,K47)))</f>
        <v>1459.9</v>
      </c>
      <c r="C47" s="3">
        <f>MEDIAN(H47:K47)</f>
        <v>1336.795</v>
      </c>
      <c r="D47" s="3">
        <f>ROUND(C47*(1-Settings!$B$2),2)</f>
        <v>935.76</v>
      </c>
      <c r="E47" s="2" t="inlineStr">
        <is>
          <t>One Piece</t>
        </is>
      </c>
      <c r="F47" s="2" t="inlineStr">
        <is>
          <t>Box</t>
        </is>
      </c>
      <c r="G47" s="2" t="inlineStr">
        <is>
          <t>Romance Dawn</t>
        </is>
      </c>
      <c r="H47" s="3" t="n"/>
      <c r="I47" s="3" t="n">
        <v>1459.9</v>
      </c>
      <c r="J47" s="3" t="n"/>
      <c r="K47" s="3" t="n">
        <v>1213.69</v>
      </c>
      <c r="L47" s="2" t="inlineStr">
        <is>
          <t>TCGplayer</t>
        </is>
      </c>
      <c r="N47" s="4" t="inlineStr">
        <is>
          <t>https://www.tcgplayer.com/product/557280</t>
        </is>
      </c>
    </row>
    <row r="48">
      <c r="A48" s="2" t="inlineStr">
        <is>
          <t>Romance Dawn Booster Box</t>
        </is>
      </c>
      <c r="B48" s="3">
        <f>IF(H48&lt;&gt;"",H48,IF(I48&lt;&gt;"",I48,IF(J48&lt;&gt;"",J48,K48)))</f>
        <v>1376.0</v>
      </c>
      <c r="C48" s="3">
        <f>MEDIAN(H48:K48)</f>
        <v>1376.0</v>
      </c>
      <c r="D48" s="3">
        <f>ROUND(C48*(1-Settings!$B$2),2)</f>
        <v>963.2</v>
      </c>
      <c r="E48" s="2" t="inlineStr">
        <is>
          <t>One Piece</t>
        </is>
      </c>
      <c r="F48" s="2" t="inlineStr">
        <is>
          <t>Box</t>
        </is>
      </c>
      <c r="G48" s="2" t="inlineStr">
        <is>
          <t>Romance Dawn</t>
        </is>
      </c>
      <c r="H48" s="3" t="n">
        <v>1376</v>
      </c>
      <c r="I48" s="3" t="n"/>
      <c r="J48" s="3" t="n"/>
      <c r="K48" s="3" t="n"/>
      <c r="L48" s="2" t="inlineStr">
        <is>
          <t>PriceCharting</t>
        </is>
      </c>
      <c r="M48" s="4" t="inlineStr">
        <is>
          <t>https://www.pricecharting.com/game/one-piece-romance-dawn/booster-box</t>
        </is>
      </c>
    </row>
    <row r="49">
      <c r="A49" s="2" t="inlineStr">
        <is>
          <t>Romance Dawn Booster Box [Blue Bottom]</t>
        </is>
      </c>
      <c r="B49" s="3">
        <f>IF(H49&lt;&gt;"",H49,IF(I49&lt;&gt;"",I49,IF(J49&lt;&gt;"",J49,K49)))</f>
        <v>4512.5</v>
      </c>
      <c r="C49" s="3">
        <f>MEDIAN(H49:K49)</f>
        <v>4512.5</v>
      </c>
      <c r="D49" s="3">
        <f>ROUND(C49*(1-Settings!$B$2),2)</f>
        <v>3158.75</v>
      </c>
      <c r="E49" s="2" t="inlineStr">
        <is>
          <t>One Piece</t>
        </is>
      </c>
      <c r="F49" s="2" t="inlineStr">
        <is>
          <t>Box</t>
        </is>
      </c>
      <c r="G49" s="2" t="inlineStr">
        <is>
          <t>Romance Dawn</t>
        </is>
      </c>
      <c r="H49" s="3" t="n">
        <v>4512.5</v>
      </c>
      <c r="I49" s="3" t="n"/>
      <c r="J49" s="3" t="n"/>
      <c r="K49" s="3" t="n"/>
      <c r="L49" s="2" t="inlineStr">
        <is>
          <t>PriceCharting</t>
        </is>
      </c>
      <c r="M49" s="4" t="inlineStr">
        <is>
          <t>https://www.pricecharting.com/game/one-piece-romance-dawn/booster-box-blue-bottom</t>
        </is>
      </c>
    </row>
    <row r="50">
      <c r="A50" s="2" t="inlineStr">
        <is>
          <t>Royal Blood Booster Box</t>
        </is>
      </c>
      <c r="B50" s="3">
        <f>IF(H50&lt;&gt;"",H50,IF(I50&lt;&gt;"",I50,IF(J50&lt;&gt;"",J50,K50)))</f>
        <v>249.99</v>
      </c>
      <c r="C50" s="3">
        <f>MEDIAN(H50:K50)</f>
        <v>249.99</v>
      </c>
      <c r="D50" s="3">
        <f>ROUND(C50*(1-Settings!$B$2),2)</f>
        <v>174.99</v>
      </c>
      <c r="E50" s="2" t="inlineStr">
        <is>
          <t>One Piece</t>
        </is>
      </c>
      <c r="F50" s="2" t="inlineStr">
        <is>
          <t>Box</t>
        </is>
      </c>
      <c r="G50" s="2" t="inlineStr">
        <is>
          <t>Royal Blood</t>
        </is>
      </c>
      <c r="H50" s="3" t="n">
        <v>249.99</v>
      </c>
      <c r="I50" s="3" t="n">
        <v>250.74</v>
      </c>
      <c r="J50" s="3" t="n"/>
      <c r="K50" s="3" t="n">
        <v>22.8</v>
      </c>
      <c r="L50" s="2" t="inlineStr">
        <is>
          <t>PriceCharting + TCGplayer</t>
        </is>
      </c>
      <c r="M50" s="4" t="inlineStr">
        <is>
          <t>https://www.pricecharting.com/game/one-piece-royal-blood/booster-box</t>
        </is>
      </c>
      <c r="N50" s="4" t="inlineStr">
        <is>
          <t>https://www.tcgplayer.com/product/586671</t>
        </is>
      </c>
    </row>
    <row r="51">
      <c r="A51" s="2" t="inlineStr">
        <is>
          <t>The Azure Sea's Seven Booster Box</t>
        </is>
      </c>
      <c r="B51" s="3">
        <f>IF(H51&lt;&gt;"",H51,IF(I51&lt;&gt;"",I51,IF(J51&lt;&gt;"",J51,K51)))</f>
        <v>266.42</v>
      </c>
      <c r="C51" s="3">
        <f>MEDIAN(H51:K51)</f>
        <v>135.705</v>
      </c>
      <c r="D51" s="3">
        <f>ROUND(C51*(1-Settings!$B$2),2)</f>
        <v>94.99</v>
      </c>
      <c r="E51" s="2" t="inlineStr">
        <is>
          <t>One Piece</t>
        </is>
      </c>
      <c r="F51" s="2" t="inlineStr">
        <is>
          <t>Box</t>
        </is>
      </c>
      <c r="G51" s="2" t="inlineStr">
        <is>
          <t>The Azure Sea's Seven</t>
        </is>
      </c>
      <c r="H51" s="3" t="n"/>
      <c r="I51" s="3" t="n">
        <v>266.42</v>
      </c>
      <c r="J51" s="3" t="n"/>
      <c r="K51" s="3" t="n">
        <v>4.99</v>
      </c>
      <c r="L51" s="2" t="inlineStr">
        <is>
          <t>TCGplayer</t>
        </is>
      </c>
      <c r="N51" s="4" t="inlineStr">
        <is>
          <t>https://www.tcgplayer.com/product/665598</t>
        </is>
      </c>
    </row>
    <row r="52">
      <c r="A52" s="2" t="inlineStr">
        <is>
          <t>The Dominance of God Booster Box</t>
        </is>
      </c>
      <c r="B52" s="3">
        <f>IF(H52&lt;&gt;"",H52,IF(I52&lt;&gt;"",I52,IF(J52&lt;&gt;"",J52,K52)))</f>
        <v>382.2</v>
      </c>
      <c r="C52" s="3">
        <f>MEDIAN(H52:K52)</f>
        <v>373.485</v>
      </c>
      <c r="D52" s="3">
        <f>ROUND(C52*(1-Settings!$B$2),2)</f>
        <v>261.44</v>
      </c>
      <c r="E52" s="2" t="inlineStr">
        <is>
          <t>One Piece</t>
        </is>
      </c>
      <c r="F52" s="2" t="inlineStr">
        <is>
          <t>Box</t>
        </is>
      </c>
      <c r="G52" s="2" t="inlineStr">
        <is>
          <t>The Dominance of God</t>
        </is>
      </c>
      <c r="H52" s="3" t="n"/>
      <c r="I52" s="3" t="n">
        <v>382.2</v>
      </c>
      <c r="J52" s="3" t="n"/>
      <c r="K52" s="3" t="n">
        <v>364.77</v>
      </c>
      <c r="L52" s="2" t="inlineStr">
        <is>
          <t>TCGplayer</t>
        </is>
      </c>
      <c r="N52" s="4" t="inlineStr">
        <is>
          <t>https://www.tcgplayer.com/product/712901</t>
        </is>
      </c>
    </row>
    <row r="53">
      <c r="A53" s="2" t="inlineStr">
        <is>
          <t>The Quest Begins Booster Box</t>
        </is>
      </c>
      <c r="B53" s="3">
        <f>IF(H53&lt;&gt;"",H53,IF(I53&lt;&gt;"",I53,IF(J53&lt;&gt;"",J53,K53)))</f>
        <v>22000.0</v>
      </c>
      <c r="C53" s="3">
        <f>MEDIAN(H53:K53)</f>
        <v>22000.0</v>
      </c>
      <c r="D53" s="3">
        <f>ROUND(C53*(1-Settings!$B$2),2)</f>
        <v>15400.0</v>
      </c>
      <c r="E53" s="2" t="inlineStr">
        <is>
          <t>One Piece</t>
        </is>
      </c>
      <c r="F53" s="2" t="inlineStr">
        <is>
          <t>Box</t>
        </is>
      </c>
      <c r="G53" s="2" t="inlineStr">
        <is>
          <t>The Quest Begins</t>
        </is>
      </c>
      <c r="H53" s="3" t="n">
        <v>22000</v>
      </c>
      <c r="I53" s="3" t="n"/>
      <c r="J53" s="3" t="n"/>
      <c r="K53" s="3" t="n"/>
      <c r="L53" s="2" t="inlineStr">
        <is>
          <t>PriceCharting</t>
        </is>
      </c>
      <c r="M53" s="4" t="inlineStr">
        <is>
          <t>https://www.pricecharting.com/game/one-piece-the-quest-begins/booster-box</t>
        </is>
      </c>
    </row>
    <row r="54">
      <c r="A54" s="2" t="inlineStr">
        <is>
          <t>The Time of Battle Booster Box</t>
        </is>
      </c>
      <c r="B54" s="3">
        <f>IF(H54&lt;&gt;"",H54,IF(I54&lt;&gt;"",I54,IF(J54&lt;&gt;"",J54,K54)))</f>
        <v>214.44</v>
      </c>
      <c r="C54" s="3">
        <f>MEDIAN(H54:K54)</f>
        <v>214.44</v>
      </c>
      <c r="D54" s="3">
        <f>ROUND(C54*(1-Settings!$B$2),2)</f>
        <v>150.11</v>
      </c>
      <c r="E54" s="2" t="inlineStr">
        <is>
          <t>One Piece</t>
        </is>
      </c>
      <c r="F54" s="2" t="inlineStr">
        <is>
          <t>Box</t>
        </is>
      </c>
      <c r="G54" s="2" t="inlineStr">
        <is>
          <t>The Time of Battle</t>
        </is>
      </c>
      <c r="H54" s="3" t="n">
        <v>214.44</v>
      </c>
      <c r="I54" s="3" t="n">
        <v>225.37</v>
      </c>
      <c r="J54" s="3" t="n"/>
      <c r="K54" s="3" t="n">
        <v>70</v>
      </c>
      <c r="L54" s="2" t="inlineStr">
        <is>
          <t>PriceCharting + TCGplayer</t>
        </is>
      </c>
      <c r="M54" s="4" t="inlineStr">
        <is>
          <t>https://www.pricecharting.com/game/one-piece-the-time-of-battle/booster-box</t>
        </is>
      </c>
      <c r="N54" s="4" t="inlineStr">
        <is>
          <t>https://www.tcgplayer.com/product/689336</t>
        </is>
      </c>
    </row>
    <row r="55">
      <c r="A55" s="2" t="inlineStr">
        <is>
          <t>The World's Strongest Warriors Booster Box</t>
        </is>
      </c>
      <c r="B55" s="3">
        <f>IF(H55&lt;&gt;"",H55,IF(I55&lt;&gt;"",I55,IF(J55&lt;&gt;"",J55,K55)))</f>
        <v>293.89</v>
      </c>
      <c r="C55" s="3">
        <f>MEDIAN(H55:K55)</f>
        <v>179.945</v>
      </c>
      <c r="D55" s="3">
        <f>ROUND(C55*(1-Settings!$B$2),2)</f>
        <v>125.96</v>
      </c>
      <c r="E55" s="2" t="inlineStr">
        <is>
          <t>One Piece</t>
        </is>
      </c>
      <c r="F55" s="2" t="inlineStr">
        <is>
          <t>Box</t>
        </is>
      </c>
      <c r="G55" s="2" t="inlineStr">
        <is>
          <t>The World's Strongest Warriors</t>
        </is>
      </c>
      <c r="H55" s="3" t="n"/>
      <c r="I55" s="3" t="n">
        <v>293.89</v>
      </c>
      <c r="J55" s="3" t="n"/>
      <c r="K55" s="3" t="n">
        <v>66</v>
      </c>
      <c r="L55" s="2" t="inlineStr">
        <is>
          <t>TCGplayer</t>
        </is>
      </c>
      <c r="N55" s="4" t="inlineStr">
        <is>
          <t>https://www.tcgplayer.com/product/704752</t>
        </is>
      </c>
    </row>
    <row r="56">
      <c r="A56" s="2" t="inlineStr">
        <is>
          <t>Two Legends - Booster Box</t>
        </is>
      </c>
      <c r="B56" s="3">
        <f>IF(H56&lt;&gt;"",H56,IF(I56&lt;&gt;"",I56,IF(J56&lt;&gt;"",J56,K56)))</f>
        <v>246.71</v>
      </c>
      <c r="C56" s="3">
        <f>MEDIAN(H56:K56)</f>
        <v>246.71</v>
      </c>
      <c r="D56" s="3">
        <f>ROUND(C56*(1-Settings!$B$2),2)</f>
        <v>172.7</v>
      </c>
      <c r="E56" s="2" t="inlineStr">
        <is>
          <t>One Piece</t>
        </is>
      </c>
      <c r="F56" s="2" t="inlineStr">
        <is>
          <t>Box</t>
        </is>
      </c>
      <c r="G56" s="2" t="inlineStr">
        <is>
          <t>Two Legends</t>
        </is>
      </c>
      <c r="H56" s="3" t="n">
        <v>246.71</v>
      </c>
      <c r="I56" s="3" t="n">
        <v>246.87</v>
      </c>
      <c r="J56" s="3" t="n"/>
      <c r="K56" s="3" t="n">
        <v>80</v>
      </c>
      <c r="L56" s="2" t="inlineStr">
        <is>
          <t>PriceCharting + TCGplayer</t>
        </is>
      </c>
      <c r="M56" s="4" t="inlineStr">
        <is>
          <t>https://www.pricecharting.com/game/one-piece-two-legends/booster-box</t>
        </is>
      </c>
      <c r="N56" s="4" t="inlineStr">
        <is>
          <t>https://www.tcgplayer.com/product/542504</t>
        </is>
      </c>
    </row>
    <row r="57">
      <c r="A57" s="2" t="inlineStr">
        <is>
          <t>Two Legends Double Pack DP-05 Display Box</t>
        </is>
      </c>
      <c r="B57" s="3">
        <f>IF(H57&lt;&gt;"",H57,IF(I57&lt;&gt;"",I57,IF(J57&lt;&gt;"",J57,K57)))</f>
        <v>261.62</v>
      </c>
      <c r="C57" s="3">
        <f>MEDIAN(H57:K57)</f>
        <v>261.62</v>
      </c>
      <c r="D57" s="3">
        <f>ROUND(C57*(1-Settings!$B$2),2)</f>
        <v>183.13</v>
      </c>
      <c r="E57" s="2" t="inlineStr">
        <is>
          <t>One Piece</t>
        </is>
      </c>
      <c r="F57" s="2" t="inlineStr">
        <is>
          <t>Box</t>
        </is>
      </c>
      <c r="G57" s="2" t="inlineStr">
        <is>
          <t>Two Legends</t>
        </is>
      </c>
      <c r="H57" s="3" t="n">
        <v>261.62</v>
      </c>
      <c r="I57" s="3" t="n"/>
      <c r="J57" s="3" t="n"/>
      <c r="K57" s="3" t="n"/>
      <c r="L57" s="2" t="inlineStr">
        <is>
          <t>PriceCharting</t>
        </is>
      </c>
      <c r="M57" s="4" t="inlineStr">
        <is>
          <t>https://www.pricecharting.com/game/one-piece-two-legends/double-pack-dp-05-display-box</t>
        </is>
      </c>
    </row>
    <row r="58">
      <c r="A58" s="2" t="inlineStr">
        <is>
          <t>Wings of the Captain - Booster Box</t>
        </is>
      </c>
      <c r="B58" s="3">
        <f>IF(H58&lt;&gt;"",H58,IF(I58&lt;&gt;"",I58,IF(J58&lt;&gt;"",J58,K58)))</f>
        <v>397.31</v>
      </c>
      <c r="C58" s="3">
        <f>MEDIAN(H58:K58)</f>
        <v>394.18</v>
      </c>
      <c r="D58" s="3">
        <f>ROUND(C58*(1-Settings!$B$2),2)</f>
        <v>275.93</v>
      </c>
      <c r="E58" s="2" t="inlineStr">
        <is>
          <t>One Piece</t>
        </is>
      </c>
      <c r="F58" s="2" t="inlineStr">
        <is>
          <t>Box</t>
        </is>
      </c>
      <c r="G58" s="2" t="inlineStr">
        <is>
          <t>Wings of the Captain</t>
        </is>
      </c>
      <c r="H58" s="3" t="n">
        <v>397.31</v>
      </c>
      <c r="I58" s="3" t="n">
        <v>394.18</v>
      </c>
      <c r="J58" s="3" t="n"/>
      <c r="K58" s="3" t="n">
        <v>386.99</v>
      </c>
      <c r="L58" s="2" t="inlineStr">
        <is>
          <t>PriceCharting + TCGplayer</t>
        </is>
      </c>
      <c r="M58" s="4" t="inlineStr">
        <is>
          <t>https://www.pricecharting.com/game/one-piece-wings-of-the-captain/booster-box</t>
        </is>
      </c>
      <c r="N58" s="4" t="inlineStr">
        <is>
          <t>https://www.tcgplayer.com/product/515080</t>
        </is>
      </c>
    </row>
    <row r="59">
      <c r="A59" s="2" t="inlineStr">
        <is>
          <t>Wings Of The Captain Double Pack DP-03 Display Box</t>
        </is>
      </c>
      <c r="B59" s="3">
        <f>IF(H59&lt;&gt;"",H59,IF(I59&lt;&gt;"",I59,IF(J59&lt;&gt;"",J59,K59)))</f>
        <v>158.97</v>
      </c>
      <c r="C59" s="3">
        <f>MEDIAN(H59:K59)</f>
        <v>158.97</v>
      </c>
      <c r="D59" s="3">
        <f>ROUND(C59*(1-Settings!$B$2),2)</f>
        <v>111.28</v>
      </c>
      <c r="E59" s="2" t="inlineStr">
        <is>
          <t>One Piece</t>
        </is>
      </c>
      <c r="F59" s="2" t="inlineStr">
        <is>
          <t>Box</t>
        </is>
      </c>
      <c r="G59" s="2" t="inlineStr">
        <is>
          <t>Wings Of The Captain</t>
        </is>
      </c>
      <c r="H59" s="3" t="n">
        <v>158.97</v>
      </c>
      <c r="I59" s="3" t="n"/>
      <c r="J59" s="3" t="n"/>
      <c r="K59" s="3" t="n"/>
      <c r="L59" s="2" t="inlineStr">
        <is>
          <t>PriceCharting</t>
        </is>
      </c>
      <c r="M59" s="4" t="inlineStr">
        <is>
          <t>https://www.pricecharting.com/game/one-piece-wings-of-the-captain/double-pack-dp-03-display-box</t>
        </is>
      </c>
    </row>
    <row r="60">
      <c r="A60" s="2" t="inlineStr">
        <is>
          <t>Double Pack Set Volume 4</t>
        </is>
      </c>
      <c r="B60" s="3">
        <f>IF(H60&lt;&gt;"",H60,IF(I60&lt;&gt;"",I60,IF(J60&lt;&gt;"",J60,K60)))</f>
        <v>51.95</v>
      </c>
      <c r="C60" s="3">
        <f>MEDIAN(H60:K60)</f>
        <v>55.97</v>
      </c>
      <c r="D60" s="3">
        <f>ROUND(C60*(1-Settings!$B$2),2)</f>
        <v>39.18</v>
      </c>
      <c r="E60" s="2" t="inlineStr">
        <is>
          <t>One Piece</t>
        </is>
      </c>
      <c r="F60" s="2" t="inlineStr">
        <is>
          <t>Coffret</t>
        </is>
      </c>
      <c r="G60" s="2" t="inlineStr">
        <is>
          <t>500 Years in the Future</t>
        </is>
      </c>
      <c r="H60" s="3" t="n"/>
      <c r="I60" s="3" t="n">
        <v>51.95</v>
      </c>
      <c r="J60" s="3" t="n"/>
      <c r="K60" s="3" t="n">
        <v>59.99</v>
      </c>
      <c r="L60" s="2" t="inlineStr">
        <is>
          <t>TCGplayer</t>
        </is>
      </c>
      <c r="N60" s="4" t="inlineStr">
        <is>
          <t>https://www.tcgplayer.com/product/549493</t>
        </is>
      </c>
    </row>
    <row r="61">
      <c r="A61" s="2" t="inlineStr">
        <is>
          <t>Double Pack Set Volume 7</t>
        </is>
      </c>
      <c r="B61" s="3">
        <f>IF(H61&lt;&gt;"",H61,IF(I61&lt;&gt;"",I61,IF(J61&lt;&gt;"",J61,K61)))</f>
        <v>73.36</v>
      </c>
      <c r="C61" s="3">
        <f>MEDIAN(H61:K61)</f>
        <v>71.675</v>
      </c>
      <c r="D61" s="3">
        <f>ROUND(C61*(1-Settings!$B$2),2)</f>
        <v>50.17</v>
      </c>
      <c r="E61" s="2" t="inlineStr">
        <is>
          <t>One Piece</t>
        </is>
      </c>
      <c r="F61" s="2" t="inlineStr">
        <is>
          <t>Coffret</t>
        </is>
      </c>
      <c r="G61" s="2" t="inlineStr">
        <is>
          <t>A Fist of Divine Speed</t>
        </is>
      </c>
      <c r="H61" s="3" t="n"/>
      <c r="I61" s="3" t="n">
        <v>73.36</v>
      </c>
      <c r="J61" s="3" t="n"/>
      <c r="K61" s="3" t="n">
        <v>69.98999999999999</v>
      </c>
      <c r="L61" s="2" t="inlineStr">
        <is>
          <t>TCGplayer</t>
        </is>
      </c>
      <c r="N61" s="4" t="inlineStr">
        <is>
          <t>https://www.tcgplayer.com/product/606561</t>
        </is>
      </c>
    </row>
    <row r="62">
      <c r="A62" s="2" t="inlineStr">
        <is>
          <t>Double Pack Set Vol. 10</t>
        </is>
      </c>
      <c r="B62" s="3">
        <f>IF(H62&lt;&gt;"",H62,IF(I62&lt;&gt;"",I62,IF(J62&lt;&gt;"",J62,K62)))</f>
        <v>39.65</v>
      </c>
      <c r="C62" s="3">
        <f>MEDIAN(H62:K62)</f>
        <v>35.825</v>
      </c>
      <c r="D62" s="3">
        <f>ROUND(C62*(1-Settings!$B$2),2)</f>
        <v>25.08</v>
      </c>
      <c r="E62" s="2" t="inlineStr">
        <is>
          <t>One Piece</t>
        </is>
      </c>
      <c r="F62" s="2" t="inlineStr">
        <is>
          <t>Coffret</t>
        </is>
      </c>
      <c r="G62" s="2" t="inlineStr">
        <is>
          <t>Adventure on Kami's Island</t>
        </is>
      </c>
      <c r="H62" s="3" t="n"/>
      <c r="I62" s="3" t="n">
        <v>39.65</v>
      </c>
      <c r="J62" s="3" t="n"/>
      <c r="K62" s="3" t="n">
        <v>32</v>
      </c>
      <c r="L62" s="2" t="inlineStr">
        <is>
          <t>TCGplayer</t>
        </is>
      </c>
      <c r="N62" s="4" t="inlineStr">
        <is>
          <t>https://www.tcgplayer.com/product/682789</t>
        </is>
      </c>
    </row>
    <row r="63">
      <c r="A63" s="2" t="inlineStr">
        <is>
          <t>Double Pack Set Volume 2</t>
        </is>
      </c>
      <c r="B63" s="3">
        <f>IF(H63&lt;&gt;"",H63,IF(I63&lt;&gt;"",I63,IF(J63&lt;&gt;"",J63,K63)))</f>
        <v>227.95</v>
      </c>
      <c r="C63" s="3">
        <f>MEDIAN(H63:K63)</f>
        <v>220.86</v>
      </c>
      <c r="D63" s="3">
        <f>ROUND(C63*(1-Settings!$B$2),2)</f>
        <v>154.6</v>
      </c>
      <c r="E63" s="2" t="inlineStr">
        <is>
          <t>One Piece</t>
        </is>
      </c>
      <c r="F63" s="2" t="inlineStr">
        <is>
          <t>Coffret</t>
        </is>
      </c>
      <c r="G63" s="2" t="inlineStr">
        <is>
          <t>Awakening of the New Era</t>
        </is>
      </c>
      <c r="H63" s="3" t="n"/>
      <c r="I63" s="3" t="n">
        <v>227.95</v>
      </c>
      <c r="J63" s="3" t="n"/>
      <c r="K63" s="3" t="n">
        <v>213.77</v>
      </c>
      <c r="L63" s="2" t="inlineStr">
        <is>
          <t>TCGplayer</t>
        </is>
      </c>
      <c r="N63" s="4" t="inlineStr">
        <is>
          <t>https://www.tcgplayer.com/product/527060</t>
        </is>
      </c>
    </row>
    <row r="64">
      <c r="A64" s="2" t="inlineStr">
        <is>
          <t>Carrying On His Will One Piece Tin Pack Set Vol. 2 - Monkey.D.Luffy</t>
        </is>
      </c>
      <c r="B64" s="3">
        <f>IF(H64&lt;&gt;"",H64,IF(I64&lt;&gt;"",I64,IF(J64&lt;&gt;"",J64,K64)))</f>
        <v>61.94</v>
      </c>
      <c r="C64" s="3">
        <f>MEDIAN(H64:K64)</f>
        <v>61.94</v>
      </c>
      <c r="D64" s="3">
        <f>ROUND(C64*(1-Settings!$B$2),2)</f>
        <v>43.36</v>
      </c>
      <c r="E64" s="2" t="inlineStr">
        <is>
          <t>One Piece</t>
        </is>
      </c>
      <c r="F64" s="2" t="inlineStr">
        <is>
          <t>Coffret</t>
        </is>
      </c>
      <c r="G64" s="2" t="inlineStr">
        <is>
          <t>Carrying On His Will</t>
        </is>
      </c>
      <c r="H64" s="3" t="n">
        <v>61.94</v>
      </c>
      <c r="I64" s="3" t="n"/>
      <c r="J64" s="3" t="n"/>
      <c r="K64" s="3" t="n"/>
      <c r="L64" s="2" t="inlineStr">
        <is>
          <t>PriceCharting</t>
        </is>
      </c>
      <c r="M64" s="4" t="inlineStr">
        <is>
          <t>https://www.pricecharting.com/game/one-piece-carrying-on-his-will/one-piece-tin-pack-set-vol-2-monkeydluffy</t>
        </is>
      </c>
    </row>
    <row r="65">
      <c r="A65" s="2" t="inlineStr">
        <is>
          <t>Double Pack Set Volume 6</t>
        </is>
      </c>
      <c r="B65" s="3">
        <f>IF(H65&lt;&gt;"",H65,IF(I65&lt;&gt;"",I65,IF(J65&lt;&gt;"",J65,K65)))</f>
        <v>94.71</v>
      </c>
      <c r="C65" s="3">
        <f>MEDIAN(H65:K65)</f>
        <v>93.85</v>
      </c>
      <c r="D65" s="3">
        <f>ROUND(C65*(1-Settings!$B$2),2)</f>
        <v>65.7</v>
      </c>
      <c r="E65" s="2" t="inlineStr">
        <is>
          <t>One Piece</t>
        </is>
      </c>
      <c r="F65" s="2" t="inlineStr">
        <is>
          <t>Coffret</t>
        </is>
      </c>
      <c r="G65" s="2" t="inlineStr">
        <is>
          <t>Emperors in the New World</t>
        </is>
      </c>
      <c r="H65" s="3" t="n"/>
      <c r="I65" s="3" t="n">
        <v>94.70999999999999</v>
      </c>
      <c r="J65" s="3" t="n"/>
      <c r="K65" s="3" t="n">
        <v>92.98999999999999</v>
      </c>
      <c r="L65" s="2" t="inlineStr">
        <is>
          <t>TCGplayer</t>
        </is>
      </c>
      <c r="N65" s="4" t="inlineStr">
        <is>
          <t>https://www.tcgplayer.com/product/563842</t>
        </is>
      </c>
    </row>
    <row r="66">
      <c r="A66" s="2" t="inlineStr">
        <is>
          <t>Extra Booster Heroines Edition Heroines Special Set</t>
        </is>
      </c>
      <c r="B66" s="3">
        <f>IF(H66&lt;&gt;"",H66,IF(I66&lt;&gt;"",I66,IF(J66&lt;&gt;"",J66,K66)))</f>
        <v>257.5</v>
      </c>
      <c r="C66" s="3">
        <f>MEDIAN(H66:K66)</f>
        <v>257.5</v>
      </c>
      <c r="D66" s="3">
        <f>ROUND(C66*(1-Settings!$B$2),2)</f>
        <v>180.25</v>
      </c>
      <c r="E66" s="2" t="inlineStr">
        <is>
          <t>One Piece</t>
        </is>
      </c>
      <c r="F66" s="2" t="inlineStr">
        <is>
          <t>Coffret</t>
        </is>
      </c>
      <c r="G66" s="2" t="inlineStr">
        <is>
          <t>Extra Booster Heroines Edition</t>
        </is>
      </c>
      <c r="H66" s="3" t="n">
        <v>257.5</v>
      </c>
      <c r="I66" s="3" t="n"/>
      <c r="J66" s="3" t="n"/>
      <c r="K66" s="3" t="n"/>
      <c r="L66" s="2" t="inlineStr">
        <is>
          <t>PriceCharting</t>
        </is>
      </c>
      <c r="M66" s="4" t="inlineStr">
        <is>
          <t>https://www.pricecharting.com/game/one-piece-extra-booster-heroines-edition/heroines-special-set</t>
        </is>
      </c>
    </row>
    <row r="67">
      <c r="A67" s="2" t="inlineStr">
        <is>
          <t>Extra Booster: Anime 25th Collection Box</t>
        </is>
      </c>
      <c r="B67" s="3">
        <f>IF(H67&lt;&gt;"",H67,IF(I67&lt;&gt;"",I67,IF(J67&lt;&gt;"",J67,K67)))</f>
        <v>820.37</v>
      </c>
      <c r="C67" s="3">
        <f>MEDIAN(H67:K67)</f>
        <v>472.685</v>
      </c>
      <c r="D67" s="3">
        <f>ROUND(C67*(1-Settings!$B$2),2)</f>
        <v>330.88</v>
      </c>
      <c r="E67" s="2" t="inlineStr">
        <is>
          <t>One Piece</t>
        </is>
      </c>
      <c r="F67" s="2" t="inlineStr">
        <is>
          <t>Coffret</t>
        </is>
      </c>
      <c r="G67" s="2" t="inlineStr">
        <is>
          <t>Extra Booster: Anime 25th Collection</t>
        </is>
      </c>
      <c r="H67" s="3" t="n"/>
      <c r="I67" s="3" t="n">
        <v>820.37</v>
      </c>
      <c r="J67" s="3" t="n"/>
      <c r="K67" s="3" t="n">
        <v>125</v>
      </c>
      <c r="L67" s="2" t="inlineStr">
        <is>
          <t>TCGplayer</t>
        </is>
      </c>
      <c r="N67" s="4" t="inlineStr">
        <is>
          <t>https://www.tcgplayer.com/product/594069</t>
        </is>
      </c>
    </row>
    <row r="68">
      <c r="A68" s="2" t="inlineStr">
        <is>
          <t>Extra Booster: Anime 25th Collection Pack</t>
        </is>
      </c>
      <c r="B68" s="3">
        <f>IF(H68&lt;&gt;"",H68,IF(I68&lt;&gt;"",I68,IF(J68&lt;&gt;"",J68,K68)))</f>
        <v>21.76</v>
      </c>
      <c r="C68" s="3">
        <f>MEDIAN(H68:K68)</f>
        <v>14.375</v>
      </c>
      <c r="D68" s="3">
        <f>ROUND(C68*(1-Settings!$B$2),2)</f>
        <v>10.06</v>
      </c>
      <c r="E68" s="2" t="inlineStr">
        <is>
          <t>One Piece</t>
        </is>
      </c>
      <c r="F68" s="2" t="inlineStr">
        <is>
          <t>Coffret</t>
        </is>
      </c>
      <c r="G68" s="2" t="inlineStr">
        <is>
          <t>Extra Booster: Anime 25th Collection</t>
        </is>
      </c>
      <c r="H68" s="3" t="n"/>
      <c r="I68" s="3" t="n">
        <v>21.76</v>
      </c>
      <c r="J68" s="3" t="n"/>
      <c r="K68" s="3" t="n">
        <v>6.99</v>
      </c>
      <c r="L68" s="2" t="inlineStr">
        <is>
          <t>TCGplayer</t>
        </is>
      </c>
      <c r="N68" s="4" t="inlineStr">
        <is>
          <t>https://www.tcgplayer.com/product/594068</t>
        </is>
      </c>
    </row>
    <row r="69">
      <c r="A69" s="2" t="inlineStr">
        <is>
          <t>Memorial Collection - Booster Pack</t>
        </is>
      </c>
      <c r="B69" s="3">
        <f>IF(H69&lt;&gt;"",H69,IF(I69&lt;&gt;"",I69,IF(J69&lt;&gt;"",J69,K69)))</f>
        <v>31.57</v>
      </c>
      <c r="C69" s="3">
        <f>MEDIAN(H69:K69)</f>
        <v>30.28</v>
      </c>
      <c r="D69" s="3">
        <f>ROUND(C69*(1-Settings!$B$2),2)</f>
        <v>21.2</v>
      </c>
      <c r="E69" s="2" t="inlineStr">
        <is>
          <t>One Piece</t>
        </is>
      </c>
      <c r="F69" s="2" t="inlineStr">
        <is>
          <t>Coffret</t>
        </is>
      </c>
      <c r="G69" s="2" t="inlineStr">
        <is>
          <t>Extra Booster: Memorial Collection</t>
        </is>
      </c>
      <c r="H69" s="3" t="n"/>
      <c r="I69" s="3" t="n">
        <v>31.57</v>
      </c>
      <c r="J69" s="3" t="n"/>
      <c r="K69" s="3" t="n">
        <v>28.99</v>
      </c>
      <c r="L69" s="2" t="inlineStr">
        <is>
          <t>TCGplayer</t>
        </is>
      </c>
      <c r="N69" s="4" t="inlineStr">
        <is>
          <t>https://www.tcgplayer.com/product/521160</t>
        </is>
      </c>
    </row>
    <row r="70">
      <c r="A70" s="2" t="inlineStr">
        <is>
          <t>Extra Booster: One Piece Heroines Edition Box</t>
        </is>
      </c>
      <c r="B70" s="3">
        <f>IF(H70&lt;&gt;"",H70,IF(I70&lt;&gt;"",I70,IF(J70&lt;&gt;"",J70,K70)))</f>
        <v>324.85</v>
      </c>
      <c r="C70" s="3">
        <f>MEDIAN(H70:K70)</f>
        <v>323.425</v>
      </c>
      <c r="D70" s="3">
        <f>ROUND(C70*(1-Settings!$B$2),2)</f>
        <v>226.4</v>
      </c>
      <c r="E70" s="2" t="inlineStr">
        <is>
          <t>One Piece</t>
        </is>
      </c>
      <c r="F70" s="2" t="inlineStr">
        <is>
          <t>Coffret</t>
        </is>
      </c>
      <c r="G70" s="2" t="inlineStr">
        <is>
          <t>Extra Booster: One Piece Heroines Edition</t>
        </is>
      </c>
      <c r="H70" s="3" t="n"/>
      <c r="I70" s="3" t="n">
        <v>324.85</v>
      </c>
      <c r="J70" s="3" t="n"/>
      <c r="K70" s="3" t="n">
        <v>322</v>
      </c>
      <c r="L70" s="2" t="inlineStr">
        <is>
          <t>TCGplayer</t>
        </is>
      </c>
      <c r="N70" s="4" t="inlineStr">
        <is>
          <t>https://www.tcgplayer.com/product/666891</t>
        </is>
      </c>
    </row>
    <row r="71">
      <c r="A71" s="2" t="inlineStr">
        <is>
          <t>Japanese Carrying On His Will Mini Tin</t>
        </is>
      </c>
      <c r="B71" s="3">
        <f>IF(H71&lt;&gt;"",H71,IF(I71&lt;&gt;"",I71,IF(J71&lt;&gt;"",J71,K71)))</f>
        <v>113.25</v>
      </c>
      <c r="C71" s="3">
        <f>MEDIAN(H71:K71)</f>
        <v>113.25</v>
      </c>
      <c r="D71" s="3">
        <f>ROUND(C71*(1-Settings!$B$2),2)</f>
        <v>79.28</v>
      </c>
      <c r="E71" s="2" t="inlineStr">
        <is>
          <t>One Piece</t>
        </is>
      </c>
      <c r="F71" s="2" t="inlineStr">
        <is>
          <t>Coffret</t>
        </is>
      </c>
      <c r="G71" s="2" t="inlineStr">
        <is>
          <t>Japanese Carrying On His Will</t>
        </is>
      </c>
      <c r="H71" s="3" t="n">
        <v>113.25</v>
      </c>
      <c r="I71" s="3" t="n"/>
      <c r="J71" s="3" t="n"/>
      <c r="K71" s="3" t="n"/>
      <c r="L71" s="2" t="inlineStr">
        <is>
          <t>PriceCharting</t>
        </is>
      </c>
      <c r="M71" s="4" t="inlineStr">
        <is>
          <t>https://www.pricecharting.com/game/one-piece-japanese-carrying-on-his-will/mini-tin</t>
        </is>
      </c>
    </row>
    <row r="72">
      <c r="A72" s="2" t="inlineStr">
        <is>
          <t>Japanese Carrying On His Will Treasure Chest Vol. 1</t>
        </is>
      </c>
      <c r="B72" s="3">
        <f>IF(H72&lt;&gt;"",H72,IF(I72&lt;&gt;"",I72,IF(J72&lt;&gt;"",J72,K72)))</f>
        <v>280.0</v>
      </c>
      <c r="C72" s="3">
        <f>MEDIAN(H72:K72)</f>
        <v>280.0</v>
      </c>
      <c r="D72" s="3">
        <f>ROUND(C72*(1-Settings!$B$2),2)</f>
        <v>196.0</v>
      </c>
      <c r="E72" s="2" t="inlineStr">
        <is>
          <t>One Piece</t>
        </is>
      </c>
      <c r="F72" s="2" t="inlineStr">
        <is>
          <t>Coffret</t>
        </is>
      </c>
      <c r="G72" s="2" t="inlineStr">
        <is>
          <t>Japanese Carrying On His Will</t>
        </is>
      </c>
      <c r="H72" s="3" t="n">
        <v>280</v>
      </c>
      <c r="I72" s="3" t="n"/>
      <c r="J72" s="3" t="n"/>
      <c r="K72" s="3" t="n"/>
      <c r="L72" s="2" t="inlineStr">
        <is>
          <t>PriceCharting</t>
        </is>
      </c>
      <c r="M72" s="4" t="inlineStr">
        <is>
          <t>https://www.pricecharting.com/game/one-piece-japanese-carrying-on-his-will/treasure-chest-vol-1</t>
        </is>
      </c>
    </row>
    <row r="73">
      <c r="A73" s="2" t="inlineStr">
        <is>
          <t>Japanese Extra Booster Heroines Edition Heroines Special Set</t>
        </is>
      </c>
      <c r="B73" s="3">
        <f>IF(H73&lt;&gt;"",H73,IF(I73&lt;&gt;"",I73,IF(J73&lt;&gt;"",J73,K73)))</f>
        <v>156.99</v>
      </c>
      <c r="C73" s="3">
        <f>MEDIAN(H73:K73)</f>
        <v>156.99</v>
      </c>
      <c r="D73" s="3">
        <f>ROUND(C73*(1-Settings!$B$2),2)</f>
        <v>109.89</v>
      </c>
      <c r="E73" s="2" t="inlineStr">
        <is>
          <t>One Piece</t>
        </is>
      </c>
      <c r="F73" s="2" t="inlineStr">
        <is>
          <t>Coffret</t>
        </is>
      </c>
      <c r="G73" s="2" t="inlineStr">
        <is>
          <t>Japanese Extra Booster Heroines Edition</t>
        </is>
      </c>
      <c r="H73" s="3" t="n">
        <v>156.99</v>
      </c>
      <c r="I73" s="3" t="n"/>
      <c r="J73" s="3" t="n"/>
      <c r="K73" s="3" t="n"/>
      <c r="L73" s="2" t="inlineStr">
        <is>
          <t>PriceCharting</t>
        </is>
      </c>
      <c r="M73" s="4" t="inlineStr">
        <is>
          <t>https://www.pricecharting.com/game/one-piece-japanese-extra-booster-heroines-edition/heroines-special-set</t>
        </is>
      </c>
    </row>
    <row r="74">
      <c r="A74" s="2" t="inlineStr">
        <is>
          <t>Japanese Extra Booster Heroines Edition Sealed Admirable Collection Vol.1 Vinsmoke Reiju</t>
        </is>
      </c>
      <c r="B74" s="3">
        <f>IF(H74&lt;&gt;"",H74,IF(I74&lt;&gt;"",I74,IF(J74&lt;&gt;"",J74,K74)))</f>
        <v>171.45</v>
      </c>
      <c r="C74" s="3">
        <f>MEDIAN(H74:K74)</f>
        <v>171.45</v>
      </c>
      <c r="D74" s="3">
        <f>ROUND(C74*(1-Settings!$B$2),2)</f>
        <v>120.02</v>
      </c>
      <c r="E74" s="2" t="inlineStr">
        <is>
          <t>One Piece</t>
        </is>
      </c>
      <c r="F74" s="2" t="inlineStr">
        <is>
          <t>Coffret</t>
        </is>
      </c>
      <c r="G74" s="2" t="inlineStr">
        <is>
          <t>Japanese Extra Booster Heroines Edition</t>
        </is>
      </c>
      <c r="H74" s="3" t="n">
        <v>171.45</v>
      </c>
      <c r="I74" s="3" t="n"/>
      <c r="J74" s="3" t="n"/>
      <c r="K74" s="3" t="n"/>
      <c r="L74" s="2" t="inlineStr">
        <is>
          <t>PriceCharting</t>
        </is>
      </c>
      <c r="M74" s="4" t="inlineStr">
        <is>
          <t>https://www.pricecharting.com/game/one-piece-japanese-extra-booster-heroines-edition/sealed-admirable-collection-vol1-vinsmoke-reiju</t>
        </is>
      </c>
    </row>
    <row r="75">
      <c r="A75" s="2" t="inlineStr">
        <is>
          <t>Japanese Paramount War Box Promotion Pack</t>
        </is>
      </c>
      <c r="B75" s="3">
        <f>IF(H75&lt;&gt;"",H75,IF(I75&lt;&gt;"",I75,IF(J75&lt;&gt;"",J75,K75)))</f>
        <v>6.99</v>
      </c>
      <c r="C75" s="3">
        <f>MEDIAN(H75:K75)</f>
        <v>6.99</v>
      </c>
      <c r="D75" s="3">
        <f>ROUND(C75*(1-Settings!$B$2),2)</f>
        <v>4.89</v>
      </c>
      <c r="E75" s="2" t="inlineStr">
        <is>
          <t>One Piece</t>
        </is>
      </c>
      <c r="F75" s="2" t="inlineStr">
        <is>
          <t>Coffret</t>
        </is>
      </c>
      <c r="G75" s="2" t="inlineStr">
        <is>
          <t>Japanese Paramount War</t>
        </is>
      </c>
      <c r="H75" s="3" t="n">
        <v>6.99</v>
      </c>
      <c r="I75" s="3" t="n"/>
      <c r="J75" s="3" t="n"/>
      <c r="K75" s="3" t="n"/>
      <c r="L75" s="2" t="inlineStr">
        <is>
          <t>PriceCharting</t>
        </is>
      </c>
      <c r="M75" s="4" t="inlineStr">
        <is>
          <t>https://www.pricecharting.com/game/one-piece-japanese-paramount-war/box-promotion-pack</t>
        </is>
      </c>
    </row>
    <row r="76">
      <c r="A76" s="2" t="inlineStr">
        <is>
          <t>Japanese Promo 1st Anniversary Set</t>
        </is>
      </c>
      <c r="B76" s="3">
        <f>IF(H76&lt;&gt;"",H76,IF(I76&lt;&gt;"",I76,IF(J76&lt;&gt;"",J76,K76)))</f>
        <v>127.06</v>
      </c>
      <c r="C76" s="3">
        <f>MEDIAN(H76:K76)</f>
        <v>127.06</v>
      </c>
      <c r="D76" s="3">
        <f>ROUND(C76*(1-Settings!$B$2),2)</f>
        <v>88.94</v>
      </c>
      <c r="E76" s="2" t="inlineStr">
        <is>
          <t>One Piece</t>
        </is>
      </c>
      <c r="F76" s="2" t="inlineStr">
        <is>
          <t>Coffret</t>
        </is>
      </c>
      <c r="G76" s="2" t="inlineStr">
        <is>
          <t>Japanese Promo</t>
        </is>
      </c>
      <c r="H76" s="3" t="n">
        <v>127.06</v>
      </c>
      <c r="I76" s="3" t="n"/>
      <c r="J76" s="3" t="n"/>
      <c r="K76" s="3" t="n"/>
      <c r="L76" s="2" t="inlineStr">
        <is>
          <t>PriceCharting</t>
        </is>
      </c>
      <c r="M76" s="4" t="inlineStr">
        <is>
          <t>https://www.pricecharting.com/game/one-piece-japanese-promo/1st-anniversary-set</t>
        </is>
      </c>
    </row>
    <row r="77">
      <c r="A77" s="2" t="inlineStr">
        <is>
          <t>Japanese Promo 2nd Anniversary Set</t>
        </is>
      </c>
      <c r="B77" s="3">
        <f>IF(H77&lt;&gt;"",H77,IF(I77&lt;&gt;"",I77,IF(J77&lt;&gt;"",J77,K77)))</f>
        <v>63.24</v>
      </c>
      <c r="C77" s="3">
        <f>MEDIAN(H77:K77)</f>
        <v>63.24</v>
      </c>
      <c r="D77" s="3">
        <f>ROUND(C77*(1-Settings!$B$2),2)</f>
        <v>44.27</v>
      </c>
      <c r="E77" s="2" t="inlineStr">
        <is>
          <t>One Piece</t>
        </is>
      </c>
      <c r="F77" s="2" t="inlineStr">
        <is>
          <t>Coffret</t>
        </is>
      </c>
      <c r="G77" s="2" t="inlineStr">
        <is>
          <t>Japanese Promo</t>
        </is>
      </c>
      <c r="H77" s="3" t="n">
        <v>63.24</v>
      </c>
      <c r="I77" s="3" t="n"/>
      <c r="J77" s="3" t="n"/>
      <c r="K77" s="3" t="n"/>
      <c r="L77" s="2" t="inlineStr">
        <is>
          <t>PriceCharting</t>
        </is>
      </c>
      <c r="M77" s="4" t="inlineStr">
        <is>
          <t>https://www.pricecharting.com/game/one-piece-japanese-promo/2nd-anniversary-set</t>
        </is>
      </c>
    </row>
    <row r="78">
      <c r="A78" s="2" t="inlineStr">
        <is>
          <t>Japanese Promo Base Shop Limited Card Collection Vol.1</t>
        </is>
      </c>
      <c r="B78" s="3">
        <f>IF(H78&lt;&gt;"",H78,IF(I78&lt;&gt;"",I78,IF(J78&lt;&gt;"",J78,K78)))</f>
        <v>123.6</v>
      </c>
      <c r="C78" s="3">
        <f>MEDIAN(H78:K78)</f>
        <v>123.6</v>
      </c>
      <c r="D78" s="3">
        <f>ROUND(C78*(1-Settings!$B$2),2)</f>
        <v>86.52</v>
      </c>
      <c r="E78" s="2" t="inlineStr">
        <is>
          <t>One Piece</t>
        </is>
      </c>
      <c r="F78" s="2" t="inlineStr">
        <is>
          <t>Coffret</t>
        </is>
      </c>
      <c r="G78" s="2" t="inlineStr">
        <is>
          <t>Japanese Promo</t>
        </is>
      </c>
      <c r="H78" s="3" t="n">
        <v>123.6</v>
      </c>
      <c r="I78" s="3" t="n"/>
      <c r="J78" s="3" t="n"/>
      <c r="K78" s="3" t="n"/>
      <c r="L78" s="2" t="inlineStr">
        <is>
          <t>PriceCharting</t>
        </is>
      </c>
      <c r="M78" s="4" t="inlineStr">
        <is>
          <t>https://www.pricecharting.com/game/one-piece-japanese-promo/base-shop-limited-card-collection-vol1</t>
        </is>
      </c>
    </row>
    <row r="79">
      <c r="A79" s="2" t="inlineStr">
        <is>
          <t>Japanese Promo Premium Card Collection [25th Anniversary]</t>
        </is>
      </c>
      <c r="B79" s="3">
        <f>IF(H79&lt;&gt;"",H79,IF(I79&lt;&gt;"",I79,IF(J79&lt;&gt;"",J79,K79)))</f>
        <v>149.9</v>
      </c>
      <c r="C79" s="3">
        <f>MEDIAN(H79:K79)</f>
        <v>149.9</v>
      </c>
      <c r="D79" s="3">
        <f>ROUND(C79*(1-Settings!$B$2),2)</f>
        <v>104.93</v>
      </c>
      <c r="E79" s="2" t="inlineStr">
        <is>
          <t>One Piece</t>
        </is>
      </c>
      <c r="F79" s="2" t="inlineStr">
        <is>
          <t>Coffret</t>
        </is>
      </c>
      <c r="G79" s="2" t="inlineStr">
        <is>
          <t>Japanese Promo</t>
        </is>
      </c>
      <c r="H79" s="3" t="n">
        <v>149.9</v>
      </c>
      <c r="I79" s="3" t="n"/>
      <c r="J79" s="3" t="n"/>
      <c r="K79" s="3" t="n"/>
      <c r="L79" s="2" t="inlineStr">
        <is>
          <t>PriceCharting</t>
        </is>
      </c>
      <c r="M79" s="4" t="inlineStr">
        <is>
          <t>https://www.pricecharting.com/game/one-piece-japanese-promo/premium-card-collection-25th-anniversary</t>
        </is>
      </c>
    </row>
    <row r="80">
      <c r="A80" s="2" t="inlineStr">
        <is>
          <t>Japanese Promo Premium Card Collection [6 Assort Vol.1]</t>
        </is>
      </c>
      <c r="B80" s="3">
        <f>IF(H80&lt;&gt;"",H80,IF(I80&lt;&gt;"",I80,IF(J80&lt;&gt;"",J80,K80)))</f>
        <v>62.21</v>
      </c>
      <c r="C80" s="3">
        <f>MEDIAN(H80:K80)</f>
        <v>62.21</v>
      </c>
      <c r="D80" s="3">
        <f>ROUND(C80*(1-Settings!$B$2),2)</f>
        <v>43.55</v>
      </c>
      <c r="E80" s="2" t="inlineStr">
        <is>
          <t>One Piece</t>
        </is>
      </c>
      <c r="F80" s="2" t="inlineStr">
        <is>
          <t>Coffret</t>
        </is>
      </c>
      <c r="G80" s="2" t="inlineStr">
        <is>
          <t>Japanese Promo</t>
        </is>
      </c>
      <c r="H80" s="3" t="n">
        <v>62.21</v>
      </c>
      <c r="I80" s="3" t="n"/>
      <c r="J80" s="3" t="n"/>
      <c r="K80" s="3" t="n"/>
      <c r="L80" s="2" t="inlineStr">
        <is>
          <t>PriceCharting</t>
        </is>
      </c>
      <c r="M80" s="4" t="inlineStr">
        <is>
          <t>https://www.pricecharting.com/game/one-piece-japanese-promo/premium-card-collection-6-assort-vol1</t>
        </is>
      </c>
    </row>
    <row r="81">
      <c r="A81" s="2" t="inlineStr">
        <is>
          <t>Japanese Promo Premium Card Collection [Bandai Card Games Fest 23-24]</t>
        </is>
      </c>
      <c r="B81" s="3">
        <f>IF(H81&lt;&gt;"",H81,IF(I81&lt;&gt;"",I81,IF(J81&lt;&gt;"",J81,K81)))</f>
        <v>46.99</v>
      </c>
      <c r="C81" s="3">
        <f>MEDIAN(H81:K81)</f>
        <v>46.99</v>
      </c>
      <c r="D81" s="3">
        <f>ROUND(C81*(1-Settings!$B$2),2)</f>
        <v>32.89</v>
      </c>
      <c r="E81" s="2" t="inlineStr">
        <is>
          <t>One Piece</t>
        </is>
      </c>
      <c r="F81" s="2" t="inlineStr">
        <is>
          <t>Coffret</t>
        </is>
      </c>
      <c r="G81" s="2" t="inlineStr">
        <is>
          <t>Japanese Promo</t>
        </is>
      </c>
      <c r="H81" s="3" t="n">
        <v>46.99</v>
      </c>
      <c r="I81" s="3" t="n"/>
      <c r="J81" s="3" t="n"/>
      <c r="K81" s="3" t="n"/>
      <c r="L81" s="2" t="inlineStr">
        <is>
          <t>PriceCharting</t>
        </is>
      </c>
      <c r="M81" s="4" t="inlineStr">
        <is>
          <t>https://www.pricecharting.com/game/one-piece-japanese-promo/premium-card-collection-bandai-card-games-fest-23-24</t>
        </is>
      </c>
    </row>
    <row r="82">
      <c r="A82" s="2" t="inlineStr">
        <is>
          <t>Japanese Promo Premium Card Collection [Best Selection Vol.2]</t>
        </is>
      </c>
      <c r="B82" s="3">
        <f>IF(H82&lt;&gt;"",H82,IF(I82&lt;&gt;"",I82,IF(J82&lt;&gt;"",J82,K82)))</f>
        <v>54.98</v>
      </c>
      <c r="C82" s="3">
        <f>MEDIAN(H82:K82)</f>
        <v>54.98</v>
      </c>
      <c r="D82" s="3">
        <f>ROUND(C82*(1-Settings!$B$2),2)</f>
        <v>38.49</v>
      </c>
      <c r="E82" s="2" t="inlineStr">
        <is>
          <t>One Piece</t>
        </is>
      </c>
      <c r="F82" s="2" t="inlineStr">
        <is>
          <t>Coffret</t>
        </is>
      </c>
      <c r="G82" s="2" t="inlineStr">
        <is>
          <t>Japanese Promo</t>
        </is>
      </c>
      <c r="H82" s="3" t="n">
        <v>54.98</v>
      </c>
      <c r="I82" s="3" t="n"/>
      <c r="J82" s="3" t="n"/>
      <c r="K82" s="3" t="n"/>
      <c r="L82" s="2" t="inlineStr">
        <is>
          <t>PriceCharting</t>
        </is>
      </c>
      <c r="M82" s="4" t="inlineStr">
        <is>
          <t>https://www.pricecharting.com/game/one-piece-japanese-promo/premium-card-collection-best-selection-vol2</t>
        </is>
      </c>
    </row>
    <row r="83">
      <c r="A83" s="2" t="inlineStr">
        <is>
          <t>Japanese Promo Premium Card Collection [Best Selection Vol.3]</t>
        </is>
      </c>
      <c r="B83" s="3">
        <f>IF(H83&lt;&gt;"",H83,IF(I83&lt;&gt;"",I83,IF(J83&lt;&gt;"",J83,K83)))</f>
        <v>63.06</v>
      </c>
      <c r="C83" s="3">
        <f>MEDIAN(H83:K83)</f>
        <v>63.06</v>
      </c>
      <c r="D83" s="3">
        <f>ROUND(C83*(1-Settings!$B$2),2)</f>
        <v>44.14</v>
      </c>
      <c r="E83" s="2" t="inlineStr">
        <is>
          <t>One Piece</t>
        </is>
      </c>
      <c r="F83" s="2" t="inlineStr">
        <is>
          <t>Coffret</t>
        </is>
      </c>
      <c r="G83" s="2" t="inlineStr">
        <is>
          <t>Japanese Promo</t>
        </is>
      </c>
      <c r="H83" s="3" t="n">
        <v>63.06</v>
      </c>
      <c r="I83" s="3" t="n"/>
      <c r="J83" s="3" t="n"/>
      <c r="K83" s="3" t="n"/>
      <c r="L83" s="2" t="inlineStr">
        <is>
          <t>PriceCharting</t>
        </is>
      </c>
      <c r="M83" s="4" t="inlineStr">
        <is>
          <t>https://www.pricecharting.com/game/one-piece-japanese-promo/premium-card-collection-best-selection-vol3</t>
        </is>
      </c>
    </row>
    <row r="84">
      <c r="A84" s="2" t="inlineStr">
        <is>
          <t>Japanese Promo Premium Card Collection [Best Selection Vol.4]</t>
        </is>
      </c>
      <c r="B84" s="3">
        <f>IF(H84&lt;&gt;"",H84,IF(I84&lt;&gt;"",I84,IF(J84&lt;&gt;"",J84,K84)))</f>
        <v>87.87</v>
      </c>
      <c r="C84" s="3">
        <f>MEDIAN(H84:K84)</f>
        <v>87.87</v>
      </c>
      <c r="D84" s="3">
        <f>ROUND(C84*(1-Settings!$B$2),2)</f>
        <v>61.51</v>
      </c>
      <c r="E84" s="2" t="inlineStr">
        <is>
          <t>One Piece</t>
        </is>
      </c>
      <c r="F84" s="2" t="inlineStr">
        <is>
          <t>Coffret</t>
        </is>
      </c>
      <c r="G84" s="2" t="inlineStr">
        <is>
          <t>Japanese Promo</t>
        </is>
      </c>
      <c r="H84" s="3" t="n">
        <v>87.87</v>
      </c>
      <c r="I84" s="3" t="n"/>
      <c r="J84" s="3" t="n"/>
      <c r="K84" s="3" t="n"/>
      <c r="L84" s="2" t="inlineStr">
        <is>
          <t>PriceCharting</t>
        </is>
      </c>
      <c r="M84" s="4" t="inlineStr">
        <is>
          <t>https://www.pricecharting.com/game/one-piece-japanese-promo/premium-card-collection-best-selection-vol4</t>
        </is>
      </c>
    </row>
    <row r="85">
      <c r="A85" s="2" t="inlineStr">
        <is>
          <t>Japanese Promo Premium Card Collection [Best Selection Vol.5]</t>
        </is>
      </c>
      <c r="B85" s="3">
        <f>IF(H85&lt;&gt;"",H85,IF(I85&lt;&gt;"",I85,IF(J85&lt;&gt;"",J85,K85)))</f>
        <v>68.85</v>
      </c>
      <c r="C85" s="3">
        <f>MEDIAN(H85:K85)</f>
        <v>68.85</v>
      </c>
      <c r="D85" s="3">
        <f>ROUND(C85*(1-Settings!$B$2),2)</f>
        <v>48.2</v>
      </c>
      <c r="E85" s="2" t="inlineStr">
        <is>
          <t>One Piece</t>
        </is>
      </c>
      <c r="F85" s="2" t="inlineStr">
        <is>
          <t>Coffret</t>
        </is>
      </c>
      <c r="G85" s="2" t="inlineStr">
        <is>
          <t>Japanese Promo</t>
        </is>
      </c>
      <c r="H85" s="3" t="n">
        <v>68.84999999999999</v>
      </c>
      <c r="I85" s="3" t="n"/>
      <c r="J85" s="3" t="n"/>
      <c r="K85" s="3" t="n"/>
      <c r="L85" s="2" t="inlineStr">
        <is>
          <t>PriceCharting</t>
        </is>
      </c>
      <c r="M85" s="4" t="inlineStr">
        <is>
          <t>https://www.pricecharting.com/game/one-piece-japanese-promo/premium-card-collection-best-selection-vol5</t>
        </is>
      </c>
    </row>
    <row r="86">
      <c r="A86" s="2" t="inlineStr">
        <is>
          <t>Japanese Promo Premium Card Collection [Film Red]</t>
        </is>
      </c>
      <c r="B86" s="3">
        <f>IF(H86&lt;&gt;"",H86,IF(I86&lt;&gt;"",I86,IF(J86&lt;&gt;"",J86,K86)))</f>
        <v>65.91</v>
      </c>
      <c r="C86" s="3">
        <f>MEDIAN(H86:K86)</f>
        <v>65.91</v>
      </c>
      <c r="D86" s="3">
        <f>ROUND(C86*(1-Settings!$B$2),2)</f>
        <v>46.14</v>
      </c>
      <c r="E86" s="2" t="inlineStr">
        <is>
          <t>One Piece</t>
        </is>
      </c>
      <c r="F86" s="2" t="inlineStr">
        <is>
          <t>Coffret</t>
        </is>
      </c>
      <c r="G86" s="2" t="inlineStr">
        <is>
          <t>Japanese Promo</t>
        </is>
      </c>
      <c r="H86" s="3" t="n">
        <v>65.91</v>
      </c>
      <c r="I86" s="3" t="n"/>
      <c r="J86" s="3" t="n"/>
      <c r="K86" s="3" t="n"/>
      <c r="L86" s="2" t="inlineStr">
        <is>
          <t>PriceCharting</t>
        </is>
      </c>
      <c r="M86" s="4" t="inlineStr">
        <is>
          <t>https://www.pricecharting.com/game/one-piece-japanese-promo/premium-card-collection-film-red</t>
        </is>
      </c>
    </row>
    <row r="87">
      <c r="A87" s="2" t="inlineStr">
        <is>
          <t>Japanese Promo Premium Card Collection [Girls Edition]</t>
        </is>
      </c>
      <c r="B87" s="3">
        <f>IF(H87&lt;&gt;"",H87,IF(I87&lt;&gt;"",I87,IF(J87&lt;&gt;"",J87,K87)))</f>
        <v>271.33</v>
      </c>
      <c r="C87" s="3">
        <f>MEDIAN(H87:K87)</f>
        <v>271.33</v>
      </c>
      <c r="D87" s="3">
        <f>ROUND(C87*(1-Settings!$B$2),2)</f>
        <v>189.93</v>
      </c>
      <c r="E87" s="2" t="inlineStr">
        <is>
          <t>One Piece</t>
        </is>
      </c>
      <c r="F87" s="2" t="inlineStr">
        <is>
          <t>Coffret</t>
        </is>
      </c>
      <c r="G87" s="2" t="inlineStr">
        <is>
          <t>Japanese Promo</t>
        </is>
      </c>
      <c r="H87" s="3" t="n">
        <v>271.33</v>
      </c>
      <c r="I87" s="3" t="n"/>
      <c r="J87" s="3" t="n"/>
      <c r="K87" s="3" t="n"/>
      <c r="L87" s="2" t="inlineStr">
        <is>
          <t>PriceCharting</t>
        </is>
      </c>
      <c r="M87" s="4" t="inlineStr">
        <is>
          <t>https://www.pricecharting.com/game/one-piece-japanese-promo/premium-card-collection-girls-edition</t>
        </is>
      </c>
    </row>
    <row r="88">
      <c r="A88" s="2" t="inlineStr">
        <is>
          <t>Japanese Promo Premium Card Collection [Kumamoto Special]</t>
        </is>
      </c>
      <c r="B88" s="3">
        <f>IF(H88&lt;&gt;"",H88,IF(I88&lt;&gt;"",I88,IF(J88&lt;&gt;"",J88,K88)))</f>
        <v>400.0</v>
      </c>
      <c r="C88" s="3">
        <f>MEDIAN(H88:K88)</f>
        <v>400.0</v>
      </c>
      <c r="D88" s="3">
        <f>ROUND(C88*(1-Settings!$B$2),2)</f>
        <v>280.0</v>
      </c>
      <c r="E88" s="2" t="inlineStr">
        <is>
          <t>One Piece</t>
        </is>
      </c>
      <c r="F88" s="2" t="inlineStr">
        <is>
          <t>Coffret</t>
        </is>
      </c>
      <c r="G88" s="2" t="inlineStr">
        <is>
          <t>Japanese Promo</t>
        </is>
      </c>
      <c r="H88" s="3" t="n">
        <v>400</v>
      </c>
      <c r="I88" s="3" t="n"/>
      <c r="J88" s="3" t="n"/>
      <c r="K88" s="3" t="n"/>
      <c r="L88" s="2" t="inlineStr">
        <is>
          <t>PriceCharting</t>
        </is>
      </c>
      <c r="M88" s="4" t="inlineStr">
        <is>
          <t>https://www.pricecharting.com/game/one-piece-japanese-promo/premium-card-collection-kumamoto-special</t>
        </is>
      </c>
    </row>
    <row r="89">
      <c r="A89" s="2" t="inlineStr">
        <is>
          <t>Japanese Promo Premium Card Collection [Leader Collection]</t>
        </is>
      </c>
      <c r="B89" s="3">
        <f>IF(H89&lt;&gt;"",H89,IF(I89&lt;&gt;"",I89,IF(J89&lt;&gt;"",J89,K89)))</f>
        <v>149.26</v>
      </c>
      <c r="C89" s="3">
        <f>MEDIAN(H89:K89)</f>
        <v>149.26</v>
      </c>
      <c r="D89" s="3">
        <f>ROUND(C89*(1-Settings!$B$2),2)</f>
        <v>104.48</v>
      </c>
      <c r="E89" s="2" t="inlineStr">
        <is>
          <t>One Piece</t>
        </is>
      </c>
      <c r="F89" s="2" t="inlineStr">
        <is>
          <t>Coffret</t>
        </is>
      </c>
      <c r="G89" s="2" t="inlineStr">
        <is>
          <t>Japanese Promo</t>
        </is>
      </c>
      <c r="H89" s="3" t="n">
        <v>149.26</v>
      </c>
      <c r="I89" s="3" t="n"/>
      <c r="J89" s="3" t="n"/>
      <c r="K89" s="3" t="n"/>
      <c r="L89" s="2" t="inlineStr">
        <is>
          <t>PriceCharting</t>
        </is>
      </c>
      <c r="M89" s="4" t="inlineStr">
        <is>
          <t>https://www.pricecharting.com/game/one-piece-japanese-promo/premium-card-collection-leader-collection</t>
        </is>
      </c>
    </row>
    <row r="90">
      <c r="A90" s="2" t="inlineStr">
        <is>
          <t>Japanese Promo Premium Card Collection [Live Action Edition]</t>
        </is>
      </c>
      <c r="B90" s="3">
        <f>IF(H90&lt;&gt;"",H90,IF(I90&lt;&gt;"",I90,IF(J90&lt;&gt;"",J90,K90)))</f>
        <v>12.08</v>
      </c>
      <c r="C90" s="3">
        <f>MEDIAN(H90:K90)</f>
        <v>12.08</v>
      </c>
      <c r="D90" s="3">
        <f>ROUND(C90*(1-Settings!$B$2),2)</f>
        <v>8.46</v>
      </c>
      <c r="E90" s="2" t="inlineStr">
        <is>
          <t>One Piece</t>
        </is>
      </c>
      <c r="F90" s="2" t="inlineStr">
        <is>
          <t>Coffret</t>
        </is>
      </c>
      <c r="G90" s="2" t="inlineStr">
        <is>
          <t>Japanese Promo</t>
        </is>
      </c>
      <c r="H90" s="3" t="n">
        <v>12.08</v>
      </c>
      <c r="I90" s="3" t="n"/>
      <c r="J90" s="3" t="n"/>
      <c r="K90" s="3" t="n"/>
      <c r="L90" s="2" t="inlineStr">
        <is>
          <t>PriceCharting</t>
        </is>
      </c>
      <c r="M90" s="4" t="inlineStr">
        <is>
          <t>https://www.pricecharting.com/game/one-piece-japanese-promo/premium-card-collection-live-action-edition</t>
        </is>
      </c>
    </row>
    <row r="91">
      <c r="A91" s="2" t="inlineStr">
        <is>
          <t>Japanese Promo Premium Card Collection [One Piece Day '24]</t>
        </is>
      </c>
      <c r="B91" s="3">
        <f>IF(H91&lt;&gt;"",H91,IF(I91&lt;&gt;"",I91,IF(J91&lt;&gt;"",J91,K91)))</f>
        <v>83.0</v>
      </c>
      <c r="C91" s="3">
        <f>MEDIAN(H91:K91)</f>
        <v>83.0</v>
      </c>
      <c r="D91" s="3">
        <f>ROUND(C91*(1-Settings!$B$2),2)</f>
        <v>58.1</v>
      </c>
      <c r="E91" s="2" t="inlineStr">
        <is>
          <t>One Piece</t>
        </is>
      </c>
      <c r="F91" s="2" t="inlineStr">
        <is>
          <t>Coffret</t>
        </is>
      </c>
      <c r="G91" s="2" t="inlineStr">
        <is>
          <t>Japanese Promo</t>
        </is>
      </c>
      <c r="H91" s="3" t="n">
        <v>83</v>
      </c>
      <c r="I91" s="3" t="n"/>
      <c r="J91" s="3" t="n"/>
      <c r="K91" s="3" t="n"/>
      <c r="L91" s="2" t="inlineStr">
        <is>
          <t>PriceCharting</t>
        </is>
      </c>
      <c r="M91" s="4" t="inlineStr">
        <is>
          <t>https://www.pricecharting.com/game/one-piece-japanese-promo/premium-card-collection-one-piece-day-'24</t>
        </is>
      </c>
    </row>
    <row r="92">
      <c r="A92" s="2" t="inlineStr">
        <is>
          <t>Japanese Promo Premium Card Collection [One Piece Day '25]</t>
        </is>
      </c>
      <c r="B92" s="3">
        <f>IF(H92&lt;&gt;"",H92,IF(I92&lt;&gt;"",I92,IF(J92&lt;&gt;"",J92,K92)))</f>
        <v>256.61</v>
      </c>
      <c r="C92" s="3">
        <f>MEDIAN(H92:K92)</f>
        <v>256.61</v>
      </c>
      <c r="D92" s="3">
        <f>ROUND(C92*(1-Settings!$B$2),2)</f>
        <v>179.63</v>
      </c>
      <c r="E92" s="2" t="inlineStr">
        <is>
          <t>One Piece</t>
        </is>
      </c>
      <c r="F92" s="2" t="inlineStr">
        <is>
          <t>Coffret</t>
        </is>
      </c>
      <c r="G92" s="2" t="inlineStr">
        <is>
          <t>Japanese Promo</t>
        </is>
      </c>
      <c r="H92" s="3" t="n">
        <v>256.61</v>
      </c>
      <c r="I92" s="3" t="n"/>
      <c r="J92" s="3" t="n"/>
      <c r="K92" s="3" t="n"/>
      <c r="L92" s="2" t="inlineStr">
        <is>
          <t>PriceCharting</t>
        </is>
      </c>
      <c r="M92" s="4" t="inlineStr">
        <is>
          <t>https://www.pricecharting.com/game/one-piece-japanese-promo/premium-card-collection-one-piece-day-'25</t>
        </is>
      </c>
    </row>
    <row r="93">
      <c r="A93" s="2" t="inlineStr">
        <is>
          <t>Japanese Promo Sealed 3rd Anniversary Set</t>
        </is>
      </c>
      <c r="B93" s="3">
        <f>IF(H93&lt;&gt;"",H93,IF(I93&lt;&gt;"",I93,IF(J93&lt;&gt;"",J93,K93)))</f>
        <v>719.98</v>
      </c>
      <c r="C93" s="3">
        <f>MEDIAN(H93:K93)</f>
        <v>719.98</v>
      </c>
      <c r="D93" s="3">
        <f>ROUND(C93*(1-Settings!$B$2),2)</f>
        <v>503.99</v>
      </c>
      <c r="E93" s="2" t="inlineStr">
        <is>
          <t>One Piece</t>
        </is>
      </c>
      <c r="F93" s="2" t="inlineStr">
        <is>
          <t>Coffret</t>
        </is>
      </c>
      <c r="G93" s="2" t="inlineStr">
        <is>
          <t>Japanese Promo</t>
        </is>
      </c>
      <c r="H93" s="3" t="n">
        <v>719.98</v>
      </c>
      <c r="I93" s="3" t="n"/>
      <c r="J93" s="3" t="n"/>
      <c r="K93" s="3" t="n"/>
      <c r="L93" s="2" t="inlineStr">
        <is>
          <t>PriceCharting</t>
        </is>
      </c>
      <c r="M93" s="4" t="inlineStr">
        <is>
          <t>https://www.pricecharting.com/game/one-piece-japanese-promo/sealed-3rd-anniversary-set</t>
        </is>
      </c>
    </row>
    <row r="94">
      <c r="A94" s="2" t="inlineStr">
        <is>
          <t>Japanese Promo Sealed Premium Card Collection [Best Selection Vol 1]</t>
        </is>
      </c>
      <c r="B94" s="3">
        <f>IF(H94&lt;&gt;"",H94,IF(I94&lt;&gt;"",I94,IF(J94&lt;&gt;"",J94,K94)))</f>
        <v>60.34</v>
      </c>
      <c r="C94" s="3">
        <f>MEDIAN(H94:K94)</f>
        <v>60.34</v>
      </c>
      <c r="D94" s="3">
        <f>ROUND(C94*(1-Settings!$B$2),2)</f>
        <v>42.24</v>
      </c>
      <c r="E94" s="2" t="inlineStr">
        <is>
          <t>One Piece</t>
        </is>
      </c>
      <c r="F94" s="2" t="inlineStr">
        <is>
          <t>Coffret</t>
        </is>
      </c>
      <c r="G94" s="2" t="inlineStr">
        <is>
          <t>Japanese Promo</t>
        </is>
      </c>
      <c r="H94" s="3" t="n">
        <v>60.34</v>
      </c>
      <c r="I94" s="3" t="n"/>
      <c r="J94" s="3" t="n"/>
      <c r="K94" s="3" t="n"/>
      <c r="L94" s="2" t="inlineStr">
        <is>
          <t>PriceCharting</t>
        </is>
      </c>
      <c r="M94" s="4" t="inlineStr">
        <is>
          <t>https://www.pricecharting.com/game/one-piece-japanese-promo/sealed-premium-card-collection-best-selection-vol-1</t>
        </is>
      </c>
    </row>
    <row r="95">
      <c r="A95" s="2" t="inlineStr">
        <is>
          <t>Japanese Promo Sealed Premium Card Collection [Uta]</t>
        </is>
      </c>
      <c r="B95" s="3">
        <f>IF(H95&lt;&gt;"",H95,IF(I95&lt;&gt;"",I95,IF(J95&lt;&gt;"",J95,K95)))</f>
        <v>78.0</v>
      </c>
      <c r="C95" s="3">
        <f>MEDIAN(H95:K95)</f>
        <v>78.0</v>
      </c>
      <c r="D95" s="3">
        <f>ROUND(C95*(1-Settings!$B$2),2)</f>
        <v>54.6</v>
      </c>
      <c r="E95" s="2" t="inlineStr">
        <is>
          <t>One Piece</t>
        </is>
      </c>
      <c r="F95" s="2" t="inlineStr">
        <is>
          <t>Coffret</t>
        </is>
      </c>
      <c r="G95" s="2" t="inlineStr">
        <is>
          <t>Japanese Promo</t>
        </is>
      </c>
      <c r="H95" s="3" t="n">
        <v>78</v>
      </c>
      <c r="I95" s="3" t="n"/>
      <c r="J95" s="3" t="n"/>
      <c r="K95" s="3" t="n"/>
      <c r="L95" s="2" t="inlineStr">
        <is>
          <t>PriceCharting</t>
        </is>
      </c>
      <c r="M95" s="4" t="inlineStr">
        <is>
          <t>https://www.pricecharting.com/game/one-piece-japanese-promo/sealed-premium-card-collection-uta</t>
        </is>
      </c>
    </row>
    <row r="96">
      <c r="A96" s="2" t="inlineStr">
        <is>
          <t>Double Pack Set Volume 1</t>
        </is>
      </c>
      <c r="B96" s="3">
        <f>IF(H96&lt;&gt;"",H96,IF(I96&lt;&gt;"",I96,IF(J96&lt;&gt;"",J96,K96)))</f>
        <v>76.45</v>
      </c>
      <c r="C96" s="3">
        <f>MEDIAN(H96:K96)</f>
        <v>76.225</v>
      </c>
      <c r="D96" s="3">
        <f>ROUND(C96*(1-Settings!$B$2),2)</f>
        <v>53.36</v>
      </c>
      <c r="E96" s="2" t="inlineStr">
        <is>
          <t>One Piece</t>
        </is>
      </c>
      <c r="F96" s="2" t="inlineStr">
        <is>
          <t>Coffret</t>
        </is>
      </c>
      <c r="G96" s="2" t="inlineStr">
        <is>
          <t>Kingdoms of Intrigue</t>
        </is>
      </c>
      <c r="H96" s="3" t="n"/>
      <c r="I96" s="3" t="n">
        <v>76.45</v>
      </c>
      <c r="J96" s="3" t="n"/>
      <c r="K96" s="3" t="n">
        <v>76</v>
      </c>
      <c r="L96" s="2" t="inlineStr">
        <is>
          <t>TCGplayer</t>
        </is>
      </c>
      <c r="N96" s="4" t="inlineStr">
        <is>
          <t>https://www.tcgplayer.com/product/493752</t>
        </is>
      </c>
    </row>
    <row r="97">
      <c r="A97" s="2" t="inlineStr">
        <is>
          <t>Double Pack Set Vol. 8</t>
        </is>
      </c>
      <c r="B97" s="3">
        <f>IF(H97&lt;&gt;"",H97,IF(I97&lt;&gt;"",I97,IF(J97&lt;&gt;"",J97,K97)))</f>
        <v>38.58</v>
      </c>
      <c r="C97" s="3">
        <f>MEDIAN(H97:K97)</f>
        <v>37.29</v>
      </c>
      <c r="D97" s="3">
        <f>ROUND(C97*(1-Settings!$B$2),2)</f>
        <v>26.1</v>
      </c>
      <c r="E97" s="2" t="inlineStr">
        <is>
          <t>One Piece</t>
        </is>
      </c>
      <c r="F97" s="2" t="inlineStr">
        <is>
          <t>Coffret</t>
        </is>
      </c>
      <c r="G97" s="2" t="inlineStr">
        <is>
          <t>Legacy of the Master</t>
        </is>
      </c>
      <c r="H97" s="3" t="n"/>
      <c r="I97" s="3" t="n">
        <v>38.58</v>
      </c>
      <c r="J97" s="3" t="n"/>
      <c r="K97" s="3" t="n">
        <v>36</v>
      </c>
      <c r="L97" s="2" t="inlineStr">
        <is>
          <t>TCGplayer</t>
        </is>
      </c>
      <c r="N97" s="4" t="inlineStr">
        <is>
          <t>https://www.tcgplayer.com/product/628348</t>
        </is>
      </c>
    </row>
    <row r="98">
      <c r="A98" s="2" t="inlineStr">
        <is>
          <t>Devil Fruits Collection Vol. 1</t>
        </is>
      </c>
      <c r="B98" s="3">
        <f>IF(H98&lt;&gt;"",H98,IF(I98&lt;&gt;"",I98,IF(J98&lt;&gt;"",J98,K98)))</f>
        <v>146.73</v>
      </c>
      <c r="C98" s="3">
        <f>MEDIAN(H98:K98)</f>
        <v>147.865</v>
      </c>
      <c r="D98" s="3">
        <f>ROUND(C98*(1-Settings!$B$2),2)</f>
        <v>103.51</v>
      </c>
      <c r="E98" s="2" t="inlineStr">
        <is>
          <t>One Piece</t>
        </is>
      </c>
      <c r="F98" s="2" t="inlineStr">
        <is>
          <t>Coffret</t>
        </is>
      </c>
      <c r="G98" s="2" t="inlineStr">
        <is>
          <t>One Piece Collection Sets</t>
        </is>
      </c>
      <c r="H98" s="3" t="n"/>
      <c r="I98" s="3" t="n">
        <v>146.73</v>
      </c>
      <c r="J98" s="3" t="n"/>
      <c r="K98" s="3" t="n">
        <v>149</v>
      </c>
      <c r="L98" s="2" t="inlineStr">
        <is>
          <t>TCGplayer</t>
        </is>
      </c>
      <c r="N98" s="4" t="inlineStr">
        <is>
          <t>https://www.tcgplayer.com/product/516299</t>
        </is>
      </c>
    </row>
    <row r="99">
      <c r="A99" s="2" t="inlineStr">
        <is>
          <t>Devil Fruits Collection Vol. 2</t>
        </is>
      </c>
      <c r="B99" s="3">
        <f>IF(H99&lt;&gt;"",H99,IF(I99&lt;&gt;"",I99,IF(J99&lt;&gt;"",J99,K99)))</f>
        <v>77.25</v>
      </c>
      <c r="C99" s="3">
        <f>MEDIAN(H99:K99)</f>
        <v>48.62</v>
      </c>
      <c r="D99" s="3">
        <f>ROUND(C99*(1-Settings!$B$2),2)</f>
        <v>34.03</v>
      </c>
      <c r="E99" s="2" t="inlineStr">
        <is>
          <t>One Piece</t>
        </is>
      </c>
      <c r="F99" s="2" t="inlineStr">
        <is>
          <t>Coffret</t>
        </is>
      </c>
      <c r="G99" s="2" t="inlineStr">
        <is>
          <t>One Piece Collection Sets</t>
        </is>
      </c>
      <c r="H99" s="3" t="n"/>
      <c r="I99" s="3" t="n">
        <v>77.25</v>
      </c>
      <c r="J99" s="3" t="n"/>
      <c r="K99" s="3" t="n">
        <v>19.99</v>
      </c>
      <c r="L99" s="2" t="inlineStr">
        <is>
          <t>TCGplayer</t>
        </is>
      </c>
      <c r="N99" s="4" t="inlineStr">
        <is>
          <t>https://www.tcgplayer.com/product/593446</t>
        </is>
      </c>
    </row>
    <row r="100">
      <c r="A100" s="2" t="inlineStr">
        <is>
          <t>Devil Fruits Collection Vol. 3</t>
        </is>
      </c>
      <c r="B100" s="3">
        <f>IF(H100&lt;&gt;"",H100,IF(I100&lt;&gt;"",I100,IF(J100&lt;&gt;"",J100,K100)))</f>
        <v>54.33</v>
      </c>
      <c r="C100" s="3">
        <f>MEDIAN(H100:K100)</f>
        <v>37.165</v>
      </c>
      <c r="D100" s="3">
        <f>ROUND(C100*(1-Settings!$B$2),2)</f>
        <v>26.02</v>
      </c>
      <c r="E100" s="2" t="inlineStr">
        <is>
          <t>One Piece</t>
        </is>
      </c>
      <c r="F100" s="2" t="inlineStr">
        <is>
          <t>Coffret</t>
        </is>
      </c>
      <c r="G100" s="2" t="inlineStr">
        <is>
          <t>One Piece Collection Sets</t>
        </is>
      </c>
      <c r="H100" s="3" t="n"/>
      <c r="I100" s="3" t="n">
        <v>54.33</v>
      </c>
      <c r="J100" s="3" t="n"/>
      <c r="K100" s="3" t="n">
        <v>20</v>
      </c>
      <c r="L100" s="2" t="inlineStr">
        <is>
          <t>TCGplayer</t>
        </is>
      </c>
      <c r="N100" s="4" t="inlineStr">
        <is>
          <t>https://www.tcgplayer.com/product/649748</t>
        </is>
      </c>
    </row>
    <row r="101">
      <c r="A101" s="2" t="inlineStr">
        <is>
          <t>One Piece Card Game: English Version 1st Anniversary Set (Sealed Promotional Bundle)</t>
        </is>
      </c>
      <c r="B101" s="3">
        <f>IF(H101&lt;&gt;"",H101,IF(I101&lt;&gt;"",I101,IF(J101&lt;&gt;"",J101,K101)))</f>
        <v>5110.64</v>
      </c>
      <c r="C101" s="3">
        <f>MEDIAN(H101:K101)</f>
        <v>5055.32</v>
      </c>
      <c r="D101" s="3">
        <f>ROUND(C101*(1-Settings!$B$2),2)</f>
        <v>3538.72</v>
      </c>
      <c r="E101" s="2" t="inlineStr">
        <is>
          <t>One Piece</t>
        </is>
      </c>
      <c r="F101" s="2" t="inlineStr">
        <is>
          <t>Coffret</t>
        </is>
      </c>
      <c r="G101" s="2" t="inlineStr">
        <is>
          <t>One Piece Collection Sets</t>
        </is>
      </c>
      <c r="H101" s="3" t="n"/>
      <c r="I101" s="3" t="n">
        <v>5110.64</v>
      </c>
      <c r="J101" s="3" t="n"/>
      <c r="K101" s="3" t="n">
        <v>5000</v>
      </c>
      <c r="L101" s="2" t="inlineStr">
        <is>
          <t>TCGplayer</t>
        </is>
      </c>
      <c r="N101" s="4" t="inlineStr">
        <is>
          <t>https://www.tcgplayer.com/product/536588</t>
        </is>
      </c>
    </row>
    <row r="102">
      <c r="A102" s="2" t="inlineStr">
        <is>
          <t>One Piece Card Game: Japanese 1st Anniversary Set (Sealed Promotional Bundle)</t>
        </is>
      </c>
      <c r="B102" s="3">
        <f>IF(H102&lt;&gt;"",H102,IF(I102&lt;&gt;"",I102,IF(J102&lt;&gt;"",J102,K102)))</f>
        <v>191.54</v>
      </c>
      <c r="C102" s="3">
        <f>MEDIAN(H102:K102)</f>
        <v>180.765</v>
      </c>
      <c r="D102" s="3">
        <f>ROUND(C102*(1-Settings!$B$2),2)</f>
        <v>126.54</v>
      </c>
      <c r="E102" s="2" t="inlineStr">
        <is>
          <t>One Piece</t>
        </is>
      </c>
      <c r="F102" s="2" t="inlineStr">
        <is>
          <t>Coffret</t>
        </is>
      </c>
      <c r="G102" s="2" t="inlineStr">
        <is>
          <t>One Piece Collection Sets</t>
        </is>
      </c>
      <c r="H102" s="3" t="n"/>
      <c r="I102" s="3" t="n">
        <v>191.54</v>
      </c>
      <c r="J102" s="3" t="n"/>
      <c r="K102" s="3" t="n">
        <v>169.99</v>
      </c>
      <c r="L102" s="2" t="inlineStr">
        <is>
          <t>TCGplayer</t>
        </is>
      </c>
      <c r="N102" s="4" t="inlineStr">
        <is>
          <t>https://www.tcgplayer.com/product/536154</t>
        </is>
      </c>
    </row>
    <row r="103">
      <c r="A103" s="2" t="inlineStr">
        <is>
          <t>One Piece English Version 2nd Anniversary Set (Sealed Promotional Bundle)</t>
        </is>
      </c>
      <c r="B103" s="3">
        <f>IF(H103&lt;&gt;"",H103,IF(I103&lt;&gt;"",I103,IF(J103&lt;&gt;"",J103,K103)))</f>
        <v>1586.47</v>
      </c>
      <c r="C103" s="3">
        <f>MEDIAN(H103:K103)</f>
        <v>880.73</v>
      </c>
      <c r="D103" s="3">
        <f>ROUND(C103*(1-Settings!$B$2),2)</f>
        <v>616.51</v>
      </c>
      <c r="E103" s="2" t="inlineStr">
        <is>
          <t>One Piece</t>
        </is>
      </c>
      <c r="F103" s="2" t="inlineStr">
        <is>
          <t>Coffret</t>
        </is>
      </c>
      <c r="G103" s="2" t="inlineStr">
        <is>
          <t>One Piece Collection Sets</t>
        </is>
      </c>
      <c r="H103" s="3" t="n"/>
      <c r="I103" s="3" t="n">
        <v>1586.47</v>
      </c>
      <c r="J103" s="3" t="n"/>
      <c r="K103" s="3" t="n">
        <v>174.99</v>
      </c>
      <c r="L103" s="2" t="inlineStr">
        <is>
          <t>TCGplayer</t>
        </is>
      </c>
      <c r="N103" s="4" t="inlineStr">
        <is>
          <t>https://www.tcgplayer.com/product/635482</t>
        </is>
      </c>
    </row>
    <row r="104">
      <c r="A104" s="2" t="inlineStr">
        <is>
          <t>One Piece English Version 3rd Anniversary Set (Sealed Promotional Bundle)</t>
        </is>
      </c>
      <c r="B104" s="3">
        <f>IF(H104&lt;&gt;"",H104,IF(I104&lt;&gt;"",I104,IF(J104&lt;&gt;"",J104,K104)))</f>
        <v>708.28</v>
      </c>
      <c r="C104" s="3">
        <f>MEDIAN(H104:K104)</f>
        <v>681.645</v>
      </c>
      <c r="D104" s="3">
        <f>ROUND(C104*(1-Settings!$B$2),2)</f>
        <v>477.15</v>
      </c>
      <c r="E104" s="2" t="inlineStr">
        <is>
          <t>One Piece</t>
        </is>
      </c>
      <c r="F104" s="2" t="inlineStr">
        <is>
          <t>Coffret</t>
        </is>
      </c>
      <c r="G104" s="2" t="inlineStr">
        <is>
          <t>One Piece Collection Sets</t>
        </is>
      </c>
      <c r="H104" s="3" t="n"/>
      <c r="I104" s="3" t="n">
        <v>708.28</v>
      </c>
      <c r="J104" s="3" t="n"/>
      <c r="K104" s="3" t="n">
        <v>655.01</v>
      </c>
      <c r="L104" s="2" t="inlineStr">
        <is>
          <t>TCGplayer</t>
        </is>
      </c>
      <c r="N104" s="4" t="inlineStr">
        <is>
          <t>https://www.tcgplayer.com/product/710691</t>
        </is>
      </c>
    </row>
    <row r="105">
      <c r="A105" s="2" t="inlineStr">
        <is>
          <t>One Piece Heroines Special Set (Sealed Promotional Bundle)</t>
        </is>
      </c>
      <c r="B105" s="3">
        <f>IF(H105&lt;&gt;"",H105,IF(I105&lt;&gt;"",I105,IF(J105&lt;&gt;"",J105,K105)))</f>
        <v>254.55</v>
      </c>
      <c r="C105" s="3">
        <f>MEDIAN(H105:K105)</f>
        <v>247.27</v>
      </c>
      <c r="D105" s="3">
        <f>ROUND(C105*(1-Settings!$B$2),2)</f>
        <v>173.09</v>
      </c>
      <c r="E105" s="2" t="inlineStr">
        <is>
          <t>One Piece</t>
        </is>
      </c>
      <c r="F105" s="2" t="inlineStr">
        <is>
          <t>Coffret</t>
        </is>
      </c>
      <c r="G105" s="2" t="inlineStr">
        <is>
          <t>One Piece Collection Sets</t>
        </is>
      </c>
      <c r="H105" s="3" t="n"/>
      <c r="I105" s="3" t="n">
        <v>254.55</v>
      </c>
      <c r="J105" s="3" t="n"/>
      <c r="K105" s="3" t="n">
        <v>239.99</v>
      </c>
      <c r="L105" s="2" t="inlineStr">
        <is>
          <t>TCGplayer</t>
        </is>
      </c>
      <c r="N105" s="4" t="inlineStr">
        <is>
          <t>https://www.tcgplayer.com/product/717554</t>
        </is>
      </c>
    </row>
    <row r="106">
      <c r="A106" s="2" t="inlineStr">
        <is>
          <t>One Piece Japanese Version 2nd Anniversary Set (Sealed Promotional Bundle)</t>
        </is>
      </c>
      <c r="B106" s="3">
        <f>IF(H106&lt;&gt;"",H106,IF(I106&lt;&gt;"",I106,IF(J106&lt;&gt;"",J106,K106)))</f>
        <v>910.36</v>
      </c>
      <c r="C106" s="3">
        <f>MEDIAN(H106:K106)</f>
        <v>580.175</v>
      </c>
      <c r="D106" s="3">
        <f>ROUND(C106*(1-Settings!$B$2),2)</f>
        <v>406.12</v>
      </c>
      <c r="E106" s="2" t="inlineStr">
        <is>
          <t>One Piece</t>
        </is>
      </c>
      <c r="F106" s="2" t="inlineStr">
        <is>
          <t>Coffret</t>
        </is>
      </c>
      <c r="G106" s="2" t="inlineStr">
        <is>
          <t>One Piece Collection Sets</t>
        </is>
      </c>
      <c r="H106" s="3" t="n"/>
      <c r="I106" s="3" t="n">
        <v>910.36</v>
      </c>
      <c r="J106" s="3" t="n"/>
      <c r="K106" s="3" t="n">
        <v>249.99</v>
      </c>
      <c r="L106" s="2" t="inlineStr">
        <is>
          <t>TCGplayer</t>
        </is>
      </c>
      <c r="N106" s="4" t="inlineStr">
        <is>
          <t>https://www.tcgplayer.com/product/617585</t>
        </is>
      </c>
    </row>
    <row r="107">
      <c r="A107" s="2" t="inlineStr">
        <is>
          <t>One Piece Japanese Version 3rd Anniversary Set (Sealed Promotional Bundle)</t>
        </is>
      </c>
      <c r="B107" s="3">
        <f>IF(H107&lt;&gt;"",H107,IF(I107&lt;&gt;"",I107,IF(J107&lt;&gt;"",J107,K107)))</f>
        <v>1147.27</v>
      </c>
      <c r="C107" s="3">
        <f>MEDIAN(H107:K107)</f>
        <v>663.5799999999999</v>
      </c>
      <c r="D107" s="3">
        <f>ROUND(C107*(1-Settings!$B$2),2)</f>
        <v>464.51</v>
      </c>
      <c r="E107" s="2" t="inlineStr">
        <is>
          <t>One Piece</t>
        </is>
      </c>
      <c r="F107" s="2" t="inlineStr">
        <is>
          <t>Coffret</t>
        </is>
      </c>
      <c r="G107" s="2" t="inlineStr">
        <is>
          <t>One Piece Collection Sets</t>
        </is>
      </c>
      <c r="H107" s="3" t="n"/>
      <c r="I107" s="3" t="n">
        <v>1147.27</v>
      </c>
      <c r="J107" s="3" t="n"/>
      <c r="K107" s="3" t="n">
        <v>179.89</v>
      </c>
      <c r="L107" s="2" t="inlineStr">
        <is>
          <t>TCGplayer</t>
        </is>
      </c>
      <c r="N107" s="4" t="inlineStr">
        <is>
          <t>https://www.tcgplayer.com/product/680488</t>
        </is>
      </c>
    </row>
    <row r="108">
      <c r="A108" s="2" t="inlineStr">
        <is>
          <t>Gift Collection 2023</t>
        </is>
      </c>
      <c r="B108" s="3">
        <f>IF(H108&lt;&gt;"",H108,IF(I108&lt;&gt;"",I108,IF(J108&lt;&gt;"",J108,K108)))</f>
        <v>446.8</v>
      </c>
      <c r="C108" s="3">
        <f>MEDIAN(H108:K108)</f>
        <v>417.84000000000003</v>
      </c>
      <c r="D108" s="3">
        <f>ROUND(C108*(1-Settings!$B$2),2)</f>
        <v>292.49</v>
      </c>
      <c r="E108" s="2" t="inlineStr">
        <is>
          <t>One Piece</t>
        </is>
      </c>
      <c r="F108" s="2" t="inlineStr">
        <is>
          <t>Coffret</t>
        </is>
      </c>
      <c r="G108" s="2" t="inlineStr">
        <is>
          <t>One Piece Promotion Cards</t>
        </is>
      </c>
      <c r="H108" s="3" t="n"/>
      <c r="I108" s="3" t="n">
        <v>446.8</v>
      </c>
      <c r="J108" s="3" t="n"/>
      <c r="K108" s="3" t="n">
        <v>388.88</v>
      </c>
      <c r="L108" s="2" t="inlineStr">
        <is>
          <t>TCGplayer</t>
        </is>
      </c>
      <c r="N108" s="4" t="inlineStr">
        <is>
          <t>https://www.tcgplayer.com/product/484943</t>
        </is>
      </c>
    </row>
    <row r="109">
      <c r="A109" s="2" t="inlineStr">
        <is>
          <t>Gift Collection 2023 Promotion Pack</t>
        </is>
      </c>
      <c r="B109" s="3">
        <f>IF(H109&lt;&gt;"",H109,IF(I109&lt;&gt;"",I109,IF(J109&lt;&gt;"",J109,K109)))</f>
        <v>235.75</v>
      </c>
      <c r="C109" s="3">
        <f>MEDIAN(H109:K109)</f>
        <v>287.875</v>
      </c>
      <c r="D109" s="3">
        <f>ROUND(C109*(1-Settings!$B$2),2)</f>
        <v>201.51</v>
      </c>
      <c r="E109" s="2" t="inlineStr">
        <is>
          <t>One Piece</t>
        </is>
      </c>
      <c r="F109" s="2" t="inlineStr">
        <is>
          <t>Coffret</t>
        </is>
      </c>
      <c r="G109" s="2" t="inlineStr">
        <is>
          <t>One Piece Promotion Cards</t>
        </is>
      </c>
      <c r="H109" s="3" t="n"/>
      <c r="I109" s="3" t="n">
        <v>235.75</v>
      </c>
      <c r="J109" s="3" t="n"/>
      <c r="K109" s="3" t="n">
        <v>340</v>
      </c>
      <c r="L109" s="2" t="inlineStr">
        <is>
          <t>TCGplayer</t>
        </is>
      </c>
      <c r="N109" s="4" t="inlineStr">
        <is>
          <t>https://www.tcgplayer.com/product/547692</t>
        </is>
      </c>
    </row>
    <row r="110">
      <c r="A110" s="2" t="inlineStr">
        <is>
          <t>One Piece Card Game Illustration Box EX</t>
        </is>
      </c>
      <c r="B110" s="3">
        <f>IF(H110&lt;&gt;"",H110,IF(I110&lt;&gt;"",I110,IF(J110&lt;&gt;"",J110,K110)))</f>
        <v>824.37</v>
      </c>
      <c r="C110" s="3">
        <f>MEDIAN(H110:K110)</f>
        <v>849.685</v>
      </c>
      <c r="D110" s="3">
        <f>ROUND(C110*(1-Settings!$B$2),2)</f>
        <v>594.78</v>
      </c>
      <c r="E110" s="2" t="inlineStr">
        <is>
          <t>One Piece</t>
        </is>
      </c>
      <c r="F110" s="2" t="inlineStr">
        <is>
          <t>Coffret</t>
        </is>
      </c>
      <c r="G110" s="2" t="inlineStr">
        <is>
          <t>One Piece Promotion Cards</t>
        </is>
      </c>
      <c r="H110" s="3" t="n"/>
      <c r="I110" s="3" t="n">
        <v>824.37</v>
      </c>
      <c r="J110" s="3" t="n"/>
      <c r="K110" s="3" t="n">
        <v>875</v>
      </c>
      <c r="L110" s="2" t="inlineStr">
        <is>
          <t>TCGplayer</t>
        </is>
      </c>
      <c r="N110" s="4" t="inlineStr">
        <is>
          <t>https://www.tcgplayer.com/product/610118</t>
        </is>
      </c>
    </row>
    <row r="111">
      <c r="A111" s="2" t="inlineStr">
        <is>
          <t>One Piece Card Game Illustration Box Vol. 1</t>
        </is>
      </c>
      <c r="B111" s="3">
        <f>IF(H111&lt;&gt;"",H111,IF(I111&lt;&gt;"",I111,IF(J111&lt;&gt;"",J111,K111)))</f>
        <v>269.95</v>
      </c>
      <c r="C111" s="3">
        <f>MEDIAN(H111:K111)</f>
        <v>254.95</v>
      </c>
      <c r="D111" s="3">
        <f>ROUND(C111*(1-Settings!$B$2),2)</f>
        <v>178.47</v>
      </c>
      <c r="E111" s="2" t="inlineStr">
        <is>
          <t>One Piece</t>
        </is>
      </c>
      <c r="F111" s="2" t="inlineStr">
        <is>
          <t>Coffret</t>
        </is>
      </c>
      <c r="G111" s="2" t="inlineStr">
        <is>
          <t>One Piece Promotion Cards</t>
        </is>
      </c>
      <c r="H111" s="3" t="n"/>
      <c r="I111" s="3" t="n">
        <v>269.95</v>
      </c>
      <c r="J111" s="3" t="n"/>
      <c r="K111" s="3" t="n">
        <v>239.95</v>
      </c>
      <c r="L111" s="2" t="inlineStr">
        <is>
          <t>TCGplayer</t>
        </is>
      </c>
      <c r="N111" s="4" t="inlineStr">
        <is>
          <t>https://www.tcgplayer.com/product/610116</t>
        </is>
      </c>
    </row>
    <row r="112">
      <c r="A112" s="2" t="inlineStr">
        <is>
          <t>One Piece Card Game Illustration Box Vol. 2</t>
        </is>
      </c>
      <c r="B112" s="3">
        <f>IF(H112&lt;&gt;"",H112,IF(I112&lt;&gt;"",I112,IF(J112&lt;&gt;"",J112,K112)))</f>
        <v>151.02</v>
      </c>
      <c r="C112" s="3">
        <f>MEDIAN(H112:K112)</f>
        <v>145.51</v>
      </c>
      <c r="D112" s="3">
        <f>ROUND(C112*(1-Settings!$B$2),2)</f>
        <v>101.86</v>
      </c>
      <c r="E112" s="2" t="inlineStr">
        <is>
          <t>One Piece</t>
        </is>
      </c>
      <c r="F112" s="2" t="inlineStr">
        <is>
          <t>Coffret</t>
        </is>
      </c>
      <c r="G112" s="2" t="inlineStr">
        <is>
          <t>One Piece Promotion Cards</t>
        </is>
      </c>
      <c r="H112" s="3" t="n"/>
      <c r="I112" s="3" t="n">
        <v>151.02</v>
      </c>
      <c r="J112" s="3" t="n"/>
      <c r="K112" s="3" t="n">
        <v>140</v>
      </c>
      <c r="L112" s="2" t="inlineStr">
        <is>
          <t>TCGplayer</t>
        </is>
      </c>
      <c r="N112" s="4" t="inlineStr">
        <is>
          <t>https://www.tcgplayer.com/product/610117</t>
        </is>
      </c>
    </row>
    <row r="113">
      <c r="A113" s="2" t="inlineStr">
        <is>
          <t>One Piece Card Game Illustration Box Vol. 3</t>
        </is>
      </c>
      <c r="B113" s="3">
        <f>IF(H113&lt;&gt;"",H113,IF(I113&lt;&gt;"",I113,IF(J113&lt;&gt;"",J113,K113)))</f>
        <v>88.46</v>
      </c>
      <c r="C113" s="3">
        <f>MEDIAN(H113:K113)</f>
        <v>84.22999999999999</v>
      </c>
      <c r="D113" s="3">
        <f>ROUND(C113*(1-Settings!$B$2),2)</f>
        <v>58.96</v>
      </c>
      <c r="E113" s="2" t="inlineStr">
        <is>
          <t>One Piece</t>
        </is>
      </c>
      <c r="F113" s="2" t="inlineStr">
        <is>
          <t>Coffret</t>
        </is>
      </c>
      <c r="G113" s="2" t="inlineStr">
        <is>
          <t>One Piece Promotion Cards</t>
        </is>
      </c>
      <c r="H113" s="3" t="n"/>
      <c r="I113" s="3" t="n">
        <v>88.45999999999999</v>
      </c>
      <c r="J113" s="3" t="n"/>
      <c r="K113" s="3" t="n">
        <v>80</v>
      </c>
      <c r="L113" s="2" t="inlineStr">
        <is>
          <t>TCGplayer</t>
        </is>
      </c>
      <c r="N113" s="4" t="inlineStr">
        <is>
          <t>https://www.tcgplayer.com/product/646591</t>
        </is>
      </c>
    </row>
    <row r="114">
      <c r="A114" s="2" t="inlineStr">
        <is>
          <t>One Piece Card Game Illustration Box Vol. 4</t>
        </is>
      </c>
      <c r="B114" s="3">
        <f>IF(H114&lt;&gt;"",H114,IF(I114&lt;&gt;"",I114,IF(J114&lt;&gt;"",J114,K114)))</f>
        <v>87.94</v>
      </c>
      <c r="C114" s="3">
        <f>MEDIAN(H114:K114)</f>
        <v>83.97</v>
      </c>
      <c r="D114" s="3">
        <f>ROUND(C114*(1-Settings!$B$2),2)</f>
        <v>58.78</v>
      </c>
      <c r="E114" s="2" t="inlineStr">
        <is>
          <t>One Piece</t>
        </is>
      </c>
      <c r="F114" s="2" t="inlineStr">
        <is>
          <t>Coffret</t>
        </is>
      </c>
      <c r="G114" s="2" t="inlineStr">
        <is>
          <t>One Piece Promotion Cards</t>
        </is>
      </c>
      <c r="H114" s="3" t="n"/>
      <c r="I114" s="3" t="n">
        <v>87.94</v>
      </c>
      <c r="J114" s="3" t="n"/>
      <c r="K114" s="3" t="n">
        <v>80</v>
      </c>
      <c r="L114" s="2" t="inlineStr">
        <is>
          <t>TCGplayer</t>
        </is>
      </c>
      <c r="N114" s="4" t="inlineStr">
        <is>
          <t>https://www.tcgplayer.com/product/646592</t>
        </is>
      </c>
    </row>
    <row r="115">
      <c r="A115" s="2" t="inlineStr">
        <is>
          <t>One Piece Card Game Illustration Box Vol. 5</t>
        </is>
      </c>
      <c r="B115" s="3">
        <f>IF(H115&lt;&gt;"",H115,IF(I115&lt;&gt;"",I115,IF(J115&lt;&gt;"",J115,K115)))</f>
        <v>102.77</v>
      </c>
      <c r="C115" s="3">
        <f>MEDIAN(H115:K115)</f>
        <v>96.38499999999999</v>
      </c>
      <c r="D115" s="3">
        <f>ROUND(C115*(1-Settings!$B$2),2)</f>
        <v>67.47</v>
      </c>
      <c r="E115" s="2" t="inlineStr">
        <is>
          <t>One Piece</t>
        </is>
      </c>
      <c r="F115" s="2" t="inlineStr">
        <is>
          <t>Coffret</t>
        </is>
      </c>
      <c r="G115" s="2" t="inlineStr">
        <is>
          <t>One Piece Promotion Cards</t>
        </is>
      </c>
      <c r="H115" s="3" t="n"/>
      <c r="I115" s="3" t="n">
        <v>102.77</v>
      </c>
      <c r="J115" s="3" t="n"/>
      <c r="K115" s="3" t="n">
        <v>90</v>
      </c>
      <c r="L115" s="2" t="inlineStr">
        <is>
          <t>TCGplayer</t>
        </is>
      </c>
      <c r="N115" s="4" t="inlineStr">
        <is>
          <t>https://www.tcgplayer.com/product/669241</t>
        </is>
      </c>
    </row>
    <row r="116">
      <c r="A116" s="2" t="inlineStr">
        <is>
          <t>One Piece Card Game Illustration Box Vol. 6</t>
        </is>
      </c>
      <c r="B116" s="3">
        <f>IF(H116&lt;&gt;"",H116,IF(I116&lt;&gt;"",I116,IF(J116&lt;&gt;"",J116,K116)))</f>
        <v>103.15</v>
      </c>
      <c r="C116" s="3">
        <f>MEDIAN(H116:K116)</f>
        <v>99.56</v>
      </c>
      <c r="D116" s="3">
        <f>ROUND(C116*(1-Settings!$B$2),2)</f>
        <v>69.69</v>
      </c>
      <c r="E116" s="2" t="inlineStr">
        <is>
          <t>One Piece</t>
        </is>
      </c>
      <c r="F116" s="2" t="inlineStr">
        <is>
          <t>Coffret</t>
        </is>
      </c>
      <c r="G116" s="2" t="inlineStr">
        <is>
          <t>One Piece Promotion Cards</t>
        </is>
      </c>
      <c r="H116" s="3" t="n"/>
      <c r="I116" s="3" t="n">
        <v>103.15</v>
      </c>
      <c r="J116" s="3" t="n"/>
      <c r="K116" s="3" t="n">
        <v>95.97</v>
      </c>
      <c r="L116" s="2" t="inlineStr">
        <is>
          <t>TCGplayer</t>
        </is>
      </c>
      <c r="N116" s="4" t="inlineStr">
        <is>
          <t>https://www.tcgplayer.com/product/669242</t>
        </is>
      </c>
    </row>
    <row r="117">
      <c r="A117" s="2" t="inlineStr">
        <is>
          <t>One Piece Card Game Illustration Box Vol. 7</t>
        </is>
      </c>
      <c r="B117" s="3">
        <f>IF(H117&lt;&gt;"",H117,IF(I117&lt;&gt;"",I117,IF(J117&lt;&gt;"",J117,K117)))</f>
        <v>38.67</v>
      </c>
      <c r="C117" s="3">
        <f>MEDIAN(H117:K117)</f>
        <v>37.835</v>
      </c>
      <c r="D117" s="3">
        <f>ROUND(C117*(1-Settings!$B$2),2)</f>
        <v>26.48</v>
      </c>
      <c r="E117" s="2" t="inlineStr">
        <is>
          <t>One Piece</t>
        </is>
      </c>
      <c r="F117" s="2" t="inlineStr">
        <is>
          <t>Coffret</t>
        </is>
      </c>
      <c r="G117" s="2" t="inlineStr">
        <is>
          <t>One Piece Promotion Cards</t>
        </is>
      </c>
      <c r="H117" s="3" t="n"/>
      <c r="I117" s="3" t="n">
        <v>38.67</v>
      </c>
      <c r="J117" s="3" t="n"/>
      <c r="K117" s="3" t="n">
        <v>37</v>
      </c>
      <c r="L117" s="2" t="inlineStr">
        <is>
          <t>TCGplayer</t>
        </is>
      </c>
      <c r="N117" s="4" t="inlineStr">
        <is>
          <t>https://www.tcgplayer.com/product/694721</t>
        </is>
      </c>
    </row>
    <row r="118">
      <c r="A118" s="2" t="inlineStr">
        <is>
          <t>One Piece Card Game Illustration Box Vol. 8</t>
        </is>
      </c>
      <c r="B118" s="3">
        <f>IF(H118&lt;&gt;"",H118,IF(I118&lt;&gt;"",I118,IF(J118&lt;&gt;"",J118,K118)))</f>
        <v>36.56</v>
      </c>
      <c r="C118" s="3">
        <f>MEDIAN(H118:K118)</f>
        <v>34.755</v>
      </c>
      <c r="D118" s="3">
        <f>ROUND(C118*(1-Settings!$B$2),2)</f>
        <v>24.33</v>
      </c>
      <c r="E118" s="2" t="inlineStr">
        <is>
          <t>One Piece</t>
        </is>
      </c>
      <c r="F118" s="2" t="inlineStr">
        <is>
          <t>Coffret</t>
        </is>
      </c>
      <c r="G118" s="2" t="inlineStr">
        <is>
          <t>One Piece Promotion Cards</t>
        </is>
      </c>
      <c r="H118" s="3" t="n"/>
      <c r="I118" s="3" t="n">
        <v>36.56</v>
      </c>
      <c r="J118" s="3" t="n"/>
      <c r="K118" s="3" t="n">
        <v>32.95</v>
      </c>
      <c r="L118" s="2" t="inlineStr">
        <is>
          <t>TCGplayer</t>
        </is>
      </c>
      <c r="N118" s="4" t="inlineStr">
        <is>
          <t>https://www.tcgplayer.com/product/694722</t>
        </is>
      </c>
    </row>
    <row r="119">
      <c r="A119" s="2" t="inlineStr">
        <is>
          <t>One Piece Tin Pack Set Vol. 1 -Gol.D.Roger-</t>
        </is>
      </c>
      <c r="B119" s="3">
        <f>IF(H119&lt;&gt;"",H119,IF(I119&lt;&gt;"",I119,IF(J119&lt;&gt;"",J119,K119)))</f>
        <v>31.17</v>
      </c>
      <c r="C119" s="3">
        <f>MEDIAN(H119:K119)</f>
        <v>18.085</v>
      </c>
      <c r="D119" s="3">
        <f>ROUND(C119*(1-Settings!$B$2),2)</f>
        <v>12.66</v>
      </c>
      <c r="E119" s="2" t="inlineStr">
        <is>
          <t>One Piece</t>
        </is>
      </c>
      <c r="F119" s="2" t="inlineStr">
        <is>
          <t>Coffret</t>
        </is>
      </c>
      <c r="G119" s="2" t="inlineStr">
        <is>
          <t>One Piece Promotion Cards</t>
        </is>
      </c>
      <c r="H119" s="3" t="n"/>
      <c r="I119" s="3" t="n">
        <v>31.17</v>
      </c>
      <c r="J119" s="3" t="n"/>
      <c r="K119" s="3" t="n">
        <v>5</v>
      </c>
      <c r="L119" s="2" t="inlineStr">
        <is>
          <t>TCGplayer</t>
        </is>
      </c>
      <c r="N119" s="4" t="inlineStr">
        <is>
          <t>https://www.tcgplayer.com/product/620278</t>
        </is>
      </c>
    </row>
    <row r="120">
      <c r="A120" s="2" t="inlineStr">
        <is>
          <t>One Piece Tin Pack Set Vol. 1 -Monkey.D.Luffy-</t>
        </is>
      </c>
      <c r="B120" s="3">
        <f>IF(H120&lt;&gt;"",H120,IF(I120&lt;&gt;"",I120,IF(J120&lt;&gt;"",J120,K120)))</f>
        <v>31.2</v>
      </c>
      <c r="C120" s="3">
        <f>MEDIAN(H120:K120)</f>
        <v>18.1</v>
      </c>
      <c r="D120" s="3">
        <f>ROUND(C120*(1-Settings!$B$2),2)</f>
        <v>12.67</v>
      </c>
      <c r="E120" s="2" t="inlineStr">
        <is>
          <t>One Piece</t>
        </is>
      </c>
      <c r="F120" s="2" t="inlineStr">
        <is>
          <t>Coffret</t>
        </is>
      </c>
      <c r="G120" s="2" t="inlineStr">
        <is>
          <t>One Piece Promotion Cards</t>
        </is>
      </c>
      <c r="H120" s="3" t="n"/>
      <c r="I120" s="3" t="n">
        <v>31.2</v>
      </c>
      <c r="J120" s="3" t="n"/>
      <c r="K120" s="3" t="n">
        <v>5</v>
      </c>
      <c r="L120" s="2" t="inlineStr">
        <is>
          <t>TCGplayer</t>
        </is>
      </c>
      <c r="N120" s="4" t="inlineStr">
        <is>
          <t>https://www.tcgplayer.com/product/620279</t>
        </is>
      </c>
    </row>
    <row r="121">
      <c r="A121" s="2" t="inlineStr">
        <is>
          <t>One Piece Tin Pack Set Vol. 1 [Set of 2]</t>
        </is>
      </c>
      <c r="B121" s="3">
        <f>IF(H121&lt;&gt;"",H121,IF(I121&lt;&gt;"",I121,IF(J121&lt;&gt;"",J121,K121)))</f>
        <v>103.95</v>
      </c>
      <c r="C121" s="3">
        <f>MEDIAN(H121:K121)</f>
        <v>106.945</v>
      </c>
      <c r="D121" s="3">
        <f>ROUND(C121*(1-Settings!$B$2),2)</f>
        <v>74.86</v>
      </c>
      <c r="E121" s="2" t="inlineStr">
        <is>
          <t>One Piece</t>
        </is>
      </c>
      <c r="F121" s="2" t="inlineStr">
        <is>
          <t>Coffret</t>
        </is>
      </c>
      <c r="G121" s="2" t="inlineStr">
        <is>
          <t>One Piece Promotion Cards</t>
        </is>
      </c>
      <c r="H121" s="3" t="n"/>
      <c r="I121" s="3" t="n">
        <v>103.95</v>
      </c>
      <c r="J121" s="3" t="n"/>
      <c r="K121" s="3" t="n">
        <v>109.94</v>
      </c>
      <c r="L121" s="2" t="inlineStr">
        <is>
          <t>TCGplayer</t>
        </is>
      </c>
      <c r="N121" s="4" t="inlineStr">
        <is>
          <t>https://www.tcgplayer.com/product/629815</t>
        </is>
      </c>
    </row>
    <row r="122">
      <c r="A122" s="2" t="inlineStr">
        <is>
          <t>One Piece Tin Pack Set Vol. 2 -Monkey.D.Luffy-</t>
        </is>
      </c>
      <c r="B122" s="3">
        <f>IF(H122&lt;&gt;"",H122,IF(I122&lt;&gt;"",I122,IF(J122&lt;&gt;"",J122,K122)))</f>
        <v>67.25</v>
      </c>
      <c r="C122" s="3">
        <f>MEDIAN(H122:K122)</f>
        <v>36.125</v>
      </c>
      <c r="D122" s="3">
        <f>ROUND(C122*(1-Settings!$B$2),2)</f>
        <v>25.29</v>
      </c>
      <c r="E122" s="2" t="inlineStr">
        <is>
          <t>One Piece</t>
        </is>
      </c>
      <c r="F122" s="2" t="inlineStr">
        <is>
          <t>Coffret</t>
        </is>
      </c>
      <c r="G122" s="2" t="inlineStr">
        <is>
          <t>One Piece Promotion Cards</t>
        </is>
      </c>
      <c r="H122" s="3" t="n"/>
      <c r="I122" s="3" t="n">
        <v>67.25</v>
      </c>
      <c r="J122" s="3" t="n"/>
      <c r="K122" s="3" t="n">
        <v>5</v>
      </c>
      <c r="L122" s="2" t="inlineStr">
        <is>
          <t>TCGplayer</t>
        </is>
      </c>
      <c r="N122" s="4" t="inlineStr">
        <is>
          <t>https://www.tcgplayer.com/product/669273</t>
        </is>
      </c>
    </row>
    <row r="123">
      <c r="A123" s="2" t="inlineStr">
        <is>
          <t>One Piece Tin Pack Set Vol. 2 -Portgas.D.Ace-</t>
        </is>
      </c>
      <c r="B123" s="3">
        <f>IF(H123&lt;&gt;"",H123,IF(I123&lt;&gt;"",I123,IF(J123&lt;&gt;"",J123,K123)))</f>
        <v>48.77</v>
      </c>
      <c r="C123" s="3">
        <f>MEDIAN(H123:K123)</f>
        <v>28.880000000000003</v>
      </c>
      <c r="D123" s="3">
        <f>ROUND(C123*(1-Settings!$B$2),2)</f>
        <v>20.22</v>
      </c>
      <c r="E123" s="2" t="inlineStr">
        <is>
          <t>One Piece</t>
        </is>
      </c>
      <c r="F123" s="2" t="inlineStr">
        <is>
          <t>Coffret</t>
        </is>
      </c>
      <c r="G123" s="2" t="inlineStr">
        <is>
          <t>One Piece Promotion Cards</t>
        </is>
      </c>
      <c r="H123" s="3" t="n"/>
      <c r="I123" s="3" t="n">
        <v>48.77</v>
      </c>
      <c r="J123" s="3" t="n"/>
      <c r="K123" s="3" t="n">
        <v>8.99</v>
      </c>
      <c r="L123" s="2" t="inlineStr">
        <is>
          <t>TCGplayer</t>
        </is>
      </c>
      <c r="N123" s="4" t="inlineStr">
        <is>
          <t>https://www.tcgplayer.com/product/669277</t>
        </is>
      </c>
    </row>
    <row r="124">
      <c r="A124" s="2" t="inlineStr">
        <is>
          <t>One Piece Tin Pack Set Vol. 2 -Sabo-</t>
        </is>
      </c>
      <c r="B124" s="3">
        <f>IF(H124&lt;&gt;"",H124,IF(I124&lt;&gt;"",I124,IF(J124&lt;&gt;"",J124,K124)))</f>
        <v>47.59</v>
      </c>
      <c r="C124" s="3">
        <f>MEDIAN(H124:K124)</f>
        <v>26.790000000000003</v>
      </c>
      <c r="D124" s="3">
        <f>ROUND(C124*(1-Settings!$B$2),2)</f>
        <v>18.75</v>
      </c>
      <c r="E124" s="2" t="inlineStr">
        <is>
          <t>One Piece</t>
        </is>
      </c>
      <c r="F124" s="2" t="inlineStr">
        <is>
          <t>Coffret</t>
        </is>
      </c>
      <c r="G124" s="2" t="inlineStr">
        <is>
          <t>One Piece Promotion Cards</t>
        </is>
      </c>
      <c r="H124" s="3" t="n"/>
      <c r="I124" s="3" t="n">
        <v>47.59</v>
      </c>
      <c r="J124" s="3" t="n"/>
      <c r="K124" s="3" t="n">
        <v>5.99</v>
      </c>
      <c r="L124" s="2" t="inlineStr">
        <is>
          <t>TCGplayer</t>
        </is>
      </c>
      <c r="N124" s="4" t="inlineStr">
        <is>
          <t>https://www.tcgplayer.com/product/669278</t>
        </is>
      </c>
    </row>
    <row r="125">
      <c r="A125" s="2" t="inlineStr">
        <is>
          <t>One Piece Tin Pack Set Vol. 2 [Set of 3]</t>
        </is>
      </c>
      <c r="B125" s="3">
        <f>IF(H125&lt;&gt;"",H125,IF(I125&lt;&gt;"",I125,IF(J125&lt;&gt;"",J125,K125)))</f>
        <v>166.89</v>
      </c>
      <c r="C125" s="3">
        <f>MEDIAN(H125:K125)</f>
        <v>89.94</v>
      </c>
      <c r="D125" s="3">
        <f>ROUND(C125*(1-Settings!$B$2),2)</f>
        <v>62.96</v>
      </c>
      <c r="E125" s="2" t="inlineStr">
        <is>
          <t>One Piece</t>
        </is>
      </c>
      <c r="F125" s="2" t="inlineStr">
        <is>
          <t>Coffret</t>
        </is>
      </c>
      <c r="G125" s="2" t="inlineStr">
        <is>
          <t>One Piece Promotion Cards</t>
        </is>
      </c>
      <c r="H125" s="3" t="n"/>
      <c r="I125" s="3" t="n">
        <v>166.89</v>
      </c>
      <c r="J125" s="3" t="n"/>
      <c r="K125" s="3" t="n">
        <v>12.99</v>
      </c>
      <c r="L125" s="2" t="inlineStr">
        <is>
          <t>TCGplayer</t>
        </is>
      </c>
      <c r="N125" s="4" t="inlineStr">
        <is>
          <t>https://www.tcgplayer.com/product/669298</t>
        </is>
      </c>
    </row>
    <row r="126">
      <c r="A126" s="2" t="inlineStr">
        <is>
          <t>Premium Card Collection -6 assort vol.1-</t>
        </is>
      </c>
      <c r="B126" s="3">
        <f>IF(H126&lt;&gt;"",H126,IF(I126&lt;&gt;"",I126,IF(J126&lt;&gt;"",J126,K126)))</f>
        <v>198.46</v>
      </c>
      <c r="C126" s="3">
        <f>MEDIAN(H126:K126)</f>
        <v>159.225</v>
      </c>
      <c r="D126" s="3">
        <f>ROUND(C126*(1-Settings!$B$2),2)</f>
        <v>111.46</v>
      </c>
      <c r="E126" s="2" t="inlineStr">
        <is>
          <t>One Piece</t>
        </is>
      </c>
      <c r="F126" s="2" t="inlineStr">
        <is>
          <t>Coffret</t>
        </is>
      </c>
      <c r="G126" s="2" t="inlineStr">
        <is>
          <t>One Piece Promotion Cards</t>
        </is>
      </c>
      <c r="H126" s="3" t="n"/>
      <c r="I126" s="3" t="n">
        <v>198.46</v>
      </c>
      <c r="J126" s="3" t="n"/>
      <c r="K126" s="3" t="n">
        <v>119.99</v>
      </c>
      <c r="L126" s="2" t="inlineStr">
        <is>
          <t>TCGplayer</t>
        </is>
      </c>
      <c r="N126" s="4" t="inlineStr">
        <is>
          <t>https://www.tcgplayer.com/product/649694</t>
        </is>
      </c>
    </row>
    <row r="127">
      <c r="A127" s="2" t="inlineStr">
        <is>
          <t>Premium Card Collection -BANDAI CARD GAMES Fest. 23-24 Edition-</t>
        </is>
      </c>
      <c r="B127" s="3">
        <f>IF(H127&lt;&gt;"",H127,IF(I127&lt;&gt;"",I127,IF(J127&lt;&gt;"",J127,K127)))</f>
        <v>122.99</v>
      </c>
      <c r="C127" s="3">
        <f>MEDIAN(H127:K127)</f>
        <v>96.47999999999999</v>
      </c>
      <c r="D127" s="3">
        <f>ROUND(C127*(1-Settings!$B$2),2)</f>
        <v>67.54</v>
      </c>
      <c r="E127" s="2" t="inlineStr">
        <is>
          <t>One Piece</t>
        </is>
      </c>
      <c r="F127" s="2" t="inlineStr">
        <is>
          <t>Coffret</t>
        </is>
      </c>
      <c r="G127" s="2" t="inlineStr">
        <is>
          <t>One Piece Promotion Cards</t>
        </is>
      </c>
      <c r="H127" s="3" t="n"/>
      <c r="I127" s="3" t="n">
        <v>122.99</v>
      </c>
      <c r="J127" s="3" t="n"/>
      <c r="K127" s="3" t="n">
        <v>69.97</v>
      </c>
      <c r="L127" s="2" t="inlineStr">
        <is>
          <t>TCGplayer</t>
        </is>
      </c>
      <c r="N127" s="4" t="inlineStr">
        <is>
          <t>https://www.tcgplayer.com/product/536278</t>
        </is>
      </c>
    </row>
    <row r="128">
      <c r="A128" s="2" t="inlineStr">
        <is>
          <t>Premium Card Collection -Best Selection Vol. 1-</t>
        </is>
      </c>
      <c r="B128" s="3">
        <f>IF(H128&lt;&gt;"",H128,IF(I128&lt;&gt;"",I128,IF(J128&lt;&gt;"",J128,K128)))</f>
        <v>175.58</v>
      </c>
      <c r="C128" s="3">
        <f>MEDIAN(H128:K128)</f>
        <v>172.76</v>
      </c>
      <c r="D128" s="3">
        <f>ROUND(C128*(1-Settings!$B$2),2)</f>
        <v>120.93</v>
      </c>
      <c r="E128" s="2" t="inlineStr">
        <is>
          <t>One Piece</t>
        </is>
      </c>
      <c r="F128" s="2" t="inlineStr">
        <is>
          <t>Coffret</t>
        </is>
      </c>
      <c r="G128" s="2" t="inlineStr">
        <is>
          <t>One Piece Promotion Cards</t>
        </is>
      </c>
      <c r="H128" s="3" t="n"/>
      <c r="I128" s="3" t="n">
        <v>175.58</v>
      </c>
      <c r="J128" s="3" t="n"/>
      <c r="K128" s="3" t="n">
        <v>169.94</v>
      </c>
      <c r="L128" s="2" t="inlineStr">
        <is>
          <t>TCGplayer</t>
        </is>
      </c>
      <c r="N128" s="4" t="inlineStr">
        <is>
          <t>https://www.tcgplayer.com/product/525294</t>
        </is>
      </c>
    </row>
    <row r="129">
      <c r="A129" s="2" t="inlineStr">
        <is>
          <t>Premium Card Collection -Best Selection Vol. 2-</t>
        </is>
      </c>
      <c r="B129" s="3">
        <f>IF(H129&lt;&gt;"",H129,IF(I129&lt;&gt;"",I129,IF(J129&lt;&gt;"",J129,K129)))</f>
        <v>89.5</v>
      </c>
      <c r="C129" s="3">
        <f>MEDIAN(H129:K129)</f>
        <v>82.25</v>
      </c>
      <c r="D129" s="3">
        <f>ROUND(C129*(1-Settings!$B$2),2)</f>
        <v>57.58</v>
      </c>
      <c r="E129" s="2" t="inlineStr">
        <is>
          <t>One Piece</t>
        </is>
      </c>
      <c r="F129" s="2" t="inlineStr">
        <is>
          <t>Coffret</t>
        </is>
      </c>
      <c r="G129" s="2" t="inlineStr">
        <is>
          <t>One Piece Promotion Cards</t>
        </is>
      </c>
      <c r="H129" s="3" t="n"/>
      <c r="I129" s="3" t="n">
        <v>89.5</v>
      </c>
      <c r="J129" s="3" t="n"/>
      <c r="K129" s="3" t="n">
        <v>75</v>
      </c>
      <c r="L129" s="2" t="inlineStr">
        <is>
          <t>TCGplayer</t>
        </is>
      </c>
      <c r="N129" s="4" t="inlineStr">
        <is>
          <t>https://www.tcgplayer.com/product/587220</t>
        </is>
      </c>
    </row>
    <row r="130">
      <c r="A130" s="2" t="inlineStr">
        <is>
          <t>Premium Card Collection -Best Selection Vol. 3-</t>
        </is>
      </c>
      <c r="B130" s="3">
        <f>IF(H130&lt;&gt;"",H130,IF(I130&lt;&gt;"",I130,IF(J130&lt;&gt;"",J130,K130)))</f>
        <v>140.27</v>
      </c>
      <c r="C130" s="3">
        <f>MEDIAN(H130:K130)</f>
        <v>122.08500000000001</v>
      </c>
      <c r="D130" s="3">
        <f>ROUND(C130*(1-Settings!$B$2),2)</f>
        <v>85.46</v>
      </c>
      <c r="E130" s="2" t="inlineStr">
        <is>
          <t>One Piece</t>
        </is>
      </c>
      <c r="F130" s="2" t="inlineStr">
        <is>
          <t>Coffret</t>
        </is>
      </c>
      <c r="G130" s="2" t="inlineStr">
        <is>
          <t>One Piece Promotion Cards</t>
        </is>
      </c>
      <c r="H130" s="3" t="n"/>
      <c r="I130" s="3" t="n">
        <v>140.27</v>
      </c>
      <c r="J130" s="3" t="n"/>
      <c r="K130" s="3" t="n">
        <v>103.9</v>
      </c>
      <c r="L130" s="2" t="inlineStr">
        <is>
          <t>TCGplayer</t>
        </is>
      </c>
      <c r="N130" s="4" t="inlineStr">
        <is>
          <t>https://www.tcgplayer.com/product/606589</t>
        </is>
      </c>
    </row>
    <row r="131">
      <c r="A131" s="2" t="inlineStr">
        <is>
          <t>Premium Card Collection -Best Selection Vol. 4-</t>
        </is>
      </c>
      <c r="B131" s="3">
        <f>IF(H131&lt;&gt;"",H131,IF(I131&lt;&gt;"",I131,IF(J131&lt;&gt;"",J131,K131)))</f>
        <v>255.01</v>
      </c>
      <c r="C131" s="3">
        <f>MEDIAN(H131:K131)</f>
        <v>175.0</v>
      </c>
      <c r="D131" s="3">
        <f>ROUND(C131*(1-Settings!$B$2),2)</f>
        <v>122.5</v>
      </c>
      <c r="E131" s="2" t="inlineStr">
        <is>
          <t>One Piece</t>
        </is>
      </c>
      <c r="F131" s="2" t="inlineStr">
        <is>
          <t>Coffret</t>
        </is>
      </c>
      <c r="G131" s="2" t="inlineStr">
        <is>
          <t>One Piece Promotion Cards</t>
        </is>
      </c>
      <c r="H131" s="3" t="n"/>
      <c r="I131" s="3" t="n">
        <v>255.01</v>
      </c>
      <c r="J131" s="3" t="n"/>
      <c r="K131" s="3" t="n">
        <v>94.98999999999999</v>
      </c>
      <c r="L131" s="2" t="inlineStr">
        <is>
          <t>TCGplayer</t>
        </is>
      </c>
      <c r="N131" s="4" t="inlineStr">
        <is>
          <t>https://www.tcgplayer.com/product/649681</t>
        </is>
      </c>
    </row>
    <row r="132">
      <c r="A132" s="2" t="inlineStr">
        <is>
          <t>Premium Card Collection -Best Selection Vol. 5-</t>
        </is>
      </c>
      <c r="B132" s="3">
        <f>IF(H132&lt;&gt;"",H132,IF(I132&lt;&gt;"",I132,IF(J132&lt;&gt;"",J132,K132)))</f>
        <v>78.62</v>
      </c>
      <c r="C132" s="3">
        <f>MEDIAN(H132:K132)</f>
        <v>80.285</v>
      </c>
      <c r="D132" s="3">
        <f>ROUND(C132*(1-Settings!$B$2),2)</f>
        <v>56.2</v>
      </c>
      <c r="E132" s="2" t="inlineStr">
        <is>
          <t>One Piece</t>
        </is>
      </c>
      <c r="F132" s="2" t="inlineStr">
        <is>
          <t>Coffret</t>
        </is>
      </c>
      <c r="G132" s="2" t="inlineStr">
        <is>
          <t>One Piece Promotion Cards</t>
        </is>
      </c>
      <c r="H132" s="3" t="n"/>
      <c r="I132" s="3" t="n">
        <v>78.62</v>
      </c>
      <c r="J132" s="3" t="n"/>
      <c r="K132" s="3" t="n">
        <v>81.95</v>
      </c>
      <c r="L132" s="2" t="inlineStr">
        <is>
          <t>TCGplayer</t>
        </is>
      </c>
      <c r="N132" s="4" t="inlineStr">
        <is>
          <t>https://www.tcgplayer.com/product/657215</t>
        </is>
      </c>
    </row>
    <row r="133">
      <c r="A133" s="2" t="inlineStr">
        <is>
          <t>Premium Card Collection -Best Selection Vol. 6-</t>
        </is>
      </c>
      <c r="B133" s="3">
        <f>IF(H133&lt;&gt;"",H133,IF(I133&lt;&gt;"",I133,IF(J133&lt;&gt;"",J133,K133)))</f>
        <v>80.55</v>
      </c>
      <c r="C133" s="3">
        <f>MEDIAN(H133:K133)</f>
        <v>67.78</v>
      </c>
      <c r="D133" s="3">
        <f>ROUND(C133*(1-Settings!$B$2),2)</f>
        <v>47.45</v>
      </c>
      <c r="E133" s="2" t="inlineStr">
        <is>
          <t>One Piece</t>
        </is>
      </c>
      <c r="F133" s="2" t="inlineStr">
        <is>
          <t>Coffret</t>
        </is>
      </c>
      <c r="G133" s="2" t="inlineStr">
        <is>
          <t>One Piece Promotion Cards</t>
        </is>
      </c>
      <c r="H133" s="3" t="n"/>
      <c r="I133" s="3" t="n">
        <v>80.55</v>
      </c>
      <c r="J133" s="3" t="n"/>
      <c r="K133" s="3" t="n">
        <v>55.01</v>
      </c>
      <c r="L133" s="2" t="inlineStr">
        <is>
          <t>TCGplayer</t>
        </is>
      </c>
      <c r="N133" s="4" t="inlineStr">
        <is>
          <t>https://www.tcgplayer.com/product/694874</t>
        </is>
      </c>
    </row>
    <row r="134">
      <c r="A134" s="2" t="inlineStr">
        <is>
          <t>Premium Card Collection -Flame-Flame Fruit Coliseum Edition-</t>
        </is>
      </c>
      <c r="B134" s="3">
        <f>IF(H134&lt;&gt;"",H134,IF(I134&lt;&gt;"",I134,IF(J134&lt;&gt;"",J134,K134)))</f>
        <v>79.95</v>
      </c>
      <c r="C134" s="3">
        <f>MEDIAN(H134:K134)</f>
        <v>76.97</v>
      </c>
      <c r="D134" s="3">
        <f>ROUND(C134*(1-Settings!$B$2),2)</f>
        <v>53.88</v>
      </c>
      <c r="E134" s="2" t="inlineStr">
        <is>
          <t>One Piece</t>
        </is>
      </c>
      <c r="F134" s="2" t="inlineStr">
        <is>
          <t>Coffret</t>
        </is>
      </c>
      <c r="G134" s="2" t="inlineStr">
        <is>
          <t>One Piece Promotion Cards</t>
        </is>
      </c>
      <c r="H134" s="3" t="n"/>
      <c r="I134" s="3" t="n">
        <v>79.95</v>
      </c>
      <c r="J134" s="3" t="n"/>
      <c r="K134" s="3" t="n">
        <v>73.98999999999999</v>
      </c>
      <c r="L134" s="2" t="inlineStr">
        <is>
          <t>TCGplayer</t>
        </is>
      </c>
      <c r="N134" s="4" t="inlineStr">
        <is>
          <t>https://www.tcgplayer.com/product/717026</t>
        </is>
      </c>
    </row>
    <row r="135">
      <c r="A135" s="2" t="inlineStr">
        <is>
          <t>Premium Card Collection -Leader Collection-</t>
        </is>
      </c>
      <c r="B135" s="3">
        <f>IF(H135&lt;&gt;"",H135,IF(I135&lt;&gt;"",I135,IF(J135&lt;&gt;"",J135,K135)))</f>
        <v>309.37</v>
      </c>
      <c r="C135" s="3">
        <f>MEDIAN(H135:K135)</f>
        <v>254.685</v>
      </c>
      <c r="D135" s="3">
        <f>ROUND(C135*(1-Settings!$B$2),2)</f>
        <v>178.28</v>
      </c>
      <c r="E135" s="2" t="inlineStr">
        <is>
          <t>One Piece</t>
        </is>
      </c>
      <c r="F135" s="2" t="inlineStr">
        <is>
          <t>Coffret</t>
        </is>
      </c>
      <c r="G135" s="2" t="inlineStr">
        <is>
          <t>One Piece Promotion Cards</t>
        </is>
      </c>
      <c r="H135" s="3" t="n"/>
      <c r="I135" s="3" t="n">
        <v>309.37</v>
      </c>
      <c r="J135" s="3" t="n"/>
      <c r="K135" s="3" t="n">
        <v>200</v>
      </c>
      <c r="L135" s="2" t="inlineStr">
        <is>
          <t>TCGplayer</t>
        </is>
      </c>
      <c r="N135" s="4" t="inlineStr">
        <is>
          <t>https://www.tcgplayer.com/product/566951</t>
        </is>
      </c>
    </row>
    <row r="136">
      <c r="A136" s="2" t="inlineStr">
        <is>
          <t>Premium Card Collection -Live Action Edition-</t>
        </is>
      </c>
      <c r="B136" s="3">
        <f>IF(H136&lt;&gt;"",H136,IF(I136&lt;&gt;"",I136,IF(J136&lt;&gt;"",J136,K136)))</f>
        <v>107.37</v>
      </c>
      <c r="C136" s="3">
        <f>MEDIAN(H136:K136)</f>
        <v>104.685</v>
      </c>
      <c r="D136" s="3">
        <f>ROUND(C136*(1-Settings!$B$2),2)</f>
        <v>73.28</v>
      </c>
      <c r="E136" s="2" t="inlineStr">
        <is>
          <t>One Piece</t>
        </is>
      </c>
      <c r="F136" s="2" t="inlineStr">
        <is>
          <t>Coffret</t>
        </is>
      </c>
      <c r="G136" s="2" t="inlineStr">
        <is>
          <t>One Piece Promotion Cards</t>
        </is>
      </c>
      <c r="H136" s="3" t="n"/>
      <c r="I136" s="3" t="n">
        <v>107.37</v>
      </c>
      <c r="J136" s="3" t="n"/>
      <c r="K136" s="3" t="n">
        <v>102</v>
      </c>
      <c r="L136" s="2" t="inlineStr">
        <is>
          <t>TCGplayer</t>
        </is>
      </c>
      <c r="N136" s="4" t="inlineStr">
        <is>
          <t>https://www.tcgplayer.com/product/527128</t>
        </is>
      </c>
    </row>
    <row r="137">
      <c r="A137" s="2" t="inlineStr">
        <is>
          <t>Premium Card Collection -ONE PIECE FILM RED Edition-</t>
        </is>
      </c>
      <c r="B137" s="3">
        <f>IF(H137&lt;&gt;"",H137,IF(I137&lt;&gt;"",I137,IF(J137&lt;&gt;"",J137,K137)))</f>
        <v>241.06</v>
      </c>
      <c r="C137" s="3">
        <f>MEDIAN(H137:K137)</f>
        <v>234.97</v>
      </c>
      <c r="D137" s="3">
        <f>ROUND(C137*(1-Settings!$B$2),2)</f>
        <v>164.48</v>
      </c>
      <c r="E137" s="2" t="inlineStr">
        <is>
          <t>One Piece</t>
        </is>
      </c>
      <c r="F137" s="2" t="inlineStr">
        <is>
          <t>Coffret</t>
        </is>
      </c>
      <c r="G137" s="2" t="inlineStr">
        <is>
          <t>One Piece Promotion Cards</t>
        </is>
      </c>
      <c r="H137" s="3" t="n"/>
      <c r="I137" s="3" t="n">
        <v>241.06</v>
      </c>
      <c r="J137" s="3" t="n"/>
      <c r="K137" s="3" t="n">
        <v>228.88</v>
      </c>
      <c r="L137" s="2" t="inlineStr">
        <is>
          <t>TCGplayer</t>
        </is>
      </c>
      <c r="N137" s="4" t="inlineStr">
        <is>
          <t>https://www.tcgplayer.com/product/504466</t>
        </is>
      </c>
    </row>
    <row r="138">
      <c r="A138" s="2" t="inlineStr">
        <is>
          <t>Premium Card Collection -Uta-</t>
        </is>
      </c>
      <c r="B138" s="3">
        <f>IF(H138&lt;&gt;"",H138,IF(I138&lt;&gt;"",I138,IF(J138&lt;&gt;"",J138,K138)))</f>
        <v>129.73</v>
      </c>
      <c r="C138" s="3">
        <f>MEDIAN(H138:K138)</f>
        <v>104.85999999999999</v>
      </c>
      <c r="D138" s="3">
        <f>ROUND(C138*(1-Settings!$B$2),2)</f>
        <v>73.4</v>
      </c>
      <c r="E138" s="2" t="inlineStr">
        <is>
          <t>One Piece</t>
        </is>
      </c>
      <c r="F138" s="2" t="inlineStr">
        <is>
          <t>Coffret</t>
        </is>
      </c>
      <c r="G138" s="2" t="inlineStr">
        <is>
          <t>One Piece Promotion Cards</t>
        </is>
      </c>
      <c r="H138" s="3" t="n"/>
      <c r="I138" s="3" t="n">
        <v>129.73</v>
      </c>
      <c r="J138" s="3" t="n"/>
      <c r="K138" s="3" t="n">
        <v>79.98999999999999</v>
      </c>
      <c r="L138" s="2" t="inlineStr">
        <is>
          <t>TCGplayer</t>
        </is>
      </c>
      <c r="N138" s="4" t="inlineStr">
        <is>
          <t>https://www.tcgplayer.com/product/538837</t>
        </is>
      </c>
    </row>
    <row r="139">
      <c r="A139" s="2" t="inlineStr">
        <is>
          <t>Premium Card Collection 25th Edition</t>
        </is>
      </c>
      <c r="B139" s="3">
        <f>IF(H139&lt;&gt;"",H139,IF(I139&lt;&gt;"",I139,IF(J139&lt;&gt;"",J139,K139)))</f>
        <v>705.66</v>
      </c>
      <c r="C139" s="3">
        <f>MEDIAN(H139:K139)</f>
        <v>612.825</v>
      </c>
      <c r="D139" s="3">
        <f>ROUND(C139*(1-Settings!$B$2),2)</f>
        <v>428.98</v>
      </c>
      <c r="E139" s="2" t="inlineStr">
        <is>
          <t>One Piece</t>
        </is>
      </c>
      <c r="F139" s="2" t="inlineStr">
        <is>
          <t>Coffret</t>
        </is>
      </c>
      <c r="G139" s="2" t="inlineStr">
        <is>
          <t>One Piece Promotion Cards</t>
        </is>
      </c>
      <c r="H139" s="3" t="n"/>
      <c r="I139" s="3" t="n">
        <v>705.66</v>
      </c>
      <c r="J139" s="3" t="n"/>
      <c r="K139" s="3" t="n">
        <v>519.99</v>
      </c>
      <c r="L139" s="2" t="inlineStr">
        <is>
          <t>TCGplayer</t>
        </is>
      </c>
      <c r="N139" s="4" t="inlineStr">
        <is>
          <t>https://www.tcgplayer.com/product/485271</t>
        </is>
      </c>
    </row>
    <row r="140">
      <c r="A140" s="2" t="inlineStr">
        <is>
          <t>Sealed Battle Kit Vol. 1</t>
        </is>
      </c>
      <c r="B140" s="3">
        <f>IF(H140&lt;&gt;"",H140,IF(I140&lt;&gt;"",I140,IF(J140&lt;&gt;"",J140,K140)))</f>
        <v>46.48</v>
      </c>
      <c r="C140" s="3">
        <f>MEDIAN(H140:K140)</f>
        <v>43.239999999999995</v>
      </c>
      <c r="D140" s="3">
        <f>ROUND(C140*(1-Settings!$B$2),2)</f>
        <v>30.27</v>
      </c>
      <c r="E140" s="2" t="inlineStr">
        <is>
          <t>One Piece</t>
        </is>
      </c>
      <c r="F140" s="2" t="inlineStr">
        <is>
          <t>Coffret</t>
        </is>
      </c>
      <c r="G140" s="2" t="inlineStr">
        <is>
          <t>One Piece Promotion Cards</t>
        </is>
      </c>
      <c r="H140" s="3" t="n"/>
      <c r="I140" s="3" t="n">
        <v>46.48</v>
      </c>
      <c r="J140" s="3" t="n"/>
      <c r="K140" s="3" t="n">
        <v>40</v>
      </c>
      <c r="L140" s="2" t="inlineStr">
        <is>
          <t>TCGplayer</t>
        </is>
      </c>
      <c r="N140" s="4" t="inlineStr">
        <is>
          <t>https://www.tcgplayer.com/product/518704</t>
        </is>
      </c>
    </row>
    <row r="141">
      <c r="A141" s="2" t="inlineStr">
        <is>
          <t>Special DON!! Set Vol. 1 -Luffy-</t>
        </is>
      </c>
      <c r="B141" s="3">
        <f>IF(H141&lt;&gt;"",H141,IF(I141&lt;&gt;"",I141,IF(J141&lt;&gt;"",J141,K141)))</f>
        <v>62.99</v>
      </c>
      <c r="C141" s="3">
        <f>MEDIAN(H141:K141)</f>
        <v>75.975</v>
      </c>
      <c r="D141" s="3">
        <f>ROUND(C141*(1-Settings!$B$2),2)</f>
        <v>53.18</v>
      </c>
      <c r="E141" s="2" t="inlineStr">
        <is>
          <t>One Piece</t>
        </is>
      </c>
      <c r="F141" s="2" t="inlineStr">
        <is>
          <t>Coffret</t>
        </is>
      </c>
      <c r="G141" s="2" t="inlineStr">
        <is>
          <t>One Piece Promotion Cards</t>
        </is>
      </c>
      <c r="H141" s="3" t="n"/>
      <c r="I141" s="3" t="n">
        <v>62.99</v>
      </c>
      <c r="J141" s="3" t="n"/>
      <c r="K141" s="3" t="n">
        <v>88.95999999999999</v>
      </c>
      <c r="L141" s="2" t="inlineStr">
        <is>
          <t>TCGplayer</t>
        </is>
      </c>
      <c r="N141" s="4" t="inlineStr">
        <is>
          <t>https://www.tcgplayer.com/product/620141</t>
        </is>
      </c>
    </row>
    <row r="142">
      <c r="A142" s="2" t="inlineStr">
        <is>
          <t>Special DON!! Set Vol. 1-3 [Set of 3]</t>
        </is>
      </c>
      <c r="B142" s="3">
        <f>IF(H142&lt;&gt;"",H142,IF(I142&lt;&gt;"",I142,IF(J142&lt;&gt;"",J142,K142)))</f>
        <v>158.31</v>
      </c>
      <c r="C142" s="3">
        <f>MEDIAN(H142:K142)</f>
        <v>184.15</v>
      </c>
      <c r="D142" s="3">
        <f>ROUND(C142*(1-Settings!$B$2),2)</f>
        <v>128.91</v>
      </c>
      <c r="E142" s="2" t="inlineStr">
        <is>
          <t>One Piece</t>
        </is>
      </c>
      <c r="F142" s="2" t="inlineStr">
        <is>
          <t>Coffret</t>
        </is>
      </c>
      <c r="G142" s="2" t="inlineStr">
        <is>
          <t>One Piece Promotion Cards</t>
        </is>
      </c>
      <c r="H142" s="3" t="n"/>
      <c r="I142" s="3" t="n">
        <v>158.31</v>
      </c>
      <c r="J142" s="3" t="n"/>
      <c r="K142" s="3" t="n">
        <v>209.99</v>
      </c>
      <c r="L142" s="2" t="inlineStr">
        <is>
          <t>TCGplayer</t>
        </is>
      </c>
      <c r="N142" s="4" t="inlineStr">
        <is>
          <t>https://www.tcgplayer.com/product/620144</t>
        </is>
      </c>
    </row>
    <row r="143">
      <c r="A143" s="2" t="inlineStr">
        <is>
          <t>Special DON!! Set Vol. 2 -Ace-</t>
        </is>
      </c>
      <c r="B143" s="3">
        <f>IF(H143&lt;&gt;"",H143,IF(I143&lt;&gt;"",I143,IF(J143&lt;&gt;"",J143,K143)))</f>
        <v>49.07</v>
      </c>
      <c r="C143" s="3">
        <f>MEDIAN(H143:K143)</f>
        <v>69.535</v>
      </c>
      <c r="D143" s="3">
        <f>ROUND(C143*(1-Settings!$B$2),2)</f>
        <v>48.67</v>
      </c>
      <c r="E143" s="2" t="inlineStr">
        <is>
          <t>One Piece</t>
        </is>
      </c>
      <c r="F143" s="2" t="inlineStr">
        <is>
          <t>Coffret</t>
        </is>
      </c>
      <c r="G143" s="2" t="inlineStr">
        <is>
          <t>One Piece Promotion Cards</t>
        </is>
      </c>
      <c r="H143" s="3" t="n"/>
      <c r="I143" s="3" t="n">
        <v>49.07</v>
      </c>
      <c r="J143" s="3" t="n"/>
      <c r="K143" s="3" t="n">
        <v>90</v>
      </c>
      <c r="L143" s="2" t="inlineStr">
        <is>
          <t>TCGplayer</t>
        </is>
      </c>
      <c r="N143" s="4" t="inlineStr">
        <is>
          <t>https://www.tcgplayer.com/product/620142</t>
        </is>
      </c>
    </row>
    <row r="144">
      <c r="A144" s="2" t="inlineStr">
        <is>
          <t>Treasure Booster Set</t>
        </is>
      </c>
      <c r="B144" s="3">
        <f>IF(H144&lt;&gt;"",H144,IF(I144&lt;&gt;"",I144,IF(J144&lt;&gt;"",J144,K144)))</f>
        <v>199.21</v>
      </c>
      <c r="C144" s="3">
        <f>MEDIAN(H144:K144)</f>
        <v>189.60500000000002</v>
      </c>
      <c r="D144" s="3">
        <f>ROUND(C144*(1-Settings!$B$2),2)</f>
        <v>132.72</v>
      </c>
      <c r="E144" s="2" t="inlineStr">
        <is>
          <t>One Piece</t>
        </is>
      </c>
      <c r="F144" s="2" t="inlineStr">
        <is>
          <t>Coffret</t>
        </is>
      </c>
      <c r="G144" s="2" t="inlineStr">
        <is>
          <t>One Piece Promotion Cards</t>
        </is>
      </c>
      <c r="H144" s="3" t="n"/>
      <c r="I144" s="3" t="n">
        <v>199.21</v>
      </c>
      <c r="J144" s="3" t="n"/>
      <c r="K144" s="3" t="n">
        <v>180</v>
      </c>
      <c r="L144" s="2" t="inlineStr">
        <is>
          <t>TCGplayer</t>
        </is>
      </c>
      <c r="N144" s="4" t="inlineStr">
        <is>
          <t>https://www.tcgplayer.com/product/565285</t>
        </is>
      </c>
    </row>
    <row r="145">
      <c r="A145" s="2" t="inlineStr">
        <is>
          <t>Box Promotion Pack</t>
        </is>
      </c>
      <c r="B145" s="3">
        <f>IF(H145&lt;&gt;"",H145,IF(I145&lt;&gt;"",I145,IF(J145&lt;&gt;"",J145,K145)))</f>
        <v>20.14</v>
      </c>
      <c r="C145" s="3">
        <f>MEDIAN(H145:K145)</f>
        <v>20.14</v>
      </c>
      <c r="D145" s="3">
        <f>ROUND(C145*(1-Settings!$B$2),2)</f>
        <v>14.1</v>
      </c>
      <c r="E145" s="2" t="inlineStr">
        <is>
          <t>One Piece</t>
        </is>
      </c>
      <c r="F145" s="2" t="inlineStr">
        <is>
          <t>Coffret</t>
        </is>
      </c>
      <c r="G145" s="2" t="inlineStr">
        <is>
          <t>Paramount War</t>
        </is>
      </c>
      <c r="H145" s="3" t="n">
        <v>20.14</v>
      </c>
      <c r="I145" s="3" t="n">
        <v>25.05</v>
      </c>
      <c r="J145" s="3" t="n"/>
      <c r="K145" s="3" t="n">
        <v>20.01</v>
      </c>
      <c r="L145" s="2" t="inlineStr">
        <is>
          <t>PriceCharting + TCGplayer</t>
        </is>
      </c>
      <c r="M145" s="4" t="inlineStr">
        <is>
          <t>https://www.pricecharting.com/game/one-piece-paramount-war/box-promotion-pack</t>
        </is>
      </c>
      <c r="N145" s="4" t="inlineStr">
        <is>
          <t>https://www.tcgplayer.com/product/488298</t>
        </is>
      </c>
    </row>
    <row r="146">
      <c r="A146" s="2" t="inlineStr">
        <is>
          <t>Passage To The Grand Line Wapol, the Tin Tyrant CH059</t>
        </is>
      </c>
      <c r="B146" s="3">
        <f>IF(H146&lt;&gt;"",H146,IF(I146&lt;&gt;"",I146,IF(J146&lt;&gt;"",J146,K146)))</f>
        <v>65.64</v>
      </c>
      <c r="C146" s="3">
        <f>MEDIAN(H146:K146)</f>
        <v>65.64</v>
      </c>
      <c r="D146" s="3">
        <f>ROUND(C146*(1-Settings!$B$2),2)</f>
        <v>45.95</v>
      </c>
      <c r="E146" s="2" t="inlineStr">
        <is>
          <t>One Piece</t>
        </is>
      </c>
      <c r="F146" s="2" t="inlineStr">
        <is>
          <t>Coffret</t>
        </is>
      </c>
      <c r="G146" s="2" t="inlineStr">
        <is>
          <t>Passage To The Grand Line</t>
        </is>
      </c>
      <c r="H146" s="3" t="n">
        <v>65.64</v>
      </c>
      <c r="I146" s="3" t="n"/>
      <c r="J146" s="3" t="n"/>
      <c r="K146" s="3" t="n"/>
      <c r="L146" s="2" t="inlineStr">
        <is>
          <t>PriceCharting</t>
        </is>
      </c>
      <c r="M146" s="4" t="inlineStr">
        <is>
          <t>https://www.pricecharting.com/game/one-piece-passage-to-the-grand-line/wapol-the-tin-tyrant-ch059</t>
        </is>
      </c>
    </row>
    <row r="147">
      <c r="A147" s="2" t="inlineStr">
        <is>
          <t>Promo 2nd Anniversary Set</t>
        </is>
      </c>
      <c r="B147" s="3">
        <f>IF(H147&lt;&gt;"",H147,IF(I147&lt;&gt;"",I147,IF(J147&lt;&gt;"",J147,K147)))</f>
        <v>59.14</v>
      </c>
      <c r="C147" s="3">
        <f>MEDIAN(H147:K147)</f>
        <v>59.14</v>
      </c>
      <c r="D147" s="3">
        <f>ROUND(C147*(1-Settings!$B$2),2)</f>
        <v>41.4</v>
      </c>
      <c r="E147" s="2" t="inlineStr">
        <is>
          <t>One Piece</t>
        </is>
      </c>
      <c r="F147" s="2" t="inlineStr">
        <is>
          <t>Coffret</t>
        </is>
      </c>
      <c r="G147" s="2" t="inlineStr">
        <is>
          <t>Promo</t>
        </is>
      </c>
      <c r="H147" s="3" t="n">
        <v>59.14</v>
      </c>
      <c r="I147" s="3" t="n"/>
      <c r="J147" s="3" t="n"/>
      <c r="K147" s="3" t="n"/>
      <c r="L147" s="2" t="inlineStr">
        <is>
          <t>PriceCharting</t>
        </is>
      </c>
      <c r="M147" s="4" t="inlineStr">
        <is>
          <t>https://www.pricecharting.com/game/one-piece-promo/2nd-anniversary-set</t>
        </is>
      </c>
    </row>
    <row r="148">
      <c r="A148" s="2" t="inlineStr">
        <is>
          <t>Promo Devil Fruits Collection Vol. 1</t>
        </is>
      </c>
      <c r="B148" s="3">
        <f>IF(H148&lt;&gt;"",H148,IF(I148&lt;&gt;"",I148,IF(J148&lt;&gt;"",J148,K148)))</f>
        <v>153.38</v>
      </c>
      <c r="C148" s="3">
        <f>MEDIAN(H148:K148)</f>
        <v>153.38</v>
      </c>
      <c r="D148" s="3">
        <f>ROUND(C148*(1-Settings!$B$2),2)</f>
        <v>107.37</v>
      </c>
      <c r="E148" s="2" t="inlineStr">
        <is>
          <t>One Piece</t>
        </is>
      </c>
      <c r="F148" s="2" t="inlineStr">
        <is>
          <t>Coffret</t>
        </is>
      </c>
      <c r="G148" s="2" t="inlineStr">
        <is>
          <t>Promo</t>
        </is>
      </c>
      <c r="H148" s="3" t="n">
        <v>153.38</v>
      </c>
      <c r="I148" s="3" t="n"/>
      <c r="J148" s="3" t="n"/>
      <c r="K148" s="3" t="n"/>
      <c r="L148" s="2" t="inlineStr">
        <is>
          <t>PriceCharting</t>
        </is>
      </c>
      <c r="M148" s="4" t="inlineStr">
        <is>
          <t>https://www.pricecharting.com/game/one-piece-promo/devil-fruits-collection-vol-1</t>
        </is>
      </c>
    </row>
    <row r="149">
      <c r="A149" s="2" t="inlineStr">
        <is>
          <t>Promo Devil Fruits Collection Vol. 2</t>
        </is>
      </c>
      <c r="B149" s="3">
        <f>IF(H149&lt;&gt;"",H149,IF(I149&lt;&gt;"",I149,IF(J149&lt;&gt;"",J149,K149)))</f>
        <v>84.72</v>
      </c>
      <c r="C149" s="3">
        <f>MEDIAN(H149:K149)</f>
        <v>84.72</v>
      </c>
      <c r="D149" s="3">
        <f>ROUND(C149*(1-Settings!$B$2),2)</f>
        <v>59.3</v>
      </c>
      <c r="E149" s="2" t="inlineStr">
        <is>
          <t>One Piece</t>
        </is>
      </c>
      <c r="F149" s="2" t="inlineStr">
        <is>
          <t>Coffret</t>
        </is>
      </c>
      <c r="G149" s="2" t="inlineStr">
        <is>
          <t>Promo</t>
        </is>
      </c>
      <c r="H149" s="3" t="n">
        <v>84.72</v>
      </c>
      <c r="I149" s="3" t="n"/>
      <c r="J149" s="3" t="n"/>
      <c r="K149" s="3" t="n"/>
      <c r="L149" s="2" t="inlineStr">
        <is>
          <t>PriceCharting</t>
        </is>
      </c>
      <c r="M149" s="4" t="inlineStr">
        <is>
          <t>https://www.pricecharting.com/game/one-piece-promo/devil-fruits-collection-vol-2</t>
        </is>
      </c>
    </row>
    <row r="150">
      <c r="A150" s="2" t="inlineStr">
        <is>
          <t>Promo Devil Fruits Collection Vol. 3</t>
        </is>
      </c>
      <c r="B150" s="3">
        <f>IF(H150&lt;&gt;"",H150,IF(I150&lt;&gt;"",I150,IF(J150&lt;&gt;"",J150,K150)))</f>
        <v>58.59</v>
      </c>
      <c r="C150" s="3">
        <f>MEDIAN(H150:K150)</f>
        <v>58.59</v>
      </c>
      <c r="D150" s="3">
        <f>ROUND(C150*(1-Settings!$B$2),2)</f>
        <v>41.01</v>
      </c>
      <c r="E150" s="2" t="inlineStr">
        <is>
          <t>One Piece</t>
        </is>
      </c>
      <c r="F150" s="2" t="inlineStr">
        <is>
          <t>Coffret</t>
        </is>
      </c>
      <c r="G150" s="2" t="inlineStr">
        <is>
          <t>Promo</t>
        </is>
      </c>
      <c r="H150" s="3" t="n">
        <v>58.59</v>
      </c>
      <c r="I150" s="3" t="n"/>
      <c r="J150" s="3" t="n"/>
      <c r="K150" s="3" t="n"/>
      <c r="L150" s="2" t="inlineStr">
        <is>
          <t>PriceCharting</t>
        </is>
      </c>
      <c r="M150" s="4" t="inlineStr">
        <is>
          <t>https://www.pricecharting.com/game/one-piece-promo/devil-fruits-collection-vol-3</t>
        </is>
      </c>
    </row>
    <row r="151">
      <c r="A151" s="2" t="inlineStr">
        <is>
          <t>Promo Illustration Box Volume 01</t>
        </is>
      </c>
      <c r="B151" s="3">
        <f>IF(H151&lt;&gt;"",H151,IF(I151&lt;&gt;"",I151,IF(J151&lt;&gt;"",J151,K151)))</f>
        <v>186.3</v>
      </c>
      <c r="C151" s="3">
        <f>MEDIAN(H151:K151)</f>
        <v>186.3</v>
      </c>
      <c r="D151" s="3">
        <f>ROUND(C151*(1-Settings!$B$2),2)</f>
        <v>130.41</v>
      </c>
      <c r="E151" s="2" t="inlineStr">
        <is>
          <t>One Piece</t>
        </is>
      </c>
      <c r="F151" s="2" t="inlineStr">
        <is>
          <t>Coffret</t>
        </is>
      </c>
      <c r="G151" s="2" t="inlineStr">
        <is>
          <t>Promo</t>
        </is>
      </c>
      <c r="H151" s="3" t="n">
        <v>186.3</v>
      </c>
      <c r="I151" s="3" t="n"/>
      <c r="J151" s="3" t="n"/>
      <c r="K151" s="3" t="n"/>
      <c r="L151" s="2" t="inlineStr">
        <is>
          <t>PriceCharting</t>
        </is>
      </c>
      <c r="M151" s="4" t="inlineStr">
        <is>
          <t>https://www.pricecharting.com/game/one-piece-promo/illustration-box-volume-01</t>
        </is>
      </c>
    </row>
    <row r="152">
      <c r="A152" s="2" t="inlineStr">
        <is>
          <t>Promo Illustration Box Volume 02</t>
        </is>
      </c>
      <c r="B152" s="3">
        <f>IF(H152&lt;&gt;"",H152,IF(I152&lt;&gt;"",I152,IF(J152&lt;&gt;"",J152,K152)))</f>
        <v>135.0</v>
      </c>
      <c r="C152" s="3">
        <f>MEDIAN(H152:K152)</f>
        <v>135.0</v>
      </c>
      <c r="D152" s="3">
        <f>ROUND(C152*(1-Settings!$B$2),2)</f>
        <v>94.5</v>
      </c>
      <c r="E152" s="2" t="inlineStr">
        <is>
          <t>One Piece</t>
        </is>
      </c>
      <c r="F152" s="2" t="inlineStr">
        <is>
          <t>Coffret</t>
        </is>
      </c>
      <c r="G152" s="2" t="inlineStr">
        <is>
          <t>Promo</t>
        </is>
      </c>
      <c r="H152" s="3" t="n">
        <v>135</v>
      </c>
      <c r="I152" s="3" t="n"/>
      <c r="J152" s="3" t="n"/>
      <c r="K152" s="3" t="n"/>
      <c r="L152" s="2" t="inlineStr">
        <is>
          <t>PriceCharting</t>
        </is>
      </c>
      <c r="M152" s="4" t="inlineStr">
        <is>
          <t>https://www.pricecharting.com/game/one-piece-promo/illustration-box-volume-02</t>
        </is>
      </c>
    </row>
    <row r="153">
      <c r="A153" s="2" t="inlineStr">
        <is>
          <t>Promo Premium Card Collection [25th Edition]</t>
        </is>
      </c>
      <c r="B153" s="3">
        <f>IF(H153&lt;&gt;"",H153,IF(I153&lt;&gt;"",I153,IF(J153&lt;&gt;"",J153,K153)))</f>
        <v>500.0</v>
      </c>
      <c r="C153" s="3">
        <f>MEDIAN(H153:K153)</f>
        <v>500.0</v>
      </c>
      <c r="D153" s="3">
        <f>ROUND(C153*(1-Settings!$B$2),2)</f>
        <v>350.0</v>
      </c>
      <c r="E153" s="2" t="inlineStr">
        <is>
          <t>One Piece</t>
        </is>
      </c>
      <c r="F153" s="2" t="inlineStr">
        <is>
          <t>Coffret</t>
        </is>
      </c>
      <c r="G153" s="2" t="inlineStr">
        <is>
          <t>Promo</t>
        </is>
      </c>
      <c r="H153" s="3" t="n">
        <v>500</v>
      </c>
      <c r="I153" s="3" t="n"/>
      <c r="J153" s="3" t="n"/>
      <c r="K153" s="3" t="n"/>
      <c r="L153" s="2" t="inlineStr">
        <is>
          <t>PriceCharting</t>
        </is>
      </c>
      <c r="M153" s="4" t="inlineStr">
        <is>
          <t>https://www.pricecharting.com/game/one-piece-promo/premium-card-collection-25th-edition</t>
        </is>
      </c>
    </row>
    <row r="154">
      <c r="A154" s="2" t="inlineStr">
        <is>
          <t>Promo Premium Card Collection [6 Assort Vol.1]</t>
        </is>
      </c>
      <c r="B154" s="3">
        <f>IF(H154&lt;&gt;"",H154,IF(I154&lt;&gt;"",I154,IF(J154&lt;&gt;"",J154,K154)))</f>
        <v>239.0</v>
      </c>
      <c r="C154" s="3">
        <f>MEDIAN(H154:K154)</f>
        <v>239.0</v>
      </c>
      <c r="D154" s="3">
        <f>ROUND(C154*(1-Settings!$B$2),2)</f>
        <v>167.3</v>
      </c>
      <c r="E154" s="2" t="inlineStr">
        <is>
          <t>One Piece</t>
        </is>
      </c>
      <c r="F154" s="2" t="inlineStr">
        <is>
          <t>Coffret</t>
        </is>
      </c>
      <c r="G154" s="2" t="inlineStr">
        <is>
          <t>Promo</t>
        </is>
      </c>
      <c r="H154" s="3" t="n">
        <v>239</v>
      </c>
      <c r="I154" s="3" t="n"/>
      <c r="J154" s="3" t="n"/>
      <c r="K154" s="3" t="n"/>
      <c r="L154" s="2" t="inlineStr">
        <is>
          <t>PriceCharting</t>
        </is>
      </c>
      <c r="M154" s="4" t="inlineStr">
        <is>
          <t>https://www.pricecharting.com/game/one-piece-promo/premium-card-collection-6-assort-vol1</t>
        </is>
      </c>
    </row>
    <row r="155">
      <c r="A155" s="2" t="inlineStr">
        <is>
          <t>Promo Premium Card Collection [Best Selection]</t>
        </is>
      </c>
      <c r="B155" s="3">
        <f>IF(H155&lt;&gt;"",H155,IF(I155&lt;&gt;"",I155,IF(J155&lt;&gt;"",J155,K155)))</f>
        <v>79.63</v>
      </c>
      <c r="C155" s="3">
        <f>MEDIAN(H155:K155)</f>
        <v>79.63</v>
      </c>
      <c r="D155" s="3">
        <f>ROUND(C155*(1-Settings!$B$2),2)</f>
        <v>55.74</v>
      </c>
      <c r="E155" s="2" t="inlineStr">
        <is>
          <t>One Piece</t>
        </is>
      </c>
      <c r="F155" s="2" t="inlineStr">
        <is>
          <t>Coffret</t>
        </is>
      </c>
      <c r="G155" s="2" t="inlineStr">
        <is>
          <t>Promo</t>
        </is>
      </c>
      <c r="H155" s="3" t="n">
        <v>79.63</v>
      </c>
      <c r="I155" s="3" t="n"/>
      <c r="J155" s="3" t="n"/>
      <c r="K155" s="3" t="n"/>
      <c r="L155" s="2" t="inlineStr">
        <is>
          <t>PriceCharting</t>
        </is>
      </c>
      <c r="M155" s="4" t="inlineStr">
        <is>
          <t>https://www.pricecharting.com/game/one-piece-promo/premium-card-collection-best-selection</t>
        </is>
      </c>
    </row>
    <row r="156">
      <c r="A156" s="2" t="inlineStr">
        <is>
          <t>Promo Premium Card Collection [Live Action Edition]</t>
        </is>
      </c>
      <c r="B156" s="3">
        <f>IF(H156&lt;&gt;"",H156,IF(I156&lt;&gt;"",I156,IF(J156&lt;&gt;"",J156,K156)))</f>
        <v>4.14</v>
      </c>
      <c r="C156" s="3">
        <f>MEDIAN(H156:K156)</f>
        <v>4.14</v>
      </c>
      <c r="D156" s="3">
        <f>ROUND(C156*(1-Settings!$B$2),2)</f>
        <v>2.9</v>
      </c>
      <c r="E156" s="2" t="inlineStr">
        <is>
          <t>One Piece</t>
        </is>
      </c>
      <c r="F156" s="2" t="inlineStr">
        <is>
          <t>Coffret</t>
        </is>
      </c>
      <c r="G156" s="2" t="inlineStr">
        <is>
          <t>Promo</t>
        </is>
      </c>
      <c r="H156" s="3" t="n">
        <v>4.14</v>
      </c>
      <c r="I156" s="3" t="n"/>
      <c r="J156" s="3" t="n"/>
      <c r="K156" s="3" t="n"/>
      <c r="L156" s="2" t="inlineStr">
        <is>
          <t>PriceCharting</t>
        </is>
      </c>
      <c r="M156" s="4" t="inlineStr">
        <is>
          <t>https://www.pricecharting.com/game/one-piece-promo/premium-card-collection-live-action-edition</t>
        </is>
      </c>
    </row>
    <row r="157">
      <c r="A157" s="2" t="inlineStr">
        <is>
          <t>Promo Sealed 1st Anniversary Set</t>
        </is>
      </c>
      <c r="B157" s="3">
        <f>IF(H157&lt;&gt;"",H157,IF(I157&lt;&gt;"",I157,IF(J157&lt;&gt;"",J157,K157)))</f>
        <v>5655.0</v>
      </c>
      <c r="C157" s="3">
        <f>MEDIAN(H157:K157)</f>
        <v>5655.0</v>
      </c>
      <c r="D157" s="3">
        <f>ROUND(C157*(1-Settings!$B$2),2)</f>
        <v>3958.5</v>
      </c>
      <c r="E157" s="2" t="inlineStr">
        <is>
          <t>One Piece</t>
        </is>
      </c>
      <c r="F157" s="2" t="inlineStr">
        <is>
          <t>Coffret</t>
        </is>
      </c>
      <c r="G157" s="2" t="inlineStr">
        <is>
          <t>Promo</t>
        </is>
      </c>
      <c r="H157" s="3" t="n">
        <v>5655</v>
      </c>
      <c r="I157" s="3" t="n"/>
      <c r="J157" s="3" t="n"/>
      <c r="K157" s="3" t="n"/>
      <c r="L157" s="2" t="inlineStr">
        <is>
          <t>PriceCharting</t>
        </is>
      </c>
      <c r="M157" s="4" t="inlineStr">
        <is>
          <t>https://www.pricecharting.com/game/one-piece-promo/sealed-1st-anniversary-set</t>
        </is>
      </c>
    </row>
    <row r="158">
      <c r="A158" s="2" t="inlineStr">
        <is>
          <t>Promo Sealed 3rd Anniversary Set</t>
        </is>
      </c>
      <c r="B158" s="3">
        <f>IF(H158&lt;&gt;"",H158,IF(I158&lt;&gt;"",I158,IF(J158&lt;&gt;"",J158,K158)))</f>
        <v>727.96</v>
      </c>
      <c r="C158" s="3">
        <f>MEDIAN(H158:K158)</f>
        <v>727.96</v>
      </c>
      <c r="D158" s="3">
        <f>ROUND(C158*(1-Settings!$B$2),2)</f>
        <v>509.57</v>
      </c>
      <c r="E158" s="2" t="inlineStr">
        <is>
          <t>One Piece</t>
        </is>
      </c>
      <c r="F158" s="2" t="inlineStr">
        <is>
          <t>Coffret</t>
        </is>
      </c>
      <c r="G158" s="2" t="inlineStr">
        <is>
          <t>Promo</t>
        </is>
      </c>
      <c r="H158" s="3" t="n">
        <v>727.96</v>
      </c>
      <c r="I158" s="3" t="n"/>
      <c r="J158" s="3" t="n"/>
      <c r="K158" s="3" t="n"/>
      <c r="L158" s="2" t="inlineStr">
        <is>
          <t>PriceCharting</t>
        </is>
      </c>
      <c r="M158" s="4" t="inlineStr">
        <is>
          <t>https://www.pricecharting.com/game/one-piece-promo/sealed-3rd-anniversary-set</t>
        </is>
      </c>
    </row>
    <row r="159">
      <c r="A159" s="2" t="inlineStr">
        <is>
          <t>Promo Sealed Battle Kit</t>
        </is>
      </c>
      <c r="B159" s="3">
        <f>IF(H159&lt;&gt;"",H159,IF(I159&lt;&gt;"",I159,IF(J159&lt;&gt;"",J159,K159)))</f>
        <v>30.0</v>
      </c>
      <c r="C159" s="3">
        <f>MEDIAN(H159:K159)</f>
        <v>30.0</v>
      </c>
      <c r="D159" s="3">
        <f>ROUND(C159*(1-Settings!$B$2),2)</f>
        <v>21.0</v>
      </c>
      <c r="E159" s="2" t="inlineStr">
        <is>
          <t>One Piece</t>
        </is>
      </c>
      <c r="F159" s="2" t="inlineStr">
        <is>
          <t>Coffret</t>
        </is>
      </c>
      <c r="G159" s="2" t="inlineStr">
        <is>
          <t>Promo</t>
        </is>
      </c>
      <c r="H159" s="3" t="n">
        <v>30</v>
      </c>
      <c r="I159" s="3" t="n"/>
      <c r="J159" s="3" t="n"/>
      <c r="K159" s="3" t="n"/>
      <c r="L159" s="2" t="inlineStr">
        <is>
          <t>PriceCharting</t>
        </is>
      </c>
      <c r="M159" s="4" t="inlineStr">
        <is>
          <t>https://www.pricecharting.com/game/one-piece-promo/sealed-battle-kit</t>
        </is>
      </c>
    </row>
    <row r="160">
      <c r="A160" s="2" t="inlineStr">
        <is>
          <t>Promo Sealed Gift Collection Box 2023</t>
        </is>
      </c>
      <c r="B160" s="3">
        <f>IF(H160&lt;&gt;"",H160,IF(I160&lt;&gt;"",I160,IF(J160&lt;&gt;"",J160,K160)))</f>
        <v>506.21</v>
      </c>
      <c r="C160" s="3">
        <f>MEDIAN(H160:K160)</f>
        <v>506.21</v>
      </c>
      <c r="D160" s="3">
        <f>ROUND(C160*(1-Settings!$B$2),2)</f>
        <v>354.35</v>
      </c>
      <c r="E160" s="2" t="inlineStr">
        <is>
          <t>One Piece</t>
        </is>
      </c>
      <c r="F160" s="2" t="inlineStr">
        <is>
          <t>Coffret</t>
        </is>
      </c>
      <c r="G160" s="2" t="inlineStr">
        <is>
          <t>Promo</t>
        </is>
      </c>
      <c r="H160" s="3" t="n">
        <v>506.21</v>
      </c>
      <c r="I160" s="3" t="n"/>
      <c r="J160" s="3" t="n"/>
      <c r="K160" s="3" t="n"/>
      <c r="L160" s="2" t="inlineStr">
        <is>
          <t>PriceCharting</t>
        </is>
      </c>
      <c r="M160" s="4" t="inlineStr">
        <is>
          <t>https://www.pricecharting.com/game/one-piece-promo/sealed-gift-collection-box-2023</t>
        </is>
      </c>
    </row>
    <row r="161">
      <c r="A161" s="2" t="inlineStr">
        <is>
          <t>Promo Sealed Illustration Box Vol 7</t>
        </is>
      </c>
      <c r="B161" s="3">
        <f>IF(H161&lt;&gt;"",H161,IF(I161&lt;&gt;"",I161,IF(J161&lt;&gt;"",J161,K161)))</f>
        <v>39.0</v>
      </c>
      <c r="C161" s="3">
        <f>MEDIAN(H161:K161)</f>
        <v>39.0</v>
      </c>
      <c r="D161" s="3">
        <f>ROUND(C161*(1-Settings!$B$2),2)</f>
        <v>27.3</v>
      </c>
      <c r="E161" s="2" t="inlineStr">
        <is>
          <t>One Piece</t>
        </is>
      </c>
      <c r="F161" s="2" t="inlineStr">
        <is>
          <t>Coffret</t>
        </is>
      </c>
      <c r="G161" s="2" t="inlineStr">
        <is>
          <t>Promo</t>
        </is>
      </c>
      <c r="H161" s="3" t="n">
        <v>39</v>
      </c>
      <c r="I161" s="3" t="n"/>
      <c r="J161" s="3" t="n"/>
      <c r="K161" s="3" t="n"/>
      <c r="L161" s="2" t="inlineStr">
        <is>
          <t>PriceCharting</t>
        </is>
      </c>
      <c r="M161" s="4" t="inlineStr">
        <is>
          <t>https://www.pricecharting.com/game/one-piece-promo/sealed-illustration-box-vol-7</t>
        </is>
      </c>
    </row>
    <row r="162">
      <c r="A162" s="2" t="inlineStr">
        <is>
          <t>Promo Sealed Illustration Box Vol 8</t>
        </is>
      </c>
      <c r="B162" s="3">
        <f>IF(H162&lt;&gt;"",H162,IF(I162&lt;&gt;"",I162,IF(J162&lt;&gt;"",J162,K162)))</f>
        <v>39.94</v>
      </c>
      <c r="C162" s="3">
        <f>MEDIAN(H162:K162)</f>
        <v>39.94</v>
      </c>
      <c r="D162" s="3">
        <f>ROUND(C162*(1-Settings!$B$2),2)</f>
        <v>27.96</v>
      </c>
      <c r="E162" s="2" t="inlineStr">
        <is>
          <t>One Piece</t>
        </is>
      </c>
      <c r="F162" s="2" t="inlineStr">
        <is>
          <t>Coffret</t>
        </is>
      </c>
      <c r="G162" s="2" t="inlineStr">
        <is>
          <t>Promo</t>
        </is>
      </c>
      <c r="H162" s="3" t="n">
        <v>39.94</v>
      </c>
      <c r="I162" s="3" t="n"/>
      <c r="J162" s="3" t="n"/>
      <c r="K162" s="3" t="n"/>
      <c r="L162" s="2" t="inlineStr">
        <is>
          <t>PriceCharting</t>
        </is>
      </c>
      <c r="M162" s="4" t="inlineStr">
        <is>
          <t>https://www.pricecharting.com/game/one-piece-promo/sealed-illustration-box-vol-8</t>
        </is>
      </c>
    </row>
    <row r="163">
      <c r="A163" s="2" t="inlineStr">
        <is>
          <t>Promo Sealed Illustration Box Vol. 3</t>
        </is>
      </c>
      <c r="B163" s="3">
        <f>IF(H163&lt;&gt;"",H163,IF(I163&lt;&gt;"",I163,IF(J163&lt;&gt;"",J163,K163)))</f>
        <v>87.35</v>
      </c>
      <c r="C163" s="3">
        <f>MEDIAN(H163:K163)</f>
        <v>87.35</v>
      </c>
      <c r="D163" s="3">
        <f>ROUND(C163*(1-Settings!$B$2),2)</f>
        <v>61.15</v>
      </c>
      <c r="E163" s="2" t="inlineStr">
        <is>
          <t>One Piece</t>
        </is>
      </c>
      <c r="F163" s="2" t="inlineStr">
        <is>
          <t>Coffret</t>
        </is>
      </c>
      <c r="G163" s="2" t="inlineStr">
        <is>
          <t>Promo</t>
        </is>
      </c>
      <c r="H163" s="3" t="n">
        <v>87.34999999999999</v>
      </c>
      <c r="I163" s="3" t="n"/>
      <c r="J163" s="3" t="n"/>
      <c r="K163" s="3" t="n"/>
      <c r="L163" s="2" t="inlineStr">
        <is>
          <t>PriceCharting</t>
        </is>
      </c>
      <c r="M163" s="4" t="inlineStr">
        <is>
          <t>https://www.pricecharting.com/game/one-piece-promo/sealed-illustration-box-vol-3</t>
        </is>
      </c>
    </row>
    <row r="164">
      <c r="A164" s="2" t="inlineStr">
        <is>
          <t>Promo Sealed Illustration Box Vol. 4</t>
        </is>
      </c>
      <c r="B164" s="3">
        <f>IF(H164&lt;&gt;"",H164,IF(I164&lt;&gt;"",I164,IF(J164&lt;&gt;"",J164,K164)))</f>
        <v>115.82</v>
      </c>
      <c r="C164" s="3">
        <f>MEDIAN(H164:K164)</f>
        <v>115.82</v>
      </c>
      <c r="D164" s="3">
        <f>ROUND(C164*(1-Settings!$B$2),2)</f>
        <v>81.07</v>
      </c>
      <c r="E164" s="2" t="inlineStr">
        <is>
          <t>One Piece</t>
        </is>
      </c>
      <c r="F164" s="2" t="inlineStr">
        <is>
          <t>Coffret</t>
        </is>
      </c>
      <c r="G164" s="2" t="inlineStr">
        <is>
          <t>Promo</t>
        </is>
      </c>
      <c r="H164" s="3" t="n">
        <v>115.82</v>
      </c>
      <c r="I164" s="3" t="n"/>
      <c r="J164" s="3" t="n"/>
      <c r="K164" s="3" t="n"/>
      <c r="L164" s="2" t="inlineStr">
        <is>
          <t>PriceCharting</t>
        </is>
      </c>
      <c r="M164" s="4" t="inlineStr">
        <is>
          <t>https://www.pricecharting.com/game/one-piece-promo/sealed-illustration-box-vol-4</t>
        </is>
      </c>
    </row>
    <row r="165">
      <c r="A165" s="2" t="inlineStr">
        <is>
          <t>Promo Sealed Illustration Box Vol. 5</t>
        </is>
      </c>
      <c r="B165" s="3">
        <f>IF(H165&lt;&gt;"",H165,IF(I165&lt;&gt;"",I165,IF(J165&lt;&gt;"",J165,K165)))</f>
        <v>91.5</v>
      </c>
      <c r="C165" s="3">
        <f>MEDIAN(H165:K165)</f>
        <v>91.5</v>
      </c>
      <c r="D165" s="3">
        <f>ROUND(C165*(1-Settings!$B$2),2)</f>
        <v>64.05</v>
      </c>
      <c r="E165" s="2" t="inlineStr">
        <is>
          <t>One Piece</t>
        </is>
      </c>
      <c r="F165" s="2" t="inlineStr">
        <is>
          <t>Coffret</t>
        </is>
      </c>
      <c r="G165" s="2" t="inlineStr">
        <is>
          <t>Promo</t>
        </is>
      </c>
      <c r="H165" s="3" t="n">
        <v>91.5</v>
      </c>
      <c r="I165" s="3" t="n"/>
      <c r="J165" s="3" t="n"/>
      <c r="K165" s="3" t="n"/>
      <c r="L165" s="2" t="inlineStr">
        <is>
          <t>PriceCharting</t>
        </is>
      </c>
      <c r="M165" s="4" t="inlineStr">
        <is>
          <t>https://www.pricecharting.com/game/one-piece-promo/sealed-illustration-box-vol-5</t>
        </is>
      </c>
    </row>
    <row r="166">
      <c r="A166" s="2" t="inlineStr">
        <is>
          <t>Promo Sealed Illustration Box Vol. 6</t>
        </is>
      </c>
      <c r="B166" s="3">
        <f>IF(H166&lt;&gt;"",H166,IF(I166&lt;&gt;"",I166,IF(J166&lt;&gt;"",J166,K166)))</f>
        <v>85.97</v>
      </c>
      <c r="C166" s="3">
        <f>MEDIAN(H166:K166)</f>
        <v>85.97</v>
      </c>
      <c r="D166" s="3">
        <f>ROUND(C166*(1-Settings!$B$2),2)</f>
        <v>60.18</v>
      </c>
      <c r="E166" s="2" t="inlineStr">
        <is>
          <t>One Piece</t>
        </is>
      </c>
      <c r="F166" s="2" t="inlineStr">
        <is>
          <t>Coffret</t>
        </is>
      </c>
      <c r="G166" s="2" t="inlineStr">
        <is>
          <t>Promo</t>
        </is>
      </c>
      <c r="H166" s="3" t="n">
        <v>85.97</v>
      </c>
      <c r="I166" s="3" t="n"/>
      <c r="J166" s="3" t="n"/>
      <c r="K166" s="3" t="n"/>
      <c r="L166" s="2" t="inlineStr">
        <is>
          <t>PriceCharting</t>
        </is>
      </c>
      <c r="M166" s="4" t="inlineStr">
        <is>
          <t>https://www.pricecharting.com/game/one-piece-promo/sealed-illustration-box-vol-6</t>
        </is>
      </c>
    </row>
    <row r="167">
      <c r="A167" s="2" t="inlineStr">
        <is>
          <t>Promo Sealed Premium Card Collection [Best Selection Vol. 6]</t>
        </is>
      </c>
      <c r="B167" s="3">
        <f>IF(H167&lt;&gt;"",H167,IF(I167&lt;&gt;"",I167,IF(J167&lt;&gt;"",J167,K167)))</f>
        <v>82.5</v>
      </c>
      <c r="C167" s="3">
        <f>MEDIAN(H167:K167)</f>
        <v>82.5</v>
      </c>
      <c r="D167" s="3">
        <f>ROUND(C167*(1-Settings!$B$2),2)</f>
        <v>57.75</v>
      </c>
      <c r="E167" s="2" t="inlineStr">
        <is>
          <t>One Piece</t>
        </is>
      </c>
      <c r="F167" s="2" t="inlineStr">
        <is>
          <t>Coffret</t>
        </is>
      </c>
      <c r="G167" s="2" t="inlineStr">
        <is>
          <t>Promo</t>
        </is>
      </c>
      <c r="H167" s="3" t="n">
        <v>82.5</v>
      </c>
      <c r="I167" s="3" t="n"/>
      <c r="J167" s="3" t="n"/>
      <c r="K167" s="3" t="n"/>
      <c r="L167" s="2" t="inlineStr">
        <is>
          <t>PriceCharting</t>
        </is>
      </c>
      <c r="M167" s="4" t="inlineStr">
        <is>
          <t>https://www.pricecharting.com/game/one-piece-promo/sealed-premium-card-collection-best-selection-vol-6</t>
        </is>
      </c>
    </row>
    <row r="168">
      <c r="A168" s="2" t="inlineStr">
        <is>
          <t>Promo Sealed Premium Card Collection: BANDAI CARD GAMES Fest. 23-24 Edition</t>
        </is>
      </c>
      <c r="B168" s="3">
        <f>IF(H168&lt;&gt;"",H168,IF(I168&lt;&gt;"",I168,IF(J168&lt;&gt;"",J168,K168)))</f>
        <v>103.84</v>
      </c>
      <c r="C168" s="3">
        <f>MEDIAN(H168:K168)</f>
        <v>103.84</v>
      </c>
      <c r="D168" s="3">
        <f>ROUND(C168*(1-Settings!$B$2),2)</f>
        <v>72.69</v>
      </c>
      <c r="E168" s="2" t="inlineStr">
        <is>
          <t>One Piece</t>
        </is>
      </c>
      <c r="F168" s="2" t="inlineStr">
        <is>
          <t>Coffret</t>
        </is>
      </c>
      <c r="G168" s="2" t="inlineStr">
        <is>
          <t>Promo</t>
        </is>
      </c>
      <c r="H168" s="3" t="n">
        <v>103.84</v>
      </c>
      <c r="I168" s="3" t="n"/>
      <c r="J168" s="3" t="n"/>
      <c r="K168" s="3" t="n"/>
      <c r="L168" s="2" t="inlineStr">
        <is>
          <t>PriceCharting</t>
        </is>
      </c>
      <c r="M168" s="4" t="inlineStr">
        <is>
          <t>https://www.pricecharting.com/game/one-piece-promo/sealed-premium-card-collection-bandai-card-games-fest-23-24-edition</t>
        </is>
      </c>
    </row>
    <row r="169">
      <c r="A169" s="2" t="inlineStr">
        <is>
          <t>Promo Sealed Premium Card Collection: Best Selection Vol. 2</t>
        </is>
      </c>
      <c r="B169" s="3">
        <f>IF(H169&lt;&gt;"",H169,IF(I169&lt;&gt;"",I169,IF(J169&lt;&gt;"",J169,K169)))</f>
        <v>90.0</v>
      </c>
      <c r="C169" s="3">
        <f>MEDIAN(H169:K169)</f>
        <v>90.0</v>
      </c>
      <c r="D169" s="3">
        <f>ROUND(C169*(1-Settings!$B$2),2)</f>
        <v>63.0</v>
      </c>
      <c r="E169" s="2" t="inlineStr">
        <is>
          <t>One Piece</t>
        </is>
      </c>
      <c r="F169" s="2" t="inlineStr">
        <is>
          <t>Coffret</t>
        </is>
      </c>
      <c r="G169" s="2" t="inlineStr">
        <is>
          <t>Promo</t>
        </is>
      </c>
      <c r="H169" s="3" t="n">
        <v>90</v>
      </c>
      <c r="I169" s="3" t="n"/>
      <c r="J169" s="3" t="n"/>
      <c r="K169" s="3" t="n"/>
      <c r="L169" s="2" t="inlineStr">
        <is>
          <t>PriceCharting</t>
        </is>
      </c>
      <c r="M169" s="4" t="inlineStr">
        <is>
          <t>https://www.pricecharting.com/game/one-piece-promo/sealed-premium-card-collection-best-selection-vol-2</t>
        </is>
      </c>
    </row>
    <row r="170">
      <c r="A170" s="2" t="inlineStr">
        <is>
          <t>Promo Sealed Premium Card Collection: Best Selection Vol. 3</t>
        </is>
      </c>
      <c r="B170" s="3">
        <f>IF(H170&lt;&gt;"",H170,IF(I170&lt;&gt;"",I170,IF(J170&lt;&gt;"",J170,K170)))</f>
        <v>89.99</v>
      </c>
      <c r="C170" s="3">
        <f>MEDIAN(H170:K170)</f>
        <v>89.99</v>
      </c>
      <c r="D170" s="3">
        <f>ROUND(C170*(1-Settings!$B$2),2)</f>
        <v>62.99</v>
      </c>
      <c r="E170" s="2" t="inlineStr">
        <is>
          <t>One Piece</t>
        </is>
      </c>
      <c r="F170" s="2" t="inlineStr">
        <is>
          <t>Coffret</t>
        </is>
      </c>
      <c r="G170" s="2" t="inlineStr">
        <is>
          <t>Promo</t>
        </is>
      </c>
      <c r="H170" s="3" t="n">
        <v>89.98999999999999</v>
      </c>
      <c r="I170" s="3" t="n"/>
      <c r="J170" s="3" t="n"/>
      <c r="K170" s="3" t="n"/>
      <c r="L170" s="2" t="inlineStr">
        <is>
          <t>PriceCharting</t>
        </is>
      </c>
      <c r="M170" s="4" t="inlineStr">
        <is>
          <t>https://www.pricecharting.com/game/one-piece-promo/sealed-premium-card-collection-best-selection-vol-3</t>
        </is>
      </c>
    </row>
    <row r="171">
      <c r="A171" s="2" t="inlineStr">
        <is>
          <t>Promo Sealed Premium Card Collection: Best Selection Vol. 4</t>
        </is>
      </c>
      <c r="B171" s="3">
        <f>IF(H171&lt;&gt;"",H171,IF(I171&lt;&gt;"",I171,IF(J171&lt;&gt;"",J171,K171)))</f>
        <v>222.26</v>
      </c>
      <c r="C171" s="3">
        <f>MEDIAN(H171:K171)</f>
        <v>222.26</v>
      </c>
      <c r="D171" s="3">
        <f>ROUND(C171*(1-Settings!$B$2),2)</f>
        <v>155.58</v>
      </c>
      <c r="E171" s="2" t="inlineStr">
        <is>
          <t>One Piece</t>
        </is>
      </c>
      <c r="F171" s="2" t="inlineStr">
        <is>
          <t>Coffret</t>
        </is>
      </c>
      <c r="G171" s="2" t="inlineStr">
        <is>
          <t>Promo</t>
        </is>
      </c>
      <c r="H171" s="3" t="n">
        <v>222.26</v>
      </c>
      <c r="I171" s="3" t="n"/>
      <c r="J171" s="3" t="n"/>
      <c r="K171" s="3" t="n"/>
      <c r="L171" s="2" t="inlineStr">
        <is>
          <t>PriceCharting</t>
        </is>
      </c>
      <c r="M171" s="4" t="inlineStr">
        <is>
          <t>https://www.pricecharting.com/game/one-piece-promo/sealed-premium-card-collection-best-selection-vol-4</t>
        </is>
      </c>
    </row>
    <row r="172">
      <c r="A172" s="2" t="inlineStr">
        <is>
          <t>Promo Sealed Premium Card Collection: Best Selection Vol. 5</t>
        </is>
      </c>
      <c r="B172" s="3">
        <f>IF(H172&lt;&gt;"",H172,IF(I172&lt;&gt;"",I172,IF(J172&lt;&gt;"",J172,K172)))</f>
        <v>87.22</v>
      </c>
      <c r="C172" s="3">
        <f>MEDIAN(H172:K172)</f>
        <v>87.22</v>
      </c>
      <c r="D172" s="3">
        <f>ROUND(C172*(1-Settings!$B$2),2)</f>
        <v>61.05</v>
      </c>
      <c r="E172" s="2" t="inlineStr">
        <is>
          <t>One Piece</t>
        </is>
      </c>
      <c r="F172" s="2" t="inlineStr">
        <is>
          <t>Coffret</t>
        </is>
      </c>
      <c r="G172" s="2" t="inlineStr">
        <is>
          <t>Promo</t>
        </is>
      </c>
      <c r="H172" s="3" t="n">
        <v>87.22</v>
      </c>
      <c r="I172" s="3" t="n"/>
      <c r="J172" s="3" t="n"/>
      <c r="K172" s="3" t="n"/>
      <c r="L172" s="2" t="inlineStr">
        <is>
          <t>PriceCharting</t>
        </is>
      </c>
      <c r="M172" s="4" t="inlineStr">
        <is>
          <t>https://www.pricecharting.com/game/one-piece-promo/sealed-premium-card-collection-best-selection-vol-5</t>
        </is>
      </c>
    </row>
    <row r="173">
      <c r="A173" s="2" t="inlineStr">
        <is>
          <t>Promo Sealed Premium Card Collection: Leader Collection</t>
        </is>
      </c>
      <c r="B173" s="3">
        <f>IF(H173&lt;&gt;"",H173,IF(I173&lt;&gt;"",I173,IF(J173&lt;&gt;"",J173,K173)))</f>
        <v>300.0</v>
      </c>
      <c r="C173" s="3">
        <f>MEDIAN(H173:K173)</f>
        <v>300.0</v>
      </c>
      <c r="D173" s="3">
        <f>ROUND(C173*(1-Settings!$B$2),2)</f>
        <v>210.0</v>
      </c>
      <c r="E173" s="2" t="inlineStr">
        <is>
          <t>One Piece</t>
        </is>
      </c>
      <c r="F173" s="2" t="inlineStr">
        <is>
          <t>Coffret</t>
        </is>
      </c>
      <c r="G173" s="2" t="inlineStr">
        <is>
          <t>Promo</t>
        </is>
      </c>
      <c r="H173" s="3" t="n">
        <v>300</v>
      </c>
      <c r="I173" s="3" t="n"/>
      <c r="J173" s="3" t="n"/>
      <c r="K173" s="3" t="n"/>
      <c r="L173" s="2" t="inlineStr">
        <is>
          <t>PriceCharting</t>
        </is>
      </c>
      <c r="M173" s="4" t="inlineStr">
        <is>
          <t>https://www.pricecharting.com/game/one-piece-promo/sealed-premium-card-collection-leader-collection</t>
        </is>
      </c>
    </row>
    <row r="174">
      <c r="A174" s="2" t="inlineStr">
        <is>
          <t>Promo Sealed Premium Card Collection: Live Action Edition</t>
        </is>
      </c>
      <c r="B174" s="3">
        <f>IF(H174&lt;&gt;"",H174,IF(I174&lt;&gt;"",I174,IF(J174&lt;&gt;"",J174,K174)))</f>
        <v>104.19</v>
      </c>
      <c r="C174" s="3">
        <f>MEDIAN(H174:K174)</f>
        <v>104.19</v>
      </c>
      <c r="D174" s="3">
        <f>ROUND(C174*(1-Settings!$B$2),2)</f>
        <v>72.93</v>
      </c>
      <c r="E174" s="2" t="inlineStr">
        <is>
          <t>One Piece</t>
        </is>
      </c>
      <c r="F174" s="2" t="inlineStr">
        <is>
          <t>Coffret</t>
        </is>
      </c>
      <c r="G174" s="2" t="inlineStr">
        <is>
          <t>Promo</t>
        </is>
      </c>
      <c r="H174" s="3" t="n">
        <v>104.19</v>
      </c>
      <c r="I174" s="3" t="n"/>
      <c r="J174" s="3" t="n"/>
      <c r="K174" s="3" t="n"/>
      <c r="L174" s="2" t="inlineStr">
        <is>
          <t>PriceCharting</t>
        </is>
      </c>
      <c r="M174" s="4" t="inlineStr">
        <is>
          <t>https://www.pricecharting.com/game/one-piece-promo/sealed-premium-card-collection-live-action-edition</t>
        </is>
      </c>
    </row>
    <row r="175">
      <c r="A175" s="2" t="inlineStr">
        <is>
          <t>Promo Sealed Premium Card Collection: RED Edition</t>
        </is>
      </c>
      <c r="B175" s="3">
        <f>IF(H175&lt;&gt;"",H175,IF(I175&lt;&gt;"",I175,IF(J175&lt;&gt;"",J175,K175)))</f>
        <v>48.0</v>
      </c>
      <c r="C175" s="3">
        <f>MEDIAN(H175:K175)</f>
        <v>48.0</v>
      </c>
      <c r="D175" s="3">
        <f>ROUND(C175*(1-Settings!$B$2),2)</f>
        <v>33.6</v>
      </c>
      <c r="E175" s="2" t="inlineStr">
        <is>
          <t>One Piece</t>
        </is>
      </c>
      <c r="F175" s="2" t="inlineStr">
        <is>
          <t>Coffret</t>
        </is>
      </c>
      <c r="G175" s="2" t="inlineStr">
        <is>
          <t>Promo</t>
        </is>
      </c>
      <c r="H175" s="3" t="n">
        <v>48</v>
      </c>
      <c r="I175" s="3" t="n"/>
      <c r="J175" s="3" t="n"/>
      <c r="K175" s="3" t="n"/>
      <c r="L175" s="2" t="inlineStr">
        <is>
          <t>PriceCharting</t>
        </is>
      </c>
      <c r="M175" s="4" t="inlineStr">
        <is>
          <t>https://www.pricecharting.com/game/one-piece-promo/sealed-premium-card-collection-red-edition</t>
        </is>
      </c>
    </row>
    <row r="176">
      <c r="A176" s="2" t="inlineStr">
        <is>
          <t>Promo Sealed Premium Card Collection: Uta</t>
        </is>
      </c>
      <c r="B176" s="3">
        <f>IF(H176&lt;&gt;"",H176,IF(I176&lt;&gt;"",I176,IF(J176&lt;&gt;"",J176,K176)))</f>
        <v>120.77</v>
      </c>
      <c r="C176" s="3">
        <f>MEDIAN(H176:K176)</f>
        <v>120.77</v>
      </c>
      <c r="D176" s="3">
        <f>ROUND(C176*(1-Settings!$B$2),2)</f>
        <v>84.54</v>
      </c>
      <c r="E176" s="2" t="inlineStr">
        <is>
          <t>One Piece</t>
        </is>
      </c>
      <c r="F176" s="2" t="inlineStr">
        <is>
          <t>Coffret</t>
        </is>
      </c>
      <c r="G176" s="2" t="inlineStr">
        <is>
          <t>Promo</t>
        </is>
      </c>
      <c r="H176" s="3" t="n">
        <v>120.77</v>
      </c>
      <c r="I176" s="3" t="n"/>
      <c r="J176" s="3" t="n"/>
      <c r="K176" s="3" t="n"/>
      <c r="L176" s="2" t="inlineStr">
        <is>
          <t>PriceCharting</t>
        </is>
      </c>
      <c r="M176" s="4" t="inlineStr">
        <is>
          <t>https://www.pricecharting.com/game/one-piece-promo/sealed-premium-card-collection-uta</t>
        </is>
      </c>
    </row>
    <row r="177">
      <c r="A177" s="2" t="inlineStr">
        <is>
          <t>Promo Sealed Tin Vol. 2 [Portgas.D.Ace]</t>
        </is>
      </c>
      <c r="B177" s="3">
        <f>IF(H177&lt;&gt;"",H177,IF(I177&lt;&gt;"",I177,IF(J177&lt;&gt;"",J177,K177)))</f>
        <v>47.76</v>
      </c>
      <c r="C177" s="3">
        <f>MEDIAN(H177:K177)</f>
        <v>47.76</v>
      </c>
      <c r="D177" s="3">
        <f>ROUND(C177*(1-Settings!$B$2),2)</f>
        <v>33.43</v>
      </c>
      <c r="E177" s="2" t="inlineStr">
        <is>
          <t>One Piece</t>
        </is>
      </c>
      <c r="F177" s="2" t="inlineStr">
        <is>
          <t>Coffret</t>
        </is>
      </c>
      <c r="G177" s="2" t="inlineStr">
        <is>
          <t>Promo</t>
        </is>
      </c>
      <c r="H177" s="3" t="n">
        <v>47.76</v>
      </c>
      <c r="I177" s="3" t="n"/>
      <c r="J177" s="3" t="n"/>
      <c r="K177" s="3" t="n"/>
      <c r="L177" s="2" t="inlineStr">
        <is>
          <t>PriceCharting</t>
        </is>
      </c>
      <c r="M177" s="4" t="inlineStr">
        <is>
          <t>https://www.pricecharting.com/game/one-piece-promo/sealed-tin-vol-2-portgasdace</t>
        </is>
      </c>
    </row>
    <row r="178">
      <c r="A178" s="2" t="inlineStr">
        <is>
          <t>Promo Tin Pack Set Vol. 2 [Sabo]</t>
        </is>
      </c>
      <c r="B178" s="3">
        <f>IF(H178&lt;&gt;"",H178,IF(I178&lt;&gt;"",I178,IF(J178&lt;&gt;"",J178,K178)))</f>
        <v>48.02</v>
      </c>
      <c r="C178" s="3">
        <f>MEDIAN(H178:K178)</f>
        <v>48.02</v>
      </c>
      <c r="D178" s="3">
        <f>ROUND(C178*(1-Settings!$B$2),2)</f>
        <v>33.61</v>
      </c>
      <c r="E178" s="2" t="inlineStr">
        <is>
          <t>One Piece</t>
        </is>
      </c>
      <c r="F178" s="2" t="inlineStr">
        <is>
          <t>Coffret</t>
        </is>
      </c>
      <c r="G178" s="2" t="inlineStr">
        <is>
          <t>Promo</t>
        </is>
      </c>
      <c r="H178" s="3" t="n">
        <v>48.02</v>
      </c>
      <c r="I178" s="3" t="n"/>
      <c r="J178" s="3" t="n"/>
      <c r="K178" s="3" t="n"/>
      <c r="L178" s="2" t="inlineStr">
        <is>
          <t>PriceCharting</t>
        </is>
      </c>
      <c r="M178" s="4" t="inlineStr">
        <is>
          <t>https://www.pricecharting.com/game/one-piece-promo/tin-pack-set-vol-2-sabo</t>
        </is>
      </c>
    </row>
    <row r="179">
      <c r="A179" s="2" t="inlineStr">
        <is>
          <t>Promo Treasure Booster Set Box</t>
        </is>
      </c>
      <c r="B179" s="3">
        <f>IF(H179&lt;&gt;"",H179,IF(I179&lt;&gt;"",I179,IF(J179&lt;&gt;"",J179,K179)))</f>
        <v>191.77</v>
      </c>
      <c r="C179" s="3">
        <f>MEDIAN(H179:K179)</f>
        <v>191.77</v>
      </c>
      <c r="D179" s="3">
        <f>ROUND(C179*(1-Settings!$B$2),2)</f>
        <v>134.24</v>
      </c>
      <c r="E179" s="2" t="inlineStr">
        <is>
          <t>One Piece</t>
        </is>
      </c>
      <c r="F179" s="2" t="inlineStr">
        <is>
          <t>Coffret</t>
        </is>
      </c>
      <c r="G179" s="2" t="inlineStr">
        <is>
          <t>Promo</t>
        </is>
      </c>
      <c r="H179" s="3" t="n">
        <v>191.77</v>
      </c>
      <c r="I179" s="3" t="n"/>
      <c r="J179" s="3" t="n"/>
      <c r="K179" s="3" t="n"/>
      <c r="L179" s="2" t="inlineStr">
        <is>
          <t>PriceCharting</t>
        </is>
      </c>
      <c r="M179" s="4" t="inlineStr">
        <is>
          <t>https://www.pricecharting.com/game/one-piece-promo/treasure-booster-set-box</t>
        </is>
      </c>
    </row>
    <row r="180">
      <c r="A180" s="2" t="inlineStr">
        <is>
          <t>Box Promotion Pack</t>
        </is>
      </c>
      <c r="B180" s="3">
        <f>IF(H180&lt;&gt;"",H180,IF(I180&lt;&gt;"",I180,IF(J180&lt;&gt;"",J180,K180)))</f>
        <v>39.95</v>
      </c>
      <c r="C180" s="3">
        <f>MEDIAN(H180:K180)</f>
        <v>39.95</v>
      </c>
      <c r="D180" s="3">
        <f>ROUND(C180*(1-Settings!$B$2),2)</f>
        <v>27.97</v>
      </c>
      <c r="E180" s="2" t="inlineStr">
        <is>
          <t>One Piece</t>
        </is>
      </c>
      <c r="F180" s="2" t="inlineStr">
        <is>
          <t>Coffret</t>
        </is>
      </c>
      <c r="G180" s="2" t="inlineStr">
        <is>
          <t>Romance Dawn</t>
        </is>
      </c>
      <c r="H180" s="3" t="n">
        <v>39.95</v>
      </c>
      <c r="I180" s="3" t="n">
        <v>41.81</v>
      </c>
      <c r="J180" s="3" t="n"/>
      <c r="K180" s="3" t="n">
        <v>22.99</v>
      </c>
      <c r="L180" s="2" t="inlineStr">
        <is>
          <t>PriceCharting + TCGplayer</t>
        </is>
      </c>
      <c r="M180" s="4" t="inlineStr">
        <is>
          <t>https://www.pricecharting.com/game/one-piece-romance-dawn/box-promotion-pack</t>
        </is>
      </c>
      <c r="N180" s="4" t="inlineStr">
        <is>
          <t>https://www.tcgplayer.com/product/532645</t>
        </is>
      </c>
    </row>
    <row r="181">
      <c r="A181" s="2" t="inlineStr">
        <is>
          <t>Royal Blood Gol.D.Roger Sealed Tin</t>
        </is>
      </c>
      <c r="B181" s="3">
        <f>IF(H181&lt;&gt;"",H181,IF(I181&lt;&gt;"",I181,IF(J181&lt;&gt;"",J181,K181)))</f>
        <v>27.5</v>
      </c>
      <c r="C181" s="3">
        <f>MEDIAN(H181:K181)</f>
        <v>27.5</v>
      </c>
      <c r="D181" s="3">
        <f>ROUND(C181*(1-Settings!$B$2),2)</f>
        <v>19.25</v>
      </c>
      <c r="E181" s="2" t="inlineStr">
        <is>
          <t>One Piece</t>
        </is>
      </c>
      <c r="F181" s="2" t="inlineStr">
        <is>
          <t>Coffret</t>
        </is>
      </c>
      <c r="G181" s="2" t="inlineStr">
        <is>
          <t>Royal Blood</t>
        </is>
      </c>
      <c r="H181" s="3" t="n">
        <v>27.5</v>
      </c>
      <c r="I181" s="3" t="n"/>
      <c r="J181" s="3" t="n"/>
      <c r="K181" s="3" t="n"/>
      <c r="L181" s="2" t="inlineStr">
        <is>
          <t>PriceCharting</t>
        </is>
      </c>
      <c r="M181" s="4" t="inlineStr">
        <is>
          <t>https://www.pricecharting.com/game/one-piece-royal-blood/goldroger-sealed-tin</t>
        </is>
      </c>
    </row>
    <row r="182">
      <c r="A182" s="2" t="inlineStr">
        <is>
          <t>Royal Blood Monkey.D.Luffy Sealed Tin</t>
        </is>
      </c>
      <c r="B182" s="3">
        <f>IF(H182&lt;&gt;"",H182,IF(I182&lt;&gt;"",I182,IF(J182&lt;&gt;"",J182,K182)))</f>
        <v>25.0</v>
      </c>
      <c r="C182" s="3">
        <f>MEDIAN(H182:K182)</f>
        <v>25.0</v>
      </c>
      <c r="D182" s="3">
        <f>ROUND(C182*(1-Settings!$B$2),2)</f>
        <v>17.5</v>
      </c>
      <c r="E182" s="2" t="inlineStr">
        <is>
          <t>One Piece</t>
        </is>
      </c>
      <c r="F182" s="2" t="inlineStr">
        <is>
          <t>Coffret</t>
        </is>
      </c>
      <c r="G182" s="2" t="inlineStr">
        <is>
          <t>Royal Blood</t>
        </is>
      </c>
      <c r="H182" s="3" t="n">
        <v>25</v>
      </c>
      <c r="I182" s="3" t="n"/>
      <c r="J182" s="3" t="n"/>
      <c r="K182" s="3" t="n"/>
      <c r="L182" s="2" t="inlineStr">
        <is>
          <t>PriceCharting</t>
        </is>
      </c>
      <c r="M182" s="4" t="inlineStr">
        <is>
          <t>https://www.pricecharting.com/game/one-piece-royal-blood/monkeydluffy-sealed-tin</t>
        </is>
      </c>
    </row>
    <row r="183">
      <c r="A183" s="2" t="inlineStr">
        <is>
          <t>Double Pack Set Vol. 9</t>
        </is>
      </c>
      <c r="B183" s="3">
        <f>IF(H183&lt;&gt;"",H183,IF(I183&lt;&gt;"",I183,IF(J183&lt;&gt;"",J183,K183)))</f>
        <v>34.36</v>
      </c>
      <c r="C183" s="3">
        <f>MEDIAN(H183:K183)</f>
        <v>34.16</v>
      </c>
      <c r="D183" s="3">
        <f>ROUND(C183*(1-Settings!$B$2),2)</f>
        <v>23.91</v>
      </c>
      <c r="E183" s="2" t="inlineStr">
        <is>
          <t>One Piece</t>
        </is>
      </c>
      <c r="F183" s="2" t="inlineStr">
        <is>
          <t>Coffret</t>
        </is>
      </c>
      <c r="G183" s="2" t="inlineStr">
        <is>
          <t>The Azure Sea's Seven</t>
        </is>
      </c>
      <c r="H183" s="3" t="n"/>
      <c r="I183" s="3" t="n">
        <v>34.36</v>
      </c>
      <c r="J183" s="3" t="n"/>
      <c r="K183" s="3" t="n">
        <v>33.96</v>
      </c>
      <c r="L183" s="2" t="inlineStr">
        <is>
          <t>TCGplayer</t>
        </is>
      </c>
      <c r="N183" s="4" t="inlineStr">
        <is>
          <t>https://www.tcgplayer.com/product/666578</t>
        </is>
      </c>
    </row>
    <row r="184">
      <c r="A184" s="2" t="inlineStr">
        <is>
          <t>Double Pack Set Vol. 13</t>
        </is>
      </c>
      <c r="B184" s="3">
        <f>IF(H184&lt;&gt;"",H184,IF(I184&lt;&gt;"",I184,IF(J184&lt;&gt;"",J184,K184)))</f>
        <v>69.99</v>
      </c>
      <c r="C184" s="3">
        <f>MEDIAN(H184:K184)</f>
        <v>69.91999999999999</v>
      </c>
      <c r="D184" s="3">
        <f>ROUND(C184*(1-Settings!$B$2),2)</f>
        <v>48.94</v>
      </c>
      <c r="E184" s="2" t="inlineStr">
        <is>
          <t>One Piece</t>
        </is>
      </c>
      <c r="F184" s="2" t="inlineStr">
        <is>
          <t>Coffret</t>
        </is>
      </c>
      <c r="G184" s="2" t="inlineStr">
        <is>
          <t>The Dominance of God</t>
        </is>
      </c>
      <c r="H184" s="3" t="n"/>
      <c r="I184" s="3" t="n">
        <v>69.98999999999999</v>
      </c>
      <c r="J184" s="3" t="n"/>
      <c r="K184" s="3" t="n">
        <v>69.84999999999999</v>
      </c>
      <c r="L184" s="2" t="inlineStr">
        <is>
          <t>TCGplayer</t>
        </is>
      </c>
      <c r="N184" s="4" t="inlineStr">
        <is>
          <t>https://www.tcgplayer.com/product/712907</t>
        </is>
      </c>
    </row>
    <row r="185">
      <c r="A185" s="2" t="inlineStr">
        <is>
          <t>Double Pack Set Vol. 11</t>
        </is>
      </c>
      <c r="B185" s="3">
        <f>IF(H185&lt;&gt;"",H185,IF(I185&lt;&gt;"",I185,IF(J185&lt;&gt;"",J185,K185)))</f>
        <v>29.53</v>
      </c>
      <c r="C185" s="3">
        <f>MEDIAN(H185:K185)</f>
        <v>27.740000000000002</v>
      </c>
      <c r="D185" s="3">
        <f>ROUND(C185*(1-Settings!$B$2),2)</f>
        <v>19.42</v>
      </c>
      <c r="E185" s="2" t="inlineStr">
        <is>
          <t>One Piece</t>
        </is>
      </c>
      <c r="F185" s="2" t="inlineStr">
        <is>
          <t>Coffret</t>
        </is>
      </c>
      <c r="G185" s="2" t="inlineStr">
        <is>
          <t>The Time of Battle</t>
        </is>
      </c>
      <c r="H185" s="3" t="n"/>
      <c r="I185" s="3" t="n">
        <v>29.53</v>
      </c>
      <c r="J185" s="3" t="n"/>
      <c r="K185" s="3" t="n">
        <v>25.95</v>
      </c>
      <c r="L185" s="2" t="inlineStr">
        <is>
          <t>TCGplayer</t>
        </is>
      </c>
      <c r="N185" s="4" t="inlineStr">
        <is>
          <t>https://www.tcgplayer.com/product/693364</t>
        </is>
      </c>
    </row>
    <row r="186">
      <c r="A186" s="2" t="inlineStr">
        <is>
          <t>Double Pack Set Vol. 12</t>
        </is>
      </c>
      <c r="B186" s="3">
        <f>IF(H186&lt;&gt;"",H186,IF(I186&lt;&gt;"",I186,IF(J186&lt;&gt;"",J186,K186)))</f>
        <v>40.05</v>
      </c>
      <c r="C186" s="3">
        <f>MEDIAN(H186:K186)</f>
        <v>37.525</v>
      </c>
      <c r="D186" s="3">
        <f>ROUND(C186*(1-Settings!$B$2),2)</f>
        <v>26.27</v>
      </c>
      <c r="E186" s="2" t="inlineStr">
        <is>
          <t>One Piece</t>
        </is>
      </c>
      <c r="F186" s="2" t="inlineStr">
        <is>
          <t>Coffret</t>
        </is>
      </c>
      <c r="G186" s="2" t="inlineStr">
        <is>
          <t>The World's Strongest Warriors</t>
        </is>
      </c>
      <c r="H186" s="3" t="n"/>
      <c r="I186" s="3" t="n">
        <v>40.05</v>
      </c>
      <c r="J186" s="3" t="n"/>
      <c r="K186" s="3" t="n">
        <v>35</v>
      </c>
      <c r="L186" s="2" t="inlineStr">
        <is>
          <t>TCGplayer</t>
        </is>
      </c>
      <c r="N186" s="4" t="inlineStr">
        <is>
          <t>https://www.tcgplayer.com/product/704757</t>
        </is>
      </c>
    </row>
    <row r="187">
      <c r="A187" s="2" t="inlineStr">
        <is>
          <t>The World's Strongest Warriors Sleeved Booster Pack Art Bundle [Set of 4]</t>
        </is>
      </c>
      <c r="B187" s="3">
        <f>IF(H187&lt;&gt;"",H187,IF(I187&lt;&gt;"",I187,IF(J187&lt;&gt;"",J187,K187)))</f>
        <v>59.15</v>
      </c>
      <c r="C187" s="3">
        <f>MEDIAN(H187:K187)</f>
        <v>59.575</v>
      </c>
      <c r="D187" s="3">
        <f>ROUND(C187*(1-Settings!$B$2),2)</f>
        <v>41.7</v>
      </c>
      <c r="E187" s="2" t="inlineStr">
        <is>
          <t>One Piece</t>
        </is>
      </c>
      <c r="F187" s="2" t="inlineStr">
        <is>
          <t>Coffret</t>
        </is>
      </c>
      <c r="G187" s="2" t="inlineStr">
        <is>
          <t>The World's Strongest Warriors</t>
        </is>
      </c>
      <c r="H187" s="3" t="n"/>
      <c r="I187" s="3" t="n">
        <v>59.15</v>
      </c>
      <c r="J187" s="3" t="n"/>
      <c r="K187" s="3" t="n">
        <v>60</v>
      </c>
      <c r="L187" s="2" t="inlineStr">
        <is>
          <t>TCGplayer</t>
        </is>
      </c>
      <c r="N187" s="4" t="inlineStr">
        <is>
          <t>https://www.tcgplayer.com/product/715980</t>
        </is>
      </c>
    </row>
    <row r="188">
      <c r="A188" s="2" t="inlineStr">
        <is>
          <t>Tin Pack Set Vol 1 Sealed Tin</t>
        </is>
      </c>
      <c r="B188" s="3">
        <f>IF(H188&lt;&gt;"",H188,IF(I188&lt;&gt;"",I188,IF(J188&lt;&gt;"",J188,K188)))</f>
        <v>59.5</v>
      </c>
      <c r="C188" s="3">
        <f>MEDIAN(H188:K188)</f>
        <v>59.5</v>
      </c>
      <c r="D188" s="3">
        <f>ROUND(C188*(1-Settings!$B$2),2)</f>
        <v>41.65</v>
      </c>
      <c r="E188" s="2" t="inlineStr">
        <is>
          <t>One Piece</t>
        </is>
      </c>
      <c r="F188" s="2" t="inlineStr">
        <is>
          <t>Coffret</t>
        </is>
      </c>
      <c r="G188" s="2" t="inlineStr">
        <is>
          <t>Tin Pack Set Vol 1</t>
        </is>
      </c>
      <c r="H188" s="3" t="n">
        <v>59.5</v>
      </c>
      <c r="I188" s="3" t="n"/>
      <c r="J188" s="3" t="n"/>
      <c r="K188" s="3" t="n"/>
      <c r="L188" s="2" t="inlineStr">
        <is>
          <t>PriceCharting</t>
        </is>
      </c>
      <c r="M188" s="4" t="inlineStr">
        <is>
          <t>https://www.pricecharting.com/game/one-piece-tin-pack-set-vol-1/sealed-tin</t>
        </is>
      </c>
    </row>
    <row r="189">
      <c r="A189" s="2" t="inlineStr">
        <is>
          <t>Double Pack Set Volume 5</t>
        </is>
      </c>
      <c r="B189" s="3">
        <f>IF(H189&lt;&gt;"",H189,IF(I189&lt;&gt;"",I189,IF(J189&lt;&gt;"",J189,K189)))</f>
        <v>43.99</v>
      </c>
      <c r="C189" s="3">
        <f>MEDIAN(H189:K189)</f>
        <v>51.47</v>
      </c>
      <c r="D189" s="3">
        <f>ROUND(C189*(1-Settings!$B$2),2)</f>
        <v>36.03</v>
      </c>
      <c r="E189" s="2" t="inlineStr">
        <is>
          <t>One Piece</t>
        </is>
      </c>
      <c r="F189" s="2" t="inlineStr">
        <is>
          <t>Coffret</t>
        </is>
      </c>
      <c r="G189" s="2" t="inlineStr">
        <is>
          <t>Two Legends</t>
        </is>
      </c>
      <c r="H189" s="3" t="n"/>
      <c r="I189" s="3" t="n">
        <v>43.99</v>
      </c>
      <c r="J189" s="3" t="n"/>
      <c r="K189" s="3" t="n">
        <v>58.95</v>
      </c>
      <c r="L189" s="2" t="inlineStr">
        <is>
          <t>TCGplayer</t>
        </is>
      </c>
      <c r="N189" s="4" t="inlineStr">
        <is>
          <t>https://www.tcgplayer.com/product/561689</t>
        </is>
      </c>
    </row>
    <row r="190">
      <c r="A190" s="2" t="inlineStr">
        <is>
          <t>Double Pack Set Volume 3</t>
        </is>
      </c>
      <c r="B190" s="3">
        <f>IF(H190&lt;&gt;"",H190,IF(I190&lt;&gt;"",I190,IF(J190&lt;&gt;"",J190,K190)))</f>
        <v>73.02</v>
      </c>
      <c r="C190" s="3">
        <f>MEDIAN(H190:K190)</f>
        <v>84.005</v>
      </c>
      <c r="D190" s="3">
        <f>ROUND(C190*(1-Settings!$B$2),2)</f>
        <v>58.8</v>
      </c>
      <c r="E190" s="2" t="inlineStr">
        <is>
          <t>One Piece</t>
        </is>
      </c>
      <c r="F190" s="2" t="inlineStr">
        <is>
          <t>Coffret</t>
        </is>
      </c>
      <c r="G190" s="2" t="inlineStr">
        <is>
          <t>Wings of the Captain</t>
        </is>
      </c>
      <c r="H190" s="3" t="n"/>
      <c r="I190" s="3" t="n">
        <v>73.02</v>
      </c>
      <c r="J190" s="3" t="n"/>
      <c r="K190" s="3" t="n">
        <v>94.98999999999999</v>
      </c>
      <c r="L190" s="2" t="inlineStr">
        <is>
          <t>TCGplayer</t>
        </is>
      </c>
      <c r="N190" s="4" t="inlineStr">
        <is>
          <t>https://www.tcgplayer.com/product/541542</t>
        </is>
      </c>
    </row>
    <row r="191">
      <c r="A191" s="2" t="inlineStr">
        <is>
          <t>500 Years in the Future - Booster Pack</t>
        </is>
      </c>
      <c r="B191" s="3">
        <f>IF(H191&lt;&gt;"",H191,IF(I191&lt;&gt;"",I191,IF(J191&lt;&gt;"",J191,K191)))</f>
        <v>17.17</v>
      </c>
      <c r="C191" s="3">
        <f>MEDIAN(H191:K191)</f>
        <v>11.13</v>
      </c>
      <c r="D191" s="3">
        <f>ROUND(C191*(1-Settings!$B$2),2)</f>
        <v>7.79</v>
      </c>
      <c r="E191" s="2" t="inlineStr">
        <is>
          <t>One Piece</t>
        </is>
      </c>
      <c r="F191" s="2" t="inlineStr">
        <is>
          <t>Pack</t>
        </is>
      </c>
      <c r="G191" s="2" t="inlineStr">
        <is>
          <t>500 Years in the Future</t>
        </is>
      </c>
      <c r="H191" s="3" t="n">
        <v>17.17</v>
      </c>
      <c r="I191" s="3" t="n">
        <v>11.13</v>
      </c>
      <c r="J191" s="3" t="n"/>
      <c r="K191" s="3" t="n">
        <v>5</v>
      </c>
      <c r="L191" s="2" t="inlineStr">
        <is>
          <t>PriceCharting + TCGplayer</t>
        </is>
      </c>
      <c r="M191" s="4" t="inlineStr">
        <is>
          <t>https://www.pricecharting.com/game/one-piece-500-years-in-the-future/booster-pack</t>
        </is>
      </c>
      <c r="N191" s="4" t="inlineStr">
        <is>
          <t>https://www.tcgplayer.com/product/532104</t>
        </is>
      </c>
    </row>
    <row r="192">
      <c r="A192" s="2" t="inlineStr">
        <is>
          <t>500 Years in the Future - Sleeved Booster Pack</t>
        </is>
      </c>
      <c r="B192" s="3">
        <f>IF(H192&lt;&gt;"",H192,IF(I192&lt;&gt;"",I192,IF(J192&lt;&gt;"",J192,K192)))</f>
        <v>26.2</v>
      </c>
      <c r="C192" s="3">
        <f>MEDIAN(H192:K192)</f>
        <v>26.2</v>
      </c>
      <c r="D192" s="3">
        <f>ROUND(C192*(1-Settings!$B$2),2)</f>
        <v>18.34</v>
      </c>
      <c r="E192" s="2" t="inlineStr">
        <is>
          <t>One Piece</t>
        </is>
      </c>
      <c r="F192" s="2" t="inlineStr">
        <is>
          <t>Pack</t>
        </is>
      </c>
      <c r="G192" s="2" t="inlineStr">
        <is>
          <t>500 Years in the Future</t>
        </is>
      </c>
      <c r="H192" s="3" t="n">
        <v>26.2</v>
      </c>
      <c r="I192" s="3" t="n">
        <v>26.91</v>
      </c>
      <c r="J192" s="3" t="n"/>
      <c r="K192" s="3" t="n">
        <v>25</v>
      </c>
      <c r="L192" s="2" t="inlineStr">
        <is>
          <t>PriceCharting + TCGplayer</t>
        </is>
      </c>
      <c r="M192" s="4" t="inlineStr">
        <is>
          <t>https://www.pricecharting.com/game/one-piece-500-years-in-the-future/sleeved-booster-pack</t>
        </is>
      </c>
      <c r="N192" s="4" t="inlineStr">
        <is>
          <t>https://www.tcgplayer.com/product/532105</t>
        </is>
      </c>
    </row>
    <row r="193">
      <c r="A193" s="2" t="inlineStr">
        <is>
          <t>500 Years In The Future Double Pack DP-04</t>
        </is>
      </c>
      <c r="B193" s="3">
        <f>IF(H193&lt;&gt;"",H193,IF(I193&lt;&gt;"",I193,IF(J193&lt;&gt;"",J193,K193)))</f>
        <v>39.95</v>
      </c>
      <c r="C193" s="3">
        <f>MEDIAN(H193:K193)</f>
        <v>39.95</v>
      </c>
      <c r="D193" s="3">
        <f>ROUND(C193*(1-Settings!$B$2),2)</f>
        <v>27.97</v>
      </c>
      <c r="E193" s="2" t="inlineStr">
        <is>
          <t>One Piece</t>
        </is>
      </c>
      <c r="F193" s="2" t="inlineStr">
        <is>
          <t>Pack</t>
        </is>
      </c>
      <c r="G193" s="2" t="inlineStr">
        <is>
          <t>500 Years In The Future</t>
        </is>
      </c>
      <c r="H193" s="3" t="n">
        <v>39.95</v>
      </c>
      <c r="I193" s="3" t="n"/>
      <c r="J193" s="3" t="n"/>
      <c r="K193" s="3" t="n"/>
      <c r="L193" s="2" t="inlineStr">
        <is>
          <t>PriceCharting</t>
        </is>
      </c>
      <c r="M193" s="4" t="inlineStr">
        <is>
          <t>https://www.pricecharting.com/game/one-piece-500-years-in-the-future/double-pack-dp-04</t>
        </is>
      </c>
    </row>
    <row r="194">
      <c r="A194" s="2" t="inlineStr">
        <is>
          <t>Special DON!! Card Pack DP-04</t>
        </is>
      </c>
      <c r="B194" s="3">
        <f>IF(H194&lt;&gt;"",H194,IF(I194&lt;&gt;"",I194,IF(J194&lt;&gt;"",J194,K194)))</f>
        <v>9.27</v>
      </c>
      <c r="C194" s="3">
        <f>MEDIAN(H194:K194)</f>
        <v>8.879999999999999</v>
      </c>
      <c r="D194" s="3">
        <f>ROUND(C194*(1-Settings!$B$2),2)</f>
        <v>6.22</v>
      </c>
      <c r="E194" s="2" t="inlineStr">
        <is>
          <t>One Piece</t>
        </is>
      </c>
      <c r="F194" s="2" t="inlineStr">
        <is>
          <t>Pack</t>
        </is>
      </c>
      <c r="G194" s="2" t="inlineStr">
        <is>
          <t>500 Years in the Future</t>
        </is>
      </c>
      <c r="H194" s="3" t="n"/>
      <c r="I194" s="3" t="n">
        <v>9.27</v>
      </c>
      <c r="J194" s="3" t="n"/>
      <c r="K194" s="3" t="n">
        <v>8.49</v>
      </c>
      <c r="L194" s="2" t="inlineStr">
        <is>
          <t>TCGplayer</t>
        </is>
      </c>
      <c r="N194" s="4" t="inlineStr">
        <is>
          <t>https://www.tcgplayer.com/product/557077</t>
        </is>
      </c>
    </row>
    <row r="195">
      <c r="A195" s="2" t="inlineStr">
        <is>
          <t>500 Years in the Future - Pre-Release Pack</t>
        </is>
      </c>
      <c r="B195" s="3">
        <f>IF(H195&lt;&gt;"",H195,IF(I195&lt;&gt;"",I195,IF(J195&lt;&gt;"",J195,K195)))</f>
        <v>14.97</v>
      </c>
      <c r="C195" s="3">
        <f>MEDIAN(H195:K195)</f>
        <v>15.79</v>
      </c>
      <c r="D195" s="3">
        <f>ROUND(C195*(1-Settings!$B$2),2)</f>
        <v>11.05</v>
      </c>
      <c r="E195" s="2" t="inlineStr">
        <is>
          <t>One Piece</t>
        </is>
      </c>
      <c r="F195" s="2" t="inlineStr">
        <is>
          <t>Pack</t>
        </is>
      </c>
      <c r="G195" s="2" t="inlineStr">
        <is>
          <t>500 Years in the Future Pre-Release Cards</t>
        </is>
      </c>
      <c r="H195" s="3" t="n"/>
      <c r="I195" s="3" t="n">
        <v>14.97</v>
      </c>
      <c r="J195" s="3" t="n"/>
      <c r="K195" s="3" t="n">
        <v>16.61</v>
      </c>
      <c r="L195" s="2" t="inlineStr">
        <is>
          <t>TCGplayer</t>
        </is>
      </c>
      <c r="N195" s="4" t="inlineStr">
        <is>
          <t>https://www.tcgplayer.com/product/552054</t>
        </is>
      </c>
    </row>
    <row r="196">
      <c r="A196" s="2" t="inlineStr">
        <is>
          <t>A Fist of Divine Speed - Sleeved Booster Pack</t>
        </is>
      </c>
      <c r="B196" s="3">
        <f>IF(H196&lt;&gt;"",H196,IF(I196&lt;&gt;"",I196,IF(J196&lt;&gt;"",J196,K196)))</f>
        <v>34.9</v>
      </c>
      <c r="C196" s="3">
        <f>MEDIAN(H196:K196)</f>
        <v>32.95</v>
      </c>
      <c r="D196" s="3">
        <f>ROUND(C196*(1-Settings!$B$2),2)</f>
        <v>23.07</v>
      </c>
      <c r="E196" s="2" t="inlineStr">
        <is>
          <t>One Piece</t>
        </is>
      </c>
      <c r="F196" s="2" t="inlineStr">
        <is>
          <t>Pack</t>
        </is>
      </c>
      <c r="G196" s="2" t="inlineStr">
        <is>
          <t>A Fist of Divine Speed</t>
        </is>
      </c>
      <c r="H196" s="3" t="n"/>
      <c r="I196" s="3" t="n">
        <v>34.9</v>
      </c>
      <c r="J196" s="3" t="n"/>
      <c r="K196" s="3" t="n">
        <v>31</v>
      </c>
      <c r="L196" s="2" t="inlineStr">
        <is>
          <t>TCGplayer</t>
        </is>
      </c>
      <c r="N196" s="4" t="inlineStr">
        <is>
          <t>https://www.tcgplayer.com/product/636741</t>
        </is>
      </c>
    </row>
    <row r="197">
      <c r="A197" s="2" t="inlineStr">
        <is>
          <t>A Fist of Divine Speed Booster Pack</t>
        </is>
      </c>
      <c r="B197" s="3">
        <f>IF(H197&lt;&gt;"",H197,IF(I197&lt;&gt;"",I197,IF(J197&lt;&gt;"",J197,K197)))</f>
        <v>12.01</v>
      </c>
      <c r="C197" s="3">
        <f>MEDIAN(H197:K197)</f>
        <v>10.0</v>
      </c>
      <c r="D197" s="3">
        <f>ROUND(C197*(1-Settings!$B$2),2)</f>
        <v>7.0</v>
      </c>
      <c r="E197" s="2" t="inlineStr">
        <is>
          <t>One Piece</t>
        </is>
      </c>
      <c r="F197" s="2" t="inlineStr">
        <is>
          <t>Pack</t>
        </is>
      </c>
      <c r="G197" s="2" t="inlineStr">
        <is>
          <t>A Fist of Divine Speed</t>
        </is>
      </c>
      <c r="H197" s="3" t="n"/>
      <c r="I197" s="3" t="n">
        <v>12.01</v>
      </c>
      <c r="J197" s="3" t="n"/>
      <c r="K197" s="3" t="n">
        <v>7.99</v>
      </c>
      <c r="L197" s="2" t="inlineStr">
        <is>
          <t>TCGplayer</t>
        </is>
      </c>
      <c r="N197" s="4" t="inlineStr">
        <is>
          <t>https://www.tcgplayer.com/product/620179</t>
        </is>
      </c>
    </row>
    <row r="198">
      <c r="A198" s="2" t="inlineStr">
        <is>
          <t>Special DON!! Card Pack DP-07</t>
        </is>
      </c>
      <c r="B198" s="3">
        <f>IF(H198&lt;&gt;"",H198,IF(I198&lt;&gt;"",I198,IF(J198&lt;&gt;"",J198,K198)))</f>
        <v>3.35</v>
      </c>
      <c r="C198" s="3">
        <f>MEDIAN(H198:K198)</f>
        <v>3.175</v>
      </c>
      <c r="D198" s="3">
        <f>ROUND(C198*(1-Settings!$B$2),2)</f>
        <v>2.22</v>
      </c>
      <c r="E198" s="2" t="inlineStr">
        <is>
          <t>One Piece</t>
        </is>
      </c>
      <c r="F198" s="2" t="inlineStr">
        <is>
          <t>Pack</t>
        </is>
      </c>
      <c r="G198" s="2" t="inlineStr">
        <is>
          <t>A Fist of Divine Speed</t>
        </is>
      </c>
      <c r="H198" s="3" t="n"/>
      <c r="I198" s="3" t="n">
        <v>3.35</v>
      </c>
      <c r="J198" s="3" t="n"/>
      <c r="K198" s="3" t="n">
        <v>3</v>
      </c>
      <c r="L198" s="2" t="inlineStr">
        <is>
          <t>TCGplayer</t>
        </is>
      </c>
      <c r="N198" s="4" t="inlineStr">
        <is>
          <t>https://www.tcgplayer.com/product/636743</t>
        </is>
      </c>
    </row>
    <row r="199">
      <c r="A199" s="2" t="inlineStr">
        <is>
          <t>A Fist of Divine Speed - Release Event Pack</t>
        </is>
      </c>
      <c r="B199" s="3">
        <f>IF(H199&lt;&gt;"",H199,IF(I199&lt;&gt;"",I199,IF(J199&lt;&gt;"",J199,K199)))</f>
        <v>6.62</v>
      </c>
      <c r="C199" s="3">
        <f>MEDIAN(H199:K199)</f>
        <v>6.3100000000000005</v>
      </c>
      <c r="D199" s="3">
        <f>ROUND(C199*(1-Settings!$B$2),2)</f>
        <v>4.42</v>
      </c>
      <c r="E199" s="2" t="inlineStr">
        <is>
          <t>One Piece</t>
        </is>
      </c>
      <c r="F199" s="2" t="inlineStr">
        <is>
          <t>Pack</t>
        </is>
      </c>
      <c r="G199" s="2" t="inlineStr">
        <is>
          <t>A Fist of Divine Speed Release Event Cards</t>
        </is>
      </c>
      <c r="H199" s="3" t="n"/>
      <c r="I199" s="3" t="n">
        <v>6.62</v>
      </c>
      <c r="J199" s="3" t="n"/>
      <c r="K199" s="3" t="n">
        <v>6</v>
      </c>
      <c r="L199" s="2" t="inlineStr">
        <is>
          <t>TCGplayer</t>
        </is>
      </c>
      <c r="N199" s="4" t="inlineStr">
        <is>
          <t>https://www.tcgplayer.com/product/634527</t>
        </is>
      </c>
    </row>
    <row r="200">
      <c r="A200" s="2" t="inlineStr">
        <is>
          <t>Adventure on Kami's Island - Dash Pack</t>
        </is>
      </c>
      <c r="B200" s="3">
        <f>IF(H200&lt;&gt;"",H200,IF(I200&lt;&gt;"",I200,IF(J200&lt;&gt;"",J200,K200)))</f>
        <v>4.85</v>
      </c>
      <c r="C200" s="3">
        <f>MEDIAN(H200:K200)</f>
        <v>4.3</v>
      </c>
      <c r="D200" s="3">
        <f>ROUND(C200*(1-Settings!$B$2),2)</f>
        <v>3.01</v>
      </c>
      <c r="E200" s="2" t="inlineStr">
        <is>
          <t>One Piece</t>
        </is>
      </c>
      <c r="F200" s="2" t="inlineStr">
        <is>
          <t>Pack</t>
        </is>
      </c>
      <c r="G200" s="2" t="inlineStr">
        <is>
          <t>Adventure on Kami's Island</t>
        </is>
      </c>
      <c r="H200" s="3" t="n"/>
      <c r="I200" s="3" t="n">
        <v>4.85</v>
      </c>
      <c r="J200" s="3" t="n"/>
      <c r="K200" s="3" t="n">
        <v>3.75</v>
      </c>
      <c r="L200" s="2" t="inlineStr">
        <is>
          <t>TCGplayer</t>
        </is>
      </c>
      <c r="N200" s="4" t="inlineStr">
        <is>
          <t>https://www.tcgplayer.com/product/686290</t>
        </is>
      </c>
    </row>
    <row r="201">
      <c r="A201" s="2" t="inlineStr">
        <is>
          <t>Adventure on Kami's Island - Sleeved Booster Pack</t>
        </is>
      </c>
      <c r="B201" s="3">
        <f>IF(H201&lt;&gt;"",H201,IF(I201&lt;&gt;"",I201,IF(J201&lt;&gt;"",J201,K201)))</f>
        <v>13.97</v>
      </c>
      <c r="C201" s="3">
        <f>MEDIAN(H201:K201)</f>
        <v>13.48</v>
      </c>
      <c r="D201" s="3">
        <f>ROUND(C201*(1-Settings!$B$2),2)</f>
        <v>9.44</v>
      </c>
      <c r="E201" s="2" t="inlineStr">
        <is>
          <t>One Piece</t>
        </is>
      </c>
      <c r="F201" s="2" t="inlineStr">
        <is>
          <t>Pack</t>
        </is>
      </c>
      <c r="G201" s="2" t="inlineStr">
        <is>
          <t>Adventure on Kami's Island</t>
        </is>
      </c>
      <c r="H201" s="3" t="n"/>
      <c r="I201" s="3" t="n">
        <v>13.97</v>
      </c>
      <c r="J201" s="3" t="n"/>
      <c r="K201" s="3" t="n">
        <v>12.99</v>
      </c>
      <c r="L201" s="2" t="inlineStr">
        <is>
          <t>TCGplayer</t>
        </is>
      </c>
      <c r="N201" s="4" t="inlineStr">
        <is>
          <t>https://www.tcgplayer.com/product/688634</t>
        </is>
      </c>
    </row>
    <row r="202">
      <c r="A202" s="2" t="inlineStr">
        <is>
          <t>Adventure on Kami's Island Booster Pack</t>
        </is>
      </c>
      <c r="B202" s="3">
        <f>IF(H202&lt;&gt;"",H202,IF(I202&lt;&gt;"",I202,IF(J202&lt;&gt;"",J202,K202)))</f>
        <v>7.85</v>
      </c>
      <c r="C202" s="3">
        <f>MEDIAN(H202:K202)</f>
        <v>6.425</v>
      </c>
      <c r="D202" s="3">
        <f>ROUND(C202*(1-Settings!$B$2),2)</f>
        <v>4.5</v>
      </c>
      <c r="E202" s="2" t="inlineStr">
        <is>
          <t>One Piece</t>
        </is>
      </c>
      <c r="F202" s="2" t="inlineStr">
        <is>
          <t>Pack</t>
        </is>
      </c>
      <c r="G202" s="2" t="inlineStr">
        <is>
          <t>Adventure on Kami's Island</t>
        </is>
      </c>
      <c r="H202" s="3" t="n"/>
      <c r="I202" s="3" t="n">
        <v>7.85</v>
      </c>
      <c r="J202" s="3" t="n"/>
      <c r="K202" s="3" t="n">
        <v>5</v>
      </c>
      <c r="L202" s="2" t="inlineStr">
        <is>
          <t>TCGplayer</t>
        </is>
      </c>
      <c r="N202" s="4" t="inlineStr">
        <is>
          <t>https://www.tcgplayer.com/product/682056</t>
        </is>
      </c>
    </row>
    <row r="203">
      <c r="A203" s="2" t="inlineStr">
        <is>
          <t>Special DON!! Card Pack DP-10</t>
        </is>
      </c>
      <c r="B203" s="3">
        <f>IF(H203&lt;&gt;"",H203,IF(I203&lt;&gt;"",I203,IF(J203&lt;&gt;"",J203,K203)))</f>
        <v>4.54</v>
      </c>
      <c r="C203" s="3">
        <f>MEDIAN(H203:K203)</f>
        <v>3.77</v>
      </c>
      <c r="D203" s="3">
        <f>ROUND(C203*(1-Settings!$B$2),2)</f>
        <v>2.64</v>
      </c>
      <c r="E203" s="2" t="inlineStr">
        <is>
          <t>One Piece</t>
        </is>
      </c>
      <c r="F203" s="2" t="inlineStr">
        <is>
          <t>Pack</t>
        </is>
      </c>
      <c r="G203" s="2" t="inlineStr">
        <is>
          <t>Adventure on Kami's Island</t>
        </is>
      </c>
      <c r="H203" s="3" t="n"/>
      <c r="I203" s="3" t="n">
        <v>4.54</v>
      </c>
      <c r="J203" s="3" t="n"/>
      <c r="K203" s="3" t="n">
        <v>3</v>
      </c>
      <c r="L203" s="2" t="inlineStr">
        <is>
          <t>TCGplayer</t>
        </is>
      </c>
      <c r="N203" s="4" t="inlineStr">
        <is>
          <t>https://www.tcgplayer.com/product/689162</t>
        </is>
      </c>
    </row>
    <row r="204">
      <c r="A204" s="2" t="inlineStr">
        <is>
          <t>Adventure on Kami's Island - Release Event Pack</t>
        </is>
      </c>
      <c r="B204" s="3">
        <f>IF(H204&lt;&gt;"",H204,IF(I204&lt;&gt;"",I204,IF(J204&lt;&gt;"",J204,K204)))</f>
        <v>5.61</v>
      </c>
      <c r="C204" s="3">
        <f>MEDIAN(H204:K204)</f>
        <v>5.300000000000001</v>
      </c>
      <c r="D204" s="3">
        <f>ROUND(C204*(1-Settings!$B$2),2)</f>
        <v>3.71</v>
      </c>
      <c r="E204" s="2" t="inlineStr">
        <is>
          <t>One Piece</t>
        </is>
      </c>
      <c r="F204" s="2" t="inlineStr">
        <is>
          <t>Pack</t>
        </is>
      </c>
      <c r="G204" s="2" t="inlineStr">
        <is>
          <t>Adventure on Kami's Island Release Event Cards</t>
        </is>
      </c>
      <c r="H204" s="3" t="n"/>
      <c r="I204" s="3" t="n">
        <v>5.61</v>
      </c>
      <c r="J204" s="3" t="n"/>
      <c r="K204" s="3" t="n">
        <v>4.99</v>
      </c>
      <c r="L204" s="2" t="inlineStr">
        <is>
          <t>TCGplayer</t>
        </is>
      </c>
      <c r="N204" s="4" t="inlineStr">
        <is>
          <t>https://www.tcgplayer.com/product/686456</t>
        </is>
      </c>
    </row>
    <row r="205">
      <c r="A205" s="2" t="inlineStr">
        <is>
          <t>Awakening of the New Era - Booster Pack</t>
        </is>
      </c>
      <c r="B205" s="3">
        <f>IF(H205&lt;&gt;"",H205,IF(I205&lt;&gt;"",I205,IF(J205&lt;&gt;"",J205,K205)))</f>
        <v>74.83</v>
      </c>
      <c r="C205" s="3">
        <f>MEDIAN(H205:K205)</f>
        <v>37.0</v>
      </c>
      <c r="D205" s="3">
        <f>ROUND(C205*(1-Settings!$B$2),2)</f>
        <v>25.9</v>
      </c>
      <c r="E205" s="2" t="inlineStr">
        <is>
          <t>One Piece</t>
        </is>
      </c>
      <c r="F205" s="2" t="inlineStr">
        <is>
          <t>Pack</t>
        </is>
      </c>
      <c r="G205" s="2" t="inlineStr">
        <is>
          <t>Awakening of the New Era</t>
        </is>
      </c>
      <c r="H205" s="3" t="n">
        <v>74.83</v>
      </c>
      <c r="I205" s="3" t="n">
        <v>37</v>
      </c>
      <c r="J205" s="3" t="n"/>
      <c r="K205" s="3" t="n">
        <v>32.99</v>
      </c>
      <c r="L205" s="2" t="inlineStr">
        <is>
          <t>PriceCharting + TCGplayer</t>
        </is>
      </c>
      <c r="M205" s="4" t="inlineStr">
        <is>
          <t>https://www.pricecharting.com/game/one-piece-awakening-of-the-new-era/booster-pack</t>
        </is>
      </c>
      <c r="N205" s="4" t="inlineStr">
        <is>
          <t>https://www.tcgplayer.com/product/498733</t>
        </is>
      </c>
    </row>
    <row r="206">
      <c r="A206" s="2" t="inlineStr">
        <is>
          <t>Awakening of the New Era - Sleeved Booster Pack</t>
        </is>
      </c>
      <c r="B206" s="3">
        <f>IF(H206&lt;&gt;"",H206,IF(I206&lt;&gt;"",I206,IF(J206&lt;&gt;"",J206,K206)))</f>
        <v>85.59</v>
      </c>
      <c r="C206" s="3">
        <f>MEDIAN(H206:K206)</f>
        <v>85.59</v>
      </c>
      <c r="D206" s="3">
        <f>ROUND(C206*(1-Settings!$B$2),2)</f>
        <v>59.91</v>
      </c>
      <c r="E206" s="2" t="inlineStr">
        <is>
          <t>One Piece</t>
        </is>
      </c>
      <c r="F206" s="2" t="inlineStr">
        <is>
          <t>Pack</t>
        </is>
      </c>
      <c r="G206" s="2" t="inlineStr">
        <is>
          <t>Awakening of the New Era</t>
        </is>
      </c>
      <c r="H206" s="3" t="n">
        <v>85.59</v>
      </c>
      <c r="I206" s="3" t="n">
        <v>78.76000000000001</v>
      </c>
      <c r="J206" s="3" t="n"/>
      <c r="K206" s="3" t="n">
        <v>85.94</v>
      </c>
      <c r="L206" s="2" t="inlineStr">
        <is>
          <t>PriceCharting + TCGplayer</t>
        </is>
      </c>
      <c r="M206" s="4" t="inlineStr">
        <is>
          <t>https://www.pricecharting.com/game/one-piece-awakening-of-the-new-era/sleeved-booster-pack</t>
        </is>
      </c>
      <c r="N206" s="4" t="inlineStr">
        <is>
          <t>https://www.tcgplayer.com/product/531575</t>
        </is>
      </c>
    </row>
    <row r="207">
      <c r="A207" s="2" t="inlineStr">
        <is>
          <t>Awakening Of The New Era Double Pack DP-02</t>
        </is>
      </c>
      <c r="B207" s="3">
        <f>IF(H207&lt;&gt;"",H207,IF(I207&lt;&gt;"",I207,IF(J207&lt;&gt;"",J207,K207)))</f>
        <v>223.89</v>
      </c>
      <c r="C207" s="3">
        <f>MEDIAN(H207:K207)</f>
        <v>223.89</v>
      </c>
      <c r="D207" s="3">
        <f>ROUND(C207*(1-Settings!$B$2),2)</f>
        <v>156.72</v>
      </c>
      <c r="E207" s="2" t="inlineStr">
        <is>
          <t>One Piece</t>
        </is>
      </c>
      <c r="F207" s="2" t="inlineStr">
        <is>
          <t>Pack</t>
        </is>
      </c>
      <c r="G207" s="2" t="inlineStr">
        <is>
          <t>Awakening Of The New Era</t>
        </is>
      </c>
      <c r="H207" s="3" t="n">
        <v>223.89</v>
      </c>
      <c r="I207" s="3" t="n"/>
      <c r="J207" s="3" t="n"/>
      <c r="K207" s="3" t="n"/>
      <c r="L207" s="2" t="inlineStr">
        <is>
          <t>PriceCharting</t>
        </is>
      </c>
      <c r="M207" s="4" t="inlineStr">
        <is>
          <t>https://www.pricecharting.com/game/one-piece-awakening-of-the-new-era/double-pack-dp-02</t>
        </is>
      </c>
    </row>
    <row r="208">
      <c r="A208" s="2" t="inlineStr">
        <is>
          <t>Special DON!! Card Pack DP-02</t>
        </is>
      </c>
      <c r="B208" s="3">
        <f>IF(H208&lt;&gt;"",H208,IF(I208&lt;&gt;"",I208,IF(J208&lt;&gt;"",J208,K208)))</f>
        <v>4.53</v>
      </c>
      <c r="C208" s="3">
        <f>MEDIAN(H208:K208)</f>
        <v>4.13</v>
      </c>
      <c r="D208" s="3">
        <f>ROUND(C208*(1-Settings!$B$2),2)</f>
        <v>2.89</v>
      </c>
      <c r="E208" s="2" t="inlineStr">
        <is>
          <t>One Piece</t>
        </is>
      </c>
      <c r="F208" s="2" t="inlineStr">
        <is>
          <t>Pack</t>
        </is>
      </c>
      <c r="G208" s="2" t="inlineStr">
        <is>
          <t>Awakening of the New Era</t>
        </is>
      </c>
      <c r="H208" s="3" t="n"/>
      <c r="I208" s="3" t="n">
        <v>4.53</v>
      </c>
      <c r="J208" s="3" t="n"/>
      <c r="K208" s="3" t="n">
        <v>3.73</v>
      </c>
      <c r="L208" s="2" t="inlineStr">
        <is>
          <t>TCGplayer</t>
        </is>
      </c>
      <c r="N208" s="4" t="inlineStr">
        <is>
          <t>https://www.tcgplayer.com/product/531974</t>
        </is>
      </c>
    </row>
    <row r="209">
      <c r="A209" s="2" t="inlineStr">
        <is>
          <t>Awakening of the New Era - 1st Anniversary Tournament Pack</t>
        </is>
      </c>
      <c r="B209" s="3">
        <f>IF(H209&lt;&gt;"",H209,IF(I209&lt;&gt;"",I209,IF(J209&lt;&gt;"",J209,K209)))</f>
        <v>65.87</v>
      </c>
      <c r="C209" s="3">
        <f>MEDIAN(H209:K209)</f>
        <v>82.93</v>
      </c>
      <c r="D209" s="3">
        <f>ROUND(C209*(1-Settings!$B$2),2)</f>
        <v>58.05</v>
      </c>
      <c r="E209" s="2" t="inlineStr">
        <is>
          <t>One Piece</t>
        </is>
      </c>
      <c r="F209" s="2" t="inlineStr">
        <is>
          <t>Pack</t>
        </is>
      </c>
      <c r="G209" s="2" t="inlineStr">
        <is>
          <t>Awakening of the New Era: 1st Anniversary Tournament Cards</t>
        </is>
      </c>
      <c r="H209" s="3" t="n"/>
      <c r="I209" s="3" t="n">
        <v>65.87</v>
      </c>
      <c r="J209" s="3" t="n"/>
      <c r="K209" s="3" t="n">
        <v>99.98999999999999</v>
      </c>
      <c r="L209" s="2" t="inlineStr">
        <is>
          <t>TCGplayer</t>
        </is>
      </c>
      <c r="N209" s="4" t="inlineStr">
        <is>
          <t>https://www.tcgplayer.com/product/520771</t>
        </is>
      </c>
    </row>
    <row r="210">
      <c r="A210" s="2" t="inlineStr">
        <is>
          <t>Carrying On His Will Booster Pack</t>
        </is>
      </c>
      <c r="B210" s="3">
        <f>IF(H210&lt;&gt;"",H210,IF(I210&lt;&gt;"",I210,IF(J210&lt;&gt;"",J210,K210)))</f>
        <v>12.2</v>
      </c>
      <c r="C210" s="3">
        <f>MEDIAN(H210:K210)</f>
        <v>12.2</v>
      </c>
      <c r="D210" s="3">
        <f>ROUND(C210*(1-Settings!$B$2),2)</f>
        <v>8.54</v>
      </c>
      <c r="E210" s="2" t="inlineStr">
        <is>
          <t>One Piece</t>
        </is>
      </c>
      <c r="F210" s="2" t="inlineStr">
        <is>
          <t>Pack</t>
        </is>
      </c>
      <c r="G210" s="2" t="inlineStr">
        <is>
          <t>Carrying On His Will</t>
        </is>
      </c>
      <c r="H210" s="3" t="n">
        <v>12.2</v>
      </c>
      <c r="I210" s="3" t="n">
        <v>12.93</v>
      </c>
      <c r="J210" s="3" t="n"/>
      <c r="K210" s="3" t="n">
        <v>8</v>
      </c>
      <c r="L210" s="2" t="inlineStr">
        <is>
          <t>PriceCharting + TCGplayer</t>
        </is>
      </c>
      <c r="M210" s="4" t="inlineStr">
        <is>
          <t>https://www.pricecharting.com/game/one-piece-carrying-on-his-will/booster-pack</t>
        </is>
      </c>
      <c r="N210" s="4" t="inlineStr">
        <is>
          <t>https://www.tcgplayer.com/product/628351</t>
        </is>
      </c>
    </row>
    <row r="211">
      <c r="A211" s="2" t="inlineStr">
        <is>
          <t>Carrying On His Will Sleeved Booster Pack</t>
        </is>
      </c>
      <c r="B211" s="3">
        <f>IF(H211&lt;&gt;"",H211,IF(I211&lt;&gt;"",I211,IF(J211&lt;&gt;"",J211,K211)))</f>
        <v>19.99</v>
      </c>
      <c r="C211" s="3">
        <f>MEDIAN(H211:K211)</f>
        <v>19.51</v>
      </c>
      <c r="D211" s="3">
        <f>ROUND(C211*(1-Settings!$B$2),2)</f>
        <v>13.66</v>
      </c>
      <c r="E211" s="2" t="inlineStr">
        <is>
          <t>One Piece</t>
        </is>
      </c>
      <c r="F211" s="2" t="inlineStr">
        <is>
          <t>Pack</t>
        </is>
      </c>
      <c r="G211" s="2" t="inlineStr">
        <is>
          <t>Carrying On His Will</t>
        </is>
      </c>
      <c r="H211" s="3" t="n">
        <v>19.99</v>
      </c>
      <c r="I211" s="3" t="n">
        <v>19.51</v>
      </c>
      <c r="J211" s="3" t="n"/>
      <c r="K211" s="3" t="n">
        <v>7.99</v>
      </c>
      <c r="L211" s="2" t="inlineStr">
        <is>
          <t>PriceCharting + TCGplayer</t>
        </is>
      </c>
      <c r="M211" s="4" t="inlineStr">
        <is>
          <t>https://www.pricecharting.com/game/one-piece-carrying-on-his-will/sleeved-booster-pack</t>
        </is>
      </c>
      <c r="N211" s="4" t="inlineStr">
        <is>
          <t>https://www.tcgplayer.com/product/652643</t>
        </is>
      </c>
    </row>
    <row r="212">
      <c r="A212" s="2" t="inlineStr">
        <is>
          <t>Carrying On His Will - 3rd Anniversary Tournament 3 Brothers Pack</t>
        </is>
      </c>
      <c r="B212" s="3">
        <f>IF(H212&lt;&gt;"",H212,IF(I212&lt;&gt;"",I212,IF(J212&lt;&gt;"",J212,K212)))</f>
        <v>27.76</v>
      </c>
      <c r="C212" s="3">
        <f>MEDIAN(H212:K212)</f>
        <v>26.130000000000003</v>
      </c>
      <c r="D212" s="3">
        <f>ROUND(C212*(1-Settings!$B$2),2)</f>
        <v>18.29</v>
      </c>
      <c r="E212" s="2" t="inlineStr">
        <is>
          <t>One Piece</t>
        </is>
      </c>
      <c r="F212" s="2" t="inlineStr">
        <is>
          <t>Pack</t>
        </is>
      </c>
      <c r="G212" s="2" t="inlineStr">
        <is>
          <t>Carrying On His Will: 3rd Anniversary Tournament Cards</t>
        </is>
      </c>
      <c r="H212" s="3" t="n"/>
      <c r="I212" s="3" t="n">
        <v>27.76</v>
      </c>
      <c r="J212" s="3" t="n"/>
      <c r="K212" s="3" t="n">
        <v>24.5</v>
      </c>
      <c r="L212" s="2" t="inlineStr">
        <is>
          <t>TCGplayer</t>
        </is>
      </c>
      <c r="N212" s="4" t="inlineStr">
        <is>
          <t>https://www.tcgplayer.com/product/657797</t>
        </is>
      </c>
    </row>
    <row r="213">
      <c r="A213" s="2" t="inlineStr">
        <is>
          <t>Carrying On His Will - 3rd Anniversary Tournament Pack</t>
        </is>
      </c>
      <c r="B213" s="3">
        <f>IF(H213&lt;&gt;"",H213,IF(I213&lt;&gt;"",I213,IF(J213&lt;&gt;"",J213,K213)))</f>
        <v>6.87</v>
      </c>
      <c r="C213" s="3">
        <f>MEDIAN(H213:K213)</f>
        <v>5.9350000000000005</v>
      </c>
      <c r="D213" s="3">
        <f>ROUND(C213*(1-Settings!$B$2),2)</f>
        <v>4.15</v>
      </c>
      <c r="E213" s="2" t="inlineStr">
        <is>
          <t>One Piece</t>
        </is>
      </c>
      <c r="F213" s="2" t="inlineStr">
        <is>
          <t>Pack</t>
        </is>
      </c>
      <c r="G213" s="2" t="inlineStr">
        <is>
          <t>Carrying On His Will: 3rd Anniversary Tournament Cards</t>
        </is>
      </c>
      <c r="H213" s="3" t="n"/>
      <c r="I213" s="3" t="n">
        <v>6.87</v>
      </c>
      <c r="J213" s="3" t="n"/>
      <c r="K213" s="3" t="n">
        <v>5</v>
      </c>
      <c r="L213" s="2" t="inlineStr">
        <is>
          <t>TCGplayer</t>
        </is>
      </c>
      <c r="N213" s="4" t="inlineStr">
        <is>
          <t>https://www.tcgplayer.com/product/657796</t>
        </is>
      </c>
    </row>
    <row r="214">
      <c r="A214" s="2" t="inlineStr">
        <is>
          <t>Emperors in the New World - Booster Pack</t>
        </is>
      </c>
      <c r="B214" s="3">
        <f>IF(H214&lt;&gt;"",H214,IF(I214&lt;&gt;"",I214,IF(J214&lt;&gt;"",J214,K214)))</f>
        <v>18.47</v>
      </c>
      <c r="C214" s="3">
        <f>MEDIAN(H214:K214)</f>
        <v>18.49</v>
      </c>
      <c r="D214" s="3">
        <f>ROUND(C214*(1-Settings!$B$2),2)</f>
        <v>12.94</v>
      </c>
      <c r="E214" s="2" t="inlineStr">
        <is>
          <t>One Piece</t>
        </is>
      </c>
      <c r="F214" s="2" t="inlineStr">
        <is>
          <t>Pack</t>
        </is>
      </c>
      <c r="G214" s="2" t="inlineStr">
        <is>
          <t>Emperors in the New World</t>
        </is>
      </c>
      <c r="H214" s="3" t="n">
        <v>18.47</v>
      </c>
      <c r="I214" s="3" t="n">
        <v>18.49</v>
      </c>
      <c r="J214" s="3" t="n"/>
      <c r="K214" s="3" t="n">
        <v>19.46</v>
      </c>
      <c r="L214" s="2" t="inlineStr">
        <is>
          <t>PriceCharting + TCGplayer</t>
        </is>
      </c>
      <c r="M214" s="4" t="inlineStr">
        <is>
          <t>https://www.pricecharting.com/game/one-piece-emperors-in-the-new-world/booster-pack</t>
        </is>
      </c>
      <c r="N214" s="4" t="inlineStr">
        <is>
          <t>https://www.tcgplayer.com/product/563833</t>
        </is>
      </c>
    </row>
    <row r="215">
      <c r="A215" s="2" t="inlineStr">
        <is>
          <t>Emperors in the New World - Sleeved Booster Pack</t>
        </is>
      </c>
      <c r="B215" s="3">
        <f>IF(H215&lt;&gt;"",H215,IF(I215&lt;&gt;"",I215,IF(J215&lt;&gt;"",J215,K215)))</f>
        <v>38.52</v>
      </c>
      <c r="C215" s="3">
        <f>MEDIAN(H215:K215)</f>
        <v>38.48</v>
      </c>
      <c r="D215" s="3">
        <f>ROUND(C215*(1-Settings!$B$2),2)</f>
        <v>26.94</v>
      </c>
      <c r="E215" s="2" t="inlineStr">
        <is>
          <t>One Piece</t>
        </is>
      </c>
      <c r="F215" s="2" t="inlineStr">
        <is>
          <t>Pack</t>
        </is>
      </c>
      <c r="G215" s="2" t="inlineStr">
        <is>
          <t>Emperors in the New World</t>
        </is>
      </c>
      <c r="H215" s="3" t="n">
        <v>38.52</v>
      </c>
      <c r="I215" s="3" t="n">
        <v>38.48</v>
      </c>
      <c r="J215" s="3" t="n"/>
      <c r="K215" s="3" t="n">
        <v>35</v>
      </c>
      <c r="L215" s="2" t="inlineStr">
        <is>
          <t>PriceCharting + TCGplayer</t>
        </is>
      </c>
      <c r="M215" s="4" t="inlineStr">
        <is>
          <t>https://www.pricecharting.com/game/one-piece-emperors-in-the-new-world/sleeved-booster-pack</t>
        </is>
      </c>
      <c r="N215" s="4" t="inlineStr">
        <is>
          <t>https://www.tcgplayer.com/product/606604</t>
        </is>
      </c>
    </row>
    <row r="216">
      <c r="A216" s="2" t="inlineStr">
        <is>
          <t>Emperors In The New World Sealed Double Pack DP-06</t>
        </is>
      </c>
      <c r="B216" s="3">
        <f>IF(H216&lt;&gt;"",H216,IF(I216&lt;&gt;"",I216,IF(J216&lt;&gt;"",J216,K216)))</f>
        <v>97.72</v>
      </c>
      <c r="C216" s="3">
        <f>MEDIAN(H216:K216)</f>
        <v>97.72</v>
      </c>
      <c r="D216" s="3">
        <f>ROUND(C216*(1-Settings!$B$2),2)</f>
        <v>68.4</v>
      </c>
      <c r="E216" s="2" t="inlineStr">
        <is>
          <t>One Piece</t>
        </is>
      </c>
      <c r="F216" s="2" t="inlineStr">
        <is>
          <t>Pack</t>
        </is>
      </c>
      <c r="G216" s="2" t="inlineStr">
        <is>
          <t>Emperors In The New World</t>
        </is>
      </c>
      <c r="H216" s="3" t="n">
        <v>97.72</v>
      </c>
      <c r="I216" s="3" t="n"/>
      <c r="J216" s="3" t="n"/>
      <c r="K216" s="3" t="n"/>
      <c r="L216" s="2" t="inlineStr">
        <is>
          <t>PriceCharting</t>
        </is>
      </c>
      <c r="M216" s="4" t="inlineStr">
        <is>
          <t>https://www.pricecharting.com/game/one-piece-emperors-in-the-new-world/sealed-double-pack-dp-06</t>
        </is>
      </c>
    </row>
    <row r="217">
      <c r="A217" s="2" t="inlineStr">
        <is>
          <t>Special DON!! Card Pack DP-06</t>
        </is>
      </c>
      <c r="B217" s="3">
        <f>IF(H217&lt;&gt;"",H217,IF(I217&lt;&gt;"",I217,IF(J217&lt;&gt;"",J217,K217)))</f>
        <v>4.72</v>
      </c>
      <c r="C217" s="3">
        <f>MEDIAN(H217:K217)</f>
        <v>4.359999999999999</v>
      </c>
      <c r="D217" s="3">
        <f>ROUND(C217*(1-Settings!$B$2),2)</f>
        <v>3.05</v>
      </c>
      <c r="E217" s="2" t="inlineStr">
        <is>
          <t>One Piece</t>
        </is>
      </c>
      <c r="F217" s="2" t="inlineStr">
        <is>
          <t>Pack</t>
        </is>
      </c>
      <c r="G217" s="2" t="inlineStr">
        <is>
          <t>Emperors in the New World</t>
        </is>
      </c>
      <c r="H217" s="3" t="n"/>
      <c r="I217" s="3" t="n">
        <v>4.72</v>
      </c>
      <c r="J217" s="3" t="n"/>
      <c r="K217" s="3" t="n">
        <v>4</v>
      </c>
      <c r="L217" s="2" t="inlineStr">
        <is>
          <t>TCGplayer</t>
        </is>
      </c>
      <c r="N217" s="4" t="inlineStr">
        <is>
          <t>https://www.tcgplayer.com/product/617844</t>
        </is>
      </c>
    </row>
    <row r="218">
      <c r="A218" s="2" t="inlineStr">
        <is>
          <t>Emperors in the New World - 2nd Anniversary Tournament Pack</t>
        </is>
      </c>
      <c r="B218" s="3">
        <f>IF(H218&lt;&gt;"",H218,IF(I218&lt;&gt;"",I218,IF(J218&lt;&gt;"",J218,K218)))</f>
        <v>13.62</v>
      </c>
      <c r="C218" s="3">
        <f>MEDIAN(H218:K218)</f>
        <v>12.309999999999999</v>
      </c>
      <c r="D218" s="3">
        <f>ROUND(C218*(1-Settings!$B$2),2)</f>
        <v>8.62</v>
      </c>
      <c r="E218" s="2" t="inlineStr">
        <is>
          <t>One Piece</t>
        </is>
      </c>
      <c r="F218" s="2" t="inlineStr">
        <is>
          <t>Pack</t>
        </is>
      </c>
      <c r="G218" s="2" t="inlineStr">
        <is>
          <t>Emperors in the New World: 2nd Anniversary Tournament Cards</t>
        </is>
      </c>
      <c r="H218" s="3" t="n"/>
      <c r="I218" s="3" t="n">
        <v>13.62</v>
      </c>
      <c r="J218" s="3" t="n"/>
      <c r="K218" s="3" t="n">
        <v>11</v>
      </c>
      <c r="L218" s="2" t="inlineStr">
        <is>
          <t>TCGplayer</t>
        </is>
      </c>
      <c r="N218" s="4" t="inlineStr">
        <is>
          <t>https://www.tcgplayer.com/product/600705</t>
        </is>
      </c>
    </row>
    <row r="219">
      <c r="A219" s="2" t="inlineStr">
        <is>
          <t>Extra Booster Anime 25th Collection Booster Pack</t>
        </is>
      </c>
      <c r="B219" s="3">
        <f>IF(H219&lt;&gt;"",H219,IF(I219&lt;&gt;"",I219,IF(J219&lt;&gt;"",J219,K219)))</f>
        <v>17.53</v>
      </c>
      <c r="C219" s="3">
        <f>MEDIAN(H219:K219)</f>
        <v>17.53</v>
      </c>
      <c r="D219" s="3">
        <f>ROUND(C219*(1-Settings!$B$2),2)</f>
        <v>12.27</v>
      </c>
      <c r="E219" s="2" t="inlineStr">
        <is>
          <t>One Piece</t>
        </is>
      </c>
      <c r="F219" s="2" t="inlineStr">
        <is>
          <t>Pack</t>
        </is>
      </c>
      <c r="G219" s="2" t="inlineStr">
        <is>
          <t>Extra Booster Anime 25th Collection</t>
        </is>
      </c>
      <c r="H219" s="3" t="n">
        <v>17.53</v>
      </c>
      <c r="I219" s="3" t="n"/>
      <c r="J219" s="3" t="n"/>
      <c r="K219" s="3" t="n"/>
      <c r="L219" s="2" t="inlineStr">
        <is>
          <t>PriceCharting</t>
        </is>
      </c>
      <c r="M219" s="4" t="inlineStr">
        <is>
          <t>https://www.pricecharting.com/game/one-piece-extra-booster-anime-25th-collection/booster-pack</t>
        </is>
      </c>
    </row>
    <row r="220">
      <c r="A220" s="2" t="inlineStr">
        <is>
          <t>Extra Booster Heroines Edition Booster Pack</t>
        </is>
      </c>
      <c r="B220" s="3">
        <f>IF(H220&lt;&gt;"",H220,IF(I220&lt;&gt;"",I220,IF(J220&lt;&gt;"",J220,K220)))</f>
        <v>191.86</v>
      </c>
      <c r="C220" s="3">
        <f>MEDIAN(H220:K220)</f>
        <v>191.86</v>
      </c>
      <c r="D220" s="3">
        <f>ROUND(C220*(1-Settings!$B$2),2)</f>
        <v>134.3</v>
      </c>
      <c r="E220" s="2" t="inlineStr">
        <is>
          <t>One Piece</t>
        </is>
      </c>
      <c r="F220" s="2" t="inlineStr">
        <is>
          <t>Pack</t>
        </is>
      </c>
      <c r="G220" s="2" t="inlineStr">
        <is>
          <t>Extra Booster Heroines Edition</t>
        </is>
      </c>
      <c r="H220" s="3" t="n">
        <v>191.86</v>
      </c>
      <c r="I220" s="3" t="n"/>
      <c r="J220" s="3" t="n"/>
      <c r="K220" s="3" t="n"/>
      <c r="L220" s="2" t="inlineStr">
        <is>
          <t>PriceCharting</t>
        </is>
      </c>
      <c r="M220" s="4" t="inlineStr">
        <is>
          <t>https://www.pricecharting.com/game/one-piece-extra-booster-heroines-edition/booster-pack</t>
        </is>
      </c>
    </row>
    <row r="221">
      <c r="A221" s="2" t="inlineStr">
        <is>
          <t>Extra Booster Memorial Collection Booster Pack</t>
        </is>
      </c>
      <c r="B221" s="3">
        <f>IF(H221&lt;&gt;"",H221,IF(I221&lt;&gt;"",I221,IF(J221&lt;&gt;"",J221,K221)))</f>
        <v>30.36</v>
      </c>
      <c r="C221" s="3">
        <f>MEDIAN(H221:K221)</f>
        <v>30.36</v>
      </c>
      <c r="D221" s="3">
        <f>ROUND(C221*(1-Settings!$B$2),2)</f>
        <v>21.25</v>
      </c>
      <c r="E221" s="2" t="inlineStr">
        <is>
          <t>One Piece</t>
        </is>
      </c>
      <c r="F221" s="2" t="inlineStr">
        <is>
          <t>Pack</t>
        </is>
      </c>
      <c r="G221" s="2" t="inlineStr">
        <is>
          <t>Extra Booster Memorial Collection</t>
        </is>
      </c>
      <c r="H221" s="3" t="n">
        <v>30.36</v>
      </c>
      <c r="I221" s="3" t="n"/>
      <c r="J221" s="3" t="n"/>
      <c r="K221" s="3" t="n"/>
      <c r="L221" s="2" t="inlineStr">
        <is>
          <t>PriceCharting</t>
        </is>
      </c>
      <c r="M221" s="4" t="inlineStr">
        <is>
          <t>https://www.pricecharting.com/game/one-piece-extra-booster-memorial-collection/booster-pack</t>
        </is>
      </c>
    </row>
    <row r="222">
      <c r="A222" s="2" t="inlineStr">
        <is>
          <t>Extra Booster: One Piece Heroines Edition Vol.2 - Booster Pack</t>
        </is>
      </c>
      <c r="B222" s="3">
        <f>IF(H222&lt;&gt;"",H222,IF(I222&lt;&gt;"",I222,IF(J222&lt;&gt;"",J222,K222)))</f>
        <v>22.45</v>
      </c>
      <c r="C222" s="3">
        <f>MEDIAN(H222:K222)</f>
        <v>21.2</v>
      </c>
      <c r="D222" s="3">
        <f>ROUND(C222*(1-Settings!$B$2),2)</f>
        <v>14.84</v>
      </c>
      <c r="E222" s="2" t="inlineStr">
        <is>
          <t>One Piece</t>
        </is>
      </c>
      <c r="F222" s="2" t="inlineStr">
        <is>
          <t>Pack</t>
        </is>
      </c>
      <c r="G222" s="2" t="inlineStr">
        <is>
          <t>Extra Booster: One Piece Heroine's Edition Vol. 2</t>
        </is>
      </c>
      <c r="H222" s="3" t="n"/>
      <c r="I222" s="3" t="n">
        <v>22.45</v>
      </c>
      <c r="J222" s="3" t="n"/>
      <c r="K222" s="3" t="n">
        <v>19.95</v>
      </c>
      <c r="L222" s="2" t="inlineStr">
        <is>
          <t>TCGplayer</t>
        </is>
      </c>
      <c r="N222" s="4" t="inlineStr">
        <is>
          <t>https://www.tcgplayer.com/product/711383</t>
        </is>
      </c>
    </row>
    <row r="223">
      <c r="A223" s="2" t="inlineStr">
        <is>
          <t>Extra Booster: One Piece Heroines Edition Pack</t>
        </is>
      </c>
      <c r="B223" s="3">
        <f>IF(H223&lt;&gt;"",H223,IF(I223&lt;&gt;"",I223,IF(J223&lt;&gt;"",J223,K223)))</f>
        <v>11.69</v>
      </c>
      <c r="C223" s="3">
        <f>MEDIAN(H223:K223)</f>
        <v>10.344999999999999</v>
      </c>
      <c r="D223" s="3">
        <f>ROUND(C223*(1-Settings!$B$2),2)</f>
        <v>7.24</v>
      </c>
      <c r="E223" s="2" t="inlineStr">
        <is>
          <t>One Piece</t>
        </is>
      </c>
      <c r="F223" s="2" t="inlineStr">
        <is>
          <t>Pack</t>
        </is>
      </c>
      <c r="G223" s="2" t="inlineStr">
        <is>
          <t>Extra Booster: One Piece Heroines Edition</t>
        </is>
      </c>
      <c r="H223" s="3" t="n"/>
      <c r="I223" s="3" t="n">
        <v>11.69</v>
      </c>
      <c r="J223" s="3" t="n"/>
      <c r="K223" s="3" t="n">
        <v>9</v>
      </c>
      <c r="L223" s="2" t="inlineStr">
        <is>
          <t>TCGplayer</t>
        </is>
      </c>
      <c r="N223" s="4" t="inlineStr">
        <is>
          <t>https://www.tcgplayer.com/product/666727</t>
        </is>
      </c>
    </row>
    <row r="224">
      <c r="A224" s="2" t="inlineStr">
        <is>
          <t>Extra Booster: One Piece Heroines Edition Sleeved Booster Pack</t>
        </is>
      </c>
      <c r="B224" s="3">
        <f>IF(H224&lt;&gt;"",H224,IF(I224&lt;&gt;"",I224,IF(J224&lt;&gt;"",J224,K224)))</f>
        <v>19.47</v>
      </c>
      <c r="C224" s="3">
        <f>MEDIAN(H224:K224)</f>
        <v>18.11</v>
      </c>
      <c r="D224" s="3">
        <f>ROUND(C224*(1-Settings!$B$2),2)</f>
        <v>12.68</v>
      </c>
      <c r="E224" s="2" t="inlineStr">
        <is>
          <t>One Piece</t>
        </is>
      </c>
      <c r="F224" s="2" t="inlineStr">
        <is>
          <t>Pack</t>
        </is>
      </c>
      <c r="G224" s="2" t="inlineStr">
        <is>
          <t>Extra Booster: One Piece Heroines Edition</t>
        </is>
      </c>
      <c r="H224" s="3" t="n"/>
      <c r="I224" s="3" t="n">
        <v>19.47</v>
      </c>
      <c r="J224" s="3" t="n"/>
      <c r="K224" s="3" t="n">
        <v>16.75</v>
      </c>
      <c r="L224" s="2" t="inlineStr">
        <is>
          <t>TCGplayer</t>
        </is>
      </c>
      <c r="N224" s="4" t="inlineStr">
        <is>
          <t>https://www.tcgplayer.com/product/679503</t>
        </is>
      </c>
    </row>
    <row r="225">
      <c r="A225" s="2" t="inlineStr">
        <is>
          <t>One Piece Heroines Campaign - Dash Pack</t>
        </is>
      </c>
      <c r="B225" s="3">
        <f>IF(H225&lt;&gt;"",H225,IF(I225&lt;&gt;"",I225,IF(J225&lt;&gt;"",J225,K225)))</f>
        <v>7.59</v>
      </c>
      <c r="C225" s="3">
        <f>MEDIAN(H225:K225)</f>
        <v>7.29</v>
      </c>
      <c r="D225" s="3">
        <f>ROUND(C225*(1-Settings!$B$2),2)</f>
        <v>5.1</v>
      </c>
      <c r="E225" s="2" t="inlineStr">
        <is>
          <t>One Piece</t>
        </is>
      </c>
      <c r="F225" s="2" t="inlineStr">
        <is>
          <t>Pack</t>
        </is>
      </c>
      <c r="G225" s="2" t="inlineStr">
        <is>
          <t>Extra Booster: One Piece Heroines Edition</t>
        </is>
      </c>
      <c r="H225" s="3" t="n"/>
      <c r="I225" s="3" t="n">
        <v>7.59</v>
      </c>
      <c r="J225" s="3" t="n"/>
      <c r="K225" s="3" t="n">
        <v>6.99</v>
      </c>
      <c r="L225" s="2" t="inlineStr">
        <is>
          <t>TCGplayer</t>
        </is>
      </c>
      <c r="N225" s="4" t="inlineStr">
        <is>
          <t>https://www.tcgplayer.com/product/675744</t>
        </is>
      </c>
    </row>
    <row r="226">
      <c r="A226" s="2" t="inlineStr">
        <is>
          <t>Fist Of Divine Speed Booster Pack</t>
        </is>
      </c>
      <c r="B226" s="3">
        <f>IF(H226&lt;&gt;"",H226,IF(I226&lt;&gt;"",I226,IF(J226&lt;&gt;"",J226,K226)))</f>
        <v>15.5</v>
      </c>
      <c r="C226" s="3">
        <f>MEDIAN(H226:K226)</f>
        <v>15.5</v>
      </c>
      <c r="D226" s="3">
        <f>ROUND(C226*(1-Settings!$B$2),2)</f>
        <v>10.85</v>
      </c>
      <c r="E226" s="2" t="inlineStr">
        <is>
          <t>One Piece</t>
        </is>
      </c>
      <c r="F226" s="2" t="inlineStr">
        <is>
          <t>Pack</t>
        </is>
      </c>
      <c r="G226" s="2" t="inlineStr">
        <is>
          <t>Fist Of Divine Speed</t>
        </is>
      </c>
      <c r="H226" s="3" t="n">
        <v>15.5</v>
      </c>
      <c r="I226" s="3" t="n"/>
      <c r="J226" s="3" t="n"/>
      <c r="K226" s="3" t="n"/>
      <c r="L226" s="2" t="inlineStr">
        <is>
          <t>PriceCharting</t>
        </is>
      </c>
      <c r="M226" s="4" t="inlineStr">
        <is>
          <t>https://www.pricecharting.com/game/one-piece-fist-of-divine-speed/booster-pack</t>
        </is>
      </c>
    </row>
    <row r="227">
      <c r="A227" s="2" t="inlineStr">
        <is>
          <t>Fist Of Divine Speed Sleeved Booster Pack</t>
        </is>
      </c>
      <c r="B227" s="3">
        <f>IF(H227&lt;&gt;"",H227,IF(I227&lt;&gt;"",I227,IF(J227&lt;&gt;"",J227,K227)))</f>
        <v>35.27</v>
      </c>
      <c r="C227" s="3">
        <f>MEDIAN(H227:K227)</f>
        <v>35.27</v>
      </c>
      <c r="D227" s="3">
        <f>ROUND(C227*(1-Settings!$B$2),2)</f>
        <v>24.69</v>
      </c>
      <c r="E227" s="2" t="inlineStr">
        <is>
          <t>One Piece</t>
        </is>
      </c>
      <c r="F227" s="2" t="inlineStr">
        <is>
          <t>Pack</t>
        </is>
      </c>
      <c r="G227" s="2" t="inlineStr">
        <is>
          <t>Fist Of Divine Speed</t>
        </is>
      </c>
      <c r="H227" s="3" t="n">
        <v>35.27</v>
      </c>
      <c r="I227" s="3" t="n"/>
      <c r="J227" s="3" t="n"/>
      <c r="K227" s="3" t="n"/>
      <c r="L227" s="2" t="inlineStr">
        <is>
          <t>PriceCharting</t>
        </is>
      </c>
      <c r="M227" s="4" t="inlineStr">
        <is>
          <t>https://www.pricecharting.com/game/one-piece-fist-of-divine-speed/sleeved-booster-pack</t>
        </is>
      </c>
    </row>
    <row r="228">
      <c r="A228" s="2" t="inlineStr">
        <is>
          <t>Japanese 500 Years In The Future Booster Pack</t>
        </is>
      </c>
      <c r="B228" s="3">
        <f>IF(H228&lt;&gt;"",H228,IF(I228&lt;&gt;"",I228,IF(J228&lt;&gt;"",J228,K228)))</f>
        <v>24.2</v>
      </c>
      <c r="C228" s="3">
        <f>MEDIAN(H228:K228)</f>
        <v>24.2</v>
      </c>
      <c r="D228" s="3">
        <f>ROUND(C228*(1-Settings!$B$2),2)</f>
        <v>16.94</v>
      </c>
      <c r="E228" s="2" t="inlineStr">
        <is>
          <t>One Piece</t>
        </is>
      </c>
      <c r="F228" s="2" t="inlineStr">
        <is>
          <t>Pack</t>
        </is>
      </c>
      <c r="G228" s="2" t="inlineStr">
        <is>
          <t>Japanese 500 Years In The Future</t>
        </is>
      </c>
      <c r="H228" s="3" t="n">
        <v>24.2</v>
      </c>
      <c r="I228" s="3" t="n"/>
      <c r="J228" s="3" t="n"/>
      <c r="K228" s="3" t="n"/>
      <c r="L228" s="2" t="inlineStr">
        <is>
          <t>PriceCharting</t>
        </is>
      </c>
      <c r="M228" s="4" t="inlineStr">
        <is>
          <t>https://www.pricecharting.com/game/one-piece-japanese-500-years-in-the-future/booster-pack</t>
        </is>
      </c>
    </row>
    <row r="229">
      <c r="A229" s="2" t="inlineStr">
        <is>
          <t>Japanese Awakening Of The New Era Booster Pack</t>
        </is>
      </c>
      <c r="B229" s="3">
        <f>IF(H229&lt;&gt;"",H229,IF(I229&lt;&gt;"",I229,IF(J229&lt;&gt;"",J229,K229)))</f>
        <v>15.49</v>
      </c>
      <c r="C229" s="3">
        <f>MEDIAN(H229:K229)</f>
        <v>15.49</v>
      </c>
      <c r="D229" s="3">
        <f>ROUND(C229*(1-Settings!$B$2),2)</f>
        <v>10.84</v>
      </c>
      <c r="E229" s="2" t="inlineStr">
        <is>
          <t>One Piece</t>
        </is>
      </c>
      <c r="F229" s="2" t="inlineStr">
        <is>
          <t>Pack</t>
        </is>
      </c>
      <c r="G229" s="2" t="inlineStr">
        <is>
          <t>Japanese Awakening Of The New Era</t>
        </is>
      </c>
      <c r="H229" s="3" t="n">
        <v>15.49</v>
      </c>
      <c r="I229" s="3" t="n"/>
      <c r="J229" s="3" t="n"/>
      <c r="K229" s="3" t="n"/>
      <c r="L229" s="2" t="inlineStr">
        <is>
          <t>PriceCharting</t>
        </is>
      </c>
      <c r="M229" s="4" t="inlineStr">
        <is>
          <t>https://www.pricecharting.com/game/one-piece-japanese-awakening-of-the-new-era/booster-pack</t>
        </is>
      </c>
    </row>
    <row r="230">
      <c r="A230" s="2" t="inlineStr">
        <is>
          <t>Japanese Carrying On His Will Booster Pack</t>
        </is>
      </c>
      <c r="B230" s="3">
        <f>IF(H230&lt;&gt;"",H230,IF(I230&lt;&gt;"",I230,IF(J230&lt;&gt;"",J230,K230)))</f>
        <v>19.75</v>
      </c>
      <c r="C230" s="3">
        <f>MEDIAN(H230:K230)</f>
        <v>19.75</v>
      </c>
      <c r="D230" s="3">
        <f>ROUND(C230*(1-Settings!$B$2),2)</f>
        <v>13.83</v>
      </c>
      <c r="E230" s="2" t="inlineStr">
        <is>
          <t>One Piece</t>
        </is>
      </c>
      <c r="F230" s="2" t="inlineStr">
        <is>
          <t>Pack</t>
        </is>
      </c>
      <c r="G230" s="2" t="inlineStr">
        <is>
          <t>Japanese Carrying On His Will</t>
        </is>
      </c>
      <c r="H230" s="3" t="n">
        <v>19.75</v>
      </c>
      <c r="I230" s="3" t="n"/>
      <c r="J230" s="3" t="n"/>
      <c r="K230" s="3" t="n"/>
      <c r="L230" s="2" t="inlineStr">
        <is>
          <t>PriceCharting</t>
        </is>
      </c>
      <c r="M230" s="4" t="inlineStr">
        <is>
          <t>https://www.pricecharting.com/game/one-piece-japanese-carrying-on-his-will/booster-pack</t>
        </is>
      </c>
    </row>
    <row r="231">
      <c r="A231" s="2" t="inlineStr">
        <is>
          <t>Japanese Emperors In The New World Booster Pack</t>
        </is>
      </c>
      <c r="B231" s="3">
        <f>IF(H231&lt;&gt;"",H231,IF(I231&lt;&gt;"",I231,IF(J231&lt;&gt;"",J231,K231)))</f>
        <v>58.24</v>
      </c>
      <c r="C231" s="3">
        <f>MEDIAN(H231:K231)</f>
        <v>58.24</v>
      </c>
      <c r="D231" s="3">
        <f>ROUND(C231*(1-Settings!$B$2),2)</f>
        <v>40.77</v>
      </c>
      <c r="E231" s="2" t="inlineStr">
        <is>
          <t>One Piece</t>
        </is>
      </c>
      <c r="F231" s="2" t="inlineStr">
        <is>
          <t>Pack</t>
        </is>
      </c>
      <c r="G231" s="2" t="inlineStr">
        <is>
          <t>Japanese Emperors In The New World</t>
        </is>
      </c>
      <c r="H231" s="3" t="n">
        <v>58.24</v>
      </c>
      <c r="I231" s="3" t="n"/>
      <c r="J231" s="3" t="n"/>
      <c r="K231" s="3" t="n"/>
      <c r="L231" s="2" t="inlineStr">
        <is>
          <t>PriceCharting</t>
        </is>
      </c>
      <c r="M231" s="4" t="inlineStr">
        <is>
          <t>https://www.pricecharting.com/game/one-piece-japanese-emperors-in-the-new-world/booster-pack</t>
        </is>
      </c>
    </row>
    <row r="232">
      <c r="A232" s="2" t="inlineStr">
        <is>
          <t>Japanese Extra Booster Anime 25th Collection Booster Pack</t>
        </is>
      </c>
      <c r="B232" s="3">
        <f>IF(H232&lt;&gt;"",H232,IF(I232&lt;&gt;"",I232,IF(J232&lt;&gt;"",J232,K232)))</f>
        <v>15.47</v>
      </c>
      <c r="C232" s="3">
        <f>MEDIAN(H232:K232)</f>
        <v>15.47</v>
      </c>
      <c r="D232" s="3">
        <f>ROUND(C232*(1-Settings!$B$2),2)</f>
        <v>10.83</v>
      </c>
      <c r="E232" s="2" t="inlineStr">
        <is>
          <t>One Piece</t>
        </is>
      </c>
      <c r="F232" s="2" t="inlineStr">
        <is>
          <t>Pack</t>
        </is>
      </c>
      <c r="G232" s="2" t="inlineStr">
        <is>
          <t>Japanese Extra Booster Anime 25th Collection</t>
        </is>
      </c>
      <c r="H232" s="3" t="n">
        <v>15.47</v>
      </c>
      <c r="I232" s="3" t="n"/>
      <c r="J232" s="3" t="n"/>
      <c r="K232" s="3" t="n"/>
      <c r="L232" s="2" t="inlineStr">
        <is>
          <t>PriceCharting</t>
        </is>
      </c>
      <c r="M232" s="4" t="inlineStr">
        <is>
          <t>https://www.pricecharting.com/game/one-piece-japanese-extra-booster-anime-25th-collection/booster-pack</t>
        </is>
      </c>
    </row>
    <row r="233">
      <c r="A233" s="2" t="inlineStr">
        <is>
          <t>Japanese Extra Booster Egghead Crisis Booster Pack</t>
        </is>
      </c>
      <c r="B233" s="3">
        <f>IF(H233&lt;&gt;"",H233,IF(I233&lt;&gt;"",I233,IF(J233&lt;&gt;"",J233,K233)))</f>
        <v>5.13</v>
      </c>
      <c r="C233" s="3">
        <f>MEDIAN(H233:K233)</f>
        <v>5.13</v>
      </c>
      <c r="D233" s="3">
        <f>ROUND(C233*(1-Settings!$B$2),2)</f>
        <v>3.59</v>
      </c>
      <c r="E233" s="2" t="inlineStr">
        <is>
          <t>One Piece</t>
        </is>
      </c>
      <c r="F233" s="2" t="inlineStr">
        <is>
          <t>Pack</t>
        </is>
      </c>
      <c r="G233" s="2" t="inlineStr">
        <is>
          <t>Japanese Extra Booster Egghead Crisis</t>
        </is>
      </c>
      <c r="H233" s="3" t="n">
        <v>5.13</v>
      </c>
      <c r="I233" s="3" t="n"/>
      <c r="J233" s="3" t="n"/>
      <c r="K233" s="3" t="n"/>
      <c r="L233" s="2" t="inlineStr">
        <is>
          <t>PriceCharting</t>
        </is>
      </c>
      <c r="M233" s="4" t="inlineStr">
        <is>
          <t>https://www.pricecharting.com/game/one-piece-japanese-extra-booster-egghead-crisis/booster-pack</t>
        </is>
      </c>
    </row>
    <row r="234">
      <c r="A234" s="2" t="inlineStr">
        <is>
          <t>Japanese Extra Booster Heroines Edition Booster Pack</t>
        </is>
      </c>
      <c r="B234" s="3">
        <f>IF(H234&lt;&gt;"",H234,IF(I234&lt;&gt;"",I234,IF(J234&lt;&gt;"",J234,K234)))</f>
        <v>17.7</v>
      </c>
      <c r="C234" s="3">
        <f>MEDIAN(H234:K234)</f>
        <v>17.7</v>
      </c>
      <c r="D234" s="3">
        <f>ROUND(C234*(1-Settings!$B$2),2)</f>
        <v>12.39</v>
      </c>
      <c r="E234" s="2" t="inlineStr">
        <is>
          <t>One Piece</t>
        </is>
      </c>
      <c r="F234" s="2" t="inlineStr">
        <is>
          <t>Pack</t>
        </is>
      </c>
      <c r="G234" s="2" t="inlineStr">
        <is>
          <t>Japanese Extra Booster Heroines Edition</t>
        </is>
      </c>
      <c r="H234" s="3" t="n">
        <v>17.7</v>
      </c>
      <c r="I234" s="3" t="n"/>
      <c r="J234" s="3" t="n"/>
      <c r="K234" s="3" t="n"/>
      <c r="L234" s="2" t="inlineStr">
        <is>
          <t>PriceCharting</t>
        </is>
      </c>
      <c r="M234" s="4" t="inlineStr">
        <is>
          <t>https://www.pricecharting.com/game/one-piece-japanese-extra-booster-heroines-edition/booster-pack</t>
        </is>
      </c>
    </row>
    <row r="235">
      <c r="A235" s="2" t="inlineStr">
        <is>
          <t>Japanese Extra Booster Memorial Collection Booster Pack</t>
        </is>
      </c>
      <c r="B235" s="3">
        <f>IF(H235&lt;&gt;"",H235,IF(I235&lt;&gt;"",I235,IF(J235&lt;&gt;"",J235,K235)))</f>
        <v>7.07</v>
      </c>
      <c r="C235" s="3">
        <f>MEDIAN(H235:K235)</f>
        <v>7.07</v>
      </c>
      <c r="D235" s="3">
        <f>ROUND(C235*(1-Settings!$B$2),2)</f>
        <v>4.95</v>
      </c>
      <c r="E235" s="2" t="inlineStr">
        <is>
          <t>One Piece</t>
        </is>
      </c>
      <c r="F235" s="2" t="inlineStr">
        <is>
          <t>Pack</t>
        </is>
      </c>
      <c r="G235" s="2" t="inlineStr">
        <is>
          <t>Japanese Extra Booster Memorial Collection</t>
        </is>
      </c>
      <c r="H235" s="3" t="n">
        <v>7.07</v>
      </c>
      <c r="I235" s="3" t="n"/>
      <c r="J235" s="3" t="n"/>
      <c r="K235" s="3" t="n"/>
      <c r="L235" s="2" t="inlineStr">
        <is>
          <t>PriceCharting</t>
        </is>
      </c>
      <c r="M235" s="4" t="inlineStr">
        <is>
          <t>https://www.pricecharting.com/game/one-piece-japanese-extra-booster-memorial-collection/booster-pack</t>
        </is>
      </c>
    </row>
    <row r="236">
      <c r="A236" s="2" t="inlineStr">
        <is>
          <t>Japanese Fist Of Divine Speed Booster Pack</t>
        </is>
      </c>
      <c r="B236" s="3">
        <f>IF(H236&lt;&gt;"",H236,IF(I236&lt;&gt;"",I236,IF(J236&lt;&gt;"",J236,K236)))</f>
        <v>15.0</v>
      </c>
      <c r="C236" s="3">
        <f>MEDIAN(H236:K236)</f>
        <v>15.0</v>
      </c>
      <c r="D236" s="3">
        <f>ROUND(C236*(1-Settings!$B$2),2)</f>
        <v>10.5</v>
      </c>
      <c r="E236" s="2" t="inlineStr">
        <is>
          <t>One Piece</t>
        </is>
      </c>
      <c r="F236" s="2" t="inlineStr">
        <is>
          <t>Pack</t>
        </is>
      </c>
      <c r="G236" s="2" t="inlineStr">
        <is>
          <t>Japanese Fist Of Divine Speed</t>
        </is>
      </c>
      <c r="H236" s="3" t="n">
        <v>15</v>
      </c>
      <c r="I236" s="3" t="n"/>
      <c r="J236" s="3" t="n"/>
      <c r="K236" s="3" t="n"/>
      <c r="L236" s="2" t="inlineStr">
        <is>
          <t>PriceCharting</t>
        </is>
      </c>
      <c r="M236" s="4" t="inlineStr">
        <is>
          <t>https://www.pricecharting.com/game/one-piece-japanese-fist-of-divine-speed/booster-pack</t>
        </is>
      </c>
    </row>
    <row r="237">
      <c r="A237" s="2" t="inlineStr">
        <is>
          <t>Japanese Kingdoms Of Intrigue Booster Pack</t>
        </is>
      </c>
      <c r="B237" s="3">
        <f>IF(H237&lt;&gt;"",H237,IF(I237&lt;&gt;"",I237,IF(J237&lt;&gt;"",J237,K237)))</f>
        <v>0.99</v>
      </c>
      <c r="C237" s="3">
        <f>MEDIAN(H237:K237)</f>
        <v>0.99</v>
      </c>
      <c r="D237" s="3">
        <f>ROUND(C237*(1-Settings!$B$2),2)</f>
        <v>0.69</v>
      </c>
      <c r="E237" s="2" t="inlineStr">
        <is>
          <t>One Piece</t>
        </is>
      </c>
      <c r="F237" s="2" t="inlineStr">
        <is>
          <t>Pack</t>
        </is>
      </c>
      <c r="G237" s="2" t="inlineStr">
        <is>
          <t>Japanese Kingdoms Of Intrigue</t>
        </is>
      </c>
      <c r="H237" s="3" t="n">
        <v>0.99</v>
      </c>
      <c r="I237" s="3" t="n"/>
      <c r="J237" s="3" t="n"/>
      <c r="K237" s="3" t="n"/>
      <c r="L237" s="2" t="inlineStr">
        <is>
          <t>PriceCharting</t>
        </is>
      </c>
      <c r="M237" s="4" t="inlineStr">
        <is>
          <t>https://www.pricecharting.com/game/one-piece-japanese-kingdoms-of-intrigue/booster-pack</t>
        </is>
      </c>
    </row>
    <row r="238">
      <c r="A238" s="2" t="inlineStr">
        <is>
          <t>Japanese Legacy Of The Master Booster Pack</t>
        </is>
      </c>
      <c r="B238" s="3">
        <f>IF(H238&lt;&gt;"",H238,IF(I238&lt;&gt;"",I238,IF(J238&lt;&gt;"",J238,K238)))</f>
        <v>7.02</v>
      </c>
      <c r="C238" s="3">
        <f>MEDIAN(H238:K238)</f>
        <v>7.02</v>
      </c>
      <c r="D238" s="3">
        <f>ROUND(C238*(1-Settings!$B$2),2)</f>
        <v>4.91</v>
      </c>
      <c r="E238" s="2" t="inlineStr">
        <is>
          <t>One Piece</t>
        </is>
      </c>
      <c r="F238" s="2" t="inlineStr">
        <is>
          <t>Pack</t>
        </is>
      </c>
      <c r="G238" s="2" t="inlineStr">
        <is>
          <t>Japanese Legacy Of The Master</t>
        </is>
      </c>
      <c r="H238" s="3" t="n">
        <v>7.02</v>
      </c>
      <c r="I238" s="3" t="n"/>
      <c r="J238" s="3" t="n"/>
      <c r="K238" s="3" t="n"/>
      <c r="L238" s="2" t="inlineStr">
        <is>
          <t>PriceCharting</t>
        </is>
      </c>
      <c r="M238" s="4" t="inlineStr">
        <is>
          <t>https://www.pricecharting.com/game/one-piece-japanese-legacy-of-the-master/booster-pack</t>
        </is>
      </c>
    </row>
    <row r="239">
      <c r="A239" s="2" t="inlineStr">
        <is>
          <t>Japanese Paramount War Booster Pack</t>
        </is>
      </c>
      <c r="B239" s="3">
        <f>IF(H239&lt;&gt;"",H239,IF(I239&lt;&gt;"",I239,IF(J239&lt;&gt;"",J239,K239)))</f>
        <v>3.5</v>
      </c>
      <c r="C239" s="3">
        <f>MEDIAN(H239:K239)</f>
        <v>3.5</v>
      </c>
      <c r="D239" s="3">
        <f>ROUND(C239*(1-Settings!$B$2),2)</f>
        <v>2.45</v>
      </c>
      <c r="E239" s="2" t="inlineStr">
        <is>
          <t>One Piece</t>
        </is>
      </c>
      <c r="F239" s="2" t="inlineStr">
        <is>
          <t>Pack</t>
        </is>
      </c>
      <c r="G239" s="2" t="inlineStr">
        <is>
          <t>Japanese Paramount War</t>
        </is>
      </c>
      <c r="H239" s="3" t="n">
        <v>3.5</v>
      </c>
      <c r="I239" s="3" t="n"/>
      <c r="J239" s="3" t="n"/>
      <c r="K239" s="3" t="n"/>
      <c r="L239" s="2" t="inlineStr">
        <is>
          <t>PriceCharting</t>
        </is>
      </c>
      <c r="M239" s="4" t="inlineStr">
        <is>
          <t>https://www.pricecharting.com/game/one-piece-japanese-paramount-war/booster-pack</t>
        </is>
      </c>
    </row>
    <row r="240">
      <c r="A240" s="2" t="inlineStr">
        <is>
          <t>Japanese Pillars Of Strength Booster Pack</t>
        </is>
      </c>
      <c r="B240" s="3">
        <f>IF(H240&lt;&gt;"",H240,IF(I240&lt;&gt;"",I240,IF(J240&lt;&gt;"",J240,K240)))</f>
        <v>6.99</v>
      </c>
      <c r="C240" s="3">
        <f>MEDIAN(H240:K240)</f>
        <v>6.99</v>
      </c>
      <c r="D240" s="3">
        <f>ROUND(C240*(1-Settings!$B$2),2)</f>
        <v>4.89</v>
      </c>
      <c r="E240" s="2" t="inlineStr">
        <is>
          <t>One Piece</t>
        </is>
      </c>
      <c r="F240" s="2" t="inlineStr">
        <is>
          <t>Pack</t>
        </is>
      </c>
      <c r="G240" s="2" t="inlineStr">
        <is>
          <t>Japanese Pillars Of Strength</t>
        </is>
      </c>
      <c r="H240" s="3" t="n">
        <v>6.99</v>
      </c>
      <c r="I240" s="3" t="n"/>
      <c r="J240" s="3" t="n"/>
      <c r="K240" s="3" t="n"/>
      <c r="L240" s="2" t="inlineStr">
        <is>
          <t>PriceCharting</t>
        </is>
      </c>
      <c r="M240" s="4" t="inlineStr">
        <is>
          <t>https://www.pricecharting.com/game/one-piece-japanese-pillars-of-strength/booster-pack</t>
        </is>
      </c>
    </row>
    <row r="241">
      <c r="A241" s="2" t="inlineStr">
        <is>
          <t>Japanese Premium Booster Booster Pack</t>
        </is>
      </c>
      <c r="B241" s="3">
        <f>IF(H241&lt;&gt;"",H241,IF(I241&lt;&gt;"",I241,IF(J241&lt;&gt;"",J241,K241)))</f>
        <v>14.35</v>
      </c>
      <c r="C241" s="3">
        <f>MEDIAN(H241:K241)</f>
        <v>14.35</v>
      </c>
      <c r="D241" s="3">
        <f>ROUND(C241*(1-Settings!$B$2),2)</f>
        <v>10.05</v>
      </c>
      <c r="E241" s="2" t="inlineStr">
        <is>
          <t>One Piece</t>
        </is>
      </c>
      <c r="F241" s="2" t="inlineStr">
        <is>
          <t>Pack</t>
        </is>
      </c>
      <c r="G241" s="2" t="inlineStr">
        <is>
          <t>Japanese Premium Booster</t>
        </is>
      </c>
      <c r="H241" s="3" t="n">
        <v>14.35</v>
      </c>
      <c r="I241" s="3" t="n"/>
      <c r="J241" s="3" t="n"/>
      <c r="K241" s="3" t="n"/>
      <c r="L241" s="2" t="inlineStr">
        <is>
          <t>PriceCharting</t>
        </is>
      </c>
      <c r="M241" s="4" t="inlineStr">
        <is>
          <t>https://www.pricecharting.com/game/one-piece-japanese-premium-booster/booster-pack</t>
        </is>
      </c>
    </row>
    <row r="242">
      <c r="A242" s="2" t="inlineStr">
        <is>
          <t>Japanese Premium Booster 2 Booster Pack</t>
        </is>
      </c>
      <c r="B242" s="3">
        <f>IF(H242&lt;&gt;"",H242,IF(I242&lt;&gt;"",I242,IF(J242&lt;&gt;"",J242,K242)))</f>
        <v>11.0</v>
      </c>
      <c r="C242" s="3">
        <f>MEDIAN(H242:K242)</f>
        <v>11.0</v>
      </c>
      <c r="D242" s="3">
        <f>ROUND(C242*(1-Settings!$B$2),2)</f>
        <v>7.7</v>
      </c>
      <c r="E242" s="2" t="inlineStr">
        <is>
          <t>One Piece</t>
        </is>
      </c>
      <c r="F242" s="2" t="inlineStr">
        <is>
          <t>Pack</t>
        </is>
      </c>
      <c r="G242" s="2" t="inlineStr">
        <is>
          <t>Japanese Premium Booster 2</t>
        </is>
      </c>
      <c r="H242" s="3" t="n">
        <v>11</v>
      </c>
      <c r="I242" s="3" t="n"/>
      <c r="J242" s="3" t="n"/>
      <c r="K242" s="3" t="n"/>
      <c r="L242" s="2" t="inlineStr">
        <is>
          <t>PriceCharting</t>
        </is>
      </c>
      <c r="M242" s="4" t="inlineStr">
        <is>
          <t>https://www.pricecharting.com/game/one-piece-japanese-premium-booster-2/booster-pack</t>
        </is>
      </c>
    </row>
    <row r="243">
      <c r="A243" s="2" t="inlineStr">
        <is>
          <t>Japanese Promo 4th Anniversary Treasure Campaign Pack</t>
        </is>
      </c>
      <c r="B243" s="3">
        <f>IF(H243&lt;&gt;"",H243,IF(I243&lt;&gt;"",I243,IF(J243&lt;&gt;"",J243,K243)))</f>
        <v>5.0</v>
      </c>
      <c r="C243" s="3">
        <f>MEDIAN(H243:K243)</f>
        <v>5.0</v>
      </c>
      <c r="D243" s="3">
        <f>ROUND(C243*(1-Settings!$B$2),2)</f>
        <v>3.5</v>
      </c>
      <c r="E243" s="2" t="inlineStr">
        <is>
          <t>One Piece</t>
        </is>
      </c>
      <c r="F243" s="2" t="inlineStr">
        <is>
          <t>Pack</t>
        </is>
      </c>
      <c r="G243" s="2" t="inlineStr">
        <is>
          <t>Japanese Promo</t>
        </is>
      </c>
      <c r="H243" s="3" t="n">
        <v>5</v>
      </c>
      <c r="I243" s="3" t="n"/>
      <c r="J243" s="3" t="n"/>
      <c r="K243" s="3" t="n"/>
      <c r="L243" s="2" t="inlineStr">
        <is>
          <t>PriceCharting</t>
        </is>
      </c>
      <c r="M243" s="4" t="inlineStr">
        <is>
          <t>https://www.pricecharting.com/game/one-piece-japanese-promo/4th-anniversary-treasure-campaign-pack</t>
        </is>
      </c>
    </row>
    <row r="244">
      <c r="A244" s="2" t="inlineStr">
        <is>
          <t>Japanese Promo McDonald's Promo Pack 2025</t>
        </is>
      </c>
      <c r="B244" s="3">
        <f>IF(H244&lt;&gt;"",H244,IF(I244&lt;&gt;"",I244,IF(J244&lt;&gt;"",J244,K244)))</f>
        <v>19.99</v>
      </c>
      <c r="C244" s="3">
        <f>MEDIAN(H244:K244)</f>
        <v>19.99</v>
      </c>
      <c r="D244" s="3">
        <f>ROUND(C244*(1-Settings!$B$2),2)</f>
        <v>13.99</v>
      </c>
      <c r="E244" s="2" t="inlineStr">
        <is>
          <t>One Piece</t>
        </is>
      </c>
      <c r="F244" s="2" t="inlineStr">
        <is>
          <t>Pack</t>
        </is>
      </c>
      <c r="G244" s="2" t="inlineStr">
        <is>
          <t>Japanese Promo</t>
        </is>
      </c>
      <c r="H244" s="3" t="n">
        <v>19.99</v>
      </c>
      <c r="I244" s="3" t="n"/>
      <c r="J244" s="3" t="n"/>
      <c r="K244" s="3" t="n"/>
      <c r="L244" s="2" t="inlineStr">
        <is>
          <t>PriceCharting</t>
        </is>
      </c>
      <c r="M244" s="4" t="inlineStr">
        <is>
          <t>https://www.pricecharting.com/game/one-piece-japanese-promo/mcdonald's-promo-pack-2025</t>
        </is>
      </c>
    </row>
    <row r="245">
      <c r="A245" s="2" t="inlineStr">
        <is>
          <t>Japanese Promo Sealed 3rd Anniversary Treasure Campaign Pack</t>
        </is>
      </c>
      <c r="B245" s="3">
        <f>IF(H245&lt;&gt;"",H245,IF(I245&lt;&gt;"",I245,IF(J245&lt;&gt;"",J245,K245)))</f>
        <v>69.49</v>
      </c>
      <c r="C245" s="3">
        <f>MEDIAN(H245:K245)</f>
        <v>69.49</v>
      </c>
      <c r="D245" s="3">
        <f>ROUND(C245*(1-Settings!$B$2),2)</f>
        <v>48.64</v>
      </c>
      <c r="E245" s="2" t="inlineStr">
        <is>
          <t>One Piece</t>
        </is>
      </c>
      <c r="F245" s="2" t="inlineStr">
        <is>
          <t>Pack</t>
        </is>
      </c>
      <c r="G245" s="2" t="inlineStr">
        <is>
          <t>Japanese Promo</t>
        </is>
      </c>
      <c r="H245" s="3" t="n">
        <v>69.48999999999999</v>
      </c>
      <c r="I245" s="3" t="n"/>
      <c r="J245" s="3" t="n"/>
      <c r="K245" s="3" t="n"/>
      <c r="L245" s="2" t="inlineStr">
        <is>
          <t>PriceCharting</t>
        </is>
      </c>
      <c r="M245" s="4" t="inlineStr">
        <is>
          <t>https://www.pricecharting.com/game/one-piece-japanese-promo/sealed-3rd-anniversary-treasure-campaign-pack</t>
        </is>
      </c>
    </row>
    <row r="246">
      <c r="A246" s="2" t="inlineStr">
        <is>
          <t>Japanese Promo Sealed Film Red Uta Promo Pack</t>
        </is>
      </c>
      <c r="B246" s="3">
        <f>IF(H246&lt;&gt;"",H246,IF(I246&lt;&gt;"",I246,IF(J246&lt;&gt;"",J246,K246)))</f>
        <v>18.05</v>
      </c>
      <c r="C246" s="3">
        <f>MEDIAN(H246:K246)</f>
        <v>18.05</v>
      </c>
      <c r="D246" s="3">
        <f>ROUND(C246*(1-Settings!$B$2),2)</f>
        <v>12.64</v>
      </c>
      <c r="E246" s="2" t="inlineStr">
        <is>
          <t>One Piece</t>
        </is>
      </c>
      <c r="F246" s="2" t="inlineStr">
        <is>
          <t>Pack</t>
        </is>
      </c>
      <c r="G246" s="2" t="inlineStr">
        <is>
          <t>Japanese Promo</t>
        </is>
      </c>
      <c r="H246" s="3" t="n">
        <v>18.05</v>
      </c>
      <c r="I246" s="3" t="n"/>
      <c r="J246" s="3" t="n"/>
      <c r="K246" s="3" t="n"/>
      <c r="L246" s="2" t="inlineStr">
        <is>
          <t>PriceCharting</t>
        </is>
      </c>
      <c r="M246" s="4" t="inlineStr">
        <is>
          <t>https://www.pricecharting.com/game/one-piece-japanese-promo/sealed-film-red-uta-promo-pack</t>
        </is>
      </c>
    </row>
    <row r="247">
      <c r="A247" s="2" t="inlineStr">
        <is>
          <t>Japanese Promo Sealed Let's Get Started Campaign Promotion Pack</t>
        </is>
      </c>
      <c r="B247" s="3">
        <f>IF(H247&lt;&gt;"",H247,IF(I247&lt;&gt;"",I247,IF(J247&lt;&gt;"",J247,K247)))</f>
        <v>36.05</v>
      </c>
      <c r="C247" s="3">
        <f>MEDIAN(H247:K247)</f>
        <v>36.05</v>
      </c>
      <c r="D247" s="3">
        <f>ROUND(C247*(1-Settings!$B$2),2)</f>
        <v>25.24</v>
      </c>
      <c r="E247" s="2" t="inlineStr">
        <is>
          <t>One Piece</t>
        </is>
      </c>
      <c r="F247" s="2" t="inlineStr">
        <is>
          <t>Pack</t>
        </is>
      </c>
      <c r="G247" s="2" t="inlineStr">
        <is>
          <t>Japanese Promo</t>
        </is>
      </c>
      <c r="H247" s="3" t="n">
        <v>36.05</v>
      </c>
      <c r="I247" s="3" t="n"/>
      <c r="J247" s="3" t="n"/>
      <c r="K247" s="3" t="n"/>
      <c r="L247" s="2" t="inlineStr">
        <is>
          <t>PriceCharting</t>
        </is>
      </c>
      <c r="M247" s="4" t="inlineStr">
        <is>
          <t>https://www.pricecharting.com/game/one-piece-japanese-promo/sealed-let's-get-started-campaign-promotion-pack</t>
        </is>
      </c>
    </row>
    <row r="248">
      <c r="A248" s="2" t="inlineStr">
        <is>
          <t>Japanese Promo Sealed Pack [V Jump]</t>
        </is>
      </c>
      <c r="B248" s="3">
        <f>IF(H248&lt;&gt;"",H248,IF(I248&lt;&gt;"",I248,IF(J248&lt;&gt;"",J248,K248)))</f>
        <v>62.0</v>
      </c>
      <c r="C248" s="3">
        <f>MEDIAN(H248:K248)</f>
        <v>62.0</v>
      </c>
      <c r="D248" s="3">
        <f>ROUND(C248*(1-Settings!$B$2),2)</f>
        <v>43.4</v>
      </c>
      <c r="E248" s="2" t="inlineStr">
        <is>
          <t>One Piece</t>
        </is>
      </c>
      <c r="F248" s="2" t="inlineStr">
        <is>
          <t>Pack</t>
        </is>
      </c>
      <c r="G248" s="2" t="inlineStr">
        <is>
          <t>Japanese Promo</t>
        </is>
      </c>
      <c r="H248" s="3" t="n">
        <v>62</v>
      </c>
      <c r="I248" s="3" t="n"/>
      <c r="J248" s="3" t="n"/>
      <c r="K248" s="3" t="n"/>
      <c r="L248" s="2" t="inlineStr">
        <is>
          <t>PriceCharting</t>
        </is>
      </c>
      <c r="M248" s="4" t="inlineStr">
        <is>
          <t>https://www.pricecharting.com/game/one-piece-japanese-promo/sealed-pack-v-jump</t>
        </is>
      </c>
    </row>
    <row r="249">
      <c r="A249" s="2" t="inlineStr">
        <is>
          <t>Japanese Promo Sealed Promotion Pack 2022</t>
        </is>
      </c>
      <c r="B249" s="3">
        <f>IF(H249&lt;&gt;"",H249,IF(I249&lt;&gt;"",I249,IF(J249&lt;&gt;"",J249,K249)))</f>
        <v>19.49</v>
      </c>
      <c r="C249" s="3">
        <f>MEDIAN(H249:K249)</f>
        <v>19.49</v>
      </c>
      <c r="D249" s="3">
        <f>ROUND(C249*(1-Settings!$B$2),2)</f>
        <v>13.64</v>
      </c>
      <c r="E249" s="2" t="inlineStr">
        <is>
          <t>One Piece</t>
        </is>
      </c>
      <c r="F249" s="2" t="inlineStr">
        <is>
          <t>Pack</t>
        </is>
      </c>
      <c r="G249" s="2" t="inlineStr">
        <is>
          <t>Japanese Promo</t>
        </is>
      </c>
      <c r="H249" s="3" t="n">
        <v>19.49</v>
      </c>
      <c r="I249" s="3" t="n"/>
      <c r="J249" s="3" t="n"/>
      <c r="K249" s="3" t="n"/>
      <c r="L249" s="2" t="inlineStr">
        <is>
          <t>PriceCharting</t>
        </is>
      </c>
      <c r="M249" s="4" t="inlineStr">
        <is>
          <t>https://www.pricecharting.com/game/one-piece-japanese-promo/sealed-promotion-pack-2022</t>
        </is>
      </c>
    </row>
    <row r="250">
      <c r="A250" s="2" t="inlineStr">
        <is>
          <t>Japanese Promo Sealed Promotion Pack EX Vol. 1</t>
        </is>
      </c>
      <c r="B250" s="3">
        <f>IF(H250&lt;&gt;"",H250,IF(I250&lt;&gt;"",I250,IF(J250&lt;&gt;"",J250,K250)))</f>
        <v>28.48</v>
      </c>
      <c r="C250" s="3">
        <f>MEDIAN(H250:K250)</f>
        <v>28.48</v>
      </c>
      <c r="D250" s="3">
        <f>ROUND(C250*(1-Settings!$B$2),2)</f>
        <v>19.94</v>
      </c>
      <c r="E250" s="2" t="inlineStr">
        <is>
          <t>One Piece</t>
        </is>
      </c>
      <c r="F250" s="2" t="inlineStr">
        <is>
          <t>Pack</t>
        </is>
      </c>
      <c r="G250" s="2" t="inlineStr">
        <is>
          <t>Japanese Promo</t>
        </is>
      </c>
      <c r="H250" s="3" t="n">
        <v>28.48</v>
      </c>
      <c r="I250" s="3" t="n"/>
      <c r="J250" s="3" t="n"/>
      <c r="K250" s="3" t="n"/>
      <c r="L250" s="2" t="inlineStr">
        <is>
          <t>PriceCharting</t>
        </is>
      </c>
      <c r="M250" s="4" t="inlineStr">
        <is>
          <t>https://www.pricecharting.com/game/one-piece-japanese-promo/sealed-promotion-pack-ex-vol-1</t>
        </is>
      </c>
    </row>
    <row r="251">
      <c r="A251" s="2" t="inlineStr">
        <is>
          <t>Japanese Promo Sealed Promotion Pack EX Vol. 2</t>
        </is>
      </c>
      <c r="B251" s="3">
        <f>IF(H251&lt;&gt;"",H251,IF(I251&lt;&gt;"",I251,IF(J251&lt;&gt;"",J251,K251)))</f>
        <v>71.68</v>
      </c>
      <c r="C251" s="3">
        <f>MEDIAN(H251:K251)</f>
        <v>71.68</v>
      </c>
      <c r="D251" s="3">
        <f>ROUND(C251*(1-Settings!$B$2),2)</f>
        <v>50.18</v>
      </c>
      <c r="E251" s="2" t="inlineStr">
        <is>
          <t>One Piece</t>
        </is>
      </c>
      <c r="F251" s="2" t="inlineStr">
        <is>
          <t>Pack</t>
        </is>
      </c>
      <c r="G251" s="2" t="inlineStr">
        <is>
          <t>Japanese Promo</t>
        </is>
      </c>
      <c r="H251" s="3" t="n">
        <v>71.68000000000001</v>
      </c>
      <c r="I251" s="3" t="n"/>
      <c r="J251" s="3" t="n"/>
      <c r="K251" s="3" t="n"/>
      <c r="L251" s="2" t="inlineStr">
        <is>
          <t>PriceCharting</t>
        </is>
      </c>
      <c r="M251" s="4" t="inlineStr">
        <is>
          <t>https://www.pricecharting.com/game/one-piece-japanese-promo/sealed-promotion-pack-ex-vol-2</t>
        </is>
      </c>
    </row>
    <row r="252">
      <c r="A252" s="2" t="inlineStr">
        <is>
          <t>Japanese Promo Sealed Promotion Pack EX Vol. 3</t>
        </is>
      </c>
      <c r="B252" s="3">
        <f>IF(H252&lt;&gt;"",H252,IF(I252&lt;&gt;"",I252,IF(J252&lt;&gt;"",J252,K252)))</f>
        <v>92.36</v>
      </c>
      <c r="C252" s="3">
        <f>MEDIAN(H252:K252)</f>
        <v>92.36</v>
      </c>
      <c r="D252" s="3">
        <f>ROUND(C252*(1-Settings!$B$2),2)</f>
        <v>64.65</v>
      </c>
      <c r="E252" s="2" t="inlineStr">
        <is>
          <t>One Piece</t>
        </is>
      </c>
      <c r="F252" s="2" t="inlineStr">
        <is>
          <t>Pack</t>
        </is>
      </c>
      <c r="G252" s="2" t="inlineStr">
        <is>
          <t>Japanese Promo</t>
        </is>
      </c>
      <c r="H252" s="3" t="n">
        <v>92.36</v>
      </c>
      <c r="I252" s="3" t="n"/>
      <c r="J252" s="3" t="n"/>
      <c r="K252" s="3" t="n"/>
      <c r="L252" s="2" t="inlineStr">
        <is>
          <t>PriceCharting</t>
        </is>
      </c>
      <c r="M252" s="4" t="inlineStr">
        <is>
          <t>https://www.pricecharting.com/game/one-piece-japanese-promo/sealed-promotion-pack-ex-vol-3</t>
        </is>
      </c>
    </row>
    <row r="253">
      <c r="A253" s="2" t="inlineStr">
        <is>
          <t>Japanese Promo Sealed Promotion Pack EX Vol. 4</t>
        </is>
      </c>
      <c r="B253" s="3">
        <f>IF(H253&lt;&gt;"",H253,IF(I253&lt;&gt;"",I253,IF(J253&lt;&gt;"",J253,K253)))</f>
        <v>327.02</v>
      </c>
      <c r="C253" s="3">
        <f>MEDIAN(H253:K253)</f>
        <v>327.02</v>
      </c>
      <c r="D253" s="3">
        <f>ROUND(C253*(1-Settings!$B$2),2)</f>
        <v>228.91</v>
      </c>
      <c r="E253" s="2" t="inlineStr">
        <is>
          <t>One Piece</t>
        </is>
      </c>
      <c r="F253" s="2" t="inlineStr">
        <is>
          <t>Pack</t>
        </is>
      </c>
      <c r="G253" s="2" t="inlineStr">
        <is>
          <t>Japanese Promo</t>
        </is>
      </c>
      <c r="H253" s="3" t="n">
        <v>327.02</v>
      </c>
      <c r="I253" s="3" t="n"/>
      <c r="J253" s="3" t="n"/>
      <c r="K253" s="3" t="n"/>
      <c r="L253" s="2" t="inlineStr">
        <is>
          <t>PriceCharting</t>
        </is>
      </c>
      <c r="M253" s="4" t="inlineStr">
        <is>
          <t>https://www.pricecharting.com/game/one-piece-japanese-promo/sealed-promotion-pack-ex-vol-4</t>
        </is>
      </c>
    </row>
    <row r="254">
      <c r="A254" s="2" t="inlineStr">
        <is>
          <t>Japanese Promo Sealed Promotion Pack Vol. 2</t>
        </is>
      </c>
      <c r="B254" s="3">
        <f>IF(H254&lt;&gt;"",H254,IF(I254&lt;&gt;"",I254,IF(J254&lt;&gt;"",J254,K254)))</f>
        <v>7.0</v>
      </c>
      <c r="C254" s="3">
        <f>MEDIAN(H254:K254)</f>
        <v>7.0</v>
      </c>
      <c r="D254" s="3">
        <f>ROUND(C254*(1-Settings!$B$2),2)</f>
        <v>4.9</v>
      </c>
      <c r="E254" s="2" t="inlineStr">
        <is>
          <t>One Piece</t>
        </is>
      </c>
      <c r="F254" s="2" t="inlineStr">
        <is>
          <t>Pack</t>
        </is>
      </c>
      <c r="G254" s="2" t="inlineStr">
        <is>
          <t>Japanese Promo</t>
        </is>
      </c>
      <c r="H254" s="3" t="n">
        <v>7</v>
      </c>
      <c r="I254" s="3" t="n"/>
      <c r="J254" s="3" t="n"/>
      <c r="K254" s="3" t="n"/>
      <c r="L254" s="2" t="inlineStr">
        <is>
          <t>PriceCharting</t>
        </is>
      </c>
      <c r="M254" s="4" t="inlineStr">
        <is>
          <t>https://www.pricecharting.com/game/one-piece-japanese-promo/sealed-promotion-pack-vol-2</t>
        </is>
      </c>
    </row>
    <row r="255">
      <c r="A255" s="2" t="inlineStr">
        <is>
          <t>Japanese Promo Sealed Promotion Pack Vol. 3</t>
        </is>
      </c>
      <c r="B255" s="3">
        <f>IF(H255&lt;&gt;"",H255,IF(I255&lt;&gt;"",I255,IF(J255&lt;&gt;"",J255,K255)))</f>
        <v>8.76</v>
      </c>
      <c r="C255" s="3">
        <f>MEDIAN(H255:K255)</f>
        <v>8.76</v>
      </c>
      <c r="D255" s="3">
        <f>ROUND(C255*(1-Settings!$B$2),2)</f>
        <v>6.13</v>
      </c>
      <c r="E255" s="2" t="inlineStr">
        <is>
          <t>One Piece</t>
        </is>
      </c>
      <c r="F255" s="2" t="inlineStr">
        <is>
          <t>Pack</t>
        </is>
      </c>
      <c r="G255" s="2" t="inlineStr">
        <is>
          <t>Japanese Promo</t>
        </is>
      </c>
      <c r="H255" s="3" t="n">
        <v>8.76</v>
      </c>
      <c r="I255" s="3" t="n"/>
      <c r="J255" s="3" t="n"/>
      <c r="K255" s="3" t="n"/>
      <c r="L255" s="2" t="inlineStr">
        <is>
          <t>PriceCharting</t>
        </is>
      </c>
      <c r="M255" s="4" t="inlineStr">
        <is>
          <t>https://www.pricecharting.com/game/one-piece-japanese-promo/sealed-promotion-pack-vol-3</t>
        </is>
      </c>
    </row>
    <row r="256">
      <c r="A256" s="2" t="inlineStr">
        <is>
          <t>Japanese Promo Sealed Promotion Pack Vol. 4</t>
        </is>
      </c>
      <c r="B256" s="3">
        <f>IF(H256&lt;&gt;"",H256,IF(I256&lt;&gt;"",I256,IF(J256&lt;&gt;"",J256,K256)))</f>
        <v>7.6</v>
      </c>
      <c r="C256" s="3">
        <f>MEDIAN(H256:K256)</f>
        <v>7.6</v>
      </c>
      <c r="D256" s="3">
        <f>ROUND(C256*(1-Settings!$B$2),2)</f>
        <v>5.32</v>
      </c>
      <c r="E256" s="2" t="inlineStr">
        <is>
          <t>One Piece</t>
        </is>
      </c>
      <c r="F256" s="2" t="inlineStr">
        <is>
          <t>Pack</t>
        </is>
      </c>
      <c r="G256" s="2" t="inlineStr">
        <is>
          <t>Japanese Promo</t>
        </is>
      </c>
      <c r="H256" s="3" t="n">
        <v>7.6</v>
      </c>
      <c r="I256" s="3" t="n"/>
      <c r="J256" s="3" t="n"/>
      <c r="K256" s="3" t="n"/>
      <c r="L256" s="2" t="inlineStr">
        <is>
          <t>PriceCharting</t>
        </is>
      </c>
      <c r="M256" s="4" t="inlineStr">
        <is>
          <t>https://www.pricecharting.com/game/one-piece-japanese-promo/sealed-promotion-pack-vol-4</t>
        </is>
      </c>
    </row>
    <row r="257">
      <c r="A257" s="2" t="inlineStr">
        <is>
          <t>Japanese Promo Sealed Promotion Pack Vol. 5</t>
        </is>
      </c>
      <c r="B257" s="3">
        <f>IF(H257&lt;&gt;"",H257,IF(I257&lt;&gt;"",I257,IF(J257&lt;&gt;"",J257,K257)))</f>
        <v>4.39</v>
      </c>
      <c r="C257" s="3">
        <f>MEDIAN(H257:K257)</f>
        <v>4.39</v>
      </c>
      <c r="D257" s="3">
        <f>ROUND(C257*(1-Settings!$B$2),2)</f>
        <v>3.07</v>
      </c>
      <c r="E257" s="2" t="inlineStr">
        <is>
          <t>One Piece</t>
        </is>
      </c>
      <c r="F257" s="2" t="inlineStr">
        <is>
          <t>Pack</t>
        </is>
      </c>
      <c r="G257" s="2" t="inlineStr">
        <is>
          <t>Japanese Promo</t>
        </is>
      </c>
      <c r="H257" s="3" t="n">
        <v>4.39</v>
      </c>
      <c r="I257" s="3" t="n"/>
      <c r="J257" s="3" t="n"/>
      <c r="K257" s="3" t="n"/>
      <c r="L257" s="2" t="inlineStr">
        <is>
          <t>PriceCharting</t>
        </is>
      </c>
      <c r="M257" s="4" t="inlineStr">
        <is>
          <t>https://www.pricecharting.com/game/one-piece-japanese-promo/sealed-promotion-pack-vol-5</t>
        </is>
      </c>
    </row>
    <row r="258">
      <c r="A258" s="2" t="inlineStr">
        <is>
          <t>Japanese Promo Sealed Promotion Pack Vol. 6</t>
        </is>
      </c>
      <c r="B258" s="3">
        <f>IF(H258&lt;&gt;"",H258,IF(I258&lt;&gt;"",I258,IF(J258&lt;&gt;"",J258,K258)))</f>
        <v>6.07</v>
      </c>
      <c r="C258" s="3">
        <f>MEDIAN(H258:K258)</f>
        <v>6.07</v>
      </c>
      <c r="D258" s="3">
        <f>ROUND(C258*(1-Settings!$B$2),2)</f>
        <v>4.25</v>
      </c>
      <c r="E258" s="2" t="inlineStr">
        <is>
          <t>One Piece</t>
        </is>
      </c>
      <c r="F258" s="2" t="inlineStr">
        <is>
          <t>Pack</t>
        </is>
      </c>
      <c r="G258" s="2" t="inlineStr">
        <is>
          <t>Japanese Promo</t>
        </is>
      </c>
      <c r="H258" s="3" t="n">
        <v>6.07</v>
      </c>
      <c r="I258" s="3" t="n"/>
      <c r="J258" s="3" t="n"/>
      <c r="K258" s="3" t="n"/>
      <c r="L258" s="2" t="inlineStr">
        <is>
          <t>PriceCharting</t>
        </is>
      </c>
      <c r="M258" s="4" t="inlineStr">
        <is>
          <t>https://www.pricecharting.com/game/one-piece-japanese-promo/sealed-promotion-pack-vol-6</t>
        </is>
      </c>
    </row>
    <row r="259">
      <c r="A259" s="2" t="inlineStr">
        <is>
          <t>Japanese Promo Sealed Promotion Pack Vol. 7</t>
        </is>
      </c>
      <c r="B259" s="3">
        <f>IF(H259&lt;&gt;"",H259,IF(I259&lt;&gt;"",I259,IF(J259&lt;&gt;"",J259,K259)))</f>
        <v>4.86</v>
      </c>
      <c r="C259" s="3">
        <f>MEDIAN(H259:K259)</f>
        <v>4.86</v>
      </c>
      <c r="D259" s="3">
        <f>ROUND(C259*(1-Settings!$B$2),2)</f>
        <v>3.4</v>
      </c>
      <c r="E259" s="2" t="inlineStr">
        <is>
          <t>One Piece</t>
        </is>
      </c>
      <c r="F259" s="2" t="inlineStr">
        <is>
          <t>Pack</t>
        </is>
      </c>
      <c r="G259" s="2" t="inlineStr">
        <is>
          <t>Japanese Promo</t>
        </is>
      </c>
      <c r="H259" s="3" t="n">
        <v>4.86</v>
      </c>
      <c r="I259" s="3" t="n"/>
      <c r="J259" s="3" t="n"/>
      <c r="K259" s="3" t="n"/>
      <c r="L259" s="2" t="inlineStr">
        <is>
          <t>PriceCharting</t>
        </is>
      </c>
      <c r="M259" s="4" t="inlineStr">
        <is>
          <t>https://www.pricecharting.com/game/one-piece-japanese-promo/sealed-promotion-pack-vol-7</t>
        </is>
      </c>
    </row>
    <row r="260">
      <c r="A260" s="2" t="inlineStr">
        <is>
          <t>Japanese Promo Sealed Promotion Pack Vol. 8</t>
        </is>
      </c>
      <c r="B260" s="3">
        <f>IF(H260&lt;&gt;"",H260,IF(I260&lt;&gt;"",I260,IF(J260&lt;&gt;"",J260,K260)))</f>
        <v>26.0</v>
      </c>
      <c r="C260" s="3">
        <f>MEDIAN(H260:K260)</f>
        <v>26.0</v>
      </c>
      <c r="D260" s="3">
        <f>ROUND(C260*(1-Settings!$B$2),2)</f>
        <v>18.2</v>
      </c>
      <c r="E260" s="2" t="inlineStr">
        <is>
          <t>One Piece</t>
        </is>
      </c>
      <c r="F260" s="2" t="inlineStr">
        <is>
          <t>Pack</t>
        </is>
      </c>
      <c r="G260" s="2" t="inlineStr">
        <is>
          <t>Japanese Promo</t>
        </is>
      </c>
      <c r="H260" s="3" t="n">
        <v>26</v>
      </c>
      <c r="I260" s="3" t="n"/>
      <c r="J260" s="3" t="n"/>
      <c r="K260" s="3" t="n"/>
      <c r="L260" s="2" t="inlineStr">
        <is>
          <t>PriceCharting</t>
        </is>
      </c>
      <c r="M260" s="4" t="inlineStr">
        <is>
          <t>https://www.pricecharting.com/game/one-piece-japanese-promo/sealed-promotion-pack-vol-8</t>
        </is>
      </c>
    </row>
    <row r="261">
      <c r="A261" s="2" t="inlineStr">
        <is>
          <t>Japanese Promo Sealed Promotion Pack Vol. 9</t>
        </is>
      </c>
      <c r="B261" s="3">
        <f>IF(H261&lt;&gt;"",H261,IF(I261&lt;&gt;"",I261,IF(J261&lt;&gt;"",J261,K261)))</f>
        <v>37.44</v>
      </c>
      <c r="C261" s="3">
        <f>MEDIAN(H261:K261)</f>
        <v>37.44</v>
      </c>
      <c r="D261" s="3">
        <f>ROUND(C261*(1-Settings!$B$2),2)</f>
        <v>26.21</v>
      </c>
      <c r="E261" s="2" t="inlineStr">
        <is>
          <t>One Piece</t>
        </is>
      </c>
      <c r="F261" s="2" t="inlineStr">
        <is>
          <t>Pack</t>
        </is>
      </c>
      <c r="G261" s="2" t="inlineStr">
        <is>
          <t>Japanese Promo</t>
        </is>
      </c>
      <c r="H261" s="3" t="n">
        <v>37.44</v>
      </c>
      <c r="I261" s="3" t="n"/>
      <c r="J261" s="3" t="n"/>
      <c r="K261" s="3" t="n"/>
      <c r="L261" s="2" t="inlineStr">
        <is>
          <t>PriceCharting</t>
        </is>
      </c>
      <c r="M261" s="4" t="inlineStr">
        <is>
          <t>https://www.pricecharting.com/game/one-piece-japanese-promo/sealed-promotion-pack-vol-9</t>
        </is>
      </c>
    </row>
    <row r="262">
      <c r="A262" s="2" t="inlineStr">
        <is>
          <t>Japanese Promo Sealed Round 1 Pack</t>
        </is>
      </c>
      <c r="B262" s="3">
        <f>IF(H262&lt;&gt;"",H262,IF(I262&lt;&gt;"",I262,IF(J262&lt;&gt;"",J262,K262)))</f>
        <v>38.48</v>
      </c>
      <c r="C262" s="3">
        <f>MEDIAN(H262:K262)</f>
        <v>38.48</v>
      </c>
      <c r="D262" s="3">
        <f>ROUND(C262*(1-Settings!$B$2),2)</f>
        <v>26.94</v>
      </c>
      <c r="E262" s="2" t="inlineStr">
        <is>
          <t>One Piece</t>
        </is>
      </c>
      <c r="F262" s="2" t="inlineStr">
        <is>
          <t>Pack</t>
        </is>
      </c>
      <c r="G262" s="2" t="inlineStr">
        <is>
          <t>Japanese Promo</t>
        </is>
      </c>
      <c r="H262" s="3" t="n">
        <v>38.48</v>
      </c>
      <c r="I262" s="3" t="n"/>
      <c r="J262" s="3" t="n"/>
      <c r="K262" s="3" t="n"/>
      <c r="L262" s="2" t="inlineStr">
        <is>
          <t>PriceCharting</t>
        </is>
      </c>
      <c r="M262" s="4" t="inlineStr">
        <is>
          <t>https://www.pricecharting.com/game/one-piece-japanese-promo/sealed-round-1-pack</t>
        </is>
      </c>
    </row>
    <row r="263">
      <c r="A263" s="2" t="inlineStr">
        <is>
          <t>Japanese Promo Sealed Standard Battle Pack Vol. 12</t>
        </is>
      </c>
      <c r="B263" s="3">
        <f>IF(H263&lt;&gt;"",H263,IF(I263&lt;&gt;"",I263,IF(J263&lt;&gt;"",J263,K263)))</f>
        <v>3.85</v>
      </c>
      <c r="C263" s="3">
        <f>MEDIAN(H263:K263)</f>
        <v>3.85</v>
      </c>
      <c r="D263" s="3">
        <f>ROUND(C263*(1-Settings!$B$2),2)</f>
        <v>2.7</v>
      </c>
      <c r="E263" s="2" t="inlineStr">
        <is>
          <t>One Piece</t>
        </is>
      </c>
      <c r="F263" s="2" t="inlineStr">
        <is>
          <t>Pack</t>
        </is>
      </c>
      <c r="G263" s="2" t="inlineStr">
        <is>
          <t>Japanese Promo</t>
        </is>
      </c>
      <c r="H263" s="3" t="n">
        <v>3.85</v>
      </c>
      <c r="I263" s="3" t="n"/>
      <c r="J263" s="3" t="n"/>
      <c r="K263" s="3" t="n"/>
      <c r="L263" s="2" t="inlineStr">
        <is>
          <t>PriceCharting</t>
        </is>
      </c>
      <c r="M263" s="4" t="inlineStr">
        <is>
          <t>https://www.pricecharting.com/game/one-piece-japanese-promo/sealed-standard-battle-pack-vol-12</t>
        </is>
      </c>
    </row>
    <row r="264">
      <c r="A264" s="2" t="inlineStr">
        <is>
          <t>Japanese Promo Sealed Standard Battle Pack Vol. 13</t>
        </is>
      </c>
      <c r="B264" s="3">
        <f>IF(H264&lt;&gt;"",H264,IF(I264&lt;&gt;"",I264,IF(J264&lt;&gt;"",J264,K264)))</f>
        <v>4.88</v>
      </c>
      <c r="C264" s="3">
        <f>MEDIAN(H264:K264)</f>
        <v>4.88</v>
      </c>
      <c r="D264" s="3">
        <f>ROUND(C264*(1-Settings!$B$2),2)</f>
        <v>3.42</v>
      </c>
      <c r="E264" s="2" t="inlineStr">
        <is>
          <t>One Piece</t>
        </is>
      </c>
      <c r="F264" s="2" t="inlineStr">
        <is>
          <t>Pack</t>
        </is>
      </c>
      <c r="G264" s="2" t="inlineStr">
        <is>
          <t>Japanese Promo</t>
        </is>
      </c>
      <c r="H264" s="3" t="n">
        <v>4.88</v>
      </c>
      <c r="I264" s="3" t="n"/>
      <c r="J264" s="3" t="n"/>
      <c r="K264" s="3" t="n"/>
      <c r="L264" s="2" t="inlineStr">
        <is>
          <t>PriceCharting</t>
        </is>
      </c>
      <c r="M264" s="4" t="inlineStr">
        <is>
          <t>https://www.pricecharting.com/game/one-piece-japanese-promo/sealed-standard-battle-pack-vol-13</t>
        </is>
      </c>
    </row>
    <row r="265">
      <c r="A265" s="2" t="inlineStr">
        <is>
          <t>Japanese Promo Sealed Standard Battle Pack Vol. 16</t>
        </is>
      </c>
      <c r="B265" s="3">
        <f>IF(H265&lt;&gt;"",H265,IF(I265&lt;&gt;"",I265,IF(J265&lt;&gt;"",J265,K265)))</f>
        <v>10.5</v>
      </c>
      <c r="C265" s="3">
        <f>MEDIAN(H265:K265)</f>
        <v>10.5</v>
      </c>
      <c r="D265" s="3">
        <f>ROUND(C265*(1-Settings!$B$2),2)</f>
        <v>7.35</v>
      </c>
      <c r="E265" s="2" t="inlineStr">
        <is>
          <t>One Piece</t>
        </is>
      </c>
      <c r="F265" s="2" t="inlineStr">
        <is>
          <t>Pack</t>
        </is>
      </c>
      <c r="G265" s="2" t="inlineStr">
        <is>
          <t>Japanese Promo</t>
        </is>
      </c>
      <c r="H265" s="3" t="n">
        <v>10.5</v>
      </c>
      <c r="I265" s="3" t="n"/>
      <c r="J265" s="3" t="n"/>
      <c r="K265" s="3" t="n"/>
      <c r="L265" s="2" t="inlineStr">
        <is>
          <t>PriceCharting</t>
        </is>
      </c>
      <c r="M265" s="4" t="inlineStr">
        <is>
          <t>https://www.pricecharting.com/game/one-piece-japanese-promo/sealed-standard-battle-pack-vol-16</t>
        </is>
      </c>
    </row>
    <row r="266">
      <c r="A266" s="2" t="inlineStr">
        <is>
          <t>Japanese Promo Sealed Top Strongest Pack</t>
        </is>
      </c>
      <c r="B266" s="3">
        <f>IF(H266&lt;&gt;"",H266,IF(I266&lt;&gt;"",I266,IF(J266&lt;&gt;"",J266,K266)))</f>
        <v>40.0</v>
      </c>
      <c r="C266" s="3">
        <f>MEDIAN(H266:K266)</f>
        <v>40.0</v>
      </c>
      <c r="D266" s="3">
        <f>ROUND(C266*(1-Settings!$B$2),2)</f>
        <v>28.0</v>
      </c>
      <c r="E266" s="2" t="inlineStr">
        <is>
          <t>One Piece</t>
        </is>
      </c>
      <c r="F266" s="2" t="inlineStr">
        <is>
          <t>Pack</t>
        </is>
      </c>
      <c r="G266" s="2" t="inlineStr">
        <is>
          <t>Japanese Promo</t>
        </is>
      </c>
      <c r="H266" s="3" t="n">
        <v>40</v>
      </c>
      <c r="I266" s="3" t="n"/>
      <c r="J266" s="3" t="n"/>
      <c r="K266" s="3" t="n"/>
      <c r="L266" s="2" t="inlineStr">
        <is>
          <t>PriceCharting</t>
        </is>
      </c>
      <c r="M266" s="4" t="inlineStr">
        <is>
          <t>https://www.pricecharting.com/game/one-piece-japanese-promo/sealed-top-strongest-pack</t>
        </is>
      </c>
    </row>
    <row r="267">
      <c r="A267" s="2" t="inlineStr">
        <is>
          <t>Japanese Promo Sealed Tournament Pack Vol. 4</t>
        </is>
      </c>
      <c r="B267" s="3">
        <f>IF(H267&lt;&gt;"",H267,IF(I267&lt;&gt;"",I267,IF(J267&lt;&gt;"",J267,K267)))</f>
        <v>4.04</v>
      </c>
      <c r="C267" s="3">
        <f>MEDIAN(H267:K267)</f>
        <v>4.04</v>
      </c>
      <c r="D267" s="3">
        <f>ROUND(C267*(1-Settings!$B$2),2)</f>
        <v>2.83</v>
      </c>
      <c r="E267" s="2" t="inlineStr">
        <is>
          <t>One Piece</t>
        </is>
      </c>
      <c r="F267" s="2" t="inlineStr">
        <is>
          <t>Pack</t>
        </is>
      </c>
      <c r="G267" s="2" t="inlineStr">
        <is>
          <t>Japanese Promo</t>
        </is>
      </c>
      <c r="H267" s="3" t="n">
        <v>4.04</v>
      </c>
      <c r="I267" s="3" t="n"/>
      <c r="J267" s="3" t="n"/>
      <c r="K267" s="3" t="n"/>
      <c r="L267" s="2" t="inlineStr">
        <is>
          <t>PriceCharting</t>
        </is>
      </c>
      <c r="M267" s="4" t="inlineStr">
        <is>
          <t>https://www.pricecharting.com/game/one-piece-japanese-promo/sealed-tournament-pack-vol-4</t>
        </is>
      </c>
    </row>
    <row r="268">
      <c r="A268" s="2" t="inlineStr">
        <is>
          <t>Japanese Promo Sealed Tournament Pack Vol. 5</t>
        </is>
      </c>
      <c r="B268" s="3">
        <f>IF(H268&lt;&gt;"",H268,IF(I268&lt;&gt;"",I268,IF(J268&lt;&gt;"",J268,K268)))</f>
        <v>7.77</v>
      </c>
      <c r="C268" s="3">
        <f>MEDIAN(H268:K268)</f>
        <v>7.77</v>
      </c>
      <c r="D268" s="3">
        <f>ROUND(C268*(1-Settings!$B$2),2)</f>
        <v>5.44</v>
      </c>
      <c r="E268" s="2" t="inlineStr">
        <is>
          <t>One Piece</t>
        </is>
      </c>
      <c r="F268" s="2" t="inlineStr">
        <is>
          <t>Pack</t>
        </is>
      </c>
      <c r="G268" s="2" t="inlineStr">
        <is>
          <t>Japanese Promo</t>
        </is>
      </c>
      <c r="H268" s="3" t="n">
        <v>7.77</v>
      </c>
      <c r="I268" s="3" t="n"/>
      <c r="J268" s="3" t="n"/>
      <c r="K268" s="3" t="n"/>
      <c r="L268" s="2" t="inlineStr">
        <is>
          <t>PriceCharting</t>
        </is>
      </c>
      <c r="M268" s="4" t="inlineStr">
        <is>
          <t>https://www.pricecharting.com/game/one-piece-japanese-promo/sealed-tournament-pack-vol-5</t>
        </is>
      </c>
    </row>
    <row r="269">
      <c r="A269" s="2" t="inlineStr">
        <is>
          <t>Japanese Promo Strongest Three Brothers Pack</t>
        </is>
      </c>
      <c r="B269" s="3">
        <f>IF(H269&lt;&gt;"",H269,IF(I269&lt;&gt;"",I269,IF(J269&lt;&gt;"",J269,K269)))</f>
        <v>98.33</v>
      </c>
      <c r="C269" s="3">
        <f>MEDIAN(H269:K269)</f>
        <v>98.33</v>
      </c>
      <c r="D269" s="3">
        <f>ROUND(C269*(1-Settings!$B$2),2)</f>
        <v>68.83</v>
      </c>
      <c r="E269" s="2" t="inlineStr">
        <is>
          <t>One Piece</t>
        </is>
      </c>
      <c r="F269" s="2" t="inlineStr">
        <is>
          <t>Pack</t>
        </is>
      </c>
      <c r="G269" s="2" t="inlineStr">
        <is>
          <t>Japanese Promo</t>
        </is>
      </c>
      <c r="H269" s="3" t="n">
        <v>98.33</v>
      </c>
      <c r="I269" s="3" t="n"/>
      <c r="J269" s="3" t="n"/>
      <c r="K269" s="3" t="n"/>
      <c r="L269" s="2" t="inlineStr">
        <is>
          <t>PriceCharting</t>
        </is>
      </c>
      <c r="M269" s="4" t="inlineStr">
        <is>
          <t>https://www.pricecharting.com/game/one-piece-japanese-promo/strongest-three-brothers-pack</t>
        </is>
      </c>
    </row>
    <row r="270">
      <c r="A270" s="2" t="inlineStr">
        <is>
          <t>Japanese Romance Dawn Booster Pack</t>
        </is>
      </c>
      <c r="B270" s="3">
        <f>IF(H270&lt;&gt;"",H270,IF(I270&lt;&gt;"",I270,IF(J270&lt;&gt;"",J270,K270)))</f>
        <v>5.51</v>
      </c>
      <c r="C270" s="3">
        <f>MEDIAN(H270:K270)</f>
        <v>5.51</v>
      </c>
      <c r="D270" s="3">
        <f>ROUND(C270*(1-Settings!$B$2),2)</f>
        <v>3.86</v>
      </c>
      <c r="E270" s="2" t="inlineStr">
        <is>
          <t>One Piece</t>
        </is>
      </c>
      <c r="F270" s="2" t="inlineStr">
        <is>
          <t>Pack</t>
        </is>
      </c>
      <c r="G270" s="2" t="inlineStr">
        <is>
          <t>Japanese Romance Dawn</t>
        </is>
      </c>
      <c r="H270" s="3" t="n">
        <v>5.51</v>
      </c>
      <c r="I270" s="3" t="n"/>
      <c r="J270" s="3" t="n"/>
      <c r="K270" s="3" t="n"/>
      <c r="L270" s="2" t="inlineStr">
        <is>
          <t>PriceCharting</t>
        </is>
      </c>
      <c r="M270" s="4" t="inlineStr">
        <is>
          <t>https://www.pricecharting.com/game/one-piece-japanese-romance-dawn/booster-pack</t>
        </is>
      </c>
    </row>
    <row r="271">
      <c r="A271" s="2" t="inlineStr">
        <is>
          <t>Japanese Royal Blood Booster Pack</t>
        </is>
      </c>
      <c r="B271" s="3">
        <f>IF(H271&lt;&gt;"",H271,IF(I271&lt;&gt;"",I271,IF(J271&lt;&gt;"",J271,K271)))</f>
        <v>8.0</v>
      </c>
      <c r="C271" s="3">
        <f>MEDIAN(H271:K271)</f>
        <v>8.0</v>
      </c>
      <c r="D271" s="3">
        <f>ROUND(C271*(1-Settings!$B$2),2)</f>
        <v>5.6</v>
      </c>
      <c r="E271" s="2" t="inlineStr">
        <is>
          <t>One Piece</t>
        </is>
      </c>
      <c r="F271" s="2" t="inlineStr">
        <is>
          <t>Pack</t>
        </is>
      </c>
      <c r="G271" s="2" t="inlineStr">
        <is>
          <t>Japanese Royal Blood</t>
        </is>
      </c>
      <c r="H271" s="3" t="n">
        <v>8</v>
      </c>
      <c r="I271" s="3" t="n"/>
      <c r="J271" s="3" t="n"/>
      <c r="K271" s="3" t="n"/>
      <c r="L271" s="2" t="inlineStr">
        <is>
          <t>PriceCharting</t>
        </is>
      </c>
      <c r="M271" s="4" t="inlineStr">
        <is>
          <t>https://www.pricecharting.com/game/one-piece-japanese-royal-blood/booster-pack</t>
        </is>
      </c>
    </row>
    <row r="272">
      <c r="A272" s="2" t="inlineStr">
        <is>
          <t>Japanese The Time Of Battle Booster Pack</t>
        </is>
      </c>
      <c r="B272" s="3">
        <f>IF(H272&lt;&gt;"",H272,IF(I272&lt;&gt;"",I272,IF(J272&lt;&gt;"",J272,K272)))</f>
        <v>18.63</v>
      </c>
      <c r="C272" s="3">
        <f>MEDIAN(H272:K272)</f>
        <v>18.63</v>
      </c>
      <c r="D272" s="3">
        <f>ROUND(C272*(1-Settings!$B$2),2)</f>
        <v>13.04</v>
      </c>
      <c r="E272" s="2" t="inlineStr">
        <is>
          <t>One Piece</t>
        </is>
      </c>
      <c r="F272" s="2" t="inlineStr">
        <is>
          <t>Pack</t>
        </is>
      </c>
      <c r="G272" s="2" t="inlineStr">
        <is>
          <t>Japanese The Time Of Battle</t>
        </is>
      </c>
      <c r="H272" s="3" t="n">
        <v>18.63</v>
      </c>
      <c r="I272" s="3" t="n"/>
      <c r="J272" s="3" t="n"/>
      <c r="K272" s="3" t="n"/>
      <c r="L272" s="2" t="inlineStr">
        <is>
          <t>PriceCharting</t>
        </is>
      </c>
      <c r="M272" s="4" t="inlineStr">
        <is>
          <t>https://www.pricecharting.com/game/one-piece-japanese-the-time-of-battle/booster-pack</t>
        </is>
      </c>
    </row>
    <row r="273">
      <c r="A273" s="2" t="inlineStr">
        <is>
          <t>Japanese Two Legends Booster Pack</t>
        </is>
      </c>
      <c r="B273" s="3">
        <f>IF(H273&lt;&gt;"",H273,IF(I273&lt;&gt;"",I273,IF(J273&lt;&gt;"",J273,K273)))</f>
        <v>57.03</v>
      </c>
      <c r="C273" s="3">
        <f>MEDIAN(H273:K273)</f>
        <v>57.03</v>
      </c>
      <c r="D273" s="3">
        <f>ROUND(C273*(1-Settings!$B$2),2)</f>
        <v>39.92</v>
      </c>
      <c r="E273" s="2" t="inlineStr">
        <is>
          <t>One Piece</t>
        </is>
      </c>
      <c r="F273" s="2" t="inlineStr">
        <is>
          <t>Pack</t>
        </is>
      </c>
      <c r="G273" s="2" t="inlineStr">
        <is>
          <t>Japanese Two Legends</t>
        </is>
      </c>
      <c r="H273" s="3" t="n">
        <v>57.03</v>
      </c>
      <c r="I273" s="3" t="n"/>
      <c r="J273" s="3" t="n"/>
      <c r="K273" s="3" t="n"/>
      <c r="L273" s="2" t="inlineStr">
        <is>
          <t>PriceCharting</t>
        </is>
      </c>
      <c r="M273" s="4" t="inlineStr">
        <is>
          <t>https://www.pricecharting.com/game/one-piece-japanese-two-legends/booster-pack</t>
        </is>
      </c>
    </row>
    <row r="274">
      <c r="A274" s="2" t="inlineStr">
        <is>
          <t>Japanese Ultra Deck The Three Brothers Bonus Pack</t>
        </is>
      </c>
      <c r="B274" s="3">
        <f>IF(H274&lt;&gt;"",H274,IF(I274&lt;&gt;"",I274,IF(J274&lt;&gt;"",J274,K274)))</f>
        <v>37.19</v>
      </c>
      <c r="C274" s="3">
        <f>MEDIAN(H274:K274)</f>
        <v>37.19</v>
      </c>
      <c r="D274" s="3">
        <f>ROUND(C274*(1-Settings!$B$2),2)</f>
        <v>26.03</v>
      </c>
      <c r="E274" s="2" t="inlineStr">
        <is>
          <t>One Piece</t>
        </is>
      </c>
      <c r="F274" s="2" t="inlineStr">
        <is>
          <t>Pack</t>
        </is>
      </c>
      <c r="G274" s="2" t="inlineStr">
        <is>
          <t>Japanese Ultra Deck The Three Brothers</t>
        </is>
      </c>
      <c r="H274" s="3" t="n">
        <v>37.19</v>
      </c>
      <c r="I274" s="3" t="n"/>
      <c r="J274" s="3" t="n"/>
      <c r="K274" s="3" t="n"/>
      <c r="L274" s="2" t="inlineStr">
        <is>
          <t>PriceCharting</t>
        </is>
      </c>
      <c r="M274" s="4" t="inlineStr">
        <is>
          <t>https://www.pricecharting.com/game/one-piece-japanese-ultra-deck-the-three-brothers/bonus-pack</t>
        </is>
      </c>
    </row>
    <row r="275">
      <c r="A275" s="2" t="inlineStr">
        <is>
          <t>Japanese Wings Of The Captain Booster Pack</t>
        </is>
      </c>
      <c r="B275" s="3">
        <f>IF(H275&lt;&gt;"",H275,IF(I275&lt;&gt;"",I275,IF(J275&lt;&gt;"",J275,K275)))</f>
        <v>1.46</v>
      </c>
      <c r="C275" s="3">
        <f>MEDIAN(H275:K275)</f>
        <v>1.46</v>
      </c>
      <c r="D275" s="3">
        <f>ROUND(C275*(1-Settings!$B$2),2)</f>
        <v>1.02</v>
      </c>
      <c r="E275" s="2" t="inlineStr">
        <is>
          <t>One Piece</t>
        </is>
      </c>
      <c r="F275" s="2" t="inlineStr">
        <is>
          <t>Pack</t>
        </is>
      </c>
      <c r="G275" s="2" t="inlineStr">
        <is>
          <t>Japanese Wings Of The Captain</t>
        </is>
      </c>
      <c r="H275" s="3" t="n">
        <v>1.46</v>
      </c>
      <c r="I275" s="3" t="n"/>
      <c r="J275" s="3" t="n"/>
      <c r="K275" s="3" t="n"/>
      <c r="L275" s="2" t="inlineStr">
        <is>
          <t>PriceCharting</t>
        </is>
      </c>
      <c r="M275" s="4" t="inlineStr">
        <is>
          <t>https://www.pricecharting.com/game/one-piece-japanese-wings-of-the-captain/booster-pack</t>
        </is>
      </c>
    </row>
    <row r="276">
      <c r="A276" s="2" t="inlineStr">
        <is>
          <t>Kingdoms of Intrigue - Booster Pack</t>
        </is>
      </c>
      <c r="B276" s="3">
        <f>IF(H276&lt;&gt;"",H276,IF(I276&lt;&gt;"",I276,IF(J276&lt;&gt;"",J276,K276)))</f>
        <v>49.99</v>
      </c>
      <c r="C276" s="3">
        <f>MEDIAN(H276:K276)</f>
        <v>14.99</v>
      </c>
      <c r="D276" s="3">
        <f>ROUND(C276*(1-Settings!$B$2),2)</f>
        <v>10.49</v>
      </c>
      <c r="E276" s="2" t="inlineStr">
        <is>
          <t>One Piece</t>
        </is>
      </c>
      <c r="F276" s="2" t="inlineStr">
        <is>
          <t>Pack</t>
        </is>
      </c>
      <c r="G276" s="2" t="inlineStr">
        <is>
          <t>Kingdoms of Intrigue</t>
        </is>
      </c>
      <c r="H276" s="3" t="n">
        <v>49.99</v>
      </c>
      <c r="I276" s="3" t="n">
        <v>14.12</v>
      </c>
      <c r="J276" s="3" t="n"/>
      <c r="K276" s="3" t="n">
        <v>14.99</v>
      </c>
      <c r="L276" s="2" t="inlineStr">
        <is>
          <t>PriceCharting + TCGplayer</t>
        </is>
      </c>
      <c r="M276" s="4" t="inlineStr">
        <is>
          <t>https://www.pricecharting.com/game/one-piece-kingdoms-of-intrigue/booster-pack</t>
        </is>
      </c>
      <c r="N276" s="4" t="inlineStr">
        <is>
          <t>https://www.tcgplayer.com/product/485832</t>
        </is>
      </c>
    </row>
    <row r="277">
      <c r="A277" s="2" t="inlineStr">
        <is>
          <t>Kingdoms of Intrigue - Dash Pack</t>
        </is>
      </c>
      <c r="B277" s="3">
        <f>IF(H277&lt;&gt;"",H277,IF(I277&lt;&gt;"",I277,IF(J277&lt;&gt;"",J277,K277)))</f>
        <v>0.45</v>
      </c>
      <c r="C277" s="3">
        <f>MEDIAN(H277:K277)</f>
        <v>4.96</v>
      </c>
      <c r="D277" s="3">
        <f>ROUND(C277*(1-Settings!$B$2),2)</f>
        <v>3.47</v>
      </c>
      <c r="E277" s="2" t="inlineStr">
        <is>
          <t>One Piece</t>
        </is>
      </c>
      <c r="F277" s="2" t="inlineStr">
        <is>
          <t>Pack</t>
        </is>
      </c>
      <c r="G277" s="2" t="inlineStr">
        <is>
          <t>Kingdoms of Intrigue</t>
        </is>
      </c>
      <c r="H277" s="3" t="n">
        <v>0.45</v>
      </c>
      <c r="I277" s="3" t="n">
        <v>4.96</v>
      </c>
      <c r="J277" s="3" t="n"/>
      <c r="K277" s="3" t="n">
        <v>4.99</v>
      </c>
      <c r="L277" s="2" t="inlineStr">
        <is>
          <t>PriceCharting + TCGplayer</t>
        </is>
      </c>
      <c r="M277" s="4" t="inlineStr">
        <is>
          <t>https://www.pricecharting.com/game/one-piece-kingdoms-of-intrigue/dash-pack</t>
        </is>
      </c>
      <c r="N277" s="4" t="inlineStr">
        <is>
          <t>https://www.tcgplayer.com/product/516954</t>
        </is>
      </c>
    </row>
    <row r="278">
      <c r="A278" s="2" t="inlineStr">
        <is>
          <t>Kingdoms of Intrigue - Sleeved Booster Pack</t>
        </is>
      </c>
      <c r="B278" s="3">
        <f>IF(H278&lt;&gt;"",H278,IF(I278&lt;&gt;"",I278,IF(J278&lt;&gt;"",J278,K278)))</f>
        <v>50.5</v>
      </c>
      <c r="C278" s="3">
        <f>MEDIAN(H278:K278)</f>
        <v>50.6</v>
      </c>
      <c r="D278" s="3">
        <f>ROUND(C278*(1-Settings!$B$2),2)</f>
        <v>35.42</v>
      </c>
      <c r="E278" s="2" t="inlineStr">
        <is>
          <t>One Piece</t>
        </is>
      </c>
      <c r="F278" s="2" t="inlineStr">
        <is>
          <t>Pack</t>
        </is>
      </c>
      <c r="G278" s="2" t="inlineStr">
        <is>
          <t>Kingdoms of Intrigue</t>
        </is>
      </c>
      <c r="H278" s="3" t="n">
        <v>50.5</v>
      </c>
      <c r="I278" s="3" t="n">
        <v>50.6</v>
      </c>
      <c r="J278" s="3" t="n"/>
      <c r="K278" s="3" t="n">
        <v>65</v>
      </c>
      <c r="L278" s="2" t="inlineStr">
        <is>
          <t>PriceCharting + TCGplayer</t>
        </is>
      </c>
      <c r="M278" s="4" t="inlineStr">
        <is>
          <t>https://www.pricecharting.com/game/one-piece-kingdoms-of-intrigue/sleeved-booster-pack</t>
        </is>
      </c>
      <c r="N278" s="4" t="inlineStr">
        <is>
          <t>https://www.tcgplayer.com/product/531777</t>
        </is>
      </c>
    </row>
    <row r="279">
      <c r="A279" s="2" t="inlineStr">
        <is>
          <t>Kingdoms Of Intrigue Double Pack DP-01</t>
        </is>
      </c>
      <c r="B279" s="3">
        <f>IF(H279&lt;&gt;"",H279,IF(I279&lt;&gt;"",I279,IF(J279&lt;&gt;"",J279,K279)))</f>
        <v>72.0</v>
      </c>
      <c r="C279" s="3">
        <f>MEDIAN(H279:K279)</f>
        <v>72.0</v>
      </c>
      <c r="D279" s="3">
        <f>ROUND(C279*(1-Settings!$B$2),2)</f>
        <v>50.4</v>
      </c>
      <c r="E279" s="2" t="inlineStr">
        <is>
          <t>One Piece</t>
        </is>
      </c>
      <c r="F279" s="2" t="inlineStr">
        <is>
          <t>Pack</t>
        </is>
      </c>
      <c r="G279" s="2" t="inlineStr">
        <is>
          <t>Kingdoms Of Intrigue</t>
        </is>
      </c>
      <c r="H279" s="3" t="n">
        <v>72</v>
      </c>
      <c r="I279" s="3" t="n"/>
      <c r="J279" s="3" t="n"/>
      <c r="K279" s="3" t="n"/>
      <c r="L279" s="2" t="inlineStr">
        <is>
          <t>PriceCharting</t>
        </is>
      </c>
      <c r="M279" s="4" t="inlineStr">
        <is>
          <t>https://www.pricecharting.com/game/one-piece-kingdoms-of-intrigue/double-pack-dp-01</t>
        </is>
      </c>
    </row>
    <row r="280">
      <c r="A280" s="2" t="inlineStr">
        <is>
          <t>Kingdoms of Intrigue Pre-Release Pack</t>
        </is>
      </c>
      <c r="B280" s="3">
        <f>IF(H280&lt;&gt;"",H280,IF(I280&lt;&gt;"",I280,IF(J280&lt;&gt;"",J280,K280)))</f>
        <v>18.99</v>
      </c>
      <c r="C280" s="3">
        <f>MEDIAN(H280:K280)</f>
        <v>18.99</v>
      </c>
      <c r="D280" s="3">
        <f>ROUND(C280*(1-Settings!$B$2),2)</f>
        <v>13.29</v>
      </c>
      <c r="E280" s="2" t="inlineStr">
        <is>
          <t>One Piece</t>
        </is>
      </c>
      <c r="F280" s="2" t="inlineStr">
        <is>
          <t>Pack</t>
        </is>
      </c>
      <c r="G280" s="2" t="inlineStr">
        <is>
          <t>Kingdoms Of Intrigue</t>
        </is>
      </c>
      <c r="H280" s="3" t="n">
        <v>18.99</v>
      </c>
      <c r="I280" s="3" t="n"/>
      <c r="J280" s="3" t="n"/>
      <c r="K280" s="3" t="n"/>
      <c r="L280" s="2" t="inlineStr">
        <is>
          <t>PriceCharting</t>
        </is>
      </c>
      <c r="M280" s="4" t="inlineStr">
        <is>
          <t>https://www.pricecharting.com/game/one-piece-kingdoms-of-intrigue/kingdoms-of-intrigue-pre-release-pack</t>
        </is>
      </c>
    </row>
    <row r="281">
      <c r="A281" s="2" t="inlineStr">
        <is>
          <t>Special DON!! Card Pack DP-01</t>
        </is>
      </c>
      <c r="B281" s="3">
        <f>IF(H281&lt;&gt;"",H281,IF(I281&lt;&gt;"",I281,IF(J281&lt;&gt;"",J281,K281)))</f>
        <v>15.29</v>
      </c>
      <c r="C281" s="3">
        <f>MEDIAN(H281:K281)</f>
        <v>12.64</v>
      </c>
      <c r="D281" s="3">
        <f>ROUND(C281*(1-Settings!$B$2),2)</f>
        <v>8.85</v>
      </c>
      <c r="E281" s="2" t="inlineStr">
        <is>
          <t>One Piece</t>
        </is>
      </c>
      <c r="F281" s="2" t="inlineStr">
        <is>
          <t>Pack</t>
        </is>
      </c>
      <c r="G281" s="2" t="inlineStr">
        <is>
          <t>Kingdoms of Intrigue</t>
        </is>
      </c>
      <c r="H281" s="3" t="n"/>
      <c r="I281" s="3" t="n">
        <v>15.29</v>
      </c>
      <c r="J281" s="3" t="n"/>
      <c r="K281" s="3" t="n">
        <v>9.99</v>
      </c>
      <c r="L281" s="2" t="inlineStr">
        <is>
          <t>TCGplayer</t>
        </is>
      </c>
      <c r="N281" s="4" t="inlineStr">
        <is>
          <t>https://www.tcgplayer.com/product/521201</t>
        </is>
      </c>
    </row>
    <row r="282">
      <c r="A282" s="2" t="inlineStr">
        <is>
          <t>Kingdoms of Intrigue - Pre-Release Pack</t>
        </is>
      </c>
      <c r="B282" s="3">
        <f>IF(H282&lt;&gt;"",H282,IF(I282&lt;&gt;"",I282,IF(J282&lt;&gt;"",J282,K282)))</f>
        <v>30.74</v>
      </c>
      <c r="C282" s="3">
        <f>MEDIAN(H282:K282)</f>
        <v>24.865</v>
      </c>
      <c r="D282" s="3">
        <f>ROUND(C282*(1-Settings!$B$2),2)</f>
        <v>17.41</v>
      </c>
      <c r="E282" s="2" t="inlineStr">
        <is>
          <t>One Piece</t>
        </is>
      </c>
      <c r="F282" s="2" t="inlineStr">
        <is>
          <t>Pack</t>
        </is>
      </c>
      <c r="G282" s="2" t="inlineStr">
        <is>
          <t>Kingdoms of Intrigue Pre-Release Cards</t>
        </is>
      </c>
      <c r="H282" s="3" t="n"/>
      <c r="I282" s="3" t="n">
        <v>30.74</v>
      </c>
      <c r="J282" s="3" t="n"/>
      <c r="K282" s="3" t="n">
        <v>18.99</v>
      </c>
      <c r="L282" s="2" t="inlineStr">
        <is>
          <t>TCGplayer</t>
        </is>
      </c>
      <c r="N282" s="4" t="inlineStr">
        <is>
          <t>https://www.tcgplayer.com/product/516961</t>
        </is>
      </c>
    </row>
    <row r="283">
      <c r="A283" s="2" t="inlineStr">
        <is>
          <t>Legacy of the Master - Sleeved Booster Pack</t>
        </is>
      </c>
      <c r="B283" s="3">
        <f>IF(H283&lt;&gt;"",H283,IF(I283&lt;&gt;"",I283,IF(J283&lt;&gt;"",J283,K283)))</f>
        <v>16.23</v>
      </c>
      <c r="C283" s="3">
        <f>MEDIAN(H283:K283)</f>
        <v>16.23</v>
      </c>
      <c r="D283" s="3">
        <f>ROUND(C283*(1-Settings!$B$2),2)</f>
        <v>11.36</v>
      </c>
      <c r="E283" s="2" t="inlineStr">
        <is>
          <t>One Piece</t>
        </is>
      </c>
      <c r="F283" s="2" t="inlineStr">
        <is>
          <t>Pack</t>
        </is>
      </c>
      <c r="G283" s="2" t="inlineStr">
        <is>
          <t>Legacy of the Master</t>
        </is>
      </c>
      <c r="H283" s="3" t="n">
        <v>16.23</v>
      </c>
      <c r="I283" s="3" t="n">
        <v>16.13</v>
      </c>
      <c r="J283" s="3" t="n"/>
      <c r="K283" s="3" t="n">
        <v>17.99</v>
      </c>
      <c r="L283" s="2" t="inlineStr">
        <is>
          <t>PriceCharting + TCGplayer</t>
        </is>
      </c>
      <c r="M283" s="4" t="inlineStr">
        <is>
          <t>https://www.pricecharting.com/game/one-piece-legacy-of-the-master/sleeved-booster-pack</t>
        </is>
      </c>
      <c r="N283" s="4" t="inlineStr">
        <is>
          <t>https://www.tcgplayer.com/product/650645</t>
        </is>
      </c>
    </row>
    <row r="284">
      <c r="A284" s="2" t="inlineStr">
        <is>
          <t>Legacy of the Master Booster Pack</t>
        </is>
      </c>
      <c r="B284" s="3">
        <f>IF(H284&lt;&gt;"",H284,IF(I284&lt;&gt;"",I284,IF(J284&lt;&gt;"",J284,K284)))</f>
        <v>8.84</v>
      </c>
      <c r="C284" s="3">
        <f>MEDIAN(H284:K284)</f>
        <v>8.6</v>
      </c>
      <c r="D284" s="3">
        <f>ROUND(C284*(1-Settings!$B$2),2)</f>
        <v>6.02</v>
      </c>
      <c r="E284" s="2" t="inlineStr">
        <is>
          <t>One Piece</t>
        </is>
      </c>
      <c r="F284" s="2" t="inlineStr">
        <is>
          <t>Pack</t>
        </is>
      </c>
      <c r="G284" s="2" t="inlineStr">
        <is>
          <t>Legacy of the Master</t>
        </is>
      </c>
      <c r="H284" s="3" t="n">
        <v>8.84</v>
      </c>
      <c r="I284" s="3" t="n">
        <v>8.6</v>
      </c>
      <c r="J284" s="3" t="n"/>
      <c r="K284" s="3" t="n">
        <v>5.5</v>
      </c>
      <c r="L284" s="2" t="inlineStr">
        <is>
          <t>PriceCharting + TCGplayer</t>
        </is>
      </c>
      <c r="M284" s="4" t="inlineStr">
        <is>
          <t>https://www.pricecharting.com/game/one-piece-legacy-of-the-master/booster-pack</t>
        </is>
      </c>
      <c r="N284" s="4" t="inlineStr">
        <is>
          <t>https://www.tcgplayer.com/product/628345</t>
        </is>
      </c>
    </row>
    <row r="285">
      <c r="A285" s="2" t="inlineStr">
        <is>
          <t>Legacy Of The Master Double Pack DP-08</t>
        </is>
      </c>
      <c r="B285" s="3">
        <f>IF(H285&lt;&gt;"",H285,IF(I285&lt;&gt;"",I285,IF(J285&lt;&gt;"",J285,K285)))</f>
        <v>36.44</v>
      </c>
      <c r="C285" s="3">
        <f>MEDIAN(H285:K285)</f>
        <v>36.44</v>
      </c>
      <c r="D285" s="3">
        <f>ROUND(C285*(1-Settings!$B$2),2)</f>
        <v>25.51</v>
      </c>
      <c r="E285" s="2" t="inlineStr">
        <is>
          <t>One Piece</t>
        </is>
      </c>
      <c r="F285" s="2" t="inlineStr">
        <is>
          <t>Pack</t>
        </is>
      </c>
      <c r="G285" s="2" t="inlineStr">
        <is>
          <t>Legacy Of The Master</t>
        </is>
      </c>
      <c r="H285" s="3" t="n">
        <v>36.44</v>
      </c>
      <c r="I285" s="3" t="n"/>
      <c r="J285" s="3" t="n"/>
      <c r="K285" s="3" t="n"/>
      <c r="L285" s="2" t="inlineStr">
        <is>
          <t>PriceCharting</t>
        </is>
      </c>
      <c r="M285" s="4" t="inlineStr">
        <is>
          <t>https://www.pricecharting.com/game/one-piece-legacy-of-the-master/double-pack-dp-08</t>
        </is>
      </c>
    </row>
    <row r="286">
      <c r="A286" s="2" t="inlineStr">
        <is>
          <t>Special DON!! Card Pack DP-08</t>
        </is>
      </c>
      <c r="B286" s="3">
        <f>IF(H286&lt;&gt;"",H286,IF(I286&lt;&gt;"",I286,IF(J286&lt;&gt;"",J286,K286)))</f>
        <v>4.05</v>
      </c>
      <c r="C286" s="3">
        <f>MEDIAN(H286:K286)</f>
        <v>4.02</v>
      </c>
      <c r="D286" s="3">
        <f>ROUND(C286*(1-Settings!$B$2),2)</f>
        <v>2.81</v>
      </c>
      <c r="E286" s="2" t="inlineStr">
        <is>
          <t>One Piece</t>
        </is>
      </c>
      <c r="F286" s="2" t="inlineStr">
        <is>
          <t>Pack</t>
        </is>
      </c>
      <c r="G286" s="2" t="inlineStr">
        <is>
          <t>Legacy of the Master</t>
        </is>
      </c>
      <c r="H286" s="3" t="n"/>
      <c r="I286" s="3" t="n">
        <v>4.05</v>
      </c>
      <c r="J286" s="3" t="n"/>
      <c r="K286" s="3" t="n">
        <v>3.99</v>
      </c>
      <c r="L286" s="2" t="inlineStr">
        <is>
          <t>TCGplayer</t>
        </is>
      </c>
      <c r="N286" s="4" t="inlineStr">
        <is>
          <t>https://www.tcgplayer.com/product/651980</t>
        </is>
      </c>
    </row>
    <row r="287">
      <c r="A287" s="2" t="inlineStr">
        <is>
          <t>Legacy of the Master - Release Event Pack</t>
        </is>
      </c>
      <c r="B287" s="3">
        <f>IF(H287&lt;&gt;"",H287,IF(I287&lt;&gt;"",I287,IF(J287&lt;&gt;"",J287,K287)))</f>
        <v>5.24</v>
      </c>
      <c r="C287" s="3">
        <f>MEDIAN(H287:K287)</f>
        <v>5.24</v>
      </c>
      <c r="D287" s="3">
        <f>ROUND(C287*(1-Settings!$B$2),2)</f>
        <v>3.67</v>
      </c>
      <c r="E287" s="2" t="inlineStr">
        <is>
          <t>One Piece</t>
        </is>
      </c>
      <c r="F287" s="2" t="inlineStr">
        <is>
          <t>Pack</t>
        </is>
      </c>
      <c r="G287" s="2" t="inlineStr">
        <is>
          <t>Legacy of the Master Release Event Cards</t>
        </is>
      </c>
      <c r="H287" s="3" t="n"/>
      <c r="I287" s="3" t="n">
        <v>5.24</v>
      </c>
      <c r="J287" s="3" t="n"/>
      <c r="K287" s="3" t="n">
        <v>5.24</v>
      </c>
      <c r="L287" s="2" t="inlineStr">
        <is>
          <t>TCGplayer</t>
        </is>
      </c>
      <c r="N287" s="4" t="inlineStr">
        <is>
          <t>https://www.tcgplayer.com/product/649244</t>
        </is>
      </c>
    </row>
    <row r="288">
      <c r="A288" s="2" t="inlineStr">
        <is>
          <t>1st Anniversary DON!! Card Pack</t>
        </is>
      </c>
      <c r="B288" s="3">
        <f>IF(H288&lt;&gt;"",H288,IF(I288&lt;&gt;"",I288,IF(J288&lt;&gt;"",J288,K288)))</f>
        <v>34.93</v>
      </c>
      <c r="C288" s="3">
        <f>MEDIAN(H288:K288)</f>
        <v>37.455</v>
      </c>
      <c r="D288" s="3">
        <f>ROUND(C288*(1-Settings!$B$2),2)</f>
        <v>26.22</v>
      </c>
      <c r="E288" s="2" t="inlineStr">
        <is>
          <t>One Piece</t>
        </is>
      </c>
      <c r="F288" s="2" t="inlineStr">
        <is>
          <t>Pack</t>
        </is>
      </c>
      <c r="G288" s="2" t="inlineStr">
        <is>
          <t>One Piece Promotion Cards</t>
        </is>
      </c>
      <c r="H288" s="3" t="n"/>
      <c r="I288" s="3" t="n">
        <v>34.93</v>
      </c>
      <c r="J288" s="3" t="n"/>
      <c r="K288" s="3" t="n">
        <v>39.98</v>
      </c>
      <c r="L288" s="2" t="inlineStr">
        <is>
          <t>TCGplayer</t>
        </is>
      </c>
      <c r="N288" s="4" t="inlineStr">
        <is>
          <t>https://www.tcgplayer.com/product/545700</t>
        </is>
      </c>
    </row>
    <row r="289">
      <c r="A289" s="2" t="inlineStr">
        <is>
          <t>3rd Anniversary One Piece Card Game Treasure Campaign Pack</t>
        </is>
      </c>
      <c r="B289" s="3">
        <f>IF(H289&lt;&gt;"",H289,IF(I289&lt;&gt;"",I289,IF(J289&lt;&gt;"",J289,K289)))</f>
        <v>42.82</v>
      </c>
      <c r="C289" s="3">
        <f>MEDIAN(H289:K289)</f>
        <v>35.405</v>
      </c>
      <c r="D289" s="3">
        <f>ROUND(C289*(1-Settings!$B$2),2)</f>
        <v>24.78</v>
      </c>
      <c r="E289" s="2" t="inlineStr">
        <is>
          <t>One Piece</t>
        </is>
      </c>
      <c r="F289" s="2" t="inlineStr">
        <is>
          <t>Pack</t>
        </is>
      </c>
      <c r="G289" s="2" t="inlineStr">
        <is>
          <t>One Piece Promotion Cards</t>
        </is>
      </c>
      <c r="H289" s="3" t="n"/>
      <c r="I289" s="3" t="n">
        <v>42.82</v>
      </c>
      <c r="J289" s="3" t="n"/>
      <c r="K289" s="3" t="n">
        <v>27.99</v>
      </c>
      <c r="L289" s="2" t="inlineStr">
        <is>
          <t>TCGplayer</t>
        </is>
      </c>
      <c r="N289" s="4" t="inlineStr">
        <is>
          <t>https://www.tcgplayer.com/product/661447</t>
        </is>
      </c>
    </row>
    <row r="290">
      <c r="A290" s="2" t="inlineStr">
        <is>
          <t>4th Anniversary One Piece Card Game Treasure Campaign Pack</t>
        </is>
      </c>
      <c r="B290" s="3">
        <f>IF(H290&lt;&gt;"",H290,IF(I290&lt;&gt;"",I290,IF(J290&lt;&gt;"",J290,K290)))</f>
        <v>4.97</v>
      </c>
      <c r="C290" s="3">
        <f>MEDIAN(H290:K290)</f>
        <v>3.485</v>
      </c>
      <c r="D290" s="3">
        <f>ROUND(C290*(1-Settings!$B$2),2)</f>
        <v>2.44</v>
      </c>
      <c r="E290" s="2" t="inlineStr">
        <is>
          <t>One Piece</t>
        </is>
      </c>
      <c r="F290" s="2" t="inlineStr">
        <is>
          <t>Pack</t>
        </is>
      </c>
      <c r="G290" s="2" t="inlineStr">
        <is>
          <t>One Piece Promotion Cards</t>
        </is>
      </c>
      <c r="H290" s="3" t="n"/>
      <c r="I290" s="3" t="n">
        <v>4.97</v>
      </c>
      <c r="J290" s="3" t="n"/>
      <c r="K290" s="3" t="n">
        <v>2</v>
      </c>
      <c r="L290" s="2" t="inlineStr">
        <is>
          <t>TCGplayer</t>
        </is>
      </c>
      <c r="N290" s="4" t="inlineStr">
        <is>
          <t>https://www.tcgplayer.com/product/714348</t>
        </is>
      </c>
    </row>
    <row r="291">
      <c r="A291" s="2" t="inlineStr">
        <is>
          <t>CS 2024 Celebration Pack</t>
        </is>
      </c>
      <c r="B291" s="3">
        <f>IF(H291&lt;&gt;"",H291,IF(I291&lt;&gt;"",I291,IF(J291&lt;&gt;"",J291,K291)))</f>
        <v>500.0</v>
      </c>
      <c r="C291" s="3">
        <f>MEDIAN(H291:K291)</f>
        <v>500.0</v>
      </c>
      <c r="D291" s="3">
        <f>ROUND(C291*(1-Settings!$B$2),2)</f>
        <v>350.0</v>
      </c>
      <c r="E291" s="2" t="inlineStr">
        <is>
          <t>One Piece</t>
        </is>
      </c>
      <c r="F291" s="2" t="inlineStr">
        <is>
          <t>Pack</t>
        </is>
      </c>
      <c r="G291" s="2" t="inlineStr">
        <is>
          <t>One Piece Promotion Cards</t>
        </is>
      </c>
      <c r="H291" s="3" t="n"/>
      <c r="I291" s="3" t="n"/>
      <c r="J291" s="3" t="n"/>
      <c r="K291" s="3" t="n">
        <v>500</v>
      </c>
      <c r="L291" s="2" t="inlineStr">
        <is>
          <t>TCGplayer</t>
        </is>
      </c>
      <c r="N291" s="4" t="inlineStr">
        <is>
          <t>https://www.tcgplayer.com/product/580054</t>
        </is>
      </c>
    </row>
    <row r="292">
      <c r="A292" s="2" t="inlineStr">
        <is>
          <t>CS 2024 Event Pack</t>
        </is>
      </c>
      <c r="B292" s="3">
        <f>IF(H292&lt;&gt;"",H292,IF(I292&lt;&gt;"",I292,IF(J292&lt;&gt;"",J292,K292)))</f>
        <v>662.4</v>
      </c>
      <c r="C292" s="3">
        <f>MEDIAN(H292:K292)</f>
        <v>677.1949999999999</v>
      </c>
      <c r="D292" s="3">
        <f>ROUND(C292*(1-Settings!$B$2),2)</f>
        <v>474.04</v>
      </c>
      <c r="E292" s="2" t="inlineStr">
        <is>
          <t>One Piece</t>
        </is>
      </c>
      <c r="F292" s="2" t="inlineStr">
        <is>
          <t>Pack</t>
        </is>
      </c>
      <c r="G292" s="2" t="inlineStr">
        <is>
          <t>One Piece Promotion Cards</t>
        </is>
      </c>
      <c r="H292" s="3" t="n"/>
      <c r="I292" s="3" t="n">
        <v>662.4</v>
      </c>
      <c r="J292" s="3" t="n"/>
      <c r="K292" s="3" t="n">
        <v>691.99</v>
      </c>
      <c r="L292" s="2" t="inlineStr">
        <is>
          <t>TCGplayer</t>
        </is>
      </c>
      <c r="N292" s="4" t="inlineStr">
        <is>
          <t>https://www.tcgplayer.com/product/579991</t>
        </is>
      </c>
    </row>
    <row r="293">
      <c r="A293" s="2" t="inlineStr">
        <is>
          <t>CS 25-26 Celebration Pack</t>
        </is>
      </c>
      <c r="B293" s="3">
        <f>IF(H293&lt;&gt;"",H293,IF(I293&lt;&gt;"",I293,IF(J293&lt;&gt;"",J293,K293)))</f>
        <v>90.0</v>
      </c>
      <c r="C293" s="3">
        <f>MEDIAN(H293:K293)</f>
        <v>295.0</v>
      </c>
      <c r="D293" s="3">
        <f>ROUND(C293*(1-Settings!$B$2),2)</f>
        <v>206.5</v>
      </c>
      <c r="E293" s="2" t="inlineStr">
        <is>
          <t>One Piece</t>
        </is>
      </c>
      <c r="F293" s="2" t="inlineStr">
        <is>
          <t>Pack</t>
        </is>
      </c>
      <c r="G293" s="2" t="inlineStr">
        <is>
          <t>One Piece Promotion Cards</t>
        </is>
      </c>
      <c r="H293" s="3" t="n"/>
      <c r="I293" s="3" t="n">
        <v>90</v>
      </c>
      <c r="J293" s="3" t="n"/>
      <c r="K293" s="3" t="n">
        <v>500</v>
      </c>
      <c r="L293" s="2" t="inlineStr">
        <is>
          <t>TCGplayer</t>
        </is>
      </c>
      <c r="N293" s="4" t="inlineStr">
        <is>
          <t>https://www.tcgplayer.com/product/649629</t>
        </is>
      </c>
    </row>
    <row r="294">
      <c r="A294" s="2" t="inlineStr">
        <is>
          <t>CS 25-26 Event Pack</t>
        </is>
      </c>
      <c r="B294" s="3">
        <f>IF(H294&lt;&gt;"",H294,IF(I294&lt;&gt;"",I294,IF(J294&lt;&gt;"",J294,K294)))</f>
        <v>159.12</v>
      </c>
      <c r="C294" s="3">
        <f>MEDIAN(H294:K294)</f>
        <v>204.56</v>
      </c>
      <c r="D294" s="3">
        <f>ROUND(C294*(1-Settings!$B$2),2)</f>
        <v>143.19</v>
      </c>
      <c r="E294" s="2" t="inlineStr">
        <is>
          <t>One Piece</t>
        </is>
      </c>
      <c r="F294" s="2" t="inlineStr">
        <is>
          <t>Pack</t>
        </is>
      </c>
      <c r="G294" s="2" t="inlineStr">
        <is>
          <t>One Piece Promotion Cards</t>
        </is>
      </c>
      <c r="H294" s="3" t="n"/>
      <c r="I294" s="3" t="n">
        <v>159.12</v>
      </c>
      <c r="J294" s="3" t="n"/>
      <c r="K294" s="3" t="n">
        <v>250</v>
      </c>
      <c r="L294" s="2" t="inlineStr">
        <is>
          <t>TCGplayer</t>
        </is>
      </c>
      <c r="N294" s="4" t="inlineStr">
        <is>
          <t>https://www.tcgplayer.com/product/649617</t>
        </is>
      </c>
    </row>
    <row r="295">
      <c r="A295" s="2" t="inlineStr">
        <is>
          <t>CS 26-27 Celebration Pack</t>
        </is>
      </c>
      <c r="B295" s="3">
        <f>IF(H295&lt;&gt;"",H295,IF(I295&lt;&gt;"",I295,IF(J295&lt;&gt;"",J295,K295)))</f>
        <v>698.49</v>
      </c>
      <c r="C295" s="3">
        <f>MEDIAN(H295:K295)</f>
        <v>698.49</v>
      </c>
      <c r="D295" s="3">
        <f>ROUND(C295*(1-Settings!$B$2),2)</f>
        <v>488.94</v>
      </c>
      <c r="E295" s="2" t="inlineStr">
        <is>
          <t>One Piece</t>
        </is>
      </c>
      <c r="F295" s="2" t="inlineStr">
        <is>
          <t>Pack</t>
        </is>
      </c>
      <c r="G295" s="2" t="inlineStr">
        <is>
          <t>One Piece Promotion Cards</t>
        </is>
      </c>
      <c r="H295" s="3" t="n"/>
      <c r="I295" s="3" t="n"/>
      <c r="J295" s="3" t="n"/>
      <c r="K295" s="3" t="n">
        <v>698.49</v>
      </c>
      <c r="L295" s="2" t="inlineStr">
        <is>
          <t>TCGplayer</t>
        </is>
      </c>
      <c r="N295" s="4" t="inlineStr">
        <is>
          <t>https://www.tcgplayer.com/product/710246</t>
        </is>
      </c>
    </row>
    <row r="296">
      <c r="A296" s="2" t="inlineStr">
        <is>
          <t>CS 26-27 Event Pack</t>
        </is>
      </c>
      <c r="B296" s="3">
        <f>IF(H296&lt;&gt;"",H296,IF(I296&lt;&gt;"",I296,IF(J296&lt;&gt;"",J296,K296)))</f>
        <v>139.99</v>
      </c>
      <c r="C296" s="3">
        <f>MEDIAN(H296:K296)</f>
        <v>139.99</v>
      </c>
      <c r="D296" s="3">
        <f>ROUND(C296*(1-Settings!$B$2),2)</f>
        <v>97.99</v>
      </c>
      <c r="E296" s="2" t="inlineStr">
        <is>
          <t>One Piece</t>
        </is>
      </c>
      <c r="F296" s="2" t="inlineStr">
        <is>
          <t>Pack</t>
        </is>
      </c>
      <c r="G296" s="2" t="inlineStr">
        <is>
          <t>One Piece Promotion Cards</t>
        </is>
      </c>
      <c r="H296" s="3" t="n"/>
      <c r="I296" s="3" t="n"/>
      <c r="J296" s="3" t="n"/>
      <c r="K296" s="3" t="n">
        <v>139.99</v>
      </c>
      <c r="L296" s="2" t="inlineStr">
        <is>
          <t>TCGplayer</t>
        </is>
      </c>
      <c r="N296" s="4" t="inlineStr">
        <is>
          <t>https://www.tcgplayer.com/product/710211</t>
        </is>
      </c>
    </row>
    <row r="297">
      <c r="A297" s="2" t="inlineStr">
        <is>
          <t>Dash Pack 2025</t>
        </is>
      </c>
      <c r="B297" s="3">
        <f>IF(H297&lt;&gt;"",H297,IF(I297&lt;&gt;"",I297,IF(J297&lt;&gt;"",J297,K297)))</f>
        <v>53.43</v>
      </c>
      <c r="C297" s="3">
        <f>MEDIAN(H297:K297)</f>
        <v>49.21</v>
      </c>
      <c r="D297" s="3">
        <f>ROUND(C297*(1-Settings!$B$2),2)</f>
        <v>34.45</v>
      </c>
      <c r="E297" s="2" t="inlineStr">
        <is>
          <t>One Piece</t>
        </is>
      </c>
      <c r="F297" s="2" t="inlineStr">
        <is>
          <t>Pack</t>
        </is>
      </c>
      <c r="G297" s="2" t="inlineStr">
        <is>
          <t>One Piece Promotion Cards</t>
        </is>
      </c>
      <c r="H297" s="3" t="n"/>
      <c r="I297" s="3" t="n">
        <v>53.43</v>
      </c>
      <c r="J297" s="3" t="n"/>
      <c r="K297" s="3" t="n">
        <v>44.99</v>
      </c>
      <c r="L297" s="2" t="inlineStr">
        <is>
          <t>TCGplayer</t>
        </is>
      </c>
      <c r="N297" s="4" t="inlineStr">
        <is>
          <t>https://www.tcgplayer.com/product/660407</t>
        </is>
      </c>
    </row>
    <row r="298">
      <c r="A298" s="2" t="inlineStr">
        <is>
          <t>DON!! Card Pack Vol. 1</t>
        </is>
      </c>
      <c r="B298" s="3">
        <f>IF(H298&lt;&gt;"",H298,IF(I298&lt;&gt;"",I298,IF(J298&lt;&gt;"",J298,K298)))</f>
        <v>70.98</v>
      </c>
      <c r="C298" s="3">
        <f>MEDIAN(H298:K298)</f>
        <v>69.235</v>
      </c>
      <c r="D298" s="3">
        <f>ROUND(C298*(1-Settings!$B$2),2)</f>
        <v>48.46</v>
      </c>
      <c r="E298" s="2" t="inlineStr">
        <is>
          <t>One Piece</t>
        </is>
      </c>
      <c r="F298" s="2" t="inlineStr">
        <is>
          <t>Pack</t>
        </is>
      </c>
      <c r="G298" s="2" t="inlineStr">
        <is>
          <t>One Piece Promotion Cards</t>
        </is>
      </c>
      <c r="H298" s="3" t="n"/>
      <c r="I298" s="3" t="n">
        <v>70.98</v>
      </c>
      <c r="J298" s="3" t="n"/>
      <c r="K298" s="3" t="n">
        <v>67.48999999999999</v>
      </c>
      <c r="L298" s="2" t="inlineStr">
        <is>
          <t>TCGplayer</t>
        </is>
      </c>
      <c r="N298" s="4" t="inlineStr">
        <is>
          <t>https://www.tcgplayer.com/product/493339</t>
        </is>
      </c>
    </row>
    <row r="299">
      <c r="A299" s="2" t="inlineStr">
        <is>
          <t>DON!! Card Pack Vol. 2</t>
        </is>
      </c>
      <c r="B299" s="3">
        <f>IF(H299&lt;&gt;"",H299,IF(I299&lt;&gt;"",I299,IF(J299&lt;&gt;"",J299,K299)))</f>
        <v>99.99</v>
      </c>
      <c r="C299" s="3">
        <f>MEDIAN(H299:K299)</f>
        <v>99.99</v>
      </c>
      <c r="D299" s="3">
        <f>ROUND(C299*(1-Settings!$B$2),2)</f>
        <v>69.99</v>
      </c>
      <c r="E299" s="2" t="inlineStr">
        <is>
          <t>One Piece</t>
        </is>
      </c>
      <c r="F299" s="2" t="inlineStr">
        <is>
          <t>Pack</t>
        </is>
      </c>
      <c r="G299" s="2" t="inlineStr">
        <is>
          <t>One Piece Promotion Cards</t>
        </is>
      </c>
      <c r="H299" s="3" t="n"/>
      <c r="I299" s="3" t="n"/>
      <c r="J299" s="3" t="n"/>
      <c r="K299" s="3" t="n">
        <v>99.98999999999999</v>
      </c>
      <c r="L299" s="2" t="inlineStr">
        <is>
          <t>TCGplayer</t>
        </is>
      </c>
      <c r="N299" s="4" t="inlineStr">
        <is>
          <t>https://www.tcgplayer.com/product/483165</t>
        </is>
      </c>
    </row>
    <row r="300">
      <c r="A300" s="2" t="inlineStr">
        <is>
          <t>Event Pack Vol. 1</t>
        </is>
      </c>
      <c r="B300" s="3">
        <f>IF(H300&lt;&gt;"",H300,IF(I300&lt;&gt;"",I300,IF(J300&lt;&gt;"",J300,K300)))</f>
        <v>44.99</v>
      </c>
      <c r="C300" s="3">
        <f>MEDIAN(H300:K300)</f>
        <v>46.945</v>
      </c>
      <c r="D300" s="3">
        <f>ROUND(C300*(1-Settings!$B$2),2)</f>
        <v>32.86</v>
      </c>
      <c r="E300" s="2" t="inlineStr">
        <is>
          <t>One Piece</t>
        </is>
      </c>
      <c r="F300" s="2" t="inlineStr">
        <is>
          <t>Pack</t>
        </is>
      </c>
      <c r="G300" s="2" t="inlineStr">
        <is>
          <t>One Piece Promotion Cards</t>
        </is>
      </c>
      <c r="H300" s="3" t="n"/>
      <c r="I300" s="3" t="n">
        <v>44.99</v>
      </c>
      <c r="J300" s="3" t="n"/>
      <c r="K300" s="3" t="n">
        <v>48.9</v>
      </c>
      <c r="L300" s="2" t="inlineStr">
        <is>
          <t>TCGplayer</t>
        </is>
      </c>
      <c r="N300" s="4" t="inlineStr">
        <is>
          <t>https://www.tcgplayer.com/product/483166</t>
        </is>
      </c>
    </row>
    <row r="301">
      <c r="A301" s="2" t="inlineStr">
        <is>
          <t>Event Pack Vol. 2</t>
        </is>
      </c>
      <c r="B301" s="3">
        <f>IF(H301&lt;&gt;"",H301,IF(I301&lt;&gt;"",I301,IF(J301&lt;&gt;"",J301,K301)))</f>
        <v>137.61</v>
      </c>
      <c r="C301" s="3">
        <f>MEDIAN(H301:K301)</f>
        <v>166.29500000000002</v>
      </c>
      <c r="D301" s="3">
        <f>ROUND(C301*(1-Settings!$B$2),2)</f>
        <v>116.41</v>
      </c>
      <c r="E301" s="2" t="inlineStr">
        <is>
          <t>One Piece</t>
        </is>
      </c>
      <c r="F301" s="2" t="inlineStr">
        <is>
          <t>Pack</t>
        </is>
      </c>
      <c r="G301" s="2" t="inlineStr">
        <is>
          <t>One Piece Promotion Cards</t>
        </is>
      </c>
      <c r="H301" s="3" t="n"/>
      <c r="I301" s="3" t="n">
        <v>137.61</v>
      </c>
      <c r="J301" s="3" t="n"/>
      <c r="K301" s="3" t="n">
        <v>194.98</v>
      </c>
      <c r="L301" s="2" t="inlineStr">
        <is>
          <t>TCGplayer</t>
        </is>
      </c>
      <c r="N301" s="4" t="inlineStr">
        <is>
          <t>https://www.tcgplayer.com/product/509458</t>
        </is>
      </c>
    </row>
    <row r="302">
      <c r="A302" s="2" t="inlineStr">
        <is>
          <t>Event Pack Vol. 3</t>
        </is>
      </c>
      <c r="B302" s="3">
        <f>IF(H302&lt;&gt;"",H302,IF(I302&lt;&gt;"",I302,IF(J302&lt;&gt;"",J302,K302)))</f>
        <v>48.96</v>
      </c>
      <c r="C302" s="3">
        <f>MEDIAN(H302:K302)</f>
        <v>48.230000000000004</v>
      </c>
      <c r="D302" s="3">
        <f>ROUND(C302*(1-Settings!$B$2),2)</f>
        <v>33.76</v>
      </c>
      <c r="E302" s="2" t="inlineStr">
        <is>
          <t>One Piece</t>
        </is>
      </c>
      <c r="F302" s="2" t="inlineStr">
        <is>
          <t>Pack</t>
        </is>
      </c>
      <c r="G302" s="2" t="inlineStr">
        <is>
          <t>One Piece Promotion Cards</t>
        </is>
      </c>
      <c r="H302" s="3" t="n"/>
      <c r="I302" s="3" t="n">
        <v>48.96</v>
      </c>
      <c r="J302" s="3" t="n"/>
      <c r="K302" s="3" t="n">
        <v>47.5</v>
      </c>
      <c r="L302" s="2" t="inlineStr">
        <is>
          <t>TCGplayer</t>
        </is>
      </c>
      <c r="N302" s="4" t="inlineStr">
        <is>
          <t>https://www.tcgplayer.com/product/539179</t>
        </is>
      </c>
    </row>
    <row r="303">
      <c r="A303" s="2" t="inlineStr">
        <is>
          <t>Event Pack Vol. 4</t>
        </is>
      </c>
      <c r="B303" s="3">
        <f>IF(H303&lt;&gt;"",H303,IF(I303&lt;&gt;"",I303,IF(J303&lt;&gt;"",J303,K303)))</f>
        <v>4.21</v>
      </c>
      <c r="C303" s="3">
        <f>MEDIAN(H303:K303)</f>
        <v>4.055</v>
      </c>
      <c r="D303" s="3">
        <f>ROUND(C303*(1-Settings!$B$2),2)</f>
        <v>2.84</v>
      </c>
      <c r="E303" s="2" t="inlineStr">
        <is>
          <t>One Piece</t>
        </is>
      </c>
      <c r="F303" s="2" t="inlineStr">
        <is>
          <t>Pack</t>
        </is>
      </c>
      <c r="G303" s="2" t="inlineStr">
        <is>
          <t>One Piece Promotion Cards</t>
        </is>
      </c>
      <c r="H303" s="3" t="n"/>
      <c r="I303" s="3" t="n">
        <v>4.21</v>
      </c>
      <c r="J303" s="3" t="n"/>
      <c r="K303" s="3" t="n">
        <v>3.9</v>
      </c>
      <c r="L303" s="2" t="inlineStr">
        <is>
          <t>TCGplayer</t>
        </is>
      </c>
      <c r="N303" s="4" t="inlineStr">
        <is>
          <t>https://www.tcgplayer.com/product/544798</t>
        </is>
      </c>
    </row>
    <row r="304">
      <c r="A304" s="2" t="inlineStr">
        <is>
          <t>Event Pack Vol. 5</t>
        </is>
      </c>
      <c r="B304" s="3">
        <f>IF(H304&lt;&gt;"",H304,IF(I304&lt;&gt;"",I304,IF(J304&lt;&gt;"",J304,K304)))</f>
        <v>59.42</v>
      </c>
      <c r="C304" s="3">
        <f>MEDIAN(H304:K304)</f>
        <v>67.21000000000001</v>
      </c>
      <c r="D304" s="3">
        <f>ROUND(C304*(1-Settings!$B$2),2)</f>
        <v>47.05</v>
      </c>
      <c r="E304" s="2" t="inlineStr">
        <is>
          <t>One Piece</t>
        </is>
      </c>
      <c r="F304" s="2" t="inlineStr">
        <is>
          <t>Pack</t>
        </is>
      </c>
      <c r="G304" s="2" t="inlineStr">
        <is>
          <t>One Piece Promotion Cards</t>
        </is>
      </c>
      <c r="H304" s="3" t="n"/>
      <c r="I304" s="3" t="n">
        <v>59.42</v>
      </c>
      <c r="J304" s="3" t="n"/>
      <c r="K304" s="3" t="n">
        <v>75</v>
      </c>
      <c r="L304" s="2" t="inlineStr">
        <is>
          <t>TCGplayer</t>
        </is>
      </c>
      <c r="N304" s="4" t="inlineStr">
        <is>
          <t>https://www.tcgplayer.com/product/583733</t>
        </is>
      </c>
    </row>
    <row r="305">
      <c r="A305" s="2" t="inlineStr">
        <is>
          <t>Event Pack Vol. 6</t>
        </is>
      </c>
      <c r="B305" s="3">
        <f>IF(H305&lt;&gt;"",H305,IF(I305&lt;&gt;"",I305,IF(J305&lt;&gt;"",J305,K305)))</f>
        <v>3.5</v>
      </c>
      <c r="C305" s="3">
        <f>MEDIAN(H305:K305)</f>
        <v>2.75</v>
      </c>
      <c r="D305" s="3">
        <f>ROUND(C305*(1-Settings!$B$2),2)</f>
        <v>1.93</v>
      </c>
      <c r="E305" s="2" t="inlineStr">
        <is>
          <t>One Piece</t>
        </is>
      </c>
      <c r="F305" s="2" t="inlineStr">
        <is>
          <t>Pack</t>
        </is>
      </c>
      <c r="G305" s="2" t="inlineStr">
        <is>
          <t>One Piece Promotion Cards</t>
        </is>
      </c>
      <c r="H305" s="3" t="n"/>
      <c r="I305" s="3" t="n">
        <v>3.5</v>
      </c>
      <c r="J305" s="3" t="n"/>
      <c r="K305" s="3" t="n">
        <v>2</v>
      </c>
      <c r="L305" s="2" t="inlineStr">
        <is>
          <t>TCGplayer</t>
        </is>
      </c>
      <c r="N305" s="4" t="inlineStr">
        <is>
          <t>https://www.tcgplayer.com/product/619193</t>
        </is>
      </c>
    </row>
    <row r="306">
      <c r="A306" s="2" t="inlineStr">
        <is>
          <t>Event Pack Vol. 7</t>
        </is>
      </c>
      <c r="B306" s="3">
        <f>IF(H306&lt;&gt;"",H306,IF(I306&lt;&gt;"",I306,IF(J306&lt;&gt;"",J306,K306)))</f>
        <v>13.99</v>
      </c>
      <c r="C306" s="3">
        <f>MEDIAN(H306:K306)</f>
        <v>13.690000000000001</v>
      </c>
      <c r="D306" s="3">
        <f>ROUND(C306*(1-Settings!$B$2),2)</f>
        <v>9.58</v>
      </c>
      <c r="E306" s="2" t="inlineStr">
        <is>
          <t>One Piece</t>
        </is>
      </c>
      <c r="F306" s="2" t="inlineStr">
        <is>
          <t>Pack</t>
        </is>
      </c>
      <c r="G306" s="2" t="inlineStr">
        <is>
          <t>One Piece Promotion Cards</t>
        </is>
      </c>
      <c r="H306" s="3" t="n"/>
      <c r="I306" s="3" t="n">
        <v>13.99</v>
      </c>
      <c r="J306" s="3" t="n"/>
      <c r="K306" s="3" t="n">
        <v>13.39</v>
      </c>
      <c r="L306" s="2" t="inlineStr">
        <is>
          <t>TCGplayer</t>
        </is>
      </c>
      <c r="N306" s="4" t="inlineStr">
        <is>
          <t>https://www.tcgplayer.com/product/646736</t>
        </is>
      </c>
    </row>
    <row r="307">
      <c r="A307" s="2" t="inlineStr">
        <is>
          <t>Event Pack Vol. 8</t>
        </is>
      </c>
      <c r="B307" s="3">
        <f>IF(H307&lt;&gt;"",H307,IF(I307&lt;&gt;"",I307,IF(J307&lt;&gt;"",J307,K307)))</f>
        <v>42.4</v>
      </c>
      <c r="C307" s="3">
        <f>MEDIAN(H307:K307)</f>
        <v>36.195</v>
      </c>
      <c r="D307" s="3">
        <f>ROUND(C307*(1-Settings!$B$2),2)</f>
        <v>25.34</v>
      </c>
      <c r="E307" s="2" t="inlineStr">
        <is>
          <t>One Piece</t>
        </is>
      </c>
      <c r="F307" s="2" t="inlineStr">
        <is>
          <t>Pack</t>
        </is>
      </c>
      <c r="G307" s="2" t="inlineStr">
        <is>
          <t>One Piece Promotion Cards</t>
        </is>
      </c>
      <c r="H307" s="3" t="n"/>
      <c r="I307" s="3" t="n">
        <v>42.4</v>
      </c>
      <c r="J307" s="3" t="n"/>
      <c r="K307" s="3" t="n">
        <v>29.99</v>
      </c>
      <c r="L307" s="2" t="inlineStr">
        <is>
          <t>TCGplayer</t>
        </is>
      </c>
      <c r="N307" s="4" t="inlineStr">
        <is>
          <t>https://www.tcgplayer.com/product/675734</t>
        </is>
      </c>
    </row>
    <row r="308">
      <c r="A308" s="2" t="inlineStr">
        <is>
          <t>Event Pack Vol. 9</t>
        </is>
      </c>
      <c r="B308" s="3">
        <f>IF(H308&lt;&gt;"",H308,IF(I308&lt;&gt;"",I308,IF(J308&lt;&gt;"",J308,K308)))</f>
        <v>29.04</v>
      </c>
      <c r="C308" s="3">
        <f>MEDIAN(H308:K308)</f>
        <v>23.525</v>
      </c>
      <c r="D308" s="3">
        <f>ROUND(C308*(1-Settings!$B$2),2)</f>
        <v>16.47</v>
      </c>
      <c r="E308" s="2" t="inlineStr">
        <is>
          <t>One Piece</t>
        </is>
      </c>
      <c r="F308" s="2" t="inlineStr">
        <is>
          <t>Pack</t>
        </is>
      </c>
      <c r="G308" s="2" t="inlineStr">
        <is>
          <t>One Piece Promotion Cards</t>
        </is>
      </c>
      <c r="H308" s="3" t="n"/>
      <c r="I308" s="3" t="n">
        <v>29.04</v>
      </c>
      <c r="J308" s="3" t="n"/>
      <c r="K308" s="3" t="n">
        <v>18.01</v>
      </c>
      <c r="L308" s="2" t="inlineStr">
        <is>
          <t>TCGplayer</t>
        </is>
      </c>
      <c r="N308" s="4" t="inlineStr">
        <is>
          <t>https://www.tcgplayer.com/product/709534</t>
        </is>
      </c>
    </row>
    <row r="309">
      <c r="A309" s="2" t="inlineStr">
        <is>
          <t>Heroines Battle Pack</t>
        </is>
      </c>
      <c r="B309" s="3">
        <f>IF(H309&lt;&gt;"",H309,IF(I309&lt;&gt;"",I309,IF(J309&lt;&gt;"",J309,K309)))</f>
        <v>9.93</v>
      </c>
      <c r="C309" s="3">
        <f>MEDIAN(H309:K309)</f>
        <v>9.42</v>
      </c>
      <c r="D309" s="3">
        <f>ROUND(C309*(1-Settings!$B$2),2)</f>
        <v>6.59</v>
      </c>
      <c r="E309" s="2" t="inlineStr">
        <is>
          <t>One Piece</t>
        </is>
      </c>
      <c r="F309" s="2" t="inlineStr">
        <is>
          <t>Pack</t>
        </is>
      </c>
      <c r="G309" s="2" t="inlineStr">
        <is>
          <t>One Piece Promotion Cards</t>
        </is>
      </c>
      <c r="H309" s="3" t="n"/>
      <c r="I309" s="3" t="n">
        <v>9.93</v>
      </c>
      <c r="J309" s="3" t="n"/>
      <c r="K309" s="3" t="n">
        <v>8.91</v>
      </c>
      <c r="L309" s="2" t="inlineStr">
        <is>
          <t>TCGplayer</t>
        </is>
      </c>
      <c r="N309" s="4" t="inlineStr">
        <is>
          <t>https://www.tcgplayer.com/product/676678</t>
        </is>
      </c>
    </row>
    <row r="310">
      <c r="A310" s="2" t="inlineStr">
        <is>
          <t>Judge Pack Vol. 1</t>
        </is>
      </c>
      <c r="B310" s="3">
        <f>IF(H310&lt;&gt;"",H310,IF(I310&lt;&gt;"",I310,IF(J310&lt;&gt;"",J310,K310)))</f>
        <v>28.16</v>
      </c>
      <c r="C310" s="3">
        <f>MEDIAN(H310:K310)</f>
        <v>24.075</v>
      </c>
      <c r="D310" s="3">
        <f>ROUND(C310*(1-Settings!$B$2),2)</f>
        <v>16.85</v>
      </c>
      <c r="E310" s="2" t="inlineStr">
        <is>
          <t>One Piece</t>
        </is>
      </c>
      <c r="F310" s="2" t="inlineStr">
        <is>
          <t>Pack</t>
        </is>
      </c>
      <c r="G310" s="2" t="inlineStr">
        <is>
          <t>One Piece Promotion Cards</t>
        </is>
      </c>
      <c r="H310" s="3" t="n"/>
      <c r="I310" s="3" t="n">
        <v>28.16</v>
      </c>
      <c r="J310" s="3" t="n"/>
      <c r="K310" s="3" t="n">
        <v>19.99</v>
      </c>
      <c r="L310" s="2" t="inlineStr">
        <is>
          <t>TCGplayer</t>
        </is>
      </c>
      <c r="N310" s="4" t="inlineStr">
        <is>
          <t>https://www.tcgplayer.com/product/502570</t>
        </is>
      </c>
    </row>
    <row r="311">
      <c r="A311" s="2" t="inlineStr">
        <is>
          <t>Judge Pack Vol. 2</t>
        </is>
      </c>
      <c r="B311" s="3">
        <f>IF(H311&lt;&gt;"",H311,IF(I311&lt;&gt;"",I311,IF(J311&lt;&gt;"",J311,K311)))</f>
        <v>33.63</v>
      </c>
      <c r="C311" s="3">
        <f>MEDIAN(H311:K311)</f>
        <v>27.445</v>
      </c>
      <c r="D311" s="3">
        <f>ROUND(C311*(1-Settings!$B$2),2)</f>
        <v>19.21</v>
      </c>
      <c r="E311" s="2" t="inlineStr">
        <is>
          <t>One Piece</t>
        </is>
      </c>
      <c r="F311" s="2" t="inlineStr">
        <is>
          <t>Pack</t>
        </is>
      </c>
      <c r="G311" s="2" t="inlineStr">
        <is>
          <t>One Piece Promotion Cards</t>
        </is>
      </c>
      <c r="H311" s="3" t="n"/>
      <c r="I311" s="3" t="n">
        <v>33.63</v>
      </c>
      <c r="J311" s="3" t="n"/>
      <c r="K311" s="3" t="n">
        <v>21.26</v>
      </c>
      <c r="L311" s="2" t="inlineStr">
        <is>
          <t>TCGplayer</t>
        </is>
      </c>
      <c r="N311" s="4" t="inlineStr">
        <is>
          <t>https://www.tcgplayer.com/product/536257</t>
        </is>
      </c>
    </row>
    <row r="312">
      <c r="A312" s="2" t="inlineStr">
        <is>
          <t>Judge Pack Vol. 3</t>
        </is>
      </c>
      <c r="B312" s="3">
        <f>IF(H312&lt;&gt;"",H312,IF(I312&lt;&gt;"",I312,IF(J312&lt;&gt;"",J312,K312)))</f>
        <v>12.94</v>
      </c>
      <c r="C312" s="3">
        <f>MEDIAN(H312:K312)</f>
        <v>9.705</v>
      </c>
      <c r="D312" s="3">
        <f>ROUND(C312*(1-Settings!$B$2),2)</f>
        <v>6.79</v>
      </c>
      <c r="E312" s="2" t="inlineStr">
        <is>
          <t>One Piece</t>
        </is>
      </c>
      <c r="F312" s="2" t="inlineStr">
        <is>
          <t>Pack</t>
        </is>
      </c>
      <c r="G312" s="2" t="inlineStr">
        <is>
          <t>One Piece Promotion Cards</t>
        </is>
      </c>
      <c r="H312" s="3" t="n"/>
      <c r="I312" s="3" t="n">
        <v>12.94</v>
      </c>
      <c r="J312" s="3" t="n"/>
      <c r="K312" s="3" t="n">
        <v>6.47</v>
      </c>
      <c r="L312" s="2" t="inlineStr">
        <is>
          <t>TCGplayer</t>
        </is>
      </c>
      <c r="N312" s="4" t="inlineStr">
        <is>
          <t>https://www.tcgplayer.com/product/544799</t>
        </is>
      </c>
    </row>
    <row r="313">
      <c r="A313" s="2" t="inlineStr">
        <is>
          <t>Judge Pack Vol. 4</t>
        </is>
      </c>
      <c r="B313" s="3">
        <f>IF(H313&lt;&gt;"",H313,IF(I313&lt;&gt;"",I313,IF(J313&lt;&gt;"",J313,K313)))</f>
        <v>8.06</v>
      </c>
      <c r="C313" s="3">
        <f>MEDIAN(H313:K313)</f>
        <v>8.23</v>
      </c>
      <c r="D313" s="3">
        <f>ROUND(C313*(1-Settings!$B$2),2)</f>
        <v>5.76</v>
      </c>
      <c r="E313" s="2" t="inlineStr">
        <is>
          <t>One Piece</t>
        </is>
      </c>
      <c r="F313" s="2" t="inlineStr">
        <is>
          <t>Pack</t>
        </is>
      </c>
      <c r="G313" s="2" t="inlineStr">
        <is>
          <t>One Piece Promotion Cards</t>
        </is>
      </c>
      <c r="H313" s="3" t="n"/>
      <c r="I313" s="3" t="n">
        <v>8.06</v>
      </c>
      <c r="J313" s="3" t="n"/>
      <c r="K313" s="3" t="n">
        <v>8.4</v>
      </c>
      <c r="L313" s="2" t="inlineStr">
        <is>
          <t>TCGplayer</t>
        </is>
      </c>
      <c r="N313" s="4" t="inlineStr">
        <is>
          <t>https://www.tcgplayer.com/product/583744</t>
        </is>
      </c>
    </row>
    <row r="314">
      <c r="A314" s="2" t="inlineStr">
        <is>
          <t>Judge Pack Vol. 5</t>
        </is>
      </c>
      <c r="B314" s="3">
        <f>IF(H314&lt;&gt;"",H314,IF(I314&lt;&gt;"",I314,IF(J314&lt;&gt;"",J314,K314)))</f>
        <v>9.09</v>
      </c>
      <c r="C314" s="3">
        <f>MEDIAN(H314:K314)</f>
        <v>8.82</v>
      </c>
      <c r="D314" s="3">
        <f>ROUND(C314*(1-Settings!$B$2),2)</f>
        <v>6.17</v>
      </c>
      <c r="E314" s="2" t="inlineStr">
        <is>
          <t>One Piece</t>
        </is>
      </c>
      <c r="F314" s="2" t="inlineStr">
        <is>
          <t>Pack</t>
        </is>
      </c>
      <c r="G314" s="2" t="inlineStr">
        <is>
          <t>One Piece Promotion Cards</t>
        </is>
      </c>
      <c r="H314" s="3" t="n"/>
      <c r="I314" s="3" t="n">
        <v>9.09</v>
      </c>
      <c r="J314" s="3" t="n"/>
      <c r="K314" s="3" t="n">
        <v>8.550000000000001</v>
      </c>
      <c r="L314" s="2" t="inlineStr">
        <is>
          <t>TCGplayer</t>
        </is>
      </c>
      <c r="N314" s="4" t="inlineStr">
        <is>
          <t>https://www.tcgplayer.com/product/619194</t>
        </is>
      </c>
    </row>
    <row r="315">
      <c r="A315" s="2" t="inlineStr">
        <is>
          <t>Judge Pack Vol. 6</t>
        </is>
      </c>
      <c r="B315" s="3">
        <f>IF(H315&lt;&gt;"",H315,IF(I315&lt;&gt;"",I315,IF(J315&lt;&gt;"",J315,K315)))</f>
        <v>17.0</v>
      </c>
      <c r="C315" s="3">
        <f>MEDIAN(H315:K315)</f>
        <v>13.0</v>
      </c>
      <c r="D315" s="3">
        <f>ROUND(C315*(1-Settings!$B$2),2)</f>
        <v>9.1</v>
      </c>
      <c r="E315" s="2" t="inlineStr">
        <is>
          <t>One Piece</t>
        </is>
      </c>
      <c r="F315" s="2" t="inlineStr">
        <is>
          <t>Pack</t>
        </is>
      </c>
      <c r="G315" s="2" t="inlineStr">
        <is>
          <t>One Piece Promotion Cards</t>
        </is>
      </c>
      <c r="H315" s="3" t="n"/>
      <c r="I315" s="3" t="n">
        <v>17</v>
      </c>
      <c r="J315" s="3" t="n"/>
      <c r="K315" s="3" t="n">
        <v>9</v>
      </c>
      <c r="L315" s="2" t="inlineStr">
        <is>
          <t>TCGplayer</t>
        </is>
      </c>
      <c r="N315" s="4" t="inlineStr">
        <is>
          <t>https://www.tcgplayer.com/product/641217</t>
        </is>
      </c>
    </row>
    <row r="316">
      <c r="A316" s="2" t="inlineStr">
        <is>
          <t>Judge Pack Vol. 7</t>
        </is>
      </c>
      <c r="B316" s="3">
        <f>IF(H316&lt;&gt;"",H316,IF(I316&lt;&gt;"",I316,IF(J316&lt;&gt;"",J316,K316)))</f>
        <v>6.62</v>
      </c>
      <c r="C316" s="3">
        <f>MEDIAN(H316:K316)</f>
        <v>4.495</v>
      </c>
      <c r="D316" s="3">
        <f>ROUND(C316*(1-Settings!$B$2),2)</f>
        <v>3.15</v>
      </c>
      <c r="E316" s="2" t="inlineStr">
        <is>
          <t>One Piece</t>
        </is>
      </c>
      <c r="F316" s="2" t="inlineStr">
        <is>
          <t>Pack</t>
        </is>
      </c>
      <c r="G316" s="2" t="inlineStr">
        <is>
          <t>One Piece Promotion Cards</t>
        </is>
      </c>
      <c r="H316" s="3" t="n"/>
      <c r="I316" s="3" t="n">
        <v>6.62</v>
      </c>
      <c r="J316" s="3" t="n"/>
      <c r="K316" s="3" t="n">
        <v>2.37</v>
      </c>
      <c r="L316" s="2" t="inlineStr">
        <is>
          <t>TCGplayer</t>
        </is>
      </c>
      <c r="N316" s="4" t="inlineStr">
        <is>
          <t>https://www.tcgplayer.com/product/668191</t>
        </is>
      </c>
    </row>
    <row r="317">
      <c r="A317" s="2" t="inlineStr">
        <is>
          <t>Judge Pack Vol. 8</t>
        </is>
      </c>
      <c r="B317" s="3">
        <f>IF(H317&lt;&gt;"",H317,IF(I317&lt;&gt;"",I317,IF(J317&lt;&gt;"",J317,K317)))</f>
        <v>20.0</v>
      </c>
      <c r="C317" s="3">
        <f>MEDIAN(H317:K317)</f>
        <v>20.0</v>
      </c>
      <c r="D317" s="3">
        <f>ROUND(C317*(1-Settings!$B$2),2)</f>
        <v>14.0</v>
      </c>
      <c r="E317" s="2" t="inlineStr">
        <is>
          <t>One Piece</t>
        </is>
      </c>
      <c r="F317" s="2" t="inlineStr">
        <is>
          <t>Pack</t>
        </is>
      </c>
      <c r="G317" s="2" t="inlineStr">
        <is>
          <t>One Piece Promotion Cards</t>
        </is>
      </c>
      <c r="H317" s="3" t="n"/>
      <c r="I317" s="3" t="n"/>
      <c r="J317" s="3" t="n"/>
      <c r="K317" s="3" t="n">
        <v>20</v>
      </c>
      <c r="L317" s="2" t="inlineStr">
        <is>
          <t>TCGplayer</t>
        </is>
      </c>
      <c r="N317" s="4" t="inlineStr">
        <is>
          <t>https://www.tcgplayer.com/product/717406</t>
        </is>
      </c>
    </row>
    <row r="318">
      <c r="A318" s="2" t="inlineStr">
        <is>
          <t>Offline Regional Participation Pack 2024 Vol. 1</t>
        </is>
      </c>
      <c r="B318" s="3">
        <f>IF(H318&lt;&gt;"",H318,IF(I318&lt;&gt;"",I318,IF(J318&lt;&gt;"",J318,K318)))</f>
        <v>39.04</v>
      </c>
      <c r="C318" s="3">
        <f>MEDIAN(H318:K318)</f>
        <v>42.015</v>
      </c>
      <c r="D318" s="3">
        <f>ROUND(C318*(1-Settings!$B$2),2)</f>
        <v>29.41</v>
      </c>
      <c r="E318" s="2" t="inlineStr">
        <is>
          <t>One Piece</t>
        </is>
      </c>
      <c r="F318" s="2" t="inlineStr">
        <is>
          <t>Pack</t>
        </is>
      </c>
      <c r="G318" s="2" t="inlineStr">
        <is>
          <t>One Piece Promotion Cards</t>
        </is>
      </c>
      <c r="H318" s="3" t="n"/>
      <c r="I318" s="3" t="n">
        <v>39.04</v>
      </c>
      <c r="J318" s="3" t="n"/>
      <c r="K318" s="3" t="n">
        <v>44.99</v>
      </c>
      <c r="L318" s="2" t="inlineStr">
        <is>
          <t>TCGplayer</t>
        </is>
      </c>
      <c r="N318" s="4" t="inlineStr">
        <is>
          <t>https://www.tcgplayer.com/product/539204</t>
        </is>
      </c>
    </row>
    <row r="319">
      <c r="A319" s="2" t="inlineStr">
        <is>
          <t>Offline Regional Participation Pack 2024 Vol. 2</t>
        </is>
      </c>
      <c r="B319" s="3">
        <f>IF(H319&lt;&gt;"",H319,IF(I319&lt;&gt;"",I319,IF(J319&lt;&gt;"",J319,K319)))</f>
        <v>96.67</v>
      </c>
      <c r="C319" s="3">
        <f>MEDIAN(H319:K319)</f>
        <v>93.83</v>
      </c>
      <c r="D319" s="3">
        <f>ROUND(C319*(1-Settings!$B$2),2)</f>
        <v>65.68</v>
      </c>
      <c r="E319" s="2" t="inlineStr">
        <is>
          <t>One Piece</t>
        </is>
      </c>
      <c r="F319" s="2" t="inlineStr">
        <is>
          <t>Pack</t>
        </is>
      </c>
      <c r="G319" s="2" t="inlineStr">
        <is>
          <t>One Piece Promotion Cards</t>
        </is>
      </c>
      <c r="H319" s="3" t="n"/>
      <c r="I319" s="3" t="n">
        <v>96.67</v>
      </c>
      <c r="J319" s="3" t="n"/>
      <c r="K319" s="3" t="n">
        <v>90.98999999999999</v>
      </c>
      <c r="L319" s="2" t="inlineStr">
        <is>
          <t>TCGplayer</t>
        </is>
      </c>
      <c r="N319" s="4" t="inlineStr">
        <is>
          <t>https://www.tcgplayer.com/product/544801</t>
        </is>
      </c>
    </row>
    <row r="320">
      <c r="A320" s="2" t="inlineStr">
        <is>
          <t>Offline Regional Participation Pack 2024 Vol. 3</t>
        </is>
      </c>
      <c r="B320" s="3">
        <f>IF(H320&lt;&gt;"",H320,IF(I320&lt;&gt;"",I320,IF(J320&lt;&gt;"",J320,K320)))</f>
        <v>50.0</v>
      </c>
      <c r="C320" s="3">
        <f>MEDIAN(H320:K320)</f>
        <v>500.0</v>
      </c>
      <c r="D320" s="3">
        <f>ROUND(C320*(1-Settings!$B$2),2)</f>
        <v>350.0</v>
      </c>
      <c r="E320" s="2" t="inlineStr">
        <is>
          <t>One Piece</t>
        </is>
      </c>
      <c r="F320" s="2" t="inlineStr">
        <is>
          <t>Pack</t>
        </is>
      </c>
      <c r="G320" s="2" t="inlineStr">
        <is>
          <t>One Piece Promotion Cards</t>
        </is>
      </c>
      <c r="H320" s="3" t="n"/>
      <c r="I320" s="3" t="n">
        <v>50</v>
      </c>
      <c r="J320" s="3" t="n"/>
      <c r="K320" s="3" t="n">
        <v>950</v>
      </c>
      <c r="L320" s="2" t="inlineStr">
        <is>
          <t>TCGplayer</t>
        </is>
      </c>
      <c r="N320" s="4" t="inlineStr">
        <is>
          <t>https://www.tcgplayer.com/product/586031</t>
        </is>
      </c>
    </row>
    <row r="321">
      <c r="A321" s="2" t="inlineStr">
        <is>
          <t>Offline Regional Participation Pack 2025 Vol. 1</t>
        </is>
      </c>
      <c r="B321" s="3">
        <f>IF(H321&lt;&gt;"",H321,IF(I321&lt;&gt;"",I321,IF(J321&lt;&gt;"",J321,K321)))</f>
        <v>42.0</v>
      </c>
      <c r="C321" s="3">
        <f>MEDIAN(H321:K321)</f>
        <v>43.5</v>
      </c>
      <c r="D321" s="3">
        <f>ROUND(C321*(1-Settings!$B$2),2)</f>
        <v>30.45</v>
      </c>
      <c r="E321" s="2" t="inlineStr">
        <is>
          <t>One Piece</t>
        </is>
      </c>
      <c r="F321" s="2" t="inlineStr">
        <is>
          <t>Pack</t>
        </is>
      </c>
      <c r="G321" s="2" t="inlineStr">
        <is>
          <t>One Piece Promotion Cards</t>
        </is>
      </c>
      <c r="H321" s="3" t="n"/>
      <c r="I321" s="3" t="n">
        <v>42</v>
      </c>
      <c r="J321" s="3" t="n"/>
      <c r="K321" s="3" t="n">
        <v>45</v>
      </c>
      <c r="L321" s="2" t="inlineStr">
        <is>
          <t>TCGplayer</t>
        </is>
      </c>
      <c r="N321" s="4" t="inlineStr">
        <is>
          <t>https://www.tcgplayer.com/product/619192</t>
        </is>
      </c>
    </row>
    <row r="322">
      <c r="A322" s="2" t="inlineStr">
        <is>
          <t>Offline Regional Participation Pack 2025 Vol. 2</t>
        </is>
      </c>
      <c r="B322" s="3">
        <f>IF(H322&lt;&gt;"",H322,IF(I322&lt;&gt;"",I322,IF(J322&lt;&gt;"",J322,K322)))</f>
        <v>39.55</v>
      </c>
      <c r="C322" s="3">
        <f>MEDIAN(H322:K322)</f>
        <v>54.769999999999996</v>
      </c>
      <c r="D322" s="3">
        <f>ROUND(C322*(1-Settings!$B$2),2)</f>
        <v>38.34</v>
      </c>
      <c r="E322" s="2" t="inlineStr">
        <is>
          <t>One Piece</t>
        </is>
      </c>
      <c r="F322" s="2" t="inlineStr">
        <is>
          <t>Pack</t>
        </is>
      </c>
      <c r="G322" s="2" t="inlineStr">
        <is>
          <t>One Piece Promotion Cards</t>
        </is>
      </c>
      <c r="H322" s="3" t="n"/>
      <c r="I322" s="3" t="n">
        <v>39.55</v>
      </c>
      <c r="J322" s="3" t="n"/>
      <c r="K322" s="3" t="n">
        <v>69.98999999999999</v>
      </c>
      <c r="L322" s="2" t="inlineStr">
        <is>
          <t>TCGplayer</t>
        </is>
      </c>
      <c r="N322" s="4" t="inlineStr">
        <is>
          <t>https://www.tcgplayer.com/product/646715</t>
        </is>
      </c>
    </row>
    <row r="323">
      <c r="A323" s="2" t="inlineStr">
        <is>
          <t>Offline Regional Participation Pack Vol. 2</t>
        </is>
      </c>
      <c r="B323" s="3">
        <f>IF(H323&lt;&gt;"",H323,IF(I323&lt;&gt;"",I323,IF(J323&lt;&gt;"",J323,K323)))</f>
        <v>200.0</v>
      </c>
      <c r="C323" s="3">
        <f>MEDIAN(H323:K323)</f>
        <v>200.0</v>
      </c>
      <c r="D323" s="3">
        <f>ROUND(C323*(1-Settings!$B$2),2)</f>
        <v>140.0</v>
      </c>
      <c r="E323" s="2" t="inlineStr">
        <is>
          <t>One Piece</t>
        </is>
      </c>
      <c r="F323" s="2" t="inlineStr">
        <is>
          <t>Pack</t>
        </is>
      </c>
      <c r="G323" s="2" t="inlineStr">
        <is>
          <t>One Piece Promotion Cards</t>
        </is>
      </c>
      <c r="H323" s="3" t="n"/>
      <c r="I323" s="3" t="n"/>
      <c r="J323" s="3" t="n"/>
      <c r="K323" s="3" t="n">
        <v>200</v>
      </c>
      <c r="L323" s="2" t="inlineStr">
        <is>
          <t>TCGplayer</t>
        </is>
      </c>
      <c r="N323" s="4" t="inlineStr">
        <is>
          <t>https://www.tcgplayer.com/product/514200</t>
        </is>
      </c>
    </row>
    <row r="324">
      <c r="A324" s="2" t="inlineStr">
        <is>
          <t>One Piece Film Red Uta Promo Pack</t>
        </is>
      </c>
      <c r="B324" s="3">
        <f>IF(H324&lt;&gt;"",H324,IF(I324&lt;&gt;"",I324,IF(J324&lt;&gt;"",J324,K324)))</f>
        <v>29.07</v>
      </c>
      <c r="C324" s="3">
        <f>MEDIAN(H324:K324)</f>
        <v>23.535</v>
      </c>
      <c r="D324" s="3">
        <f>ROUND(C324*(1-Settings!$B$2),2)</f>
        <v>16.47</v>
      </c>
      <c r="E324" s="2" t="inlineStr">
        <is>
          <t>One Piece</t>
        </is>
      </c>
      <c r="F324" s="2" t="inlineStr">
        <is>
          <t>Pack</t>
        </is>
      </c>
      <c r="G324" s="2" t="inlineStr">
        <is>
          <t>One Piece Promotion Cards</t>
        </is>
      </c>
      <c r="H324" s="3" t="n"/>
      <c r="I324" s="3" t="n">
        <v>29.07</v>
      </c>
      <c r="J324" s="3" t="n"/>
      <c r="K324" s="3" t="n">
        <v>18</v>
      </c>
      <c r="L324" s="2" t="inlineStr">
        <is>
          <t>TCGplayer</t>
        </is>
      </c>
      <c r="N324" s="4" t="inlineStr">
        <is>
          <t>https://www.tcgplayer.com/product/488903</t>
        </is>
      </c>
    </row>
    <row r="325">
      <c r="A325" s="2" t="inlineStr">
        <is>
          <t>Online Regional Participation Pack 2024 Vol. 1</t>
        </is>
      </c>
      <c r="B325" s="3">
        <f>IF(H325&lt;&gt;"",H325,IF(I325&lt;&gt;"",I325,IF(J325&lt;&gt;"",J325,K325)))</f>
        <v>1000.0</v>
      </c>
      <c r="C325" s="3">
        <f>MEDIAN(H325:K325)</f>
        <v>1000.0</v>
      </c>
      <c r="D325" s="3">
        <f>ROUND(C325*(1-Settings!$B$2),2)</f>
        <v>700.0</v>
      </c>
      <c r="E325" s="2" t="inlineStr">
        <is>
          <t>One Piece</t>
        </is>
      </c>
      <c r="F325" s="2" t="inlineStr">
        <is>
          <t>Pack</t>
        </is>
      </c>
      <c r="G325" s="2" t="inlineStr">
        <is>
          <t>One Piece Promotion Cards</t>
        </is>
      </c>
      <c r="H325" s="3" t="n"/>
      <c r="I325" s="3" t="n"/>
      <c r="J325" s="3" t="n"/>
      <c r="K325" s="3" t="n">
        <v>1000</v>
      </c>
      <c r="L325" s="2" t="inlineStr">
        <is>
          <t>TCGplayer</t>
        </is>
      </c>
      <c r="N325" s="4" t="inlineStr">
        <is>
          <t>https://www.tcgplayer.com/product/539178</t>
        </is>
      </c>
    </row>
    <row r="326">
      <c r="A326" s="2" t="inlineStr">
        <is>
          <t>Online Regional Participation Pack 2024 Vol. 2</t>
        </is>
      </c>
      <c r="B326" s="3">
        <f>IF(H326&lt;&gt;"",H326,IF(I326&lt;&gt;"",I326,IF(J326&lt;&gt;"",J326,K326)))</f>
        <v>148.99</v>
      </c>
      <c r="C326" s="3">
        <f>MEDIAN(H326:K326)</f>
        <v>148.99</v>
      </c>
      <c r="D326" s="3">
        <f>ROUND(C326*(1-Settings!$B$2),2)</f>
        <v>104.29</v>
      </c>
      <c r="E326" s="2" t="inlineStr">
        <is>
          <t>One Piece</t>
        </is>
      </c>
      <c r="F326" s="2" t="inlineStr">
        <is>
          <t>Pack</t>
        </is>
      </c>
      <c r="G326" s="2" t="inlineStr">
        <is>
          <t>One Piece Promotion Cards</t>
        </is>
      </c>
      <c r="H326" s="3" t="n"/>
      <c r="I326" s="3" t="n"/>
      <c r="J326" s="3" t="n"/>
      <c r="K326" s="3" t="n">
        <v>148.99</v>
      </c>
      <c r="L326" s="2" t="inlineStr">
        <is>
          <t>TCGplayer</t>
        </is>
      </c>
      <c r="N326" s="4" t="inlineStr">
        <is>
          <t>https://www.tcgplayer.com/product/544800</t>
        </is>
      </c>
    </row>
    <row r="327">
      <c r="A327" s="2" t="inlineStr">
        <is>
          <t>Online Regional Participation Pack 2024 Vol. 3</t>
        </is>
      </c>
      <c r="B327" s="3">
        <f>IF(H327&lt;&gt;"",H327,IF(I327&lt;&gt;"",I327,IF(J327&lt;&gt;"",J327,K327)))</f>
        <v>169.99</v>
      </c>
      <c r="C327" s="3">
        <f>MEDIAN(H327:K327)</f>
        <v>584.995</v>
      </c>
      <c r="D327" s="3">
        <f>ROUND(C327*(1-Settings!$B$2),2)</f>
        <v>409.5</v>
      </c>
      <c r="E327" s="2" t="inlineStr">
        <is>
          <t>One Piece</t>
        </is>
      </c>
      <c r="F327" s="2" t="inlineStr">
        <is>
          <t>Pack</t>
        </is>
      </c>
      <c r="G327" s="2" t="inlineStr">
        <is>
          <t>One Piece Promotion Cards</t>
        </is>
      </c>
      <c r="H327" s="3" t="n"/>
      <c r="I327" s="3" t="n">
        <v>169.99</v>
      </c>
      <c r="J327" s="3" t="n"/>
      <c r="K327" s="3" t="n">
        <v>1000</v>
      </c>
      <c r="L327" s="2" t="inlineStr">
        <is>
          <t>TCGplayer</t>
        </is>
      </c>
      <c r="N327" s="4" t="inlineStr">
        <is>
          <t>https://www.tcgplayer.com/product/585580</t>
        </is>
      </c>
    </row>
    <row r="328">
      <c r="A328" s="2" t="inlineStr">
        <is>
          <t>Online Regional Participation Pack 2025 Vol. 1</t>
        </is>
      </c>
      <c r="B328" s="3">
        <f>IF(H328&lt;&gt;"",H328,IF(I328&lt;&gt;"",I328,IF(J328&lt;&gt;"",J328,K328)))</f>
        <v>149.99</v>
      </c>
      <c r="C328" s="3">
        <f>MEDIAN(H328:K328)</f>
        <v>149.99</v>
      </c>
      <c r="D328" s="3">
        <f>ROUND(C328*(1-Settings!$B$2),2)</f>
        <v>104.99</v>
      </c>
      <c r="E328" s="2" t="inlineStr">
        <is>
          <t>One Piece</t>
        </is>
      </c>
      <c r="F328" s="2" t="inlineStr">
        <is>
          <t>Pack</t>
        </is>
      </c>
      <c r="G328" s="2" t="inlineStr">
        <is>
          <t>One Piece Promotion Cards</t>
        </is>
      </c>
      <c r="H328" s="3" t="n"/>
      <c r="I328" s="3" t="n"/>
      <c r="J328" s="3" t="n"/>
      <c r="K328" s="3" t="n">
        <v>149.99</v>
      </c>
      <c r="L328" s="2" t="inlineStr">
        <is>
          <t>TCGplayer</t>
        </is>
      </c>
      <c r="N328" s="4" t="inlineStr">
        <is>
          <t>https://www.tcgplayer.com/product/666567</t>
        </is>
      </c>
    </row>
    <row r="329">
      <c r="A329" s="2" t="inlineStr">
        <is>
          <t>Online Regional Participation Pack 2025 Vol.2</t>
        </is>
      </c>
      <c r="B329" s="3">
        <f>IF(H329&lt;&gt;"",H329,IF(I329&lt;&gt;"",I329,IF(J329&lt;&gt;"",J329,K329)))</f>
        <v>60.5</v>
      </c>
      <c r="C329" s="3">
        <f>MEDIAN(H329:K329)</f>
        <v>129.75</v>
      </c>
      <c r="D329" s="3">
        <f>ROUND(C329*(1-Settings!$B$2),2)</f>
        <v>90.83</v>
      </c>
      <c r="E329" s="2" t="inlineStr">
        <is>
          <t>One Piece</t>
        </is>
      </c>
      <c r="F329" s="2" t="inlineStr">
        <is>
          <t>Pack</t>
        </is>
      </c>
      <c r="G329" s="2" t="inlineStr">
        <is>
          <t>One Piece Promotion Cards</t>
        </is>
      </c>
      <c r="H329" s="3" t="n"/>
      <c r="I329" s="3" t="n">
        <v>60.5</v>
      </c>
      <c r="J329" s="3" t="n"/>
      <c r="K329" s="3" t="n">
        <v>199</v>
      </c>
      <c r="L329" s="2" t="inlineStr">
        <is>
          <t>TCGplayer</t>
        </is>
      </c>
      <c r="N329" s="4" t="inlineStr">
        <is>
          <t>https://www.tcgplayer.com/product/649735</t>
        </is>
      </c>
    </row>
    <row r="330">
      <c r="A330" s="2" t="inlineStr">
        <is>
          <t>Promotion Pack 2022</t>
        </is>
      </c>
      <c r="B330" s="3">
        <f>IF(H330&lt;&gt;"",H330,IF(I330&lt;&gt;"",I330,IF(J330&lt;&gt;"",J330,K330)))</f>
        <v>62.17</v>
      </c>
      <c r="C330" s="3">
        <f>MEDIAN(H330:K330)</f>
        <v>61.085</v>
      </c>
      <c r="D330" s="3">
        <f>ROUND(C330*(1-Settings!$B$2),2)</f>
        <v>42.76</v>
      </c>
      <c r="E330" s="2" t="inlineStr">
        <is>
          <t>One Piece</t>
        </is>
      </c>
      <c r="F330" s="2" t="inlineStr">
        <is>
          <t>Pack</t>
        </is>
      </c>
      <c r="G330" s="2" t="inlineStr">
        <is>
          <t>One Piece Promotion Cards</t>
        </is>
      </c>
      <c r="H330" s="3" t="n"/>
      <c r="I330" s="3" t="n">
        <v>62.17</v>
      </c>
      <c r="J330" s="3" t="n"/>
      <c r="K330" s="3" t="n">
        <v>60</v>
      </c>
      <c r="L330" s="2" t="inlineStr">
        <is>
          <t>TCGplayer</t>
        </is>
      </c>
      <c r="N330" s="4" t="inlineStr">
        <is>
          <t>https://www.tcgplayer.com/product/457043</t>
        </is>
      </c>
    </row>
    <row r="331">
      <c r="A331" s="2" t="inlineStr">
        <is>
          <t>Promotion Pack 2023 Vol. 1</t>
        </is>
      </c>
      <c r="B331" s="3">
        <f>IF(H331&lt;&gt;"",H331,IF(I331&lt;&gt;"",I331,IF(J331&lt;&gt;"",J331,K331)))</f>
        <v>13.9</v>
      </c>
      <c r="C331" s="3">
        <f>MEDIAN(H331:K331)</f>
        <v>11.95</v>
      </c>
      <c r="D331" s="3">
        <f>ROUND(C331*(1-Settings!$B$2),2)</f>
        <v>8.37</v>
      </c>
      <c r="E331" s="2" t="inlineStr">
        <is>
          <t>One Piece</t>
        </is>
      </c>
      <c r="F331" s="2" t="inlineStr">
        <is>
          <t>Pack</t>
        </is>
      </c>
      <c r="G331" s="2" t="inlineStr">
        <is>
          <t>One Piece Promotion Cards</t>
        </is>
      </c>
      <c r="H331" s="3" t="n"/>
      <c r="I331" s="3" t="n">
        <v>13.9</v>
      </c>
      <c r="J331" s="3" t="n"/>
      <c r="K331" s="3" t="n">
        <v>10</v>
      </c>
      <c r="L331" s="2" t="inlineStr">
        <is>
          <t>TCGplayer</t>
        </is>
      </c>
      <c r="N331" s="4" t="inlineStr">
        <is>
          <t>https://www.tcgplayer.com/product/483109</t>
        </is>
      </c>
    </row>
    <row r="332">
      <c r="A332" s="2" t="inlineStr">
        <is>
          <t>Round 1 Promotion Pack</t>
        </is>
      </c>
      <c r="B332" s="3">
        <f>IF(H332&lt;&gt;"",H332,IF(I332&lt;&gt;"",I332,IF(J332&lt;&gt;"",J332,K332)))</f>
        <v>28.73</v>
      </c>
      <c r="C332" s="3">
        <f>MEDIAN(H332:K332)</f>
        <v>26.865000000000002</v>
      </c>
      <c r="D332" s="3">
        <f>ROUND(C332*(1-Settings!$B$2),2)</f>
        <v>18.81</v>
      </c>
      <c r="E332" s="2" t="inlineStr">
        <is>
          <t>One Piece</t>
        </is>
      </c>
      <c r="F332" s="2" t="inlineStr">
        <is>
          <t>Pack</t>
        </is>
      </c>
      <c r="G332" s="2" t="inlineStr">
        <is>
          <t>One Piece Promotion Cards</t>
        </is>
      </c>
      <c r="H332" s="3" t="n"/>
      <c r="I332" s="3" t="n">
        <v>28.73</v>
      </c>
      <c r="J332" s="3" t="n"/>
      <c r="K332" s="3" t="n">
        <v>25</v>
      </c>
      <c r="L332" s="2" t="inlineStr">
        <is>
          <t>TCGplayer</t>
        </is>
      </c>
      <c r="N332" s="4" t="inlineStr">
        <is>
          <t>https://www.tcgplayer.com/product/708202</t>
        </is>
      </c>
    </row>
    <row r="333">
      <c r="A333" s="2" t="inlineStr">
        <is>
          <t>ST15 - ST20 Release Event Pack</t>
        </is>
      </c>
      <c r="B333" s="3">
        <f>IF(H333&lt;&gt;"",H333,IF(I333&lt;&gt;"",I333,IF(J333&lt;&gt;"",J333,K333)))</f>
        <v>9.45</v>
      </c>
      <c r="C333" s="3">
        <f>MEDIAN(H333:K333)</f>
        <v>9.219999999999999</v>
      </c>
      <c r="D333" s="3">
        <f>ROUND(C333*(1-Settings!$B$2),2)</f>
        <v>6.45</v>
      </c>
      <c r="E333" s="2" t="inlineStr">
        <is>
          <t>One Piece</t>
        </is>
      </c>
      <c r="F333" s="2" t="inlineStr">
        <is>
          <t>Pack</t>
        </is>
      </c>
      <c r="G333" s="2" t="inlineStr">
        <is>
          <t>One Piece Promotion Cards</t>
        </is>
      </c>
      <c r="H333" s="3" t="n"/>
      <c r="I333" s="3" t="n">
        <v>9.449999999999999</v>
      </c>
      <c r="J333" s="3" t="n"/>
      <c r="K333" s="3" t="n">
        <v>8.99</v>
      </c>
      <c r="L333" s="2" t="inlineStr">
        <is>
          <t>TCGplayer</t>
        </is>
      </c>
      <c r="N333" s="4" t="inlineStr">
        <is>
          <t>https://www.tcgplayer.com/product/588184</t>
        </is>
      </c>
    </row>
    <row r="334">
      <c r="A334" s="2" t="inlineStr">
        <is>
          <t>Store Championship 2023 Participation Pack Vol.1</t>
        </is>
      </c>
      <c r="B334" s="3">
        <f>IF(H334&lt;&gt;"",H334,IF(I334&lt;&gt;"",I334,IF(J334&lt;&gt;"",J334,K334)))</f>
        <v>149.99</v>
      </c>
      <c r="C334" s="3">
        <f>MEDIAN(H334:K334)</f>
        <v>132.49</v>
      </c>
      <c r="D334" s="3">
        <f>ROUND(C334*(1-Settings!$B$2),2)</f>
        <v>92.74</v>
      </c>
      <c r="E334" s="2" t="inlineStr">
        <is>
          <t>One Piece</t>
        </is>
      </c>
      <c r="F334" s="2" t="inlineStr">
        <is>
          <t>Pack</t>
        </is>
      </c>
      <c r="G334" s="2" t="inlineStr">
        <is>
          <t>One Piece Promotion Cards</t>
        </is>
      </c>
      <c r="H334" s="3" t="n"/>
      <c r="I334" s="3" t="n">
        <v>149.99</v>
      </c>
      <c r="J334" s="3" t="n"/>
      <c r="K334" s="3" t="n">
        <v>114.99</v>
      </c>
      <c r="L334" s="2" t="inlineStr">
        <is>
          <t>TCGplayer</t>
        </is>
      </c>
      <c r="N334" s="4" t="inlineStr">
        <is>
          <t>https://www.tcgplayer.com/product/696826</t>
        </is>
      </c>
    </row>
    <row r="335">
      <c r="A335" s="2" t="inlineStr">
        <is>
          <t>Tournament Pack 2024 Oct.-Dec.</t>
        </is>
      </c>
      <c r="B335" s="3">
        <f>IF(H335&lt;&gt;"",H335,IF(I335&lt;&gt;"",I335,IF(J335&lt;&gt;"",J335,K335)))</f>
        <v>1.95</v>
      </c>
      <c r="C335" s="3">
        <f>MEDIAN(H335:K335)</f>
        <v>1.9449999999999998</v>
      </c>
      <c r="D335" s="3">
        <f>ROUND(C335*(1-Settings!$B$2),2)</f>
        <v>1.36</v>
      </c>
      <c r="E335" s="2" t="inlineStr">
        <is>
          <t>One Piece</t>
        </is>
      </c>
      <c r="F335" s="2" t="inlineStr">
        <is>
          <t>Pack</t>
        </is>
      </c>
      <c r="G335" s="2" t="inlineStr">
        <is>
          <t>One Piece Promotion Cards</t>
        </is>
      </c>
      <c r="H335" s="3" t="n"/>
      <c r="I335" s="3" t="n">
        <v>1.95</v>
      </c>
      <c r="J335" s="3" t="n"/>
      <c r="K335" s="3" t="n">
        <v>1.94</v>
      </c>
      <c r="L335" s="2" t="inlineStr">
        <is>
          <t>TCGplayer</t>
        </is>
      </c>
      <c r="N335" s="4" t="inlineStr">
        <is>
          <t>https://www.tcgplayer.com/product/583731</t>
        </is>
      </c>
    </row>
    <row r="336">
      <c r="A336" s="2" t="inlineStr">
        <is>
          <t>Tournament Pack 2025 Vol. 1</t>
        </is>
      </c>
      <c r="B336" s="3">
        <f>IF(H336&lt;&gt;"",H336,IF(I336&lt;&gt;"",I336,IF(J336&lt;&gt;"",J336,K336)))</f>
        <v>1.73</v>
      </c>
      <c r="C336" s="3">
        <f>MEDIAN(H336:K336)</f>
        <v>1.3599999999999999</v>
      </c>
      <c r="D336" s="3">
        <f>ROUND(C336*(1-Settings!$B$2),2)</f>
        <v>0.95</v>
      </c>
      <c r="E336" s="2" t="inlineStr">
        <is>
          <t>One Piece</t>
        </is>
      </c>
      <c r="F336" s="2" t="inlineStr">
        <is>
          <t>Pack</t>
        </is>
      </c>
      <c r="G336" s="2" t="inlineStr">
        <is>
          <t>One Piece Promotion Cards</t>
        </is>
      </c>
      <c r="H336" s="3" t="n"/>
      <c r="I336" s="3" t="n">
        <v>1.73</v>
      </c>
      <c r="J336" s="3" t="n"/>
      <c r="K336" s="3" t="n">
        <v>0.99</v>
      </c>
      <c r="L336" s="2" t="inlineStr">
        <is>
          <t>TCGplayer</t>
        </is>
      </c>
      <c r="N336" s="4" t="inlineStr">
        <is>
          <t>https://www.tcgplayer.com/product/609714</t>
        </is>
      </c>
    </row>
    <row r="337">
      <c r="A337" s="2" t="inlineStr">
        <is>
          <t>Tournament Pack 2025 Vol. 2</t>
        </is>
      </c>
      <c r="B337" s="3">
        <f>IF(H337&lt;&gt;"",H337,IF(I337&lt;&gt;"",I337,IF(J337&lt;&gt;"",J337,K337)))</f>
        <v>1.81</v>
      </c>
      <c r="C337" s="3">
        <f>MEDIAN(H337:K337)</f>
        <v>1.81</v>
      </c>
      <c r="D337" s="3">
        <f>ROUND(C337*(1-Settings!$B$2),2)</f>
        <v>1.27</v>
      </c>
      <c r="E337" s="2" t="inlineStr">
        <is>
          <t>One Piece</t>
        </is>
      </c>
      <c r="F337" s="2" t="inlineStr">
        <is>
          <t>Pack</t>
        </is>
      </c>
      <c r="G337" s="2" t="inlineStr">
        <is>
          <t>One Piece Promotion Cards</t>
        </is>
      </c>
      <c r="H337" s="3" t="n"/>
      <c r="I337" s="3" t="n">
        <v>1.81</v>
      </c>
      <c r="J337" s="3" t="n"/>
      <c r="K337" s="3" t="n">
        <v>1.81</v>
      </c>
      <c r="L337" s="2" t="inlineStr">
        <is>
          <t>TCGplayer</t>
        </is>
      </c>
      <c r="N337" s="4" t="inlineStr">
        <is>
          <t>https://www.tcgplayer.com/product/622589</t>
        </is>
      </c>
    </row>
    <row r="338">
      <c r="A338" s="2" t="inlineStr">
        <is>
          <t>Tournament Pack 2025 Vol. 3</t>
        </is>
      </c>
      <c r="B338" s="3">
        <f>IF(H338&lt;&gt;"",H338,IF(I338&lt;&gt;"",I338,IF(J338&lt;&gt;"",J338,K338)))</f>
        <v>1.89</v>
      </c>
      <c r="C338" s="3">
        <f>MEDIAN(H338:K338)</f>
        <v>1.595</v>
      </c>
      <c r="D338" s="3">
        <f>ROUND(C338*(1-Settings!$B$2),2)</f>
        <v>1.12</v>
      </c>
      <c r="E338" s="2" t="inlineStr">
        <is>
          <t>One Piece</t>
        </is>
      </c>
      <c r="F338" s="2" t="inlineStr">
        <is>
          <t>Pack</t>
        </is>
      </c>
      <c r="G338" s="2" t="inlineStr">
        <is>
          <t>One Piece Promotion Cards</t>
        </is>
      </c>
      <c r="H338" s="3" t="n"/>
      <c r="I338" s="3" t="n">
        <v>1.89</v>
      </c>
      <c r="J338" s="3" t="n"/>
      <c r="K338" s="3" t="n">
        <v>1.3</v>
      </c>
      <c r="L338" s="2" t="inlineStr">
        <is>
          <t>TCGplayer</t>
        </is>
      </c>
      <c r="N338" s="4" t="inlineStr">
        <is>
          <t>https://www.tcgplayer.com/product/641169</t>
        </is>
      </c>
    </row>
    <row r="339">
      <c r="A339" s="2" t="inlineStr">
        <is>
          <t>Tournament Pack 2025 Vol. 4</t>
        </is>
      </c>
      <c r="B339" s="3">
        <f>IF(H339&lt;&gt;"",H339,IF(I339&lt;&gt;"",I339,IF(J339&lt;&gt;"",J339,K339)))</f>
        <v>1.72</v>
      </c>
      <c r="C339" s="3">
        <f>MEDIAN(H339:K339)</f>
        <v>1.455</v>
      </c>
      <c r="D339" s="3">
        <f>ROUND(C339*(1-Settings!$B$2),2)</f>
        <v>1.02</v>
      </c>
      <c r="E339" s="2" t="inlineStr">
        <is>
          <t>One Piece</t>
        </is>
      </c>
      <c r="F339" s="2" t="inlineStr">
        <is>
          <t>Pack</t>
        </is>
      </c>
      <c r="G339" s="2" t="inlineStr">
        <is>
          <t>One Piece Promotion Cards</t>
        </is>
      </c>
      <c r="H339" s="3" t="n"/>
      <c r="I339" s="3" t="n">
        <v>1.72</v>
      </c>
      <c r="J339" s="3" t="n"/>
      <c r="K339" s="3" t="n">
        <v>1.19</v>
      </c>
      <c r="L339" s="2" t="inlineStr">
        <is>
          <t>TCGplayer</t>
        </is>
      </c>
      <c r="N339" s="4" t="inlineStr">
        <is>
          <t>https://www.tcgplayer.com/product/655958</t>
        </is>
      </c>
    </row>
    <row r="340">
      <c r="A340" s="2" t="inlineStr">
        <is>
          <t>Tournament Pack 2026 Vol. 1</t>
        </is>
      </c>
      <c r="B340" s="3">
        <f>IF(H340&lt;&gt;"",H340,IF(I340&lt;&gt;"",I340,IF(J340&lt;&gt;"",J340,K340)))</f>
        <v>2.07</v>
      </c>
      <c r="C340" s="3">
        <f>MEDIAN(H340:K340)</f>
        <v>1.535</v>
      </c>
      <c r="D340" s="3">
        <f>ROUND(C340*(1-Settings!$B$2),2)</f>
        <v>1.07</v>
      </c>
      <c r="E340" s="2" t="inlineStr">
        <is>
          <t>One Piece</t>
        </is>
      </c>
      <c r="F340" s="2" t="inlineStr">
        <is>
          <t>Pack</t>
        </is>
      </c>
      <c r="G340" s="2" t="inlineStr">
        <is>
          <t>One Piece Promotion Cards</t>
        </is>
      </c>
      <c r="H340" s="3" t="n"/>
      <c r="I340" s="3" t="n">
        <v>2.07</v>
      </c>
      <c r="J340" s="3" t="n"/>
      <c r="K340" s="3" t="n">
        <v>1</v>
      </c>
      <c r="L340" s="2" t="inlineStr">
        <is>
          <t>TCGplayer</t>
        </is>
      </c>
      <c r="N340" s="4" t="inlineStr">
        <is>
          <t>https://www.tcgplayer.com/product/668163</t>
        </is>
      </c>
    </row>
    <row r="341">
      <c r="A341" s="2" t="inlineStr">
        <is>
          <t>Tournament Pack 2026 Vol. 2</t>
        </is>
      </c>
      <c r="B341" s="3">
        <f>IF(H341&lt;&gt;"",H341,IF(I341&lt;&gt;"",I341,IF(J341&lt;&gt;"",J341,K341)))</f>
        <v>2.47</v>
      </c>
      <c r="C341" s="3">
        <f>MEDIAN(H341:K341)</f>
        <v>2.1100000000000003</v>
      </c>
      <c r="D341" s="3">
        <f>ROUND(C341*(1-Settings!$B$2),2)</f>
        <v>1.48</v>
      </c>
      <c r="E341" s="2" t="inlineStr">
        <is>
          <t>One Piece</t>
        </is>
      </c>
      <c r="F341" s="2" t="inlineStr">
        <is>
          <t>Pack</t>
        </is>
      </c>
      <c r="G341" s="2" t="inlineStr">
        <is>
          <t>One Piece Promotion Cards</t>
        </is>
      </c>
      <c r="H341" s="3" t="n"/>
      <c r="I341" s="3" t="n">
        <v>2.47</v>
      </c>
      <c r="J341" s="3" t="n"/>
      <c r="K341" s="3" t="n">
        <v>1.75</v>
      </c>
      <c r="L341" s="2" t="inlineStr">
        <is>
          <t>TCGplayer</t>
        </is>
      </c>
      <c r="N341" s="4" t="inlineStr">
        <is>
          <t>https://www.tcgplayer.com/product/684308</t>
        </is>
      </c>
    </row>
    <row r="342">
      <c r="A342" s="2" t="inlineStr">
        <is>
          <t>Tournament Pack 2026 Vol. 3</t>
        </is>
      </c>
      <c r="B342" s="3">
        <f>IF(H342&lt;&gt;"",H342,IF(I342&lt;&gt;"",I342,IF(J342&lt;&gt;"",J342,K342)))</f>
        <v>1.37</v>
      </c>
      <c r="C342" s="3">
        <f>MEDIAN(H342:K342)</f>
        <v>1.1800000000000002</v>
      </c>
      <c r="D342" s="3">
        <f>ROUND(C342*(1-Settings!$B$2),2)</f>
        <v>0.83</v>
      </c>
      <c r="E342" s="2" t="inlineStr">
        <is>
          <t>One Piece</t>
        </is>
      </c>
      <c r="F342" s="2" t="inlineStr">
        <is>
          <t>Pack</t>
        </is>
      </c>
      <c r="G342" s="2" t="inlineStr">
        <is>
          <t>One Piece Promotion Cards</t>
        </is>
      </c>
      <c r="H342" s="3" t="n"/>
      <c r="I342" s="3" t="n">
        <v>1.37</v>
      </c>
      <c r="J342" s="3" t="n"/>
      <c r="K342" s="3" t="n">
        <v>0.99</v>
      </c>
      <c r="L342" s="2" t="inlineStr">
        <is>
          <t>TCGplayer</t>
        </is>
      </c>
      <c r="N342" s="4" t="inlineStr">
        <is>
          <t>https://www.tcgplayer.com/product/708460</t>
        </is>
      </c>
    </row>
    <row r="343">
      <c r="A343" s="2" t="inlineStr">
        <is>
          <t>Tournament Pack Vol. 1</t>
        </is>
      </c>
      <c r="B343" s="3">
        <f>IF(H343&lt;&gt;"",H343,IF(I343&lt;&gt;"",I343,IF(J343&lt;&gt;"",J343,K343)))</f>
        <v>16.0</v>
      </c>
      <c r="C343" s="3">
        <f>MEDIAN(H343:K343)</f>
        <v>15.475</v>
      </c>
      <c r="D343" s="3">
        <f>ROUND(C343*(1-Settings!$B$2),2)</f>
        <v>10.83</v>
      </c>
      <c r="E343" s="2" t="inlineStr">
        <is>
          <t>One Piece</t>
        </is>
      </c>
      <c r="F343" s="2" t="inlineStr">
        <is>
          <t>Pack</t>
        </is>
      </c>
      <c r="G343" s="2" t="inlineStr">
        <is>
          <t>One Piece Promotion Cards</t>
        </is>
      </c>
      <c r="H343" s="3" t="n"/>
      <c r="I343" s="3" t="n">
        <v>16</v>
      </c>
      <c r="J343" s="3" t="n"/>
      <c r="K343" s="3" t="n">
        <v>14.95</v>
      </c>
      <c r="L343" s="2" t="inlineStr">
        <is>
          <t>TCGplayer</t>
        </is>
      </c>
      <c r="N343" s="4" t="inlineStr">
        <is>
          <t>https://www.tcgplayer.com/product/457013</t>
        </is>
      </c>
    </row>
    <row r="344">
      <c r="A344" s="2" t="inlineStr">
        <is>
          <t>Tournament Pack Vol. 2</t>
        </is>
      </c>
      <c r="B344" s="3">
        <f>IF(H344&lt;&gt;"",H344,IF(I344&lt;&gt;"",I344,IF(J344&lt;&gt;"",J344,K344)))</f>
        <v>5.26</v>
      </c>
      <c r="C344" s="3">
        <f>MEDIAN(H344:K344)</f>
        <v>4.359999999999999</v>
      </c>
      <c r="D344" s="3">
        <f>ROUND(C344*(1-Settings!$B$2),2)</f>
        <v>3.05</v>
      </c>
      <c r="E344" s="2" t="inlineStr">
        <is>
          <t>One Piece</t>
        </is>
      </c>
      <c r="F344" s="2" t="inlineStr">
        <is>
          <t>Pack</t>
        </is>
      </c>
      <c r="G344" s="2" t="inlineStr">
        <is>
          <t>One Piece Promotion Cards</t>
        </is>
      </c>
      <c r="H344" s="3" t="n"/>
      <c r="I344" s="3" t="n">
        <v>5.26</v>
      </c>
      <c r="J344" s="3" t="n"/>
      <c r="K344" s="3" t="n">
        <v>3.46</v>
      </c>
      <c r="L344" s="2" t="inlineStr">
        <is>
          <t>TCGplayer</t>
        </is>
      </c>
      <c r="N344" s="4" t="inlineStr">
        <is>
          <t>https://www.tcgplayer.com/product/483112</t>
        </is>
      </c>
    </row>
    <row r="345">
      <c r="A345" s="2" t="inlineStr">
        <is>
          <t>Tournament Pack Vol. 3</t>
        </is>
      </c>
      <c r="B345" s="3">
        <f>IF(H345&lt;&gt;"",H345,IF(I345&lt;&gt;"",I345,IF(J345&lt;&gt;"",J345,K345)))</f>
        <v>5.28</v>
      </c>
      <c r="C345" s="3">
        <f>MEDIAN(H345:K345)</f>
        <v>5.135</v>
      </c>
      <c r="D345" s="3">
        <f>ROUND(C345*(1-Settings!$B$2),2)</f>
        <v>3.59</v>
      </c>
      <c r="E345" s="2" t="inlineStr">
        <is>
          <t>One Piece</t>
        </is>
      </c>
      <c r="F345" s="2" t="inlineStr">
        <is>
          <t>Pack</t>
        </is>
      </c>
      <c r="G345" s="2" t="inlineStr">
        <is>
          <t>One Piece Promotion Cards</t>
        </is>
      </c>
      <c r="H345" s="3" t="n"/>
      <c r="I345" s="3" t="n">
        <v>5.28</v>
      </c>
      <c r="J345" s="3" t="n"/>
      <c r="K345" s="3" t="n">
        <v>4.99</v>
      </c>
      <c r="L345" s="2" t="inlineStr">
        <is>
          <t>TCGplayer</t>
        </is>
      </c>
      <c r="N345" s="4" t="inlineStr">
        <is>
          <t>https://www.tcgplayer.com/product/497007</t>
        </is>
      </c>
    </row>
    <row r="346">
      <c r="A346" s="2" t="inlineStr">
        <is>
          <t>Tournament Pack Vol. 4</t>
        </is>
      </c>
      <c r="B346" s="3">
        <f>IF(H346&lt;&gt;"",H346,IF(I346&lt;&gt;"",I346,IF(J346&lt;&gt;"",J346,K346)))</f>
        <v>2.81</v>
      </c>
      <c r="C346" s="3">
        <f>MEDIAN(H346:K346)</f>
        <v>2.7750000000000004</v>
      </c>
      <c r="D346" s="3">
        <f>ROUND(C346*(1-Settings!$B$2),2)</f>
        <v>1.94</v>
      </c>
      <c r="E346" s="2" t="inlineStr">
        <is>
          <t>One Piece</t>
        </is>
      </c>
      <c r="F346" s="2" t="inlineStr">
        <is>
          <t>Pack</t>
        </is>
      </c>
      <c r="G346" s="2" t="inlineStr">
        <is>
          <t>One Piece Promotion Cards</t>
        </is>
      </c>
      <c r="H346" s="3" t="n"/>
      <c r="I346" s="3" t="n">
        <v>2.81</v>
      </c>
      <c r="J346" s="3" t="n"/>
      <c r="K346" s="3" t="n">
        <v>2.74</v>
      </c>
      <c r="L346" s="2" t="inlineStr">
        <is>
          <t>TCGplayer</t>
        </is>
      </c>
      <c r="N346" s="4" t="inlineStr">
        <is>
          <t>https://www.tcgplayer.com/product/503251</t>
        </is>
      </c>
    </row>
    <row r="347">
      <c r="A347" s="2" t="inlineStr">
        <is>
          <t>Tournament Pack Vol. 5</t>
        </is>
      </c>
      <c r="B347" s="3">
        <f>IF(H347&lt;&gt;"",H347,IF(I347&lt;&gt;"",I347,IF(J347&lt;&gt;"",J347,K347)))</f>
        <v>6.36</v>
      </c>
      <c r="C347" s="3">
        <f>MEDIAN(H347:K347)</f>
        <v>5.675000000000001</v>
      </c>
      <c r="D347" s="3">
        <f>ROUND(C347*(1-Settings!$B$2),2)</f>
        <v>3.97</v>
      </c>
      <c r="E347" s="2" t="inlineStr">
        <is>
          <t>One Piece</t>
        </is>
      </c>
      <c r="F347" s="2" t="inlineStr">
        <is>
          <t>Pack</t>
        </is>
      </c>
      <c r="G347" s="2" t="inlineStr">
        <is>
          <t>One Piece Promotion Cards</t>
        </is>
      </c>
      <c r="H347" s="3" t="n"/>
      <c r="I347" s="3" t="n">
        <v>6.36</v>
      </c>
      <c r="J347" s="3" t="n"/>
      <c r="K347" s="3" t="n">
        <v>4.99</v>
      </c>
      <c r="L347" s="2" t="inlineStr">
        <is>
          <t>TCGplayer</t>
        </is>
      </c>
      <c r="N347" s="4" t="inlineStr">
        <is>
          <t>https://www.tcgplayer.com/product/519829</t>
        </is>
      </c>
    </row>
    <row r="348">
      <c r="A348" s="2" t="inlineStr">
        <is>
          <t>Tournament Pack Vol. 6</t>
        </is>
      </c>
      <c r="B348" s="3">
        <f>IF(H348&lt;&gt;"",H348,IF(I348&lt;&gt;"",I348,IF(J348&lt;&gt;"",J348,K348)))</f>
        <v>2.33</v>
      </c>
      <c r="C348" s="3">
        <f>MEDIAN(H348:K348)</f>
        <v>2.29</v>
      </c>
      <c r="D348" s="3">
        <f>ROUND(C348*(1-Settings!$B$2),2)</f>
        <v>1.6</v>
      </c>
      <c r="E348" s="2" t="inlineStr">
        <is>
          <t>One Piece</t>
        </is>
      </c>
      <c r="F348" s="2" t="inlineStr">
        <is>
          <t>Pack</t>
        </is>
      </c>
      <c r="G348" s="2" t="inlineStr">
        <is>
          <t>One Piece Promotion Cards</t>
        </is>
      </c>
      <c r="H348" s="3" t="n"/>
      <c r="I348" s="3" t="n">
        <v>2.33</v>
      </c>
      <c r="J348" s="3" t="n"/>
      <c r="K348" s="3" t="n">
        <v>2.25</v>
      </c>
      <c r="L348" s="2" t="inlineStr">
        <is>
          <t>TCGplayer</t>
        </is>
      </c>
      <c r="N348" s="4" t="inlineStr">
        <is>
          <t>https://www.tcgplayer.com/product/537448</t>
        </is>
      </c>
    </row>
    <row r="349">
      <c r="A349" s="2" t="inlineStr">
        <is>
          <t>Tournament Pack Vol. 7</t>
        </is>
      </c>
      <c r="B349" s="3">
        <f>IF(H349&lt;&gt;"",H349,IF(I349&lt;&gt;"",I349,IF(J349&lt;&gt;"",J349,K349)))</f>
        <v>1.55</v>
      </c>
      <c r="C349" s="3">
        <f>MEDIAN(H349:K349)</f>
        <v>1.27</v>
      </c>
      <c r="D349" s="3">
        <f>ROUND(C349*(1-Settings!$B$2),2)</f>
        <v>0.89</v>
      </c>
      <c r="E349" s="2" t="inlineStr">
        <is>
          <t>One Piece</t>
        </is>
      </c>
      <c r="F349" s="2" t="inlineStr">
        <is>
          <t>Pack</t>
        </is>
      </c>
      <c r="G349" s="2" t="inlineStr">
        <is>
          <t>One Piece Promotion Cards</t>
        </is>
      </c>
      <c r="H349" s="3" t="n"/>
      <c r="I349" s="3" t="n">
        <v>1.55</v>
      </c>
      <c r="J349" s="3" t="n"/>
      <c r="K349" s="3" t="n">
        <v>0.99</v>
      </c>
      <c r="L349" s="2" t="inlineStr">
        <is>
          <t>TCGplayer</t>
        </is>
      </c>
      <c r="N349" s="4" t="inlineStr">
        <is>
          <t>https://www.tcgplayer.com/product/548440</t>
        </is>
      </c>
    </row>
    <row r="350">
      <c r="A350" s="2" t="inlineStr">
        <is>
          <t>Welcome Pack 2026 Vol.1</t>
        </is>
      </c>
      <c r="B350" s="3">
        <f>IF(H350&lt;&gt;"",H350,IF(I350&lt;&gt;"",I350,IF(J350&lt;&gt;"",J350,K350)))</f>
        <v>6.85</v>
      </c>
      <c r="C350" s="3">
        <f>MEDIAN(H350:K350)</f>
        <v>5.595</v>
      </c>
      <c r="D350" s="3">
        <f>ROUND(C350*(1-Settings!$B$2),2)</f>
        <v>3.92</v>
      </c>
      <c r="E350" s="2" t="inlineStr">
        <is>
          <t>One Piece</t>
        </is>
      </c>
      <c r="F350" s="2" t="inlineStr">
        <is>
          <t>Pack</t>
        </is>
      </c>
      <c r="G350" s="2" t="inlineStr">
        <is>
          <t>One Piece Promotion Cards</t>
        </is>
      </c>
      <c r="H350" s="3" t="n"/>
      <c r="I350" s="3" t="n">
        <v>6.85</v>
      </c>
      <c r="J350" s="3" t="n"/>
      <c r="K350" s="3" t="n">
        <v>4.34</v>
      </c>
      <c r="L350" s="2" t="inlineStr">
        <is>
          <t>TCGplayer</t>
        </is>
      </c>
      <c r="N350" s="4" t="inlineStr">
        <is>
          <t>https://www.tcgplayer.com/product/683970</t>
        </is>
      </c>
    </row>
    <row r="351">
      <c r="A351" s="2" t="inlineStr">
        <is>
          <t>Welcome Pack Vol. 1</t>
        </is>
      </c>
      <c r="B351" s="3">
        <f>IF(H351&lt;&gt;"",H351,IF(I351&lt;&gt;"",I351,IF(J351&lt;&gt;"",J351,K351)))</f>
        <v>3.27</v>
      </c>
      <c r="C351" s="3">
        <f>MEDIAN(H351:K351)</f>
        <v>2.775</v>
      </c>
      <c r="D351" s="3">
        <f>ROUND(C351*(1-Settings!$B$2),2)</f>
        <v>1.94</v>
      </c>
      <c r="E351" s="2" t="inlineStr">
        <is>
          <t>One Piece</t>
        </is>
      </c>
      <c r="F351" s="2" t="inlineStr">
        <is>
          <t>Pack</t>
        </is>
      </c>
      <c r="G351" s="2" t="inlineStr">
        <is>
          <t>One Piece Promotion Cards</t>
        </is>
      </c>
      <c r="H351" s="3" t="n"/>
      <c r="I351" s="3" t="n">
        <v>3.27</v>
      </c>
      <c r="J351" s="3" t="n"/>
      <c r="K351" s="3" t="n">
        <v>2.28</v>
      </c>
      <c r="L351" s="2" t="inlineStr">
        <is>
          <t>TCGplayer</t>
        </is>
      </c>
      <c r="N351" s="4" t="inlineStr">
        <is>
          <t>https://www.tcgplayer.com/product/558742</t>
        </is>
      </c>
    </row>
    <row r="352">
      <c r="A352" s="2" t="inlineStr">
        <is>
          <t>Welcome Pack Vol. 2</t>
        </is>
      </c>
      <c r="B352" s="3">
        <f>IF(H352&lt;&gt;"",H352,IF(I352&lt;&gt;"",I352,IF(J352&lt;&gt;"",J352,K352)))</f>
        <v>7.28</v>
      </c>
      <c r="C352" s="3">
        <f>MEDIAN(H352:K352)</f>
        <v>6.140000000000001</v>
      </c>
      <c r="D352" s="3">
        <f>ROUND(C352*(1-Settings!$B$2),2)</f>
        <v>4.3</v>
      </c>
      <c r="E352" s="2" t="inlineStr">
        <is>
          <t>One Piece</t>
        </is>
      </c>
      <c r="F352" s="2" t="inlineStr">
        <is>
          <t>Pack</t>
        </is>
      </c>
      <c r="G352" s="2" t="inlineStr">
        <is>
          <t>One Piece Promotion Cards</t>
        </is>
      </c>
      <c r="H352" s="3" t="n"/>
      <c r="I352" s="3" t="n">
        <v>7.28</v>
      </c>
      <c r="J352" s="3" t="n"/>
      <c r="K352" s="3" t="n">
        <v>5</v>
      </c>
      <c r="L352" s="2" t="inlineStr">
        <is>
          <t>TCGplayer</t>
        </is>
      </c>
      <c r="N352" s="4" t="inlineStr">
        <is>
          <t>https://www.tcgplayer.com/product/653799</t>
        </is>
      </c>
    </row>
    <row r="353">
      <c r="A353" s="2" t="inlineStr">
        <is>
          <t>Winner Pack 2024 Oct.-Dec.</t>
        </is>
      </c>
      <c r="B353" s="3">
        <f>IF(H353&lt;&gt;"",H353,IF(I353&lt;&gt;"",I353,IF(J353&lt;&gt;"",J353,K353)))</f>
        <v>22.72</v>
      </c>
      <c r="C353" s="3">
        <f>MEDIAN(H353:K353)</f>
        <v>22.985</v>
      </c>
      <c r="D353" s="3">
        <f>ROUND(C353*(1-Settings!$B$2),2)</f>
        <v>16.09</v>
      </c>
      <c r="E353" s="2" t="inlineStr">
        <is>
          <t>One Piece</t>
        </is>
      </c>
      <c r="F353" s="2" t="inlineStr">
        <is>
          <t>Pack</t>
        </is>
      </c>
      <c r="G353" s="2" t="inlineStr">
        <is>
          <t>One Piece Promotion Cards</t>
        </is>
      </c>
      <c r="H353" s="3" t="n"/>
      <c r="I353" s="3" t="n">
        <v>22.72</v>
      </c>
      <c r="J353" s="3" t="n"/>
      <c r="K353" s="3" t="n">
        <v>23.25</v>
      </c>
      <c r="L353" s="2" t="inlineStr">
        <is>
          <t>TCGplayer</t>
        </is>
      </c>
      <c r="N353" s="4" t="inlineStr">
        <is>
          <t>https://www.tcgplayer.com/product/583732</t>
        </is>
      </c>
    </row>
    <row r="354">
      <c r="A354" s="2" t="inlineStr">
        <is>
          <t>Winner Pack 2025 Vol. 1</t>
        </is>
      </c>
      <c r="B354" s="3">
        <f>IF(H354&lt;&gt;"",H354,IF(I354&lt;&gt;"",I354,IF(J354&lt;&gt;"",J354,K354)))</f>
        <v>20.38</v>
      </c>
      <c r="C354" s="3">
        <f>MEDIAN(H354:K354)</f>
        <v>20.185</v>
      </c>
      <c r="D354" s="3">
        <f>ROUND(C354*(1-Settings!$B$2),2)</f>
        <v>14.13</v>
      </c>
      <c r="E354" s="2" t="inlineStr">
        <is>
          <t>One Piece</t>
        </is>
      </c>
      <c r="F354" s="2" t="inlineStr">
        <is>
          <t>Pack</t>
        </is>
      </c>
      <c r="G354" s="2" t="inlineStr">
        <is>
          <t>One Piece Promotion Cards</t>
        </is>
      </c>
      <c r="H354" s="3" t="n"/>
      <c r="I354" s="3" t="n">
        <v>20.38</v>
      </c>
      <c r="J354" s="3" t="n"/>
      <c r="K354" s="3" t="n">
        <v>19.99</v>
      </c>
      <c r="L354" s="2" t="inlineStr">
        <is>
          <t>TCGplayer</t>
        </is>
      </c>
      <c r="N354" s="4" t="inlineStr">
        <is>
          <t>https://www.tcgplayer.com/product/609715</t>
        </is>
      </c>
    </row>
    <row r="355">
      <c r="A355" s="2" t="inlineStr">
        <is>
          <t>Winner Pack 2025 Vol. 2</t>
        </is>
      </c>
      <c r="B355" s="3">
        <f>IF(H355&lt;&gt;"",H355,IF(I355&lt;&gt;"",I355,IF(J355&lt;&gt;"",J355,K355)))</f>
        <v>12.04</v>
      </c>
      <c r="C355" s="3">
        <f>MEDIAN(H355:K355)</f>
        <v>12.015</v>
      </c>
      <c r="D355" s="3">
        <f>ROUND(C355*(1-Settings!$B$2),2)</f>
        <v>8.41</v>
      </c>
      <c r="E355" s="2" t="inlineStr">
        <is>
          <t>One Piece</t>
        </is>
      </c>
      <c r="F355" s="2" t="inlineStr">
        <is>
          <t>Pack</t>
        </is>
      </c>
      <c r="G355" s="2" t="inlineStr">
        <is>
          <t>One Piece Promotion Cards</t>
        </is>
      </c>
      <c r="H355" s="3" t="n"/>
      <c r="I355" s="3" t="n">
        <v>12.04</v>
      </c>
      <c r="J355" s="3" t="n"/>
      <c r="K355" s="3" t="n">
        <v>11.99</v>
      </c>
      <c r="L355" s="2" t="inlineStr">
        <is>
          <t>TCGplayer</t>
        </is>
      </c>
      <c r="N355" s="4" t="inlineStr">
        <is>
          <t>https://www.tcgplayer.com/product/622590</t>
        </is>
      </c>
    </row>
    <row r="356">
      <c r="A356" s="2" t="inlineStr">
        <is>
          <t>Winner Pack 2025 Vol. 3</t>
        </is>
      </c>
      <c r="B356" s="3">
        <f>IF(H356&lt;&gt;"",H356,IF(I356&lt;&gt;"",I356,IF(J356&lt;&gt;"",J356,K356)))</f>
        <v>25.89</v>
      </c>
      <c r="C356" s="3">
        <f>MEDIAN(H356:K356)</f>
        <v>24.445</v>
      </c>
      <c r="D356" s="3">
        <f>ROUND(C356*(1-Settings!$B$2),2)</f>
        <v>17.11</v>
      </c>
      <c r="E356" s="2" t="inlineStr">
        <is>
          <t>One Piece</t>
        </is>
      </c>
      <c r="F356" s="2" t="inlineStr">
        <is>
          <t>Pack</t>
        </is>
      </c>
      <c r="G356" s="2" t="inlineStr">
        <is>
          <t>One Piece Promotion Cards</t>
        </is>
      </c>
      <c r="H356" s="3" t="n"/>
      <c r="I356" s="3" t="n">
        <v>25.89</v>
      </c>
      <c r="J356" s="3" t="n"/>
      <c r="K356" s="3" t="n">
        <v>23</v>
      </c>
      <c r="L356" s="2" t="inlineStr">
        <is>
          <t>TCGplayer</t>
        </is>
      </c>
      <c r="N356" s="4" t="inlineStr">
        <is>
          <t>https://www.tcgplayer.com/product/641167</t>
        </is>
      </c>
    </row>
    <row r="357">
      <c r="A357" s="2" t="inlineStr">
        <is>
          <t>Winner Pack 2025 Vol. 4</t>
        </is>
      </c>
      <c r="B357" s="3">
        <f>IF(H357&lt;&gt;"",H357,IF(I357&lt;&gt;"",I357,IF(J357&lt;&gt;"",J357,K357)))</f>
        <v>9.28</v>
      </c>
      <c r="C357" s="3">
        <f>MEDIAN(H357:K357)</f>
        <v>8.765</v>
      </c>
      <c r="D357" s="3">
        <f>ROUND(C357*(1-Settings!$B$2),2)</f>
        <v>6.14</v>
      </c>
      <c r="E357" s="2" t="inlineStr">
        <is>
          <t>One Piece</t>
        </is>
      </c>
      <c r="F357" s="2" t="inlineStr">
        <is>
          <t>Pack</t>
        </is>
      </c>
      <c r="G357" s="2" t="inlineStr">
        <is>
          <t>One Piece Promotion Cards</t>
        </is>
      </c>
      <c r="H357" s="3" t="n"/>
      <c r="I357" s="3" t="n">
        <v>9.279999999999999</v>
      </c>
      <c r="J357" s="3" t="n"/>
      <c r="K357" s="3" t="n">
        <v>8.25</v>
      </c>
      <c r="L357" s="2" t="inlineStr">
        <is>
          <t>TCGplayer</t>
        </is>
      </c>
      <c r="N357" s="4" t="inlineStr">
        <is>
          <t>https://www.tcgplayer.com/product/655959</t>
        </is>
      </c>
    </row>
    <row r="358">
      <c r="A358" s="2" t="inlineStr">
        <is>
          <t>Winner Pack 2026 Vol. 1</t>
        </is>
      </c>
      <c r="B358" s="3">
        <f>IF(H358&lt;&gt;"",H358,IF(I358&lt;&gt;"",I358,IF(J358&lt;&gt;"",J358,K358)))</f>
        <v>8.39</v>
      </c>
      <c r="C358" s="3">
        <f>MEDIAN(H358:K358)</f>
        <v>8.25</v>
      </c>
      <c r="D358" s="3">
        <f>ROUND(C358*(1-Settings!$B$2),2)</f>
        <v>5.78</v>
      </c>
      <c r="E358" s="2" t="inlineStr">
        <is>
          <t>One Piece</t>
        </is>
      </c>
      <c r="F358" s="2" t="inlineStr">
        <is>
          <t>Pack</t>
        </is>
      </c>
      <c r="G358" s="2" t="inlineStr">
        <is>
          <t>One Piece Promotion Cards</t>
        </is>
      </c>
      <c r="H358" s="3" t="n"/>
      <c r="I358" s="3" t="n">
        <v>8.390000000000001</v>
      </c>
      <c r="J358" s="3" t="n"/>
      <c r="K358" s="3" t="n">
        <v>8.109999999999999</v>
      </c>
      <c r="L358" s="2" t="inlineStr">
        <is>
          <t>TCGplayer</t>
        </is>
      </c>
      <c r="N358" s="4" t="inlineStr">
        <is>
          <t>https://www.tcgplayer.com/product/668184</t>
        </is>
      </c>
    </row>
    <row r="359">
      <c r="A359" s="2" t="inlineStr">
        <is>
          <t>Winner Pack 2026 Vol. 2</t>
        </is>
      </c>
      <c r="B359" s="3">
        <f>IF(H359&lt;&gt;"",H359,IF(I359&lt;&gt;"",I359,IF(J359&lt;&gt;"",J359,K359)))</f>
        <v>51.11</v>
      </c>
      <c r="C359" s="3">
        <f>MEDIAN(H359:K359)</f>
        <v>36.285</v>
      </c>
      <c r="D359" s="3">
        <f>ROUND(C359*(1-Settings!$B$2),2)</f>
        <v>25.4</v>
      </c>
      <c r="E359" s="2" t="inlineStr">
        <is>
          <t>One Piece</t>
        </is>
      </c>
      <c r="F359" s="2" t="inlineStr">
        <is>
          <t>Pack</t>
        </is>
      </c>
      <c r="G359" s="2" t="inlineStr">
        <is>
          <t>One Piece Promotion Cards</t>
        </is>
      </c>
      <c r="H359" s="3" t="n"/>
      <c r="I359" s="3" t="n">
        <v>51.11</v>
      </c>
      <c r="J359" s="3" t="n"/>
      <c r="K359" s="3" t="n">
        <v>21.46</v>
      </c>
      <c r="L359" s="2" t="inlineStr">
        <is>
          <t>TCGplayer</t>
        </is>
      </c>
      <c r="N359" s="4" t="inlineStr">
        <is>
          <t>https://www.tcgplayer.com/product/684301</t>
        </is>
      </c>
    </row>
    <row r="360">
      <c r="A360" s="2" t="inlineStr">
        <is>
          <t>Winner Pack 2026 Vol. 3</t>
        </is>
      </c>
      <c r="B360" s="3">
        <f>IF(H360&lt;&gt;"",H360,IF(I360&lt;&gt;"",I360,IF(J360&lt;&gt;"",J360,K360)))</f>
        <v>27.11</v>
      </c>
      <c r="C360" s="3">
        <f>MEDIAN(H360:K360)</f>
        <v>21.055</v>
      </c>
      <c r="D360" s="3">
        <f>ROUND(C360*(1-Settings!$B$2),2)</f>
        <v>14.74</v>
      </c>
      <c r="E360" s="2" t="inlineStr">
        <is>
          <t>One Piece</t>
        </is>
      </c>
      <c r="F360" s="2" t="inlineStr">
        <is>
          <t>Pack</t>
        </is>
      </c>
      <c r="G360" s="2" t="inlineStr">
        <is>
          <t>One Piece Promotion Cards</t>
        </is>
      </c>
      <c r="H360" s="3" t="n"/>
      <c r="I360" s="3" t="n">
        <v>27.11</v>
      </c>
      <c r="J360" s="3" t="n"/>
      <c r="K360" s="3" t="n">
        <v>15</v>
      </c>
      <c r="L360" s="2" t="inlineStr">
        <is>
          <t>TCGplayer</t>
        </is>
      </c>
      <c r="N360" s="4" t="inlineStr">
        <is>
          <t>https://www.tcgplayer.com/product/708461</t>
        </is>
      </c>
    </row>
    <row r="361">
      <c r="A361" s="2" t="inlineStr">
        <is>
          <t>Winner Pack Vol. 1</t>
        </is>
      </c>
      <c r="B361" s="3">
        <f>IF(H361&lt;&gt;"",H361,IF(I361&lt;&gt;"",I361,IF(J361&lt;&gt;"",J361,K361)))</f>
        <v>98.66</v>
      </c>
      <c r="C361" s="3">
        <f>MEDIAN(H361:K361)</f>
        <v>124.325</v>
      </c>
      <c r="D361" s="3">
        <f>ROUND(C361*(1-Settings!$B$2),2)</f>
        <v>87.03</v>
      </c>
      <c r="E361" s="2" t="inlineStr">
        <is>
          <t>One Piece</t>
        </is>
      </c>
      <c r="F361" s="2" t="inlineStr">
        <is>
          <t>Pack</t>
        </is>
      </c>
      <c r="G361" s="2" t="inlineStr">
        <is>
          <t>One Piece Promotion Cards</t>
        </is>
      </c>
      <c r="H361" s="3" t="n"/>
      <c r="I361" s="3" t="n">
        <v>98.66</v>
      </c>
      <c r="J361" s="3" t="n"/>
      <c r="K361" s="3" t="n">
        <v>149.99</v>
      </c>
      <c r="L361" s="2" t="inlineStr">
        <is>
          <t>TCGplayer</t>
        </is>
      </c>
      <c r="N361" s="4" t="inlineStr">
        <is>
          <t>https://www.tcgplayer.com/product/457017</t>
        </is>
      </c>
    </row>
    <row r="362">
      <c r="A362" s="2" t="inlineStr">
        <is>
          <t>Winner Pack Vol. 2</t>
        </is>
      </c>
      <c r="B362" s="3">
        <f>IF(H362&lt;&gt;"",H362,IF(I362&lt;&gt;"",I362,IF(J362&lt;&gt;"",J362,K362)))</f>
        <v>27.0</v>
      </c>
      <c r="C362" s="3">
        <f>MEDIAN(H362:K362)</f>
        <v>24.5</v>
      </c>
      <c r="D362" s="3">
        <f>ROUND(C362*(1-Settings!$B$2),2)</f>
        <v>17.15</v>
      </c>
      <c r="E362" s="2" t="inlineStr">
        <is>
          <t>One Piece</t>
        </is>
      </c>
      <c r="F362" s="2" t="inlineStr">
        <is>
          <t>Pack</t>
        </is>
      </c>
      <c r="G362" s="2" t="inlineStr">
        <is>
          <t>One Piece Promotion Cards</t>
        </is>
      </c>
      <c r="H362" s="3" t="n"/>
      <c r="I362" s="3" t="n">
        <v>27</v>
      </c>
      <c r="J362" s="3" t="n"/>
      <c r="K362" s="3" t="n">
        <v>22</v>
      </c>
      <c r="L362" s="2" t="inlineStr">
        <is>
          <t>TCGplayer</t>
        </is>
      </c>
      <c r="N362" s="4" t="inlineStr">
        <is>
          <t>https://www.tcgplayer.com/product/483164</t>
        </is>
      </c>
    </row>
    <row r="363">
      <c r="A363" s="2" t="inlineStr">
        <is>
          <t>Winner Pack Vol. 3</t>
        </is>
      </c>
      <c r="B363" s="3">
        <f>IF(H363&lt;&gt;"",H363,IF(I363&lt;&gt;"",I363,IF(J363&lt;&gt;"",J363,K363)))</f>
        <v>90.56</v>
      </c>
      <c r="C363" s="3">
        <f>MEDIAN(H363:K363)</f>
        <v>85.28</v>
      </c>
      <c r="D363" s="3">
        <f>ROUND(C363*(1-Settings!$B$2),2)</f>
        <v>59.7</v>
      </c>
      <c r="E363" s="2" t="inlineStr">
        <is>
          <t>One Piece</t>
        </is>
      </c>
      <c r="F363" s="2" t="inlineStr">
        <is>
          <t>Pack</t>
        </is>
      </c>
      <c r="G363" s="2" t="inlineStr">
        <is>
          <t>One Piece Promotion Cards</t>
        </is>
      </c>
      <c r="H363" s="3" t="n"/>
      <c r="I363" s="3" t="n">
        <v>90.56</v>
      </c>
      <c r="J363" s="3" t="n"/>
      <c r="K363" s="3" t="n">
        <v>80</v>
      </c>
      <c r="L363" s="2" t="inlineStr">
        <is>
          <t>TCGplayer</t>
        </is>
      </c>
      <c r="N363" s="4" t="inlineStr">
        <is>
          <t>https://www.tcgplayer.com/product/497008</t>
        </is>
      </c>
    </row>
    <row r="364">
      <c r="A364" s="2" t="inlineStr">
        <is>
          <t>Winner Pack Vol. 4</t>
        </is>
      </c>
      <c r="B364" s="3">
        <f>IF(H364&lt;&gt;"",H364,IF(I364&lt;&gt;"",I364,IF(J364&lt;&gt;"",J364,K364)))</f>
        <v>32.05</v>
      </c>
      <c r="C364" s="3">
        <f>MEDIAN(H364:K364)</f>
        <v>33.519999999999996</v>
      </c>
      <c r="D364" s="3">
        <f>ROUND(C364*(1-Settings!$B$2),2)</f>
        <v>23.46</v>
      </c>
      <c r="E364" s="2" t="inlineStr">
        <is>
          <t>One Piece</t>
        </is>
      </c>
      <c r="F364" s="2" t="inlineStr">
        <is>
          <t>Pack</t>
        </is>
      </c>
      <c r="G364" s="2" t="inlineStr">
        <is>
          <t>One Piece Promotion Cards</t>
        </is>
      </c>
      <c r="H364" s="3" t="n"/>
      <c r="I364" s="3" t="n">
        <v>32.05</v>
      </c>
      <c r="J364" s="3" t="n"/>
      <c r="K364" s="3" t="n">
        <v>34.99</v>
      </c>
      <c r="L364" s="2" t="inlineStr">
        <is>
          <t>TCGplayer</t>
        </is>
      </c>
      <c r="N364" s="4" t="inlineStr">
        <is>
          <t>https://www.tcgplayer.com/product/503252</t>
        </is>
      </c>
    </row>
    <row r="365">
      <c r="A365" s="2" t="inlineStr">
        <is>
          <t>Winner Pack Vol. 5</t>
        </is>
      </c>
      <c r="B365" s="3">
        <f>IF(H365&lt;&gt;"",H365,IF(I365&lt;&gt;"",I365,IF(J365&lt;&gt;"",J365,K365)))</f>
        <v>42.17</v>
      </c>
      <c r="C365" s="3">
        <f>MEDIAN(H365:K365)</f>
        <v>46.0</v>
      </c>
      <c r="D365" s="3">
        <f>ROUND(C365*(1-Settings!$B$2),2)</f>
        <v>32.2</v>
      </c>
      <c r="E365" s="2" t="inlineStr">
        <is>
          <t>One Piece</t>
        </is>
      </c>
      <c r="F365" s="2" t="inlineStr">
        <is>
          <t>Pack</t>
        </is>
      </c>
      <c r="G365" s="2" t="inlineStr">
        <is>
          <t>One Piece Promotion Cards</t>
        </is>
      </c>
      <c r="H365" s="3" t="n"/>
      <c r="I365" s="3" t="n">
        <v>42.17</v>
      </c>
      <c r="J365" s="3" t="n"/>
      <c r="K365" s="3" t="n">
        <v>49.83</v>
      </c>
      <c r="L365" s="2" t="inlineStr">
        <is>
          <t>TCGplayer</t>
        </is>
      </c>
      <c r="N365" s="4" t="inlineStr">
        <is>
          <t>https://www.tcgplayer.com/product/519831</t>
        </is>
      </c>
    </row>
    <row r="366">
      <c r="A366" s="2" t="inlineStr">
        <is>
          <t>Winner Pack Vol. 6</t>
        </is>
      </c>
      <c r="B366" s="3">
        <f>IF(H366&lt;&gt;"",H366,IF(I366&lt;&gt;"",I366,IF(J366&lt;&gt;"",J366,K366)))</f>
        <v>16.39</v>
      </c>
      <c r="C366" s="3">
        <f>MEDIAN(H366:K366)</f>
        <v>16.145</v>
      </c>
      <c r="D366" s="3">
        <f>ROUND(C366*(1-Settings!$B$2),2)</f>
        <v>11.3</v>
      </c>
      <c r="E366" s="2" t="inlineStr">
        <is>
          <t>One Piece</t>
        </is>
      </c>
      <c r="F366" s="2" t="inlineStr">
        <is>
          <t>Pack</t>
        </is>
      </c>
      <c r="G366" s="2" t="inlineStr">
        <is>
          <t>One Piece Promotion Cards</t>
        </is>
      </c>
      <c r="H366" s="3" t="n"/>
      <c r="I366" s="3" t="n">
        <v>16.39</v>
      </c>
      <c r="J366" s="3" t="n"/>
      <c r="K366" s="3" t="n">
        <v>15.9</v>
      </c>
      <c r="L366" s="2" t="inlineStr">
        <is>
          <t>TCGplayer</t>
        </is>
      </c>
      <c r="N366" s="4" t="inlineStr">
        <is>
          <t>https://www.tcgplayer.com/product/537449</t>
        </is>
      </c>
    </row>
    <row r="367">
      <c r="A367" s="2" t="inlineStr">
        <is>
          <t>Winner Pack Vol. 7</t>
        </is>
      </c>
      <c r="B367" s="3">
        <f>IF(H367&lt;&gt;"",H367,IF(I367&lt;&gt;"",I367,IF(J367&lt;&gt;"",J367,K367)))</f>
        <v>12.02</v>
      </c>
      <c r="C367" s="3">
        <f>MEDIAN(H367:K367)</f>
        <v>11.475</v>
      </c>
      <c r="D367" s="3">
        <f>ROUND(C367*(1-Settings!$B$2),2)</f>
        <v>8.03</v>
      </c>
      <c r="E367" s="2" t="inlineStr">
        <is>
          <t>One Piece</t>
        </is>
      </c>
      <c r="F367" s="2" t="inlineStr">
        <is>
          <t>Pack</t>
        </is>
      </c>
      <c r="G367" s="2" t="inlineStr">
        <is>
          <t>One Piece Promotion Cards</t>
        </is>
      </c>
      <c r="H367" s="3" t="n"/>
      <c r="I367" s="3" t="n">
        <v>12.02</v>
      </c>
      <c r="J367" s="3" t="n"/>
      <c r="K367" s="3" t="n">
        <v>10.93</v>
      </c>
      <c r="L367" s="2" t="inlineStr">
        <is>
          <t>TCGplayer</t>
        </is>
      </c>
      <c r="N367" s="4" t="inlineStr">
        <is>
          <t>https://www.tcgplayer.com/product/548441</t>
        </is>
      </c>
    </row>
    <row r="368">
      <c r="A368" s="2" t="inlineStr">
        <is>
          <t>Paramount War - Booster Pack</t>
        </is>
      </c>
      <c r="B368" s="3">
        <f>IF(H368&lt;&gt;"",H368,IF(I368&lt;&gt;"",I368,IF(J368&lt;&gt;"",J368,K368)))</f>
        <v>32.5</v>
      </c>
      <c r="C368" s="3">
        <f>MEDIAN(H368:K368)</f>
        <v>25.07</v>
      </c>
      <c r="D368" s="3">
        <f>ROUND(C368*(1-Settings!$B$2),2)</f>
        <v>17.55</v>
      </c>
      <c r="E368" s="2" t="inlineStr">
        <is>
          <t>One Piece</t>
        </is>
      </c>
      <c r="F368" s="2" t="inlineStr">
        <is>
          <t>Pack</t>
        </is>
      </c>
      <c r="G368" s="2" t="inlineStr">
        <is>
          <t>Paramount War</t>
        </is>
      </c>
      <c r="H368" s="3" t="n">
        <v>32.5</v>
      </c>
      <c r="I368" s="3" t="n">
        <v>25.07</v>
      </c>
      <c r="J368" s="3" t="n"/>
      <c r="K368" s="3" t="n">
        <v>24.99</v>
      </c>
      <c r="L368" s="2" t="inlineStr">
        <is>
          <t>PriceCharting + TCGplayer</t>
        </is>
      </c>
      <c r="M368" s="4" t="inlineStr">
        <is>
          <t>https://www.pricecharting.com/game/one-piece-paramount-war/booster-pack</t>
        </is>
      </c>
      <c r="N368" s="4" t="inlineStr">
        <is>
          <t>https://www.tcgplayer.com/product/455865</t>
        </is>
      </c>
    </row>
    <row r="369">
      <c r="A369" s="2" t="inlineStr">
        <is>
          <t>Paramount War - Sleeved Booster Pack</t>
        </is>
      </c>
      <c r="B369" s="3">
        <f>IF(H369&lt;&gt;"",H369,IF(I369&lt;&gt;"",I369,IF(J369&lt;&gt;"",J369,K369)))</f>
        <v>32.52</v>
      </c>
      <c r="C369" s="3">
        <f>MEDIAN(H369:K369)</f>
        <v>32.17</v>
      </c>
      <c r="D369" s="3">
        <f>ROUND(C369*(1-Settings!$B$2),2)</f>
        <v>22.52</v>
      </c>
      <c r="E369" s="2" t="inlineStr">
        <is>
          <t>One Piece</t>
        </is>
      </c>
      <c r="F369" s="2" t="inlineStr">
        <is>
          <t>Pack</t>
        </is>
      </c>
      <c r="G369" s="2" t="inlineStr">
        <is>
          <t>Paramount War</t>
        </is>
      </c>
      <c r="H369" s="3" t="n">
        <v>32.52</v>
      </c>
      <c r="I369" s="3" t="n">
        <v>31.86</v>
      </c>
      <c r="J369" s="3" t="n"/>
      <c r="K369" s="3" t="n">
        <v>32.17</v>
      </c>
      <c r="L369" s="2" t="inlineStr">
        <is>
          <t>PriceCharting + TCGplayer</t>
        </is>
      </c>
      <c r="M369" s="4" t="inlineStr">
        <is>
          <t>https://www.pricecharting.com/game/one-piece-paramount-war/sleeved-booster-pack</t>
        </is>
      </c>
      <c r="N369" s="4" t="inlineStr">
        <is>
          <t>https://www.tcgplayer.com/product/531775</t>
        </is>
      </c>
    </row>
    <row r="370">
      <c r="A370" s="2" t="inlineStr">
        <is>
          <t>Paramount War Pre-Release Pack</t>
        </is>
      </c>
      <c r="B370" s="3">
        <f>IF(H370&lt;&gt;"",H370,IF(I370&lt;&gt;"",I370,IF(J370&lt;&gt;"",J370,K370)))</f>
        <v>13.87</v>
      </c>
      <c r="C370" s="3">
        <f>MEDIAN(H370:K370)</f>
        <v>13.87</v>
      </c>
      <c r="D370" s="3">
        <f>ROUND(C370*(1-Settings!$B$2),2)</f>
        <v>9.71</v>
      </c>
      <c r="E370" s="2" t="inlineStr">
        <is>
          <t>One Piece</t>
        </is>
      </c>
      <c r="F370" s="2" t="inlineStr">
        <is>
          <t>Pack</t>
        </is>
      </c>
      <c r="G370" s="2" t="inlineStr">
        <is>
          <t>Paramount War</t>
        </is>
      </c>
      <c r="H370" s="3" t="n">
        <v>13.87</v>
      </c>
      <c r="I370" s="3" t="n"/>
      <c r="J370" s="3" t="n"/>
      <c r="K370" s="3" t="n"/>
      <c r="L370" s="2" t="inlineStr">
        <is>
          <t>PriceCharting</t>
        </is>
      </c>
      <c r="M370" s="4" t="inlineStr">
        <is>
          <t>https://www.pricecharting.com/game/one-piece-paramount-war/paramount-war-pre-release-pack</t>
        </is>
      </c>
    </row>
    <row r="371">
      <c r="A371" s="2" t="inlineStr">
        <is>
          <t>Revision Pack</t>
        </is>
      </c>
      <c r="B371" s="3">
        <f>IF(H371&lt;&gt;"",H371,IF(I371&lt;&gt;"",I371,IF(J371&lt;&gt;"",J371,K371)))</f>
        <v>9.33</v>
      </c>
      <c r="C371" s="3">
        <f>MEDIAN(H371:K371)</f>
        <v>9.27</v>
      </c>
      <c r="D371" s="3">
        <f>ROUND(C371*(1-Settings!$B$2),2)</f>
        <v>6.49</v>
      </c>
      <c r="E371" s="2" t="inlineStr">
        <is>
          <t>One Piece</t>
        </is>
      </c>
      <c r="F371" s="2" t="inlineStr">
        <is>
          <t>Pack</t>
        </is>
      </c>
      <c r="G371" s="2" t="inlineStr">
        <is>
          <t>Paramount War</t>
        </is>
      </c>
      <c r="H371" s="3" t="n">
        <v>9.33</v>
      </c>
      <c r="I371" s="3" t="n">
        <v>9.27</v>
      </c>
      <c r="J371" s="3" t="n"/>
      <c r="K371" s="3" t="n">
        <v>3</v>
      </c>
      <c r="L371" s="2" t="inlineStr">
        <is>
          <t>PriceCharting + TCGplayer</t>
        </is>
      </c>
      <c r="M371" s="4" t="inlineStr">
        <is>
          <t>https://www.pricecharting.com/game/one-piece-paramount-war/revision-pack</t>
        </is>
      </c>
      <c r="N371" s="4" t="inlineStr">
        <is>
          <t>https://www.tcgplayer.com/product/487126</t>
        </is>
      </c>
    </row>
    <row r="372">
      <c r="A372" s="2" t="inlineStr">
        <is>
          <t>Paramount War - Pre-Release Pack</t>
        </is>
      </c>
      <c r="B372" s="3">
        <f>IF(H372&lt;&gt;"",H372,IF(I372&lt;&gt;"",I372,IF(J372&lt;&gt;"",J372,K372)))</f>
        <v>50.43</v>
      </c>
      <c r="C372" s="3">
        <f>MEDIAN(H372:K372)</f>
        <v>45.21</v>
      </c>
      <c r="D372" s="3">
        <f>ROUND(C372*(1-Settings!$B$2),2)</f>
        <v>31.65</v>
      </c>
      <c r="E372" s="2" t="inlineStr">
        <is>
          <t>One Piece</t>
        </is>
      </c>
      <c r="F372" s="2" t="inlineStr">
        <is>
          <t>Pack</t>
        </is>
      </c>
      <c r="G372" s="2" t="inlineStr">
        <is>
          <t>Paramount War Pre-Release Cards</t>
        </is>
      </c>
      <c r="H372" s="3" t="n"/>
      <c r="I372" s="3" t="n">
        <v>50.43</v>
      </c>
      <c r="J372" s="3" t="n"/>
      <c r="K372" s="3" t="n">
        <v>39.99</v>
      </c>
      <c r="L372" s="2" t="inlineStr">
        <is>
          <t>TCGplayer</t>
        </is>
      </c>
      <c r="N372" s="4" t="inlineStr">
        <is>
          <t>https://www.tcgplayer.com/product/482217</t>
        </is>
      </c>
    </row>
    <row r="373">
      <c r="A373" s="2" t="inlineStr">
        <is>
          <t>Pillars of Strength - Booster Pack</t>
        </is>
      </c>
      <c r="B373" s="3">
        <f>IF(H373&lt;&gt;"",H373,IF(I373&lt;&gt;"",I373,IF(J373&lt;&gt;"",J373,K373)))</f>
        <v>35.63</v>
      </c>
      <c r="C373" s="3">
        <f>MEDIAN(H373:K373)</f>
        <v>13.98</v>
      </c>
      <c r="D373" s="3">
        <f>ROUND(C373*(1-Settings!$B$2),2)</f>
        <v>9.79</v>
      </c>
      <c r="E373" s="2" t="inlineStr">
        <is>
          <t>One Piece</t>
        </is>
      </c>
      <c r="F373" s="2" t="inlineStr">
        <is>
          <t>Pack</t>
        </is>
      </c>
      <c r="G373" s="2" t="inlineStr">
        <is>
          <t>Pillars of Strength</t>
        </is>
      </c>
      <c r="H373" s="3" t="n">
        <v>35.63</v>
      </c>
      <c r="I373" s="3" t="n">
        <v>13.2</v>
      </c>
      <c r="J373" s="3" t="n"/>
      <c r="K373" s="3" t="n">
        <v>13.98</v>
      </c>
      <c r="L373" s="2" t="inlineStr">
        <is>
          <t>PriceCharting + TCGplayer</t>
        </is>
      </c>
      <c r="M373" s="4" t="inlineStr">
        <is>
          <t>https://www.pricecharting.com/game/one-piece-pillars-of-strength/booster-pack</t>
        </is>
      </c>
      <c r="N373" s="4" t="inlineStr">
        <is>
          <t>https://www.tcgplayer.com/product/477175</t>
        </is>
      </c>
    </row>
    <row r="374">
      <c r="A374" s="2" t="inlineStr">
        <is>
          <t>Pillars of Strength - Sleeved Booster Pack</t>
        </is>
      </c>
      <c r="B374" s="3">
        <f>IF(H374&lt;&gt;"",H374,IF(I374&lt;&gt;"",I374,IF(J374&lt;&gt;"",J374,K374)))</f>
        <v>35.72</v>
      </c>
      <c r="C374" s="3">
        <f>MEDIAN(H374:K374)</f>
        <v>37.38</v>
      </c>
      <c r="D374" s="3">
        <f>ROUND(C374*(1-Settings!$B$2),2)</f>
        <v>26.17</v>
      </c>
      <c r="E374" s="2" t="inlineStr">
        <is>
          <t>One Piece</t>
        </is>
      </c>
      <c r="F374" s="2" t="inlineStr">
        <is>
          <t>Pack</t>
        </is>
      </c>
      <c r="G374" s="2" t="inlineStr">
        <is>
          <t>Pillars of Strength</t>
        </is>
      </c>
      <c r="H374" s="3" t="n">
        <v>35.72</v>
      </c>
      <c r="I374" s="3" t="n">
        <v>37.38</v>
      </c>
      <c r="J374" s="3" t="n"/>
      <c r="K374" s="3" t="n">
        <v>49.97</v>
      </c>
      <c r="L374" s="2" t="inlineStr">
        <is>
          <t>PriceCharting + TCGplayer</t>
        </is>
      </c>
      <c r="M374" s="4" t="inlineStr">
        <is>
          <t>https://www.pricecharting.com/game/one-piece-pillars-of-strength/sleeved-booster-pack</t>
        </is>
      </c>
      <c r="N374" s="4" t="inlineStr">
        <is>
          <t>https://www.tcgplayer.com/product/531776</t>
        </is>
      </c>
    </row>
    <row r="375">
      <c r="A375" s="2" t="inlineStr">
        <is>
          <t>Pillars of Strength Pre-Release Pack</t>
        </is>
      </c>
      <c r="B375" s="3">
        <f>IF(H375&lt;&gt;"",H375,IF(I375&lt;&gt;"",I375,IF(J375&lt;&gt;"",J375,K375)))</f>
        <v>58.42</v>
      </c>
      <c r="C375" s="3">
        <f>MEDIAN(H375:K375)</f>
        <v>58.42</v>
      </c>
      <c r="D375" s="3">
        <f>ROUND(C375*(1-Settings!$B$2),2)</f>
        <v>40.89</v>
      </c>
      <c r="E375" s="2" t="inlineStr">
        <is>
          <t>One Piece</t>
        </is>
      </c>
      <c r="F375" s="2" t="inlineStr">
        <is>
          <t>Pack</t>
        </is>
      </c>
      <c r="G375" s="2" t="inlineStr">
        <is>
          <t>Pillars Of Strength</t>
        </is>
      </c>
      <c r="H375" s="3" t="n">
        <v>58.42</v>
      </c>
      <c r="I375" s="3" t="n"/>
      <c r="J375" s="3" t="n"/>
      <c r="K375" s="3" t="n"/>
      <c r="L375" s="2" t="inlineStr">
        <is>
          <t>PriceCharting</t>
        </is>
      </c>
      <c r="M375" s="4" t="inlineStr">
        <is>
          <t>https://www.pricecharting.com/game/one-piece-pillars-of-strength/pillars-of-strength-pre-release-pack</t>
        </is>
      </c>
    </row>
    <row r="376">
      <c r="A376" s="2" t="inlineStr">
        <is>
          <t>Pillars of Strength - Pre-Release Pack</t>
        </is>
      </c>
      <c r="B376" s="3">
        <f>IF(H376&lt;&gt;"",H376,IF(I376&lt;&gt;"",I376,IF(J376&lt;&gt;"",J376,K376)))</f>
        <v>19.18</v>
      </c>
      <c r="C376" s="3">
        <f>MEDIAN(H376:K376)</f>
        <v>17.58</v>
      </c>
      <c r="D376" s="3">
        <f>ROUND(C376*(1-Settings!$B$2),2)</f>
        <v>12.31</v>
      </c>
      <c r="E376" s="2" t="inlineStr">
        <is>
          <t>One Piece</t>
        </is>
      </c>
      <c r="F376" s="2" t="inlineStr">
        <is>
          <t>Pack</t>
        </is>
      </c>
      <c r="G376" s="2" t="inlineStr">
        <is>
          <t>Pillars of Strength Pre-Release Cards</t>
        </is>
      </c>
      <c r="H376" s="3" t="n"/>
      <c r="I376" s="3" t="n">
        <v>19.18</v>
      </c>
      <c r="J376" s="3" t="n"/>
      <c r="K376" s="3" t="n">
        <v>15.98</v>
      </c>
      <c r="L376" s="2" t="inlineStr">
        <is>
          <t>TCGplayer</t>
        </is>
      </c>
      <c r="N376" s="4" t="inlineStr">
        <is>
          <t>https://www.tcgplayer.com/product/502624</t>
        </is>
      </c>
    </row>
    <row r="377">
      <c r="A377" s="2" t="inlineStr">
        <is>
          <t>Premium Booster Pack [PRB01]</t>
        </is>
      </c>
      <c r="B377" s="3">
        <f>IF(H377&lt;&gt;"",H377,IF(I377&lt;&gt;"",I377,IF(J377&lt;&gt;"",J377,K377)))</f>
        <v>32.38</v>
      </c>
      <c r="C377" s="3">
        <f>MEDIAN(H377:K377)</f>
        <v>32.38</v>
      </c>
      <c r="D377" s="3">
        <f>ROUND(C377*(1-Settings!$B$2),2)</f>
        <v>22.67</v>
      </c>
      <c r="E377" s="2" t="inlineStr">
        <is>
          <t>One Piece</t>
        </is>
      </c>
      <c r="F377" s="2" t="inlineStr">
        <is>
          <t>Pack</t>
        </is>
      </c>
      <c r="G377" s="2" t="inlineStr">
        <is>
          <t>Premium Booster</t>
        </is>
      </c>
      <c r="H377" s="3" t="n">
        <v>32.38</v>
      </c>
      <c r="I377" s="3" t="n"/>
      <c r="J377" s="3" t="n"/>
      <c r="K377" s="3" t="n"/>
      <c r="L377" s="2" t="inlineStr">
        <is>
          <t>PriceCharting</t>
        </is>
      </c>
      <c r="M377" s="4" t="inlineStr">
        <is>
          <t>https://www.pricecharting.com/game/one-piece-premium-booster/premium-booster-pack-prb01</t>
        </is>
      </c>
    </row>
    <row r="378">
      <c r="A378" s="2" t="inlineStr">
        <is>
          <t>Premium Booster Sleeved Booster Pack</t>
        </is>
      </c>
      <c r="B378" s="3">
        <f>IF(H378&lt;&gt;"",H378,IF(I378&lt;&gt;"",I378,IF(J378&lt;&gt;"",J378,K378)))</f>
        <v>55.1</v>
      </c>
      <c r="C378" s="3">
        <f>MEDIAN(H378:K378)</f>
        <v>55.1</v>
      </c>
      <c r="D378" s="3">
        <f>ROUND(C378*(1-Settings!$B$2),2)</f>
        <v>38.57</v>
      </c>
      <c r="E378" s="2" t="inlineStr">
        <is>
          <t>One Piece</t>
        </is>
      </c>
      <c r="F378" s="2" t="inlineStr">
        <is>
          <t>Pack</t>
        </is>
      </c>
      <c r="G378" s="2" t="inlineStr">
        <is>
          <t>Premium Booster</t>
        </is>
      </c>
      <c r="H378" s="3" t="n">
        <v>55.1</v>
      </c>
      <c r="I378" s="3" t="n"/>
      <c r="J378" s="3" t="n"/>
      <c r="K378" s="3" t="n"/>
      <c r="L378" s="2" t="inlineStr">
        <is>
          <t>PriceCharting</t>
        </is>
      </c>
      <c r="M378" s="4" t="inlineStr">
        <is>
          <t>https://www.pricecharting.com/game/one-piece-premium-booster/sleeved-booster-pack</t>
        </is>
      </c>
    </row>
    <row r="379">
      <c r="A379" s="2" t="inlineStr">
        <is>
          <t>Premium Booster - Booster Pack</t>
        </is>
      </c>
      <c r="B379" s="3">
        <f>IF(H379&lt;&gt;"",H379,IF(I379&lt;&gt;"",I379,IF(J379&lt;&gt;"",J379,K379)))</f>
        <v>32.82</v>
      </c>
      <c r="C379" s="3">
        <f>MEDIAN(H379:K379)</f>
        <v>31.405</v>
      </c>
      <c r="D379" s="3">
        <f>ROUND(C379*(1-Settings!$B$2),2)</f>
        <v>21.98</v>
      </c>
      <c r="E379" s="2" t="inlineStr">
        <is>
          <t>One Piece</t>
        </is>
      </c>
      <c r="F379" s="2" t="inlineStr">
        <is>
          <t>Pack</t>
        </is>
      </c>
      <c r="G379" s="2" t="inlineStr">
        <is>
          <t>Premium Booster -The Best-</t>
        </is>
      </c>
      <c r="H379" s="3" t="n"/>
      <c r="I379" s="3" t="n">
        <v>32.82</v>
      </c>
      <c r="J379" s="3" t="n"/>
      <c r="K379" s="3" t="n">
        <v>29.99</v>
      </c>
      <c r="L379" s="2" t="inlineStr">
        <is>
          <t>TCGplayer</t>
        </is>
      </c>
      <c r="N379" s="4" t="inlineStr">
        <is>
          <t>https://www.tcgplayer.com/product/545398</t>
        </is>
      </c>
    </row>
    <row r="380">
      <c r="A380" s="2" t="inlineStr">
        <is>
          <t>Premium Booster - Sleeved Booster Pack</t>
        </is>
      </c>
      <c r="B380" s="3">
        <f>IF(H380&lt;&gt;"",H380,IF(I380&lt;&gt;"",I380,IF(J380&lt;&gt;"",J380,K380)))</f>
        <v>56.57</v>
      </c>
      <c r="C380" s="3">
        <f>MEDIAN(H380:K380)</f>
        <v>55.445</v>
      </c>
      <c r="D380" s="3">
        <f>ROUND(C380*(1-Settings!$B$2),2)</f>
        <v>38.81</v>
      </c>
      <c r="E380" s="2" t="inlineStr">
        <is>
          <t>One Piece</t>
        </is>
      </c>
      <c r="F380" s="2" t="inlineStr">
        <is>
          <t>Pack</t>
        </is>
      </c>
      <c r="G380" s="2" t="inlineStr">
        <is>
          <t>Premium Booster -The Best-</t>
        </is>
      </c>
      <c r="H380" s="3" t="n"/>
      <c r="I380" s="3" t="n">
        <v>56.57</v>
      </c>
      <c r="J380" s="3" t="n"/>
      <c r="K380" s="3" t="n">
        <v>54.32</v>
      </c>
      <c r="L380" s="2" t="inlineStr">
        <is>
          <t>TCGplayer</t>
        </is>
      </c>
      <c r="N380" s="4" t="inlineStr">
        <is>
          <t>https://www.tcgplayer.com/product/622980</t>
        </is>
      </c>
    </row>
    <row r="381">
      <c r="A381" s="2" t="inlineStr">
        <is>
          <t>Premium Booster Vol. 2 - Booster Pack</t>
        </is>
      </c>
      <c r="B381" s="3">
        <f>IF(H381&lt;&gt;"",H381,IF(I381&lt;&gt;"",I381,IF(J381&lt;&gt;"",J381,K381)))</f>
        <v>13.11</v>
      </c>
      <c r="C381" s="3">
        <f>MEDIAN(H381:K381)</f>
        <v>11.05</v>
      </c>
      <c r="D381" s="3">
        <f>ROUND(C381*(1-Settings!$B$2),2)</f>
        <v>7.74</v>
      </c>
      <c r="E381" s="2" t="inlineStr">
        <is>
          <t>One Piece</t>
        </is>
      </c>
      <c r="F381" s="2" t="inlineStr">
        <is>
          <t>Pack</t>
        </is>
      </c>
      <c r="G381" s="2" t="inlineStr">
        <is>
          <t>Premium Booster -The Best- Vol. 2</t>
        </is>
      </c>
      <c r="H381" s="3" t="n"/>
      <c r="I381" s="3" t="n">
        <v>13.11</v>
      </c>
      <c r="J381" s="3" t="n"/>
      <c r="K381" s="3" t="n">
        <v>8.99</v>
      </c>
      <c r="L381" s="2" t="inlineStr">
        <is>
          <t>TCGplayer</t>
        </is>
      </c>
      <c r="N381" s="4" t="inlineStr">
        <is>
          <t>https://www.tcgplayer.com/product/628451</t>
        </is>
      </c>
    </row>
    <row r="382">
      <c r="A382" s="2" t="inlineStr">
        <is>
          <t>Premium Booster Vol. 2 - Sleeved Booster Pack</t>
        </is>
      </c>
      <c r="B382" s="3">
        <f>IF(H382&lt;&gt;"",H382,IF(I382&lt;&gt;"",I382,IF(J382&lt;&gt;"",J382,K382)))</f>
        <v>26.2</v>
      </c>
      <c r="C382" s="3">
        <f>MEDIAN(H382:K382)</f>
        <v>26.2</v>
      </c>
      <c r="D382" s="3">
        <f>ROUND(C382*(1-Settings!$B$2),2)</f>
        <v>18.34</v>
      </c>
      <c r="E382" s="2" t="inlineStr">
        <is>
          <t>One Piece</t>
        </is>
      </c>
      <c r="F382" s="2" t="inlineStr">
        <is>
          <t>Pack</t>
        </is>
      </c>
      <c r="G382" s="2" t="inlineStr">
        <is>
          <t>Premium Booster -The Best- Vol. 2</t>
        </is>
      </c>
      <c r="H382" s="3" t="n"/>
      <c r="I382" s="3" t="n">
        <v>26.2</v>
      </c>
      <c r="J382" s="3" t="n"/>
      <c r="K382" s="3" t="n">
        <v>26.2</v>
      </c>
      <c r="L382" s="2" t="inlineStr">
        <is>
          <t>TCGplayer</t>
        </is>
      </c>
      <c r="N382" s="4" t="inlineStr">
        <is>
          <t>https://www.tcgplayer.com/product/657211</t>
        </is>
      </c>
    </row>
    <row r="383">
      <c r="A383" s="2" t="inlineStr">
        <is>
          <t>Premium Booster 2 Booster Pack</t>
        </is>
      </c>
      <c r="B383" s="3">
        <f>IF(H383&lt;&gt;"",H383,IF(I383&lt;&gt;"",I383,IF(J383&lt;&gt;"",J383,K383)))</f>
        <v>27.67</v>
      </c>
      <c r="C383" s="3">
        <f>MEDIAN(H383:K383)</f>
        <v>27.67</v>
      </c>
      <c r="D383" s="3">
        <f>ROUND(C383*(1-Settings!$B$2),2)</f>
        <v>19.37</v>
      </c>
      <c r="E383" s="2" t="inlineStr">
        <is>
          <t>One Piece</t>
        </is>
      </c>
      <c r="F383" s="2" t="inlineStr">
        <is>
          <t>Pack</t>
        </is>
      </c>
      <c r="G383" s="2" t="inlineStr">
        <is>
          <t>Premium Booster 2</t>
        </is>
      </c>
      <c r="H383" s="3" t="n">
        <v>27.67</v>
      </c>
      <c r="I383" s="3" t="n"/>
      <c r="J383" s="3" t="n"/>
      <c r="K383" s="3" t="n"/>
      <c r="L383" s="2" t="inlineStr">
        <is>
          <t>PriceCharting</t>
        </is>
      </c>
      <c r="M383" s="4" t="inlineStr">
        <is>
          <t>https://www.pricecharting.com/game/one-piece-premium-booster-2/booster-pack</t>
        </is>
      </c>
    </row>
    <row r="384">
      <c r="A384" s="2" t="inlineStr">
        <is>
          <t>Premium Booster 2 Sleeved Booster Pack</t>
        </is>
      </c>
      <c r="B384" s="3">
        <f>IF(H384&lt;&gt;"",H384,IF(I384&lt;&gt;"",I384,IF(J384&lt;&gt;"",J384,K384)))</f>
        <v>27.65</v>
      </c>
      <c r="C384" s="3">
        <f>MEDIAN(H384:K384)</f>
        <v>27.65</v>
      </c>
      <c r="D384" s="3">
        <f>ROUND(C384*(1-Settings!$B$2),2)</f>
        <v>19.36</v>
      </c>
      <c r="E384" s="2" t="inlineStr">
        <is>
          <t>One Piece</t>
        </is>
      </c>
      <c r="F384" s="2" t="inlineStr">
        <is>
          <t>Pack</t>
        </is>
      </c>
      <c r="G384" s="2" t="inlineStr">
        <is>
          <t>Premium Booster 2</t>
        </is>
      </c>
      <c r="H384" s="3" t="n">
        <v>27.65</v>
      </c>
      <c r="I384" s="3" t="n"/>
      <c r="J384" s="3" t="n"/>
      <c r="K384" s="3" t="n"/>
      <c r="L384" s="2" t="inlineStr">
        <is>
          <t>PriceCharting</t>
        </is>
      </c>
      <c r="M384" s="4" t="inlineStr">
        <is>
          <t>https://www.pricecharting.com/game/one-piece-premium-booster-2/sleeved-booster-pack</t>
        </is>
      </c>
    </row>
    <row r="385">
      <c r="A385" s="2" t="inlineStr">
        <is>
          <t>Promo Double Pack [DP-07]</t>
        </is>
      </c>
      <c r="B385" s="3">
        <f>IF(H385&lt;&gt;"",H385,IF(I385&lt;&gt;"",I385,IF(J385&lt;&gt;"",J385,K385)))</f>
        <v>73.36</v>
      </c>
      <c r="C385" s="3">
        <f>MEDIAN(H385:K385)</f>
        <v>73.36</v>
      </c>
      <c r="D385" s="3">
        <f>ROUND(C385*(1-Settings!$B$2),2)</f>
        <v>51.35</v>
      </c>
      <c r="E385" s="2" t="inlineStr">
        <is>
          <t>One Piece</t>
        </is>
      </c>
      <c r="F385" s="2" t="inlineStr">
        <is>
          <t>Pack</t>
        </is>
      </c>
      <c r="G385" s="2" t="inlineStr">
        <is>
          <t>Promo</t>
        </is>
      </c>
      <c r="H385" s="3" t="n">
        <v>73.36</v>
      </c>
      <c r="I385" s="3" t="n"/>
      <c r="J385" s="3" t="n"/>
      <c r="K385" s="3" t="n"/>
      <c r="L385" s="2" t="inlineStr">
        <is>
          <t>PriceCharting</t>
        </is>
      </c>
      <c r="M385" s="4" t="inlineStr">
        <is>
          <t>https://www.pricecharting.com/game/one-piece-promo/double-pack-dp-07</t>
        </is>
      </c>
    </row>
    <row r="386">
      <c r="A386" s="2" t="inlineStr">
        <is>
          <t>Promo Monkey.D.Luffy 3rd Anniversary Winner Sealed Pack</t>
        </is>
      </c>
      <c r="B386" s="3">
        <f>IF(H386&lt;&gt;"",H386,IF(I386&lt;&gt;"",I386,IF(J386&lt;&gt;"",J386,K386)))</f>
        <v>40.0</v>
      </c>
      <c r="C386" s="3">
        <f>MEDIAN(H386:K386)</f>
        <v>40.0</v>
      </c>
      <c r="D386" s="3">
        <f>ROUND(C386*(1-Settings!$B$2),2)</f>
        <v>28.0</v>
      </c>
      <c r="E386" s="2" t="inlineStr">
        <is>
          <t>One Piece</t>
        </is>
      </c>
      <c r="F386" s="2" t="inlineStr">
        <is>
          <t>Pack</t>
        </is>
      </c>
      <c r="G386" s="2" t="inlineStr">
        <is>
          <t>Promo</t>
        </is>
      </c>
      <c r="H386" s="3" t="n">
        <v>40</v>
      </c>
      <c r="I386" s="3" t="n"/>
      <c r="J386" s="3" t="n"/>
      <c r="K386" s="3" t="n"/>
      <c r="L386" s="2" t="inlineStr">
        <is>
          <t>PriceCharting</t>
        </is>
      </c>
      <c r="M386" s="4" t="inlineStr">
        <is>
          <t>https://www.pricecharting.com/game/one-piece-promo/monkeydluffy-3rd-anniversary-winner-sealed-pack</t>
        </is>
      </c>
    </row>
    <row r="387">
      <c r="A387" s="2" t="inlineStr">
        <is>
          <t>Promo Sealed Event Pack Vol. 1</t>
        </is>
      </c>
      <c r="B387" s="3">
        <f>IF(H387&lt;&gt;"",H387,IF(I387&lt;&gt;"",I387,IF(J387&lt;&gt;"",J387,K387)))</f>
        <v>25.0</v>
      </c>
      <c r="C387" s="3">
        <f>MEDIAN(H387:K387)</f>
        <v>25.0</v>
      </c>
      <c r="D387" s="3">
        <f>ROUND(C387*(1-Settings!$B$2),2)</f>
        <v>17.5</v>
      </c>
      <c r="E387" s="2" t="inlineStr">
        <is>
          <t>One Piece</t>
        </is>
      </c>
      <c r="F387" s="2" t="inlineStr">
        <is>
          <t>Pack</t>
        </is>
      </c>
      <c r="G387" s="2" t="inlineStr">
        <is>
          <t>Promo</t>
        </is>
      </c>
      <c r="H387" s="3" t="n">
        <v>25</v>
      </c>
      <c r="I387" s="3" t="n"/>
      <c r="J387" s="3" t="n"/>
      <c r="K387" s="3" t="n"/>
      <c r="L387" s="2" t="inlineStr">
        <is>
          <t>PriceCharting</t>
        </is>
      </c>
      <c r="M387" s="4" t="inlineStr">
        <is>
          <t>https://www.pricecharting.com/game/one-piece-promo/sealed-event-pack-vol-1</t>
        </is>
      </c>
    </row>
    <row r="388">
      <c r="A388" s="2" t="inlineStr">
        <is>
          <t>Promo Sealed Event Pack Vol. 2</t>
        </is>
      </c>
      <c r="B388" s="3">
        <f>IF(H388&lt;&gt;"",H388,IF(I388&lt;&gt;"",I388,IF(J388&lt;&gt;"",J388,K388)))</f>
        <v>21.66</v>
      </c>
      <c r="C388" s="3">
        <f>MEDIAN(H388:K388)</f>
        <v>21.66</v>
      </c>
      <c r="D388" s="3">
        <f>ROUND(C388*(1-Settings!$B$2),2)</f>
        <v>15.16</v>
      </c>
      <c r="E388" s="2" t="inlineStr">
        <is>
          <t>One Piece</t>
        </is>
      </c>
      <c r="F388" s="2" t="inlineStr">
        <is>
          <t>Pack</t>
        </is>
      </c>
      <c r="G388" s="2" t="inlineStr">
        <is>
          <t>Promo</t>
        </is>
      </c>
      <c r="H388" s="3" t="n">
        <v>21.66</v>
      </c>
      <c r="I388" s="3" t="n"/>
      <c r="J388" s="3" t="n"/>
      <c r="K388" s="3" t="n"/>
      <c r="L388" s="2" t="inlineStr">
        <is>
          <t>PriceCharting</t>
        </is>
      </c>
      <c r="M388" s="4" t="inlineStr">
        <is>
          <t>https://www.pricecharting.com/game/one-piece-promo/sealed-event-pack-vol-2</t>
        </is>
      </c>
    </row>
    <row r="389">
      <c r="A389" s="2" t="inlineStr">
        <is>
          <t>Promo Sealed Event Pack Vol. 5</t>
        </is>
      </c>
      <c r="B389" s="3">
        <f>IF(H389&lt;&gt;"",H389,IF(I389&lt;&gt;"",I389,IF(J389&lt;&gt;"",J389,K389)))</f>
        <v>55.98</v>
      </c>
      <c r="C389" s="3">
        <f>MEDIAN(H389:K389)</f>
        <v>55.98</v>
      </c>
      <c r="D389" s="3">
        <f>ROUND(C389*(1-Settings!$B$2),2)</f>
        <v>39.19</v>
      </c>
      <c r="E389" s="2" t="inlineStr">
        <is>
          <t>One Piece</t>
        </is>
      </c>
      <c r="F389" s="2" t="inlineStr">
        <is>
          <t>Pack</t>
        </is>
      </c>
      <c r="G389" s="2" t="inlineStr">
        <is>
          <t>Promo</t>
        </is>
      </c>
      <c r="H389" s="3" t="n">
        <v>55.98</v>
      </c>
      <c r="I389" s="3" t="n"/>
      <c r="J389" s="3" t="n"/>
      <c r="K389" s="3" t="n"/>
      <c r="L389" s="2" t="inlineStr">
        <is>
          <t>PriceCharting</t>
        </is>
      </c>
      <c r="M389" s="4" t="inlineStr">
        <is>
          <t>https://www.pricecharting.com/game/one-piece-promo/sealed-event-pack-vol-5</t>
        </is>
      </c>
    </row>
    <row r="390">
      <c r="A390" s="2" t="inlineStr">
        <is>
          <t>Promo Sealed Film Red Uta Promo Pack</t>
        </is>
      </c>
      <c r="B390" s="3">
        <f>IF(H390&lt;&gt;"",H390,IF(I390&lt;&gt;"",I390,IF(J390&lt;&gt;"",J390,K390)))</f>
        <v>26.7</v>
      </c>
      <c r="C390" s="3">
        <f>MEDIAN(H390:K390)</f>
        <v>26.7</v>
      </c>
      <c r="D390" s="3">
        <f>ROUND(C390*(1-Settings!$B$2),2)</f>
        <v>18.69</v>
      </c>
      <c r="E390" s="2" t="inlineStr">
        <is>
          <t>One Piece</t>
        </is>
      </c>
      <c r="F390" s="2" t="inlineStr">
        <is>
          <t>Pack</t>
        </is>
      </c>
      <c r="G390" s="2" t="inlineStr">
        <is>
          <t>Promo</t>
        </is>
      </c>
      <c r="H390" s="3" t="n">
        <v>26.7</v>
      </c>
      <c r="I390" s="3" t="n"/>
      <c r="J390" s="3" t="n"/>
      <c r="K390" s="3" t="n"/>
      <c r="L390" s="2" t="inlineStr">
        <is>
          <t>PriceCharting</t>
        </is>
      </c>
      <c r="M390" s="4" t="inlineStr">
        <is>
          <t>https://www.pricecharting.com/game/one-piece-promo/sealed-film-red-uta-promo-pack</t>
        </is>
      </c>
    </row>
    <row r="391">
      <c r="A391" s="2" t="inlineStr">
        <is>
          <t>Promo Sealed Judge Pack Vol. 1</t>
        </is>
      </c>
      <c r="B391" s="3">
        <f>IF(H391&lt;&gt;"",H391,IF(I391&lt;&gt;"",I391,IF(J391&lt;&gt;"",J391,K391)))</f>
        <v>8.5</v>
      </c>
      <c r="C391" s="3">
        <f>MEDIAN(H391:K391)</f>
        <v>8.5</v>
      </c>
      <c r="D391" s="3">
        <f>ROUND(C391*(1-Settings!$B$2),2)</f>
        <v>5.95</v>
      </c>
      <c r="E391" s="2" t="inlineStr">
        <is>
          <t>One Piece</t>
        </is>
      </c>
      <c r="F391" s="2" t="inlineStr">
        <is>
          <t>Pack</t>
        </is>
      </c>
      <c r="G391" s="2" t="inlineStr">
        <is>
          <t>Promo</t>
        </is>
      </c>
      <c r="H391" s="3" t="n">
        <v>8.5</v>
      </c>
      <c r="I391" s="3" t="n"/>
      <c r="J391" s="3" t="n"/>
      <c r="K391" s="3" t="n"/>
      <c r="L391" s="2" t="inlineStr">
        <is>
          <t>PriceCharting</t>
        </is>
      </c>
      <c r="M391" s="4" t="inlineStr">
        <is>
          <t>https://www.pricecharting.com/game/one-piece-promo/sealed-judge-pack-vol-1</t>
        </is>
      </c>
    </row>
    <row r="392">
      <c r="A392" s="2" t="inlineStr">
        <is>
          <t>Promo Sealed Promotion Pack 2022</t>
        </is>
      </c>
      <c r="B392" s="3">
        <f>IF(H392&lt;&gt;"",H392,IF(I392&lt;&gt;"",I392,IF(J392&lt;&gt;"",J392,K392)))</f>
        <v>48.99</v>
      </c>
      <c r="C392" s="3">
        <f>MEDIAN(H392:K392)</f>
        <v>48.99</v>
      </c>
      <c r="D392" s="3">
        <f>ROUND(C392*(1-Settings!$B$2),2)</f>
        <v>34.29</v>
      </c>
      <c r="E392" s="2" t="inlineStr">
        <is>
          <t>One Piece</t>
        </is>
      </c>
      <c r="F392" s="2" t="inlineStr">
        <is>
          <t>Pack</t>
        </is>
      </c>
      <c r="G392" s="2" t="inlineStr">
        <is>
          <t>Promo</t>
        </is>
      </c>
      <c r="H392" s="3" t="n">
        <v>48.99</v>
      </c>
      <c r="I392" s="3" t="n"/>
      <c r="J392" s="3" t="n"/>
      <c r="K392" s="3" t="n"/>
      <c r="L392" s="2" t="inlineStr">
        <is>
          <t>PriceCharting</t>
        </is>
      </c>
      <c r="M392" s="4" t="inlineStr">
        <is>
          <t>https://www.pricecharting.com/game/one-piece-promo/sealed-promotion-pack-2022</t>
        </is>
      </c>
    </row>
    <row r="393">
      <c r="A393" s="2" t="inlineStr">
        <is>
          <t>Promo Sealed Promotion Pack 2023</t>
        </is>
      </c>
      <c r="B393" s="3">
        <f>IF(H393&lt;&gt;"",H393,IF(I393&lt;&gt;"",I393,IF(J393&lt;&gt;"",J393,K393)))</f>
        <v>100.0</v>
      </c>
      <c r="C393" s="3">
        <f>MEDIAN(H393:K393)</f>
        <v>100.0</v>
      </c>
      <c r="D393" s="3">
        <f>ROUND(C393*(1-Settings!$B$2),2)</f>
        <v>70.0</v>
      </c>
      <c r="E393" s="2" t="inlineStr">
        <is>
          <t>One Piece</t>
        </is>
      </c>
      <c r="F393" s="2" t="inlineStr">
        <is>
          <t>Pack</t>
        </is>
      </c>
      <c r="G393" s="2" t="inlineStr">
        <is>
          <t>Promo</t>
        </is>
      </c>
      <c r="H393" s="3" t="n">
        <v>100</v>
      </c>
      <c r="I393" s="3" t="n"/>
      <c r="J393" s="3" t="n"/>
      <c r="K393" s="3" t="n"/>
      <c r="L393" s="2" t="inlineStr">
        <is>
          <t>PriceCharting</t>
        </is>
      </c>
      <c r="M393" s="4" t="inlineStr">
        <is>
          <t>https://www.pricecharting.com/game/one-piece-promo/sealed-promotion-pack-2023</t>
        </is>
      </c>
    </row>
    <row r="394">
      <c r="A394" s="2" t="inlineStr">
        <is>
          <t>Promo Sealed Round 1 Pack</t>
        </is>
      </c>
      <c r="B394" s="3">
        <f>IF(H394&lt;&gt;"",H394,IF(I394&lt;&gt;"",I394,IF(J394&lt;&gt;"",J394,K394)))</f>
        <v>50.0</v>
      </c>
      <c r="C394" s="3">
        <f>MEDIAN(H394:K394)</f>
        <v>50.0</v>
      </c>
      <c r="D394" s="3">
        <f>ROUND(C394*(1-Settings!$B$2),2)</f>
        <v>35.0</v>
      </c>
      <c r="E394" s="2" t="inlineStr">
        <is>
          <t>One Piece</t>
        </is>
      </c>
      <c r="F394" s="2" t="inlineStr">
        <is>
          <t>Pack</t>
        </is>
      </c>
      <c r="G394" s="2" t="inlineStr">
        <is>
          <t>Promo</t>
        </is>
      </c>
      <c r="H394" s="3" t="n">
        <v>50</v>
      </c>
      <c r="I394" s="3" t="n"/>
      <c r="J394" s="3" t="n"/>
      <c r="K394" s="3" t="n"/>
      <c r="L394" s="2" t="inlineStr">
        <is>
          <t>PriceCharting</t>
        </is>
      </c>
      <c r="M394" s="4" t="inlineStr">
        <is>
          <t>https://www.pricecharting.com/game/one-piece-promo/sealed-round-1-pack</t>
        </is>
      </c>
    </row>
    <row r="395">
      <c r="A395" s="2" t="inlineStr">
        <is>
          <t>Promo Sealed Tournament Pack Vol. 1</t>
        </is>
      </c>
      <c r="B395" s="3">
        <f>IF(H395&lt;&gt;"",H395,IF(I395&lt;&gt;"",I395,IF(J395&lt;&gt;"",J395,K395)))</f>
        <v>27.14</v>
      </c>
      <c r="C395" s="3">
        <f>MEDIAN(H395:K395)</f>
        <v>27.14</v>
      </c>
      <c r="D395" s="3">
        <f>ROUND(C395*(1-Settings!$B$2),2)</f>
        <v>19.0</v>
      </c>
      <c r="E395" s="2" t="inlineStr">
        <is>
          <t>One Piece</t>
        </is>
      </c>
      <c r="F395" s="2" t="inlineStr">
        <is>
          <t>Pack</t>
        </is>
      </c>
      <c r="G395" s="2" t="inlineStr">
        <is>
          <t>Promo</t>
        </is>
      </c>
      <c r="H395" s="3" t="n">
        <v>27.14</v>
      </c>
      <c r="I395" s="3" t="n"/>
      <c r="J395" s="3" t="n"/>
      <c r="K395" s="3" t="n"/>
      <c r="L395" s="2" t="inlineStr">
        <is>
          <t>PriceCharting</t>
        </is>
      </c>
      <c r="M395" s="4" t="inlineStr">
        <is>
          <t>https://www.pricecharting.com/game/one-piece-promo/sealed-tournament-pack-vol-1</t>
        </is>
      </c>
    </row>
    <row r="396">
      <c r="A396" s="2" t="inlineStr">
        <is>
          <t>Promo Sealed Tournament Pack Vol. 2</t>
        </is>
      </c>
      <c r="B396" s="3">
        <f>IF(H396&lt;&gt;"",H396,IF(I396&lt;&gt;"",I396,IF(J396&lt;&gt;"",J396,K396)))</f>
        <v>12.39</v>
      </c>
      <c r="C396" s="3">
        <f>MEDIAN(H396:K396)</f>
        <v>12.39</v>
      </c>
      <c r="D396" s="3">
        <f>ROUND(C396*(1-Settings!$B$2),2)</f>
        <v>8.67</v>
      </c>
      <c r="E396" s="2" t="inlineStr">
        <is>
          <t>One Piece</t>
        </is>
      </c>
      <c r="F396" s="2" t="inlineStr">
        <is>
          <t>Pack</t>
        </is>
      </c>
      <c r="G396" s="2" t="inlineStr">
        <is>
          <t>Promo</t>
        </is>
      </c>
      <c r="H396" s="3" t="n">
        <v>12.39</v>
      </c>
      <c r="I396" s="3" t="n"/>
      <c r="J396" s="3" t="n"/>
      <c r="K396" s="3" t="n"/>
      <c r="L396" s="2" t="inlineStr">
        <is>
          <t>PriceCharting</t>
        </is>
      </c>
      <c r="M396" s="4" t="inlineStr">
        <is>
          <t>https://www.pricecharting.com/game/one-piece-promo/sealed-tournament-pack-vol-2</t>
        </is>
      </c>
    </row>
    <row r="397">
      <c r="A397" s="2" t="inlineStr">
        <is>
          <t>Promo Sealed Tournament Pack Vol. 3</t>
        </is>
      </c>
      <c r="B397" s="3">
        <f>IF(H397&lt;&gt;"",H397,IF(I397&lt;&gt;"",I397,IF(J397&lt;&gt;"",J397,K397)))</f>
        <v>9.66</v>
      </c>
      <c r="C397" s="3">
        <f>MEDIAN(H397:K397)</f>
        <v>9.66</v>
      </c>
      <c r="D397" s="3">
        <f>ROUND(C397*(1-Settings!$B$2),2)</f>
        <v>6.76</v>
      </c>
      <c r="E397" s="2" t="inlineStr">
        <is>
          <t>One Piece</t>
        </is>
      </c>
      <c r="F397" s="2" t="inlineStr">
        <is>
          <t>Pack</t>
        </is>
      </c>
      <c r="G397" s="2" t="inlineStr">
        <is>
          <t>Promo</t>
        </is>
      </c>
      <c r="H397" s="3" t="n">
        <v>9.66</v>
      </c>
      <c r="I397" s="3" t="n"/>
      <c r="J397" s="3" t="n"/>
      <c r="K397" s="3" t="n"/>
      <c r="L397" s="2" t="inlineStr">
        <is>
          <t>PriceCharting</t>
        </is>
      </c>
      <c r="M397" s="4" t="inlineStr">
        <is>
          <t>https://www.pricecharting.com/game/one-piece-promo/sealed-tournament-pack-vol-3</t>
        </is>
      </c>
    </row>
    <row r="398">
      <c r="A398" s="2" t="inlineStr">
        <is>
          <t>Promo Sealed Tournament Pack Vol. 4</t>
        </is>
      </c>
      <c r="B398" s="3">
        <f>IF(H398&lt;&gt;"",H398,IF(I398&lt;&gt;"",I398,IF(J398&lt;&gt;"",J398,K398)))</f>
        <v>18.34</v>
      </c>
      <c r="C398" s="3">
        <f>MEDIAN(H398:K398)</f>
        <v>18.34</v>
      </c>
      <c r="D398" s="3">
        <f>ROUND(C398*(1-Settings!$B$2),2)</f>
        <v>12.84</v>
      </c>
      <c r="E398" s="2" t="inlineStr">
        <is>
          <t>One Piece</t>
        </is>
      </c>
      <c r="F398" s="2" t="inlineStr">
        <is>
          <t>Pack</t>
        </is>
      </c>
      <c r="G398" s="2" t="inlineStr">
        <is>
          <t>Promo</t>
        </is>
      </c>
      <c r="H398" s="3" t="n">
        <v>18.34</v>
      </c>
      <c r="I398" s="3" t="n"/>
      <c r="J398" s="3" t="n"/>
      <c r="K398" s="3" t="n"/>
      <c r="L398" s="2" t="inlineStr">
        <is>
          <t>PriceCharting</t>
        </is>
      </c>
      <c r="M398" s="4" t="inlineStr">
        <is>
          <t>https://www.pricecharting.com/game/one-piece-promo/sealed-tournament-pack-vol-4</t>
        </is>
      </c>
    </row>
    <row r="399">
      <c r="A399" s="2" t="inlineStr">
        <is>
          <t>Promo Sealed Tournament Pack Vol. 5</t>
        </is>
      </c>
      <c r="B399" s="3">
        <f>IF(H399&lt;&gt;"",H399,IF(I399&lt;&gt;"",I399,IF(J399&lt;&gt;"",J399,K399)))</f>
        <v>9.5</v>
      </c>
      <c r="C399" s="3">
        <f>MEDIAN(H399:K399)</f>
        <v>9.5</v>
      </c>
      <c r="D399" s="3">
        <f>ROUND(C399*(1-Settings!$B$2),2)</f>
        <v>6.65</v>
      </c>
      <c r="E399" s="2" t="inlineStr">
        <is>
          <t>One Piece</t>
        </is>
      </c>
      <c r="F399" s="2" t="inlineStr">
        <is>
          <t>Pack</t>
        </is>
      </c>
      <c r="G399" s="2" t="inlineStr">
        <is>
          <t>Promo</t>
        </is>
      </c>
      <c r="H399" s="3" t="n">
        <v>9.5</v>
      </c>
      <c r="I399" s="3" t="n"/>
      <c r="J399" s="3" t="n"/>
      <c r="K399" s="3" t="n"/>
      <c r="L399" s="2" t="inlineStr">
        <is>
          <t>PriceCharting</t>
        </is>
      </c>
      <c r="M399" s="4" t="inlineStr">
        <is>
          <t>https://www.pricecharting.com/game/one-piece-promo/sealed-tournament-pack-vol-5</t>
        </is>
      </c>
    </row>
    <row r="400">
      <c r="A400" s="2" t="inlineStr">
        <is>
          <t>Promo Sealed Winner Pack Vol. 1</t>
        </is>
      </c>
      <c r="B400" s="3">
        <f>IF(H400&lt;&gt;"",H400,IF(I400&lt;&gt;"",I400,IF(J400&lt;&gt;"",J400,K400)))</f>
        <v>15.45</v>
      </c>
      <c r="C400" s="3">
        <f>MEDIAN(H400:K400)</f>
        <v>15.45</v>
      </c>
      <c r="D400" s="3">
        <f>ROUND(C400*(1-Settings!$B$2),2)</f>
        <v>10.82</v>
      </c>
      <c r="E400" s="2" t="inlineStr">
        <is>
          <t>One Piece</t>
        </is>
      </c>
      <c r="F400" s="2" t="inlineStr">
        <is>
          <t>Pack</t>
        </is>
      </c>
      <c r="G400" s="2" t="inlineStr">
        <is>
          <t>Promo</t>
        </is>
      </c>
      <c r="H400" s="3" t="n">
        <v>15.45</v>
      </c>
      <c r="I400" s="3" t="n"/>
      <c r="J400" s="3" t="n"/>
      <c r="K400" s="3" t="n"/>
      <c r="L400" s="2" t="inlineStr">
        <is>
          <t>PriceCharting</t>
        </is>
      </c>
      <c r="M400" s="4" t="inlineStr">
        <is>
          <t>https://www.pricecharting.com/game/one-piece-promo/sealed-winner-pack-vol-1</t>
        </is>
      </c>
    </row>
    <row r="401">
      <c r="A401" s="2" t="inlineStr">
        <is>
          <t>Promo Sealed Winner Pack Vol. 2</t>
        </is>
      </c>
      <c r="B401" s="3">
        <f>IF(H401&lt;&gt;"",H401,IF(I401&lt;&gt;"",I401,IF(J401&lt;&gt;"",J401,K401)))</f>
        <v>31.0</v>
      </c>
      <c r="C401" s="3">
        <f>MEDIAN(H401:K401)</f>
        <v>31.0</v>
      </c>
      <c r="D401" s="3">
        <f>ROUND(C401*(1-Settings!$B$2),2)</f>
        <v>21.7</v>
      </c>
      <c r="E401" s="2" t="inlineStr">
        <is>
          <t>One Piece</t>
        </is>
      </c>
      <c r="F401" s="2" t="inlineStr">
        <is>
          <t>Pack</t>
        </is>
      </c>
      <c r="G401" s="2" t="inlineStr">
        <is>
          <t>Promo</t>
        </is>
      </c>
      <c r="H401" s="3" t="n">
        <v>31</v>
      </c>
      <c r="I401" s="3" t="n"/>
      <c r="J401" s="3" t="n"/>
      <c r="K401" s="3" t="n"/>
      <c r="L401" s="2" t="inlineStr">
        <is>
          <t>PriceCharting</t>
        </is>
      </c>
      <c r="M401" s="4" t="inlineStr">
        <is>
          <t>https://www.pricecharting.com/game/one-piece-promo/sealed-winner-pack-vol-2</t>
        </is>
      </c>
    </row>
    <row r="402">
      <c r="A402" s="2" t="inlineStr">
        <is>
          <t>Promo Sealed Winner Pack Vol. 3</t>
        </is>
      </c>
      <c r="B402" s="3">
        <f>IF(H402&lt;&gt;"",H402,IF(I402&lt;&gt;"",I402,IF(J402&lt;&gt;"",J402,K402)))</f>
        <v>20.82</v>
      </c>
      <c r="C402" s="3">
        <f>MEDIAN(H402:K402)</f>
        <v>20.82</v>
      </c>
      <c r="D402" s="3">
        <f>ROUND(C402*(1-Settings!$B$2),2)</f>
        <v>14.57</v>
      </c>
      <c r="E402" s="2" t="inlineStr">
        <is>
          <t>One Piece</t>
        </is>
      </c>
      <c r="F402" s="2" t="inlineStr">
        <is>
          <t>Pack</t>
        </is>
      </c>
      <c r="G402" s="2" t="inlineStr">
        <is>
          <t>Promo</t>
        </is>
      </c>
      <c r="H402" s="3" t="n">
        <v>20.82</v>
      </c>
      <c r="I402" s="3" t="n"/>
      <c r="J402" s="3" t="n"/>
      <c r="K402" s="3" t="n"/>
      <c r="L402" s="2" t="inlineStr">
        <is>
          <t>PriceCharting</t>
        </is>
      </c>
      <c r="M402" s="4" t="inlineStr">
        <is>
          <t>https://www.pricecharting.com/game/one-piece-promo/sealed-winner-pack-vol-3</t>
        </is>
      </c>
    </row>
    <row r="403">
      <c r="A403" s="2" t="inlineStr">
        <is>
          <t>Promo Sealed Winner Pack Vol. 4</t>
        </is>
      </c>
      <c r="B403" s="3">
        <f>IF(H403&lt;&gt;"",H403,IF(I403&lt;&gt;"",I403,IF(J403&lt;&gt;"",J403,K403)))</f>
        <v>20.98</v>
      </c>
      <c r="C403" s="3">
        <f>MEDIAN(H403:K403)</f>
        <v>20.98</v>
      </c>
      <c r="D403" s="3">
        <f>ROUND(C403*(1-Settings!$B$2),2)</f>
        <v>14.69</v>
      </c>
      <c r="E403" s="2" t="inlineStr">
        <is>
          <t>One Piece</t>
        </is>
      </c>
      <c r="F403" s="2" t="inlineStr">
        <is>
          <t>Pack</t>
        </is>
      </c>
      <c r="G403" s="2" t="inlineStr">
        <is>
          <t>Promo</t>
        </is>
      </c>
      <c r="H403" s="3" t="n">
        <v>20.98</v>
      </c>
      <c r="I403" s="3" t="n"/>
      <c r="J403" s="3" t="n"/>
      <c r="K403" s="3" t="n"/>
      <c r="L403" s="2" t="inlineStr">
        <is>
          <t>PriceCharting</t>
        </is>
      </c>
      <c r="M403" s="4" t="inlineStr">
        <is>
          <t>https://www.pricecharting.com/game/one-piece-promo/sealed-winner-pack-vol-4</t>
        </is>
      </c>
    </row>
    <row r="404">
      <c r="A404" s="2" t="inlineStr">
        <is>
          <t>Promo Sealed Winner Pack Vol. 5</t>
        </is>
      </c>
      <c r="B404" s="3">
        <f>IF(H404&lt;&gt;"",H404,IF(I404&lt;&gt;"",I404,IF(J404&lt;&gt;"",J404,K404)))</f>
        <v>30.0</v>
      </c>
      <c r="C404" s="3">
        <f>MEDIAN(H404:K404)</f>
        <v>30.0</v>
      </c>
      <c r="D404" s="3">
        <f>ROUND(C404*(1-Settings!$B$2),2)</f>
        <v>21.0</v>
      </c>
      <c r="E404" s="2" t="inlineStr">
        <is>
          <t>One Piece</t>
        </is>
      </c>
      <c r="F404" s="2" t="inlineStr">
        <is>
          <t>Pack</t>
        </is>
      </c>
      <c r="G404" s="2" t="inlineStr">
        <is>
          <t>Promo</t>
        </is>
      </c>
      <c r="H404" s="3" t="n">
        <v>30</v>
      </c>
      <c r="I404" s="3" t="n"/>
      <c r="J404" s="3" t="n"/>
      <c r="K404" s="3" t="n"/>
      <c r="L404" s="2" t="inlineStr">
        <is>
          <t>PriceCharting</t>
        </is>
      </c>
      <c r="M404" s="4" t="inlineStr">
        <is>
          <t>https://www.pricecharting.com/game/one-piece-promo/sealed-winner-pack-vol-5</t>
        </is>
      </c>
    </row>
    <row r="405">
      <c r="A405" s="2" t="inlineStr">
        <is>
          <t>Romance Dawn - Booster Pack</t>
        </is>
      </c>
      <c r="B405" s="3">
        <f>IF(H405&lt;&gt;"",H405,IF(I405&lt;&gt;"",I405,IF(J405&lt;&gt;"",J405,K405)))</f>
        <v>67.97</v>
      </c>
      <c r="C405" s="3">
        <f>MEDIAN(H405:K405)</f>
        <v>67.97</v>
      </c>
      <c r="D405" s="3">
        <f>ROUND(C405*(1-Settings!$B$2),2)</f>
        <v>47.58</v>
      </c>
      <c r="E405" s="2" t="inlineStr">
        <is>
          <t>One Piece</t>
        </is>
      </c>
      <c r="F405" s="2" t="inlineStr">
        <is>
          <t>Pack</t>
        </is>
      </c>
      <c r="G405" s="2" t="inlineStr">
        <is>
          <t>Romance Dawn</t>
        </is>
      </c>
      <c r="H405" s="3" t="n">
        <v>67.97</v>
      </c>
      <c r="I405" s="3" t="n">
        <v>67.98999999999999</v>
      </c>
      <c r="J405" s="3" t="n"/>
      <c r="K405" s="3" t="n">
        <v>59.99</v>
      </c>
      <c r="L405" s="2" t="inlineStr">
        <is>
          <t>PriceCharting + TCGplayer</t>
        </is>
      </c>
      <c r="M405" s="4" t="inlineStr">
        <is>
          <t>https://www.pricecharting.com/game/one-piece-romance-dawn/booster-pack</t>
        </is>
      </c>
      <c r="N405" s="4" t="inlineStr">
        <is>
          <t>https://www.tcgplayer.com/product/450085</t>
        </is>
      </c>
    </row>
    <row r="406">
      <c r="A406" s="2" t="inlineStr">
        <is>
          <t>Romance Dawn - Sleeved Booster Pack</t>
        </is>
      </c>
      <c r="B406" s="3">
        <f>IF(H406&lt;&gt;"",H406,IF(I406&lt;&gt;"",I406,IF(J406&lt;&gt;"",J406,K406)))</f>
        <v>140.91</v>
      </c>
      <c r="C406" s="3">
        <f>MEDIAN(H406:K406)</f>
        <v>140.91</v>
      </c>
      <c r="D406" s="3">
        <f>ROUND(C406*(1-Settings!$B$2),2)</f>
        <v>98.64</v>
      </c>
      <c r="E406" s="2" t="inlineStr">
        <is>
          <t>One Piece</t>
        </is>
      </c>
      <c r="F406" s="2" t="inlineStr">
        <is>
          <t>Pack</t>
        </is>
      </c>
      <c r="G406" s="2" t="inlineStr">
        <is>
          <t>Romance Dawn</t>
        </is>
      </c>
      <c r="H406" s="3" t="n">
        <v>140.91</v>
      </c>
      <c r="I406" s="3" t="n">
        <v>147.33</v>
      </c>
      <c r="J406" s="3" t="n"/>
      <c r="K406" s="3" t="n">
        <v>139</v>
      </c>
      <c r="L406" s="2" t="inlineStr">
        <is>
          <t>PriceCharting + TCGplayer</t>
        </is>
      </c>
      <c r="M406" s="4" t="inlineStr">
        <is>
          <t>https://www.pricecharting.com/game/one-piece-romance-dawn/sleeved-booster-pack</t>
        </is>
      </c>
      <c r="N406" s="4" t="inlineStr">
        <is>
          <t>https://www.tcgplayer.com/product/531774</t>
        </is>
      </c>
    </row>
    <row r="407">
      <c r="A407" s="2" t="inlineStr">
        <is>
          <t>Royal Blood - Sleeved Booster Pack</t>
        </is>
      </c>
      <c r="B407" s="3">
        <f>IF(H407&lt;&gt;"",H407,IF(I407&lt;&gt;"",I407,IF(J407&lt;&gt;"",J407,K407)))</f>
        <v>9.84</v>
      </c>
      <c r="C407" s="3">
        <f>MEDIAN(H407:K407)</f>
        <v>9.84</v>
      </c>
      <c r="D407" s="3">
        <f>ROUND(C407*(1-Settings!$B$2),2)</f>
        <v>6.89</v>
      </c>
      <c r="E407" s="2" t="inlineStr">
        <is>
          <t>One Piece</t>
        </is>
      </c>
      <c r="F407" s="2" t="inlineStr">
        <is>
          <t>Pack</t>
        </is>
      </c>
      <c r="G407" s="2" t="inlineStr">
        <is>
          <t>Royal Blood</t>
        </is>
      </c>
      <c r="H407" s="3" t="n">
        <v>9.84</v>
      </c>
      <c r="I407" s="3" t="n">
        <v>9.93</v>
      </c>
      <c r="J407" s="3" t="n"/>
      <c r="K407" s="3" t="n">
        <v>9.84</v>
      </c>
      <c r="L407" s="2" t="inlineStr">
        <is>
          <t>PriceCharting + TCGplayer</t>
        </is>
      </c>
      <c r="M407" s="4" t="inlineStr">
        <is>
          <t>https://www.pricecharting.com/game/one-piece-royal-blood/sleeved-booster-pack</t>
        </is>
      </c>
      <c r="N407" s="4" t="inlineStr">
        <is>
          <t>https://www.tcgplayer.com/product/624523</t>
        </is>
      </c>
    </row>
    <row r="408">
      <c r="A408" s="2" t="inlineStr">
        <is>
          <t>Royal Blood Booster Pack</t>
        </is>
      </c>
      <c r="B408" s="3">
        <f>IF(H408&lt;&gt;"",H408,IF(I408&lt;&gt;"",I408,IF(J408&lt;&gt;"",J408,K408)))</f>
        <v>10.12</v>
      </c>
      <c r="C408" s="3">
        <f>MEDIAN(H408:K408)</f>
        <v>9.82</v>
      </c>
      <c r="D408" s="3">
        <f>ROUND(C408*(1-Settings!$B$2),2)</f>
        <v>6.87</v>
      </c>
      <c r="E408" s="2" t="inlineStr">
        <is>
          <t>One Piece</t>
        </is>
      </c>
      <c r="F408" s="2" t="inlineStr">
        <is>
          <t>Pack</t>
        </is>
      </c>
      <c r="G408" s="2" t="inlineStr">
        <is>
          <t>Royal Blood</t>
        </is>
      </c>
      <c r="H408" s="3" t="n">
        <v>10.12</v>
      </c>
      <c r="I408" s="3" t="n">
        <v>9.82</v>
      </c>
      <c r="J408" s="3" t="n"/>
      <c r="K408" s="3" t="n">
        <v>6.99</v>
      </c>
      <c r="L408" s="2" t="inlineStr">
        <is>
          <t>PriceCharting + TCGplayer</t>
        </is>
      </c>
      <c r="M408" s="4" t="inlineStr">
        <is>
          <t>https://www.pricecharting.com/game/one-piece-royal-blood/booster-pack</t>
        </is>
      </c>
      <c r="N408" s="4" t="inlineStr">
        <is>
          <t>https://www.tcgplayer.com/product/586670</t>
        </is>
      </c>
    </row>
    <row r="409">
      <c r="A409" s="2" t="inlineStr">
        <is>
          <t>Royal Blood - Release Event Pack</t>
        </is>
      </c>
      <c r="B409" s="3">
        <f>IF(H409&lt;&gt;"",H409,IF(I409&lt;&gt;"",I409,IF(J409&lt;&gt;"",J409,K409)))</f>
        <v>7.68</v>
      </c>
      <c r="C409" s="3">
        <f>MEDIAN(H409:K409)</f>
        <v>7.29</v>
      </c>
      <c r="D409" s="3">
        <f>ROUND(C409*(1-Settings!$B$2),2)</f>
        <v>5.1</v>
      </c>
      <c r="E409" s="2" t="inlineStr">
        <is>
          <t>One Piece</t>
        </is>
      </c>
      <c r="F409" s="2" t="inlineStr">
        <is>
          <t>Pack</t>
        </is>
      </c>
      <c r="G409" s="2" t="inlineStr">
        <is>
          <t>Royal Blood Release Event Cards</t>
        </is>
      </c>
      <c r="H409" s="3" t="n"/>
      <c r="I409" s="3" t="n">
        <v>7.68</v>
      </c>
      <c r="J409" s="3" t="n"/>
      <c r="K409" s="3" t="n">
        <v>6.9</v>
      </c>
      <c r="L409" s="2" t="inlineStr">
        <is>
          <t>TCGplayer</t>
        </is>
      </c>
      <c r="N409" s="4" t="inlineStr">
        <is>
          <t>https://www.tcgplayer.com/product/620841</t>
        </is>
      </c>
    </row>
    <row r="410">
      <c r="A410" s="2" t="inlineStr">
        <is>
          <t>Starter Deck 29 Egghead Sealed Bonus Pack</t>
        </is>
      </c>
      <c r="B410" s="3">
        <f>IF(H410&lt;&gt;"",H410,IF(I410&lt;&gt;"",I410,IF(J410&lt;&gt;"",J410,K410)))</f>
        <v>28.05</v>
      </c>
      <c r="C410" s="3">
        <f>MEDIAN(H410:K410)</f>
        <v>28.05</v>
      </c>
      <c r="D410" s="3">
        <f>ROUND(C410*(1-Settings!$B$2),2)</f>
        <v>19.64</v>
      </c>
      <c r="E410" s="2" t="inlineStr">
        <is>
          <t>One Piece</t>
        </is>
      </c>
      <c r="F410" s="2" t="inlineStr">
        <is>
          <t>Pack</t>
        </is>
      </c>
      <c r="G410" s="2" t="inlineStr">
        <is>
          <t>Starter Deck 29 Egghead</t>
        </is>
      </c>
      <c r="H410" s="3" t="n">
        <v>28.05</v>
      </c>
      <c r="I410" s="3" t="n"/>
      <c r="J410" s="3" t="n"/>
      <c r="K410" s="3" t="n"/>
      <c r="L410" s="2" t="inlineStr">
        <is>
          <t>PriceCharting</t>
        </is>
      </c>
      <c r="M410" s="4" t="inlineStr">
        <is>
          <t>https://www.pricecharting.com/game/one-piece-starter-deck-29-egghead/sealed-bonus-pack</t>
        </is>
      </c>
    </row>
    <row r="411">
      <c r="A411" s="2" t="inlineStr">
        <is>
          <t>Special DON!! Card Pack DP-09</t>
        </is>
      </c>
      <c r="B411" s="3">
        <f>IF(H411&lt;&gt;"",H411,IF(I411&lt;&gt;"",I411,IF(J411&lt;&gt;"",J411,K411)))</f>
        <v>4.71</v>
      </c>
      <c r="C411" s="3">
        <f>MEDIAN(H411:K411)</f>
        <v>4.105</v>
      </c>
      <c r="D411" s="3">
        <f>ROUND(C411*(1-Settings!$B$2),2)</f>
        <v>2.87</v>
      </c>
      <c r="E411" s="2" t="inlineStr">
        <is>
          <t>One Piece</t>
        </is>
      </c>
      <c r="F411" s="2" t="inlineStr">
        <is>
          <t>Pack</t>
        </is>
      </c>
      <c r="G411" s="2" t="inlineStr">
        <is>
          <t>The Azure Sea's Seven</t>
        </is>
      </c>
      <c r="H411" s="3" t="n"/>
      <c r="I411" s="3" t="n">
        <v>4.71</v>
      </c>
      <c r="J411" s="3" t="n"/>
      <c r="K411" s="3" t="n">
        <v>3.5</v>
      </c>
      <c r="L411" s="2" t="inlineStr">
        <is>
          <t>TCGplayer</t>
        </is>
      </c>
      <c r="N411" s="4" t="inlineStr">
        <is>
          <t>https://www.tcgplayer.com/product/675812</t>
        </is>
      </c>
    </row>
    <row r="412">
      <c r="A412" s="2" t="inlineStr">
        <is>
          <t>The Azure Sea's Seven - Dash Pack</t>
        </is>
      </c>
      <c r="B412" s="3">
        <f>IF(H412&lt;&gt;"",H412,IF(I412&lt;&gt;"",I412,IF(J412&lt;&gt;"",J412,K412)))</f>
        <v>2.62</v>
      </c>
      <c r="C412" s="3">
        <f>MEDIAN(H412:K412)</f>
        <v>2.285</v>
      </c>
      <c r="D412" s="3">
        <f>ROUND(C412*(1-Settings!$B$2),2)</f>
        <v>1.6</v>
      </c>
      <c r="E412" s="2" t="inlineStr">
        <is>
          <t>One Piece</t>
        </is>
      </c>
      <c r="F412" s="2" t="inlineStr">
        <is>
          <t>Pack</t>
        </is>
      </c>
      <c r="G412" s="2" t="inlineStr">
        <is>
          <t>The Azure Sea's Seven</t>
        </is>
      </c>
      <c r="H412" s="3" t="n"/>
      <c r="I412" s="3" t="n">
        <v>2.62</v>
      </c>
      <c r="J412" s="3" t="n"/>
      <c r="K412" s="3" t="n">
        <v>1.95</v>
      </c>
      <c r="L412" s="2" t="inlineStr">
        <is>
          <t>TCGplayer</t>
        </is>
      </c>
      <c r="N412" s="4" t="inlineStr">
        <is>
          <t>https://www.tcgplayer.com/product/672372</t>
        </is>
      </c>
    </row>
    <row r="413">
      <c r="A413" s="2" t="inlineStr">
        <is>
          <t>The Azure Sea's Seven Booster Pack</t>
        </is>
      </c>
      <c r="B413" s="3">
        <f>IF(H413&lt;&gt;"",H413,IF(I413&lt;&gt;"",I413,IF(J413&lt;&gt;"",J413,K413)))</f>
        <v>8.26</v>
      </c>
      <c r="C413" s="3">
        <f>MEDIAN(H413:K413)</f>
        <v>7.255</v>
      </c>
      <c r="D413" s="3">
        <f>ROUND(C413*(1-Settings!$B$2),2)</f>
        <v>5.08</v>
      </c>
      <c r="E413" s="2" t="inlineStr">
        <is>
          <t>One Piece</t>
        </is>
      </c>
      <c r="F413" s="2" t="inlineStr">
        <is>
          <t>Pack</t>
        </is>
      </c>
      <c r="G413" s="2" t="inlineStr">
        <is>
          <t>The Azure Sea's Seven</t>
        </is>
      </c>
      <c r="H413" s="3" t="n"/>
      <c r="I413" s="3" t="n">
        <v>8.26</v>
      </c>
      <c r="J413" s="3" t="n"/>
      <c r="K413" s="3" t="n">
        <v>6.25</v>
      </c>
      <c r="L413" s="2" t="inlineStr">
        <is>
          <t>TCGplayer</t>
        </is>
      </c>
      <c r="N413" s="4" t="inlineStr">
        <is>
          <t>https://www.tcgplayer.com/product/666577</t>
        </is>
      </c>
    </row>
    <row r="414">
      <c r="A414" s="2" t="inlineStr">
        <is>
          <t>The Azure Sea's Seven Sleeved Booster Pack</t>
        </is>
      </c>
      <c r="B414" s="3">
        <f>IF(H414&lt;&gt;"",H414,IF(I414&lt;&gt;"",I414,IF(J414&lt;&gt;"",J414,K414)))</f>
        <v>13.2</v>
      </c>
      <c r="C414" s="3">
        <f>MEDIAN(H414:K414)</f>
        <v>12.1</v>
      </c>
      <c r="D414" s="3">
        <f>ROUND(C414*(1-Settings!$B$2),2)</f>
        <v>8.47</v>
      </c>
      <c r="E414" s="2" t="inlineStr">
        <is>
          <t>One Piece</t>
        </is>
      </c>
      <c r="F414" s="2" t="inlineStr">
        <is>
          <t>Pack</t>
        </is>
      </c>
      <c r="G414" s="2" t="inlineStr">
        <is>
          <t>The Azure Sea's Seven</t>
        </is>
      </c>
      <c r="H414" s="3" t="n"/>
      <c r="I414" s="3" t="n">
        <v>13.2</v>
      </c>
      <c r="J414" s="3" t="n"/>
      <c r="K414" s="3" t="n">
        <v>11</v>
      </c>
      <c r="L414" s="2" t="inlineStr">
        <is>
          <t>TCGplayer</t>
        </is>
      </c>
      <c r="N414" s="4" t="inlineStr">
        <is>
          <t>https://www.tcgplayer.com/product/666576</t>
        </is>
      </c>
    </row>
    <row r="415">
      <c r="A415" s="2" t="inlineStr">
        <is>
          <t>The Azure Sea's Seven - Release Event Pack</t>
        </is>
      </c>
      <c r="B415" s="3">
        <f>IF(H415&lt;&gt;"",H415,IF(I415&lt;&gt;"",I415,IF(J415&lt;&gt;"",J415,K415)))</f>
        <v>5.18</v>
      </c>
      <c r="C415" s="3">
        <f>MEDIAN(H415:K415)</f>
        <v>5.18</v>
      </c>
      <c r="D415" s="3">
        <f>ROUND(C415*(1-Settings!$B$2),2)</f>
        <v>3.63</v>
      </c>
      <c r="E415" s="2" t="inlineStr">
        <is>
          <t>One Piece</t>
        </is>
      </c>
      <c r="F415" s="2" t="inlineStr">
        <is>
          <t>Pack</t>
        </is>
      </c>
      <c r="G415" s="2" t="inlineStr">
        <is>
          <t>The Azure Sea's Seven Release Event Cards</t>
        </is>
      </c>
      <c r="H415" s="3" t="n"/>
      <c r="I415" s="3" t="n">
        <v>5.18</v>
      </c>
      <c r="J415" s="3" t="n"/>
      <c r="K415" s="3" t="n">
        <v>5.18</v>
      </c>
      <c r="L415" s="2" t="inlineStr">
        <is>
          <t>TCGplayer</t>
        </is>
      </c>
      <c r="N415" s="4" t="inlineStr">
        <is>
          <t>https://www.tcgplayer.com/product/671882</t>
        </is>
      </c>
    </row>
    <row r="416">
      <c r="A416" s="2" t="inlineStr">
        <is>
          <t>The Dominance of God Booster Pack</t>
        </is>
      </c>
      <c r="B416" s="3">
        <f>IF(H416&lt;&gt;"",H416,IF(I416&lt;&gt;"",I416,IF(J416&lt;&gt;"",J416,K416)))</f>
        <v>24.95</v>
      </c>
      <c r="C416" s="3">
        <f>MEDIAN(H416:K416)</f>
        <v>24.95</v>
      </c>
      <c r="D416" s="3">
        <f>ROUND(C416*(1-Settings!$B$2),2)</f>
        <v>17.47</v>
      </c>
      <c r="E416" s="2" t="inlineStr">
        <is>
          <t>One Piece</t>
        </is>
      </c>
      <c r="F416" s="2" t="inlineStr">
        <is>
          <t>Pack</t>
        </is>
      </c>
      <c r="G416" s="2" t="inlineStr">
        <is>
          <t>The Dominance of God</t>
        </is>
      </c>
      <c r="H416" s="3" t="n"/>
      <c r="I416" s="3" t="n">
        <v>24.95</v>
      </c>
      <c r="J416" s="3" t="n"/>
      <c r="K416" s="3" t="n">
        <v>24.95</v>
      </c>
      <c r="L416" s="2" t="inlineStr">
        <is>
          <t>TCGplayer</t>
        </is>
      </c>
      <c r="N416" s="4" t="inlineStr">
        <is>
          <t>https://www.tcgplayer.com/product/712904</t>
        </is>
      </c>
    </row>
    <row r="417">
      <c r="A417" s="2" t="inlineStr">
        <is>
          <t>The Dominance of God Sleeved Booster Pack</t>
        </is>
      </c>
      <c r="B417" s="3">
        <f>IF(H417&lt;&gt;"",H417,IF(I417&lt;&gt;"",I417,IF(J417&lt;&gt;"",J417,K417)))</f>
        <v>39.99</v>
      </c>
      <c r="C417" s="3">
        <f>MEDIAN(H417:K417)</f>
        <v>39.99</v>
      </c>
      <c r="D417" s="3">
        <f>ROUND(C417*(1-Settings!$B$2),2)</f>
        <v>27.99</v>
      </c>
      <c r="E417" s="2" t="inlineStr">
        <is>
          <t>One Piece</t>
        </is>
      </c>
      <c r="F417" s="2" t="inlineStr">
        <is>
          <t>Pack</t>
        </is>
      </c>
      <c r="G417" s="2" t="inlineStr">
        <is>
          <t>The Dominance of God</t>
        </is>
      </c>
      <c r="H417" s="3" t="n"/>
      <c r="I417" s="3" t="n"/>
      <c r="J417" s="3" t="n"/>
      <c r="K417" s="3" t="n">
        <v>39.99</v>
      </c>
      <c r="L417" s="2" t="inlineStr">
        <is>
          <t>TCGplayer</t>
        </is>
      </c>
      <c r="N417" s="4" t="inlineStr">
        <is>
          <t>https://www.tcgplayer.com/product/712903</t>
        </is>
      </c>
    </row>
    <row r="418">
      <c r="A418" s="2" t="inlineStr">
        <is>
          <t>Special DON!! Card Pack DP-11</t>
        </is>
      </c>
      <c r="B418" s="3">
        <f>IF(H418&lt;&gt;"",H418,IF(I418&lt;&gt;"",I418,IF(J418&lt;&gt;"",J418,K418)))</f>
        <v>5.84</v>
      </c>
      <c r="C418" s="3">
        <f>MEDIAN(H418:K418)</f>
        <v>5.295</v>
      </c>
      <c r="D418" s="3">
        <f>ROUND(C418*(1-Settings!$B$2),2)</f>
        <v>3.71</v>
      </c>
      <c r="E418" s="2" t="inlineStr">
        <is>
          <t>One Piece</t>
        </is>
      </c>
      <c r="F418" s="2" t="inlineStr">
        <is>
          <t>Pack</t>
        </is>
      </c>
      <c r="G418" s="2" t="inlineStr">
        <is>
          <t>The Time of Battle</t>
        </is>
      </c>
      <c r="H418" s="3" t="n"/>
      <c r="I418" s="3" t="n">
        <v>5.84</v>
      </c>
      <c r="J418" s="3" t="n"/>
      <c r="K418" s="3" t="n">
        <v>4.75</v>
      </c>
      <c r="L418" s="2" t="inlineStr">
        <is>
          <t>TCGplayer</t>
        </is>
      </c>
      <c r="N418" s="4" t="inlineStr">
        <is>
          <t>https://www.tcgplayer.com/product/701593</t>
        </is>
      </c>
    </row>
    <row r="419">
      <c r="A419" s="2" t="inlineStr">
        <is>
          <t>The Time of Battle Booster Pack</t>
        </is>
      </c>
      <c r="B419" s="3">
        <f>IF(H419&lt;&gt;"",H419,IF(I419&lt;&gt;"",I419,IF(J419&lt;&gt;"",J419,K419)))</f>
        <v>7.63</v>
      </c>
      <c r="C419" s="3">
        <f>MEDIAN(H419:K419)</f>
        <v>7.0</v>
      </c>
      <c r="D419" s="3">
        <f>ROUND(C419*(1-Settings!$B$2),2)</f>
        <v>4.9</v>
      </c>
      <c r="E419" s="2" t="inlineStr">
        <is>
          <t>One Piece</t>
        </is>
      </c>
      <c r="F419" s="2" t="inlineStr">
        <is>
          <t>Pack</t>
        </is>
      </c>
      <c r="G419" s="2" t="inlineStr">
        <is>
          <t>The Time of Battle</t>
        </is>
      </c>
      <c r="H419" s="3" t="n">
        <v>7.63</v>
      </c>
      <c r="I419" s="3" t="n">
        <v>7</v>
      </c>
      <c r="J419" s="3" t="n"/>
      <c r="K419" s="3" t="n">
        <v>4.25</v>
      </c>
      <c r="L419" s="2" t="inlineStr">
        <is>
          <t>PriceCharting + TCGplayer</t>
        </is>
      </c>
      <c r="M419" s="4" t="inlineStr">
        <is>
          <t>https://www.pricecharting.com/game/one-piece-the-time-of-battle/booster-pack</t>
        </is>
      </c>
      <c r="N419" s="4" t="inlineStr">
        <is>
          <t>https://www.tcgplayer.com/product/689341</t>
        </is>
      </c>
    </row>
    <row r="420">
      <c r="A420" s="2" t="inlineStr">
        <is>
          <t>The Time Of Battle Sealed Double Pack</t>
        </is>
      </c>
      <c r="B420" s="3">
        <f>IF(H420&lt;&gt;"",H420,IF(I420&lt;&gt;"",I420,IF(J420&lt;&gt;"",J420,K420)))</f>
        <v>29.55</v>
      </c>
      <c r="C420" s="3">
        <f>MEDIAN(H420:K420)</f>
        <v>29.55</v>
      </c>
      <c r="D420" s="3">
        <f>ROUND(C420*(1-Settings!$B$2),2)</f>
        <v>20.69</v>
      </c>
      <c r="E420" s="2" t="inlineStr">
        <is>
          <t>One Piece</t>
        </is>
      </c>
      <c r="F420" s="2" t="inlineStr">
        <is>
          <t>Pack</t>
        </is>
      </c>
      <c r="G420" s="2" t="inlineStr">
        <is>
          <t>The Time Of Battle</t>
        </is>
      </c>
      <c r="H420" s="3" t="n">
        <v>29.55</v>
      </c>
      <c r="I420" s="3" t="n"/>
      <c r="J420" s="3" t="n"/>
      <c r="K420" s="3" t="n"/>
      <c r="L420" s="2" t="inlineStr">
        <is>
          <t>PriceCharting</t>
        </is>
      </c>
      <c r="M420" s="4" t="inlineStr">
        <is>
          <t>https://www.pricecharting.com/game/one-piece-the-time-of-battle/sealed-double-pack</t>
        </is>
      </c>
    </row>
    <row r="421">
      <c r="A421" s="2" t="inlineStr">
        <is>
          <t>The Time of Battle Sleeved Booster Pack</t>
        </is>
      </c>
      <c r="B421" s="3">
        <f>IF(H421&lt;&gt;"",H421,IF(I421&lt;&gt;"",I421,IF(J421&lt;&gt;"",J421,K421)))</f>
        <v>10.94</v>
      </c>
      <c r="C421" s="3">
        <f>MEDIAN(H421:K421)</f>
        <v>10.27</v>
      </c>
      <c r="D421" s="3">
        <f>ROUND(C421*(1-Settings!$B$2),2)</f>
        <v>7.19</v>
      </c>
      <c r="E421" s="2" t="inlineStr">
        <is>
          <t>One Piece</t>
        </is>
      </c>
      <c r="F421" s="2" t="inlineStr">
        <is>
          <t>Pack</t>
        </is>
      </c>
      <c r="G421" s="2" t="inlineStr">
        <is>
          <t>The Time of Battle</t>
        </is>
      </c>
      <c r="H421" s="3" t="n">
        <v>10.94</v>
      </c>
      <c r="I421" s="3" t="n">
        <v>10.27</v>
      </c>
      <c r="J421" s="3" t="n"/>
      <c r="K421" s="3" t="n">
        <v>8.949999999999999</v>
      </c>
      <c r="L421" s="2" t="inlineStr">
        <is>
          <t>PriceCharting + TCGplayer</t>
        </is>
      </c>
      <c r="M421" s="4" t="inlineStr">
        <is>
          <t>https://www.pricecharting.com/game/one-piece-the-time-of-battle/sleeved-booster-pack</t>
        </is>
      </c>
      <c r="N421" s="4" t="inlineStr">
        <is>
          <t>https://www.tcgplayer.com/product/689347</t>
        </is>
      </c>
    </row>
    <row r="422">
      <c r="A422" s="2" t="inlineStr">
        <is>
          <t>The Time of Battle - Release Event Pack</t>
        </is>
      </c>
      <c r="B422" s="3">
        <f>IF(H422&lt;&gt;"",H422,IF(I422&lt;&gt;"",I422,IF(J422&lt;&gt;"",J422,K422)))</f>
        <v>6.63</v>
      </c>
      <c r="C422" s="3">
        <f>MEDIAN(H422:K422)</f>
        <v>6.1899999999999995</v>
      </c>
      <c r="D422" s="3">
        <f>ROUND(C422*(1-Settings!$B$2),2)</f>
        <v>4.33</v>
      </c>
      <c r="E422" s="2" t="inlineStr">
        <is>
          <t>One Piece</t>
        </is>
      </c>
      <c r="F422" s="2" t="inlineStr">
        <is>
          <t>Pack</t>
        </is>
      </c>
      <c r="G422" s="2" t="inlineStr">
        <is>
          <t>The Time of Battle Release Event Cards</t>
        </is>
      </c>
      <c r="H422" s="3" t="n"/>
      <c r="I422" s="3" t="n">
        <v>6.63</v>
      </c>
      <c r="J422" s="3" t="n"/>
      <c r="K422" s="3" t="n">
        <v>5.75</v>
      </c>
      <c r="L422" s="2" t="inlineStr">
        <is>
          <t>TCGplayer</t>
        </is>
      </c>
      <c r="N422" s="4" t="inlineStr">
        <is>
          <t>https://www.tcgplayer.com/product/697491</t>
        </is>
      </c>
    </row>
    <row r="423">
      <c r="A423" s="2" t="inlineStr">
        <is>
          <t>The World's Strongest Warriors Booster Pack</t>
        </is>
      </c>
      <c r="B423" s="3">
        <f>IF(H423&lt;&gt;"",H423,IF(I423&lt;&gt;"",I423,IF(J423&lt;&gt;"",J423,K423)))</f>
        <v>9.32</v>
      </c>
      <c r="C423" s="3">
        <f>MEDIAN(H423:K423)</f>
        <v>7.535</v>
      </c>
      <c r="D423" s="3">
        <f>ROUND(C423*(1-Settings!$B$2),2)</f>
        <v>5.27</v>
      </c>
      <c r="E423" s="2" t="inlineStr">
        <is>
          <t>One Piece</t>
        </is>
      </c>
      <c r="F423" s="2" t="inlineStr">
        <is>
          <t>Pack</t>
        </is>
      </c>
      <c r="G423" s="2" t="inlineStr">
        <is>
          <t>The World's Strongest Warriors</t>
        </is>
      </c>
      <c r="H423" s="3" t="n"/>
      <c r="I423" s="3" t="n">
        <v>9.32</v>
      </c>
      <c r="J423" s="3" t="n"/>
      <c r="K423" s="3" t="n">
        <v>5.75</v>
      </c>
      <c r="L423" s="2" t="inlineStr">
        <is>
          <t>TCGplayer</t>
        </is>
      </c>
      <c r="N423" s="4" t="inlineStr">
        <is>
          <t>https://www.tcgplayer.com/product/704756</t>
        </is>
      </c>
    </row>
    <row r="424">
      <c r="A424" s="2" t="inlineStr">
        <is>
          <t>The World's Strongest Warriors Sleeved Booster Pack</t>
        </is>
      </c>
      <c r="B424" s="3">
        <f>IF(H424&lt;&gt;"",H424,IF(I424&lt;&gt;"",I424,IF(J424&lt;&gt;"",J424,K424)))</f>
        <v>14.23</v>
      </c>
      <c r="C424" s="3">
        <f>MEDIAN(H424:K424)</f>
        <v>13.59</v>
      </c>
      <c r="D424" s="3">
        <f>ROUND(C424*(1-Settings!$B$2),2)</f>
        <v>9.51</v>
      </c>
      <c r="E424" s="2" t="inlineStr">
        <is>
          <t>One Piece</t>
        </is>
      </c>
      <c r="F424" s="2" t="inlineStr">
        <is>
          <t>Pack</t>
        </is>
      </c>
      <c r="G424" s="2" t="inlineStr">
        <is>
          <t>The World's Strongest Warriors</t>
        </is>
      </c>
      <c r="H424" s="3" t="n"/>
      <c r="I424" s="3" t="n">
        <v>14.23</v>
      </c>
      <c r="J424" s="3" t="n"/>
      <c r="K424" s="3" t="n">
        <v>12.95</v>
      </c>
      <c r="L424" s="2" t="inlineStr">
        <is>
          <t>TCGplayer</t>
        </is>
      </c>
      <c r="N424" s="4" t="inlineStr">
        <is>
          <t>https://www.tcgplayer.com/product/704755</t>
        </is>
      </c>
    </row>
    <row r="425">
      <c r="A425" s="2" t="inlineStr">
        <is>
          <t>The World's Strongest Warriors - 4th Anniversary Tournament Pack</t>
        </is>
      </c>
      <c r="B425" s="3">
        <f>IF(H425&lt;&gt;"",H425,IF(I425&lt;&gt;"",I425,IF(J425&lt;&gt;"",J425,K425)))</f>
        <v>7.01</v>
      </c>
      <c r="C425" s="3">
        <f>MEDIAN(H425:K425)</f>
        <v>6.005</v>
      </c>
      <c r="D425" s="3">
        <f>ROUND(C425*(1-Settings!$B$2),2)</f>
        <v>4.2</v>
      </c>
      <c r="E425" s="2" t="inlineStr">
        <is>
          <t>One Piece</t>
        </is>
      </c>
      <c r="F425" s="2" t="inlineStr">
        <is>
          <t>Pack</t>
        </is>
      </c>
      <c r="G425" s="2" t="inlineStr">
        <is>
          <t>The World's Strongest Warriors Release Event Cards</t>
        </is>
      </c>
      <c r="H425" s="3" t="n"/>
      <c r="I425" s="3" t="n">
        <v>7.01</v>
      </c>
      <c r="J425" s="3" t="n"/>
      <c r="K425" s="3" t="n">
        <v>5</v>
      </c>
      <c r="L425" s="2" t="inlineStr">
        <is>
          <t>TCGplayer</t>
        </is>
      </c>
      <c r="N425" s="4" t="inlineStr">
        <is>
          <t>https://www.tcgplayer.com/product/712741</t>
        </is>
      </c>
    </row>
    <row r="426">
      <c r="A426" s="2" t="inlineStr">
        <is>
          <t>Special DON!! Card Pack DP-05</t>
        </is>
      </c>
      <c r="B426" s="3">
        <f>IF(H426&lt;&gt;"",H426,IF(I426&lt;&gt;"",I426,IF(J426&lt;&gt;"",J426,K426)))</f>
        <v>6.05</v>
      </c>
      <c r="C426" s="3">
        <f>MEDIAN(H426:K426)</f>
        <v>5.525</v>
      </c>
      <c r="D426" s="3">
        <f>ROUND(C426*(1-Settings!$B$2),2)</f>
        <v>3.87</v>
      </c>
      <c r="E426" s="2" t="inlineStr">
        <is>
          <t>One Piece</t>
        </is>
      </c>
      <c r="F426" s="2" t="inlineStr">
        <is>
          <t>Pack</t>
        </is>
      </c>
      <c r="G426" s="2" t="inlineStr">
        <is>
          <t>Two Legends</t>
        </is>
      </c>
      <c r="H426" s="3" t="n"/>
      <c r="I426" s="3" t="n">
        <v>6.05</v>
      </c>
      <c r="J426" s="3" t="n"/>
      <c r="K426" s="3" t="n">
        <v>5</v>
      </c>
      <c r="L426" s="2" t="inlineStr">
        <is>
          <t>TCGplayer</t>
        </is>
      </c>
      <c r="N426" s="4" t="inlineStr">
        <is>
          <t>https://www.tcgplayer.com/product/586061</t>
        </is>
      </c>
    </row>
    <row r="427">
      <c r="A427" s="2" t="inlineStr">
        <is>
          <t>Two Legends - Booster Pack</t>
        </is>
      </c>
      <c r="B427" s="3">
        <f>IF(H427&lt;&gt;"",H427,IF(I427&lt;&gt;"",I427,IF(J427&lt;&gt;"",J427,K427)))</f>
        <v>8.78</v>
      </c>
      <c r="C427" s="3">
        <f>MEDIAN(H427:K427)</f>
        <v>8.78</v>
      </c>
      <c r="D427" s="3">
        <f>ROUND(C427*(1-Settings!$B$2),2)</f>
        <v>6.15</v>
      </c>
      <c r="E427" s="2" t="inlineStr">
        <is>
          <t>One Piece</t>
        </is>
      </c>
      <c r="F427" s="2" t="inlineStr">
        <is>
          <t>Pack</t>
        </is>
      </c>
      <c r="G427" s="2" t="inlineStr">
        <is>
          <t>Two Legends</t>
        </is>
      </c>
      <c r="H427" s="3" t="n">
        <v>8.779999999999999</v>
      </c>
      <c r="I427" s="3" t="n">
        <v>8.83</v>
      </c>
      <c r="J427" s="3" t="n"/>
      <c r="K427" s="3" t="n">
        <v>5.78</v>
      </c>
      <c r="L427" s="2" t="inlineStr">
        <is>
          <t>PriceCharting + TCGplayer</t>
        </is>
      </c>
      <c r="M427" s="4" t="inlineStr">
        <is>
          <t>https://www.pricecharting.com/game/one-piece-two-legends/booster-pack</t>
        </is>
      </c>
      <c r="N427" s="4" t="inlineStr">
        <is>
          <t>https://www.tcgplayer.com/product/542502</t>
        </is>
      </c>
    </row>
    <row r="428">
      <c r="A428" s="2" t="inlineStr">
        <is>
          <t>Two Legends - Sleeved Booster Pack</t>
        </is>
      </c>
      <c r="B428" s="3">
        <f>IF(H428&lt;&gt;"",H428,IF(I428&lt;&gt;"",I428,IF(J428&lt;&gt;"",J428,K428)))</f>
        <v>16.77</v>
      </c>
      <c r="C428" s="3">
        <f>MEDIAN(H428:K428)</f>
        <v>16.77</v>
      </c>
      <c r="D428" s="3">
        <f>ROUND(C428*(1-Settings!$B$2),2)</f>
        <v>11.74</v>
      </c>
      <c r="E428" s="2" t="inlineStr">
        <is>
          <t>One Piece</t>
        </is>
      </c>
      <c r="F428" s="2" t="inlineStr">
        <is>
          <t>Pack</t>
        </is>
      </c>
      <c r="G428" s="2" t="inlineStr">
        <is>
          <t>Two Legends</t>
        </is>
      </c>
      <c r="H428" s="3" t="n">
        <v>16.77</v>
      </c>
      <c r="I428" s="3" t="n">
        <v>16.73</v>
      </c>
      <c r="J428" s="3" t="n"/>
      <c r="K428" s="3" t="n">
        <v>16.77</v>
      </c>
      <c r="L428" s="2" t="inlineStr">
        <is>
          <t>PriceCharting + TCGplayer</t>
        </is>
      </c>
      <c r="M428" s="4" t="inlineStr">
        <is>
          <t>https://www.pricecharting.com/game/one-piece-two-legends/sleeved-booster-pack</t>
        </is>
      </c>
      <c r="N428" s="4" t="inlineStr">
        <is>
          <t>https://www.tcgplayer.com/product/542503</t>
        </is>
      </c>
    </row>
    <row r="429">
      <c r="A429" s="2" t="inlineStr">
        <is>
          <t>Two Legends Double Pack DP-05</t>
        </is>
      </c>
      <c r="B429" s="3">
        <f>IF(H429&lt;&gt;"",H429,IF(I429&lt;&gt;"",I429,IF(J429&lt;&gt;"",J429,K429)))</f>
        <v>50.55</v>
      </c>
      <c r="C429" s="3">
        <f>MEDIAN(H429:K429)</f>
        <v>50.55</v>
      </c>
      <c r="D429" s="3">
        <f>ROUND(C429*(1-Settings!$B$2),2)</f>
        <v>35.39</v>
      </c>
      <c r="E429" s="2" t="inlineStr">
        <is>
          <t>One Piece</t>
        </is>
      </c>
      <c r="F429" s="2" t="inlineStr">
        <is>
          <t>Pack</t>
        </is>
      </c>
      <c r="G429" s="2" t="inlineStr">
        <is>
          <t>Two Legends</t>
        </is>
      </c>
      <c r="H429" s="3" t="n">
        <v>50.55</v>
      </c>
      <c r="I429" s="3" t="n"/>
      <c r="J429" s="3" t="n"/>
      <c r="K429" s="3" t="n"/>
      <c r="L429" s="2" t="inlineStr">
        <is>
          <t>PriceCharting</t>
        </is>
      </c>
      <c r="M429" s="4" t="inlineStr">
        <is>
          <t>https://www.pricecharting.com/game/one-piece-two-legends/double-pack-dp-05</t>
        </is>
      </c>
    </row>
    <row r="430">
      <c r="A430" s="2" t="inlineStr">
        <is>
          <t>Two Legends Pre-Release Pack</t>
        </is>
      </c>
      <c r="B430" s="3">
        <f>IF(H430&lt;&gt;"",H430,IF(I430&lt;&gt;"",I430,IF(J430&lt;&gt;"",J430,K430)))</f>
        <v>6.57</v>
      </c>
      <c r="C430" s="3">
        <f>MEDIAN(H430:K430)</f>
        <v>6.57</v>
      </c>
      <c r="D430" s="3">
        <f>ROUND(C430*(1-Settings!$B$2),2)</f>
        <v>4.6</v>
      </c>
      <c r="E430" s="2" t="inlineStr">
        <is>
          <t>One Piece</t>
        </is>
      </c>
      <c r="F430" s="2" t="inlineStr">
        <is>
          <t>Pack</t>
        </is>
      </c>
      <c r="G430" s="2" t="inlineStr">
        <is>
          <t>Two Legends</t>
        </is>
      </c>
      <c r="H430" s="3" t="n">
        <v>6.57</v>
      </c>
      <c r="I430" s="3" t="n"/>
      <c r="J430" s="3" t="n"/>
      <c r="K430" s="3" t="n"/>
      <c r="L430" s="2" t="inlineStr">
        <is>
          <t>PriceCharting</t>
        </is>
      </c>
      <c r="M430" s="4" t="inlineStr">
        <is>
          <t>https://www.pricecharting.com/game/one-piece-two-legends/pre-release-pack</t>
        </is>
      </c>
    </row>
    <row r="431">
      <c r="A431" s="2" t="inlineStr">
        <is>
          <t>Two Legends - Pre-Release Pack</t>
        </is>
      </c>
      <c r="B431" s="3">
        <f>IF(H431&lt;&gt;"",H431,IF(I431&lt;&gt;"",I431,IF(J431&lt;&gt;"",J431,K431)))</f>
        <v>6.25</v>
      </c>
      <c r="C431" s="3">
        <f>MEDIAN(H431:K431)</f>
        <v>6.12</v>
      </c>
      <c r="D431" s="3">
        <f>ROUND(C431*(1-Settings!$B$2),2)</f>
        <v>4.28</v>
      </c>
      <c r="E431" s="2" t="inlineStr">
        <is>
          <t>One Piece</t>
        </is>
      </c>
      <c r="F431" s="2" t="inlineStr">
        <is>
          <t>Pack</t>
        </is>
      </c>
      <c r="G431" s="2" t="inlineStr">
        <is>
          <t>Two Legends Pre-Release Cards</t>
        </is>
      </c>
      <c r="H431" s="3" t="n"/>
      <c r="I431" s="3" t="n">
        <v>6.25</v>
      </c>
      <c r="J431" s="3" t="n"/>
      <c r="K431" s="3" t="n">
        <v>5.99</v>
      </c>
      <c r="L431" s="2" t="inlineStr">
        <is>
          <t>TCGplayer</t>
        </is>
      </c>
      <c r="N431" s="4" t="inlineStr">
        <is>
          <t>https://www.tcgplayer.com/product/577144</t>
        </is>
      </c>
    </row>
    <row r="432">
      <c r="A432" s="2" t="inlineStr">
        <is>
          <t>Ultra Deck The Three Brothers Bonus Pack</t>
        </is>
      </c>
      <c r="B432" s="3">
        <f>IF(H432&lt;&gt;"",H432,IF(I432&lt;&gt;"",I432,IF(J432&lt;&gt;"",J432,K432)))</f>
        <v>37.5</v>
      </c>
      <c r="C432" s="3">
        <f>MEDIAN(H432:K432)</f>
        <v>37.5</v>
      </c>
      <c r="D432" s="3">
        <f>ROUND(C432*(1-Settings!$B$2),2)</f>
        <v>26.25</v>
      </c>
      <c r="E432" s="2" t="inlineStr">
        <is>
          <t>One Piece</t>
        </is>
      </c>
      <c r="F432" s="2" t="inlineStr">
        <is>
          <t>Pack</t>
        </is>
      </c>
      <c r="G432" s="2" t="inlineStr">
        <is>
          <t>Ultra Deck The Three Brothers</t>
        </is>
      </c>
      <c r="H432" s="3" t="n">
        <v>37.5</v>
      </c>
      <c r="I432" s="3" t="n"/>
      <c r="J432" s="3" t="n"/>
      <c r="K432" s="3" t="n"/>
      <c r="L432" s="2" t="inlineStr">
        <is>
          <t>PriceCharting</t>
        </is>
      </c>
      <c r="M432" s="4" t="inlineStr">
        <is>
          <t>https://www.pricecharting.com/game/one-piece-ultra-deck-the-three-brothers/bonus-pack</t>
        </is>
      </c>
    </row>
    <row r="433">
      <c r="A433" s="2" t="inlineStr">
        <is>
          <t>Special DON!! Card Pack DP-03</t>
        </is>
      </c>
      <c r="B433" s="3">
        <f>IF(H433&lt;&gt;"",H433,IF(I433&lt;&gt;"",I433,IF(J433&lt;&gt;"",J433,K433)))</f>
        <v>3.8</v>
      </c>
      <c r="C433" s="3">
        <f>MEDIAN(H433:K433)</f>
        <v>3.405</v>
      </c>
      <c r="D433" s="3">
        <f>ROUND(C433*(1-Settings!$B$2),2)</f>
        <v>2.38</v>
      </c>
      <c r="E433" s="2" t="inlineStr">
        <is>
          <t>One Piece</t>
        </is>
      </c>
      <c r="F433" s="2" t="inlineStr">
        <is>
          <t>Pack</t>
        </is>
      </c>
      <c r="G433" s="2" t="inlineStr">
        <is>
          <t>Wings of the Captain</t>
        </is>
      </c>
      <c r="H433" s="3" t="n"/>
      <c r="I433" s="3" t="n">
        <v>3.8</v>
      </c>
      <c r="J433" s="3" t="n"/>
      <c r="K433" s="3" t="n">
        <v>3.01</v>
      </c>
      <c r="L433" s="2" t="inlineStr">
        <is>
          <t>TCGplayer</t>
        </is>
      </c>
      <c r="N433" s="4" t="inlineStr">
        <is>
          <t>https://www.tcgplayer.com/product/543906</t>
        </is>
      </c>
    </row>
    <row r="434">
      <c r="A434" s="2" t="inlineStr">
        <is>
          <t>Wings of the Captain - Booster Pack</t>
        </is>
      </c>
      <c r="B434" s="3">
        <f>IF(H434&lt;&gt;"",H434,IF(I434&lt;&gt;"",I434,IF(J434&lt;&gt;"",J434,K434)))</f>
        <v>24.99</v>
      </c>
      <c r="C434" s="3">
        <f>MEDIAN(H434:K434)</f>
        <v>14.13</v>
      </c>
      <c r="D434" s="3">
        <f>ROUND(C434*(1-Settings!$B$2),2)</f>
        <v>9.89</v>
      </c>
      <c r="E434" s="2" t="inlineStr">
        <is>
          <t>One Piece</t>
        </is>
      </c>
      <c r="F434" s="2" t="inlineStr">
        <is>
          <t>Pack</t>
        </is>
      </c>
      <c r="G434" s="2" t="inlineStr">
        <is>
          <t>Wings of the Captain</t>
        </is>
      </c>
      <c r="H434" s="3" t="n">
        <v>24.99</v>
      </c>
      <c r="I434" s="3" t="n">
        <v>14.13</v>
      </c>
      <c r="J434" s="3" t="n"/>
      <c r="K434" s="3" t="n">
        <v>12.98</v>
      </c>
      <c r="L434" s="2" t="inlineStr">
        <is>
          <t>PriceCharting + TCGplayer</t>
        </is>
      </c>
      <c r="M434" s="4" t="inlineStr">
        <is>
          <t>https://www.pricecharting.com/game/one-piece-wings-of-the-captain/booster-pack</t>
        </is>
      </c>
      <c r="N434" s="4" t="inlineStr">
        <is>
          <t>https://www.tcgplayer.com/product/515077</t>
        </is>
      </c>
    </row>
    <row r="435">
      <c r="A435" s="2" t="inlineStr">
        <is>
          <t>Wings of the Captain - Sleeved Booster Pack</t>
        </is>
      </c>
      <c r="B435" s="3">
        <f>IF(H435&lt;&gt;"",H435,IF(I435&lt;&gt;"",I435,IF(J435&lt;&gt;"",J435,K435)))</f>
        <v>24.99</v>
      </c>
      <c r="C435" s="3">
        <f>MEDIAN(H435:K435)</f>
        <v>24.99</v>
      </c>
      <c r="D435" s="3">
        <f>ROUND(C435*(1-Settings!$B$2),2)</f>
        <v>17.49</v>
      </c>
      <c r="E435" s="2" t="inlineStr">
        <is>
          <t>One Piece</t>
        </is>
      </c>
      <c r="F435" s="2" t="inlineStr">
        <is>
          <t>Pack</t>
        </is>
      </c>
      <c r="G435" s="2" t="inlineStr">
        <is>
          <t>Wings of the Captain</t>
        </is>
      </c>
      <c r="H435" s="3" t="n">
        <v>24.99</v>
      </c>
      <c r="I435" s="3" t="n">
        <v>24.95</v>
      </c>
      <c r="J435" s="3" t="n"/>
      <c r="K435" s="3" t="n">
        <v>28.98</v>
      </c>
      <c r="L435" s="2" t="inlineStr">
        <is>
          <t>PriceCharting + TCGplayer</t>
        </is>
      </c>
      <c r="M435" s="4" t="inlineStr">
        <is>
          <t>https://www.pricecharting.com/game/one-piece-wings-of-the-captain/sleeved-booster-pack</t>
        </is>
      </c>
      <c r="N435" s="4" t="inlineStr">
        <is>
          <t>https://www.tcgplayer.com/product/543371</t>
        </is>
      </c>
    </row>
    <row r="436">
      <c r="A436" s="2" t="inlineStr">
        <is>
          <t>Wings Of The Captain Double Pack DP-03</t>
        </is>
      </c>
      <c r="B436" s="3">
        <f>IF(H436&lt;&gt;"",H436,IF(I436&lt;&gt;"",I436,IF(J436&lt;&gt;"",J436,K436)))</f>
        <v>55.52</v>
      </c>
      <c r="C436" s="3">
        <f>MEDIAN(H436:K436)</f>
        <v>55.52</v>
      </c>
      <c r="D436" s="3">
        <f>ROUND(C436*(1-Settings!$B$2),2)</f>
        <v>38.86</v>
      </c>
      <c r="E436" s="2" t="inlineStr">
        <is>
          <t>One Piece</t>
        </is>
      </c>
      <c r="F436" s="2" t="inlineStr">
        <is>
          <t>Pack</t>
        </is>
      </c>
      <c r="G436" s="2" t="inlineStr">
        <is>
          <t>Wings Of The Captain</t>
        </is>
      </c>
      <c r="H436" s="3" t="n">
        <v>55.52</v>
      </c>
      <c r="I436" s="3" t="n"/>
      <c r="J436" s="3" t="n"/>
      <c r="K436" s="3" t="n"/>
      <c r="L436" s="2" t="inlineStr">
        <is>
          <t>PriceCharting</t>
        </is>
      </c>
      <c r="M436" s="4" t="inlineStr">
        <is>
          <t>https://www.pricecharting.com/game/one-piece-wings-of-the-captain/double-pack-dp-03</t>
        </is>
      </c>
    </row>
    <row r="437">
      <c r="A437" s="2" t="inlineStr">
        <is>
          <t>Wings of the Captain - Pre-Release Pack</t>
        </is>
      </c>
      <c r="B437" s="3">
        <f>IF(H437&lt;&gt;"",H437,IF(I437&lt;&gt;"",I437,IF(J437&lt;&gt;"",J437,K437)))</f>
        <v>5.66</v>
      </c>
      <c r="C437" s="3">
        <f>MEDIAN(H437:K437)</f>
        <v>5.78</v>
      </c>
      <c r="D437" s="3">
        <f>ROUND(C437*(1-Settings!$B$2),2)</f>
        <v>4.05</v>
      </c>
      <c r="E437" s="2" t="inlineStr">
        <is>
          <t>One Piece</t>
        </is>
      </c>
      <c r="F437" s="2" t="inlineStr">
        <is>
          <t>Pack</t>
        </is>
      </c>
      <c r="G437" s="2" t="inlineStr">
        <is>
          <t>Wings of the Captain Pre-Release Cards</t>
        </is>
      </c>
      <c r="H437" s="3" t="n"/>
      <c r="I437" s="3" t="n">
        <v>5.66</v>
      </c>
      <c r="J437" s="3" t="n"/>
      <c r="K437" s="3" t="n">
        <v>5.9</v>
      </c>
      <c r="L437" s="2" t="inlineStr">
        <is>
          <t>TCGplayer</t>
        </is>
      </c>
      <c r="N437" s="4" t="inlineStr">
        <is>
          <t>https://www.tcgplayer.com/product/537437</t>
        </is>
      </c>
    </row>
    <row r="438">
      <c r="A438" s="2" t="inlineStr">
        <is>
          <t>1999 Topps Movie Booster Box</t>
        </is>
      </c>
      <c r="B438" s="3">
        <f>IF(H438&lt;&gt;"",H438,IF(I438&lt;&gt;"",I438,IF(J438&lt;&gt;"",J438,K438)))</f>
        <v>1957.58</v>
      </c>
      <c r="C438" s="3">
        <f>MEDIAN(H438:K438)</f>
        <v>1957.58</v>
      </c>
      <c r="D438" s="3">
        <f>ROUND(C438*(1-Settings!$B$2),2)</f>
        <v>1370.31</v>
      </c>
      <c r="E438" s="2" t="inlineStr">
        <is>
          <t>Pokemon</t>
        </is>
      </c>
      <c r="F438" s="2" t="inlineStr">
        <is>
          <t>Box</t>
        </is>
      </c>
      <c r="G438" s="2" t="inlineStr">
        <is>
          <t>1999 Topps Movie</t>
        </is>
      </c>
      <c r="H438" s="3" t="n">
        <v>1957.58</v>
      </c>
      <c r="I438" s="3" t="n"/>
      <c r="J438" s="3" t="n"/>
      <c r="K438" s="3" t="n"/>
      <c r="L438" s="2" t="inlineStr">
        <is>
          <t>PriceCharting</t>
        </is>
      </c>
      <c r="M438" s="4" t="inlineStr">
        <is>
          <t>https://www.pricecharting.com/game/pokemon-1999-topps-movie/booster-box</t>
        </is>
      </c>
    </row>
    <row r="439">
      <c r="A439" s="2" t="inlineStr">
        <is>
          <t>1999 Topps Movie Booster Box [Black Logo]</t>
        </is>
      </c>
      <c r="B439" s="3">
        <f>IF(H439&lt;&gt;"",H439,IF(I439&lt;&gt;"",I439,IF(J439&lt;&gt;"",J439,K439)))</f>
        <v>712.86</v>
      </c>
      <c r="C439" s="3">
        <f>MEDIAN(H439:K439)</f>
        <v>712.86</v>
      </c>
      <c r="D439" s="3">
        <f>ROUND(C439*(1-Settings!$B$2),2)</f>
        <v>499.0</v>
      </c>
      <c r="E439" s="2" t="inlineStr">
        <is>
          <t>Pokemon</t>
        </is>
      </c>
      <c r="F439" s="2" t="inlineStr">
        <is>
          <t>Box</t>
        </is>
      </c>
      <c r="G439" s="2" t="inlineStr">
        <is>
          <t>1999 Topps Movie</t>
        </is>
      </c>
      <c r="H439" s="3" t="n">
        <v>712.86</v>
      </c>
      <c r="I439" s="3" t="n"/>
      <c r="J439" s="3" t="n"/>
      <c r="K439" s="3" t="n"/>
      <c r="L439" s="2" t="inlineStr">
        <is>
          <t>PriceCharting</t>
        </is>
      </c>
      <c r="M439" s="4" t="inlineStr">
        <is>
          <t>https://www.pricecharting.com/game/pokemon-1999-topps-movie/booster-box-black-logo</t>
        </is>
      </c>
    </row>
    <row r="440">
      <c r="A440" s="2" t="inlineStr">
        <is>
          <t>1999 Topps Tv Booster Box</t>
        </is>
      </c>
      <c r="B440" s="3">
        <f>IF(H440&lt;&gt;"",H440,IF(I440&lt;&gt;"",I440,IF(J440&lt;&gt;"",J440,K440)))</f>
        <v>2225.0</v>
      </c>
      <c r="C440" s="3">
        <f>MEDIAN(H440:K440)</f>
        <v>2225.0</v>
      </c>
      <c r="D440" s="3">
        <f>ROUND(C440*(1-Settings!$B$2),2)</f>
        <v>1557.5</v>
      </c>
      <c r="E440" s="2" t="inlineStr">
        <is>
          <t>Pokemon</t>
        </is>
      </c>
      <c r="F440" s="2" t="inlineStr">
        <is>
          <t>Box</t>
        </is>
      </c>
      <c r="G440" s="2" t="inlineStr">
        <is>
          <t>1999 Topps Tv</t>
        </is>
      </c>
      <c r="H440" s="3" t="n">
        <v>2225</v>
      </c>
      <c r="I440" s="3" t="n"/>
      <c r="J440" s="3" t="n"/>
      <c r="K440" s="3" t="n"/>
      <c r="L440" s="2" t="inlineStr">
        <is>
          <t>PriceCharting</t>
        </is>
      </c>
      <c r="M440" s="4" t="inlineStr">
        <is>
          <t>https://www.pricecharting.com/game/pokemon-1999-topps-tv/booster-box</t>
        </is>
      </c>
    </row>
    <row r="441">
      <c r="A441" s="2" t="inlineStr">
        <is>
          <t>2000 Topps Tv Booster Box [Series 2]</t>
        </is>
      </c>
      <c r="B441" s="3">
        <f>IF(H441&lt;&gt;"",H441,IF(I441&lt;&gt;"",I441,IF(J441&lt;&gt;"",J441,K441)))</f>
        <v>3349.0</v>
      </c>
      <c r="C441" s="3">
        <f>MEDIAN(H441:K441)</f>
        <v>3349.0</v>
      </c>
      <c r="D441" s="3">
        <f>ROUND(C441*(1-Settings!$B$2),2)</f>
        <v>2344.3</v>
      </c>
      <c r="E441" s="2" t="inlineStr">
        <is>
          <t>Pokemon</t>
        </is>
      </c>
      <c r="F441" s="2" t="inlineStr">
        <is>
          <t>Box</t>
        </is>
      </c>
      <c r="G441" s="2" t="inlineStr">
        <is>
          <t>2000 Topps Tv</t>
        </is>
      </c>
      <c r="H441" s="3" t="n">
        <v>3349</v>
      </c>
      <c r="I441" s="3" t="n"/>
      <c r="J441" s="3" t="n"/>
      <c r="K441" s="3" t="n"/>
      <c r="L441" s="2" t="inlineStr">
        <is>
          <t>PriceCharting</t>
        </is>
      </c>
      <c r="M441" s="4" t="inlineStr">
        <is>
          <t>https://www.pricecharting.com/game/pokemon-2000-topps-tv/booster-box-series-2</t>
        </is>
      </c>
    </row>
    <row r="442">
      <c r="A442" s="2" t="inlineStr">
        <is>
          <t>2000 Topps Tv Booster Box [Series 3]</t>
        </is>
      </c>
      <c r="B442" s="3">
        <f>IF(H442&lt;&gt;"",H442,IF(I442&lt;&gt;"",I442,IF(J442&lt;&gt;"",J442,K442)))</f>
        <v>5400.0</v>
      </c>
      <c r="C442" s="3">
        <f>MEDIAN(H442:K442)</f>
        <v>5400.0</v>
      </c>
      <c r="D442" s="3">
        <f>ROUND(C442*(1-Settings!$B$2),2)</f>
        <v>3780.0</v>
      </c>
      <c r="E442" s="2" t="inlineStr">
        <is>
          <t>Pokemon</t>
        </is>
      </c>
      <c r="F442" s="2" t="inlineStr">
        <is>
          <t>Box</t>
        </is>
      </c>
      <c r="G442" s="2" t="inlineStr">
        <is>
          <t>2000 Topps Tv</t>
        </is>
      </c>
      <c r="H442" s="3" t="n">
        <v>5400</v>
      </c>
      <c r="I442" s="3" t="n"/>
      <c r="J442" s="3" t="n"/>
      <c r="K442" s="3" t="n"/>
      <c r="L442" s="2" t="inlineStr">
        <is>
          <t>PriceCharting</t>
        </is>
      </c>
      <c r="M442" s="4" t="inlineStr">
        <is>
          <t>https://www.pricecharting.com/game/pokemon-2000-topps-tv/booster-box-series-3</t>
        </is>
      </c>
    </row>
    <row r="443">
      <c r="A443" s="2" t="inlineStr">
        <is>
          <t>Ancient Origins Booster Box</t>
        </is>
      </c>
      <c r="B443" s="3">
        <f>IF(H443&lt;&gt;"",H443,IF(I443&lt;&gt;"",I443,IF(J443&lt;&gt;"",J443,K443)))</f>
        <v>6700.0</v>
      </c>
      <c r="C443" s="3">
        <f>MEDIAN(H443:K443)</f>
        <v>6700.0</v>
      </c>
      <c r="D443" s="3">
        <f>ROUND(C443*(1-Settings!$B$2),2)</f>
        <v>4690.0</v>
      </c>
      <c r="E443" s="2" t="inlineStr">
        <is>
          <t>Pokemon</t>
        </is>
      </c>
      <c r="F443" s="2" t="inlineStr">
        <is>
          <t>Box</t>
        </is>
      </c>
      <c r="G443" s="2" t="inlineStr">
        <is>
          <t>Ancient Origins</t>
        </is>
      </c>
      <c r="H443" s="3" t="n">
        <v>6700</v>
      </c>
      <c r="I443" s="3" t="n"/>
      <c r="J443" s="3" t="n"/>
      <c r="K443" s="3" t="n"/>
      <c r="L443" s="2" t="inlineStr">
        <is>
          <t>PriceCharting</t>
        </is>
      </c>
      <c r="M443" s="4" t="inlineStr">
        <is>
          <t>https://www.pricecharting.com/game/pokemon-ancient-origins/booster-box</t>
        </is>
      </c>
    </row>
    <row r="444">
      <c r="A444" s="2" t="inlineStr">
        <is>
          <t>Aquapolis Booster Box</t>
        </is>
      </c>
      <c r="B444" s="3">
        <f>IF(H444&lt;&gt;"",H444,IF(I444&lt;&gt;"",I444,IF(J444&lt;&gt;"",J444,K444)))</f>
        <v>13766.7</v>
      </c>
      <c r="C444" s="3">
        <f>MEDIAN(H444:K444)</f>
        <v>13766.7</v>
      </c>
      <c r="D444" s="3">
        <f>ROUND(C444*(1-Settings!$B$2),2)</f>
        <v>9636.69</v>
      </c>
      <c r="E444" s="2" t="inlineStr">
        <is>
          <t>Pokemon</t>
        </is>
      </c>
      <c r="F444" s="2" t="inlineStr">
        <is>
          <t>Box</t>
        </is>
      </c>
      <c r="G444" s="2" t="inlineStr">
        <is>
          <t>Aquapolis</t>
        </is>
      </c>
      <c r="H444" s="3" t="n">
        <v>13766.7</v>
      </c>
      <c r="I444" s="3" t="n"/>
      <c r="J444" s="3" t="n"/>
      <c r="K444" s="3" t="n"/>
      <c r="L444" s="2" t="inlineStr">
        <is>
          <t>PriceCharting</t>
        </is>
      </c>
      <c r="M444" s="4" t="inlineStr">
        <is>
          <t>https://www.pricecharting.com/game/pokemon-aquapolis/booster-box</t>
        </is>
      </c>
    </row>
    <row r="445">
      <c r="A445" s="2" t="inlineStr">
        <is>
          <t>Arceus Booster Box</t>
        </is>
      </c>
      <c r="B445" s="3">
        <f>IF(H445&lt;&gt;"",H445,IF(I445&lt;&gt;"",I445,IF(J445&lt;&gt;"",J445,K445)))</f>
        <v>332.5</v>
      </c>
      <c r="C445" s="3">
        <f>MEDIAN(H445:K445)</f>
        <v>332.5</v>
      </c>
      <c r="D445" s="3">
        <f>ROUND(C445*(1-Settings!$B$2),2)</f>
        <v>232.75</v>
      </c>
      <c r="E445" s="2" t="inlineStr">
        <is>
          <t>Pokemon</t>
        </is>
      </c>
      <c r="F445" s="2" t="inlineStr">
        <is>
          <t>Box</t>
        </is>
      </c>
      <c r="G445" s="2" t="inlineStr">
        <is>
          <t>Arceus</t>
        </is>
      </c>
      <c r="H445" s="3" t="n">
        <v>332.5</v>
      </c>
      <c r="I445" s="3" t="n"/>
      <c r="J445" s="3" t="n"/>
      <c r="K445" s="3" t="n"/>
      <c r="L445" s="2" t="inlineStr">
        <is>
          <t>PriceCharting + TCGplayer</t>
        </is>
      </c>
      <c r="M445" s="4" t="inlineStr">
        <is>
          <t>https://www.pricecharting.com/game/pokemon-arceus/booster-box</t>
        </is>
      </c>
      <c r="N445" s="4" t="inlineStr">
        <is>
          <t>https://www.tcgplayer.com/product/98593</t>
        </is>
      </c>
    </row>
    <row r="446">
      <c r="A446" s="2" t="inlineStr">
        <is>
          <t>Ascended Heroes Booster Bundle Display Box</t>
        </is>
      </c>
      <c r="B446" s="3">
        <f>IF(H446&lt;&gt;"",H446,IF(I446&lt;&gt;"",I446,IF(J446&lt;&gt;"",J446,K446)))</f>
        <v>1402.54</v>
      </c>
      <c r="C446" s="3">
        <f>MEDIAN(H446:K446)</f>
        <v>1402.54</v>
      </c>
      <c r="D446" s="3">
        <f>ROUND(C446*(1-Settings!$B$2),2)</f>
        <v>981.78</v>
      </c>
      <c r="E446" s="2" t="inlineStr">
        <is>
          <t>Pokemon</t>
        </is>
      </c>
      <c r="F446" s="2" t="inlineStr">
        <is>
          <t>Box</t>
        </is>
      </c>
      <c r="G446" s="2" t="inlineStr">
        <is>
          <t>Ascended Heroes</t>
        </is>
      </c>
      <c r="H446" s="3" t="n">
        <v>1402.54</v>
      </c>
      <c r="I446" s="3" t="n"/>
      <c r="J446" s="3" t="n"/>
      <c r="K446" s="3" t="n"/>
      <c r="L446" s="2" t="inlineStr">
        <is>
          <t>PriceCharting</t>
        </is>
      </c>
      <c r="M446" s="4" t="inlineStr">
        <is>
          <t>https://www.pricecharting.com/game/pokemon-ascended-heroes/booster-bundle-display-box</t>
        </is>
      </c>
    </row>
    <row r="447">
      <c r="A447" s="2" t="inlineStr">
        <is>
          <t>Astral Radiance Build &amp; Battle Display Box</t>
        </is>
      </c>
      <c r="B447" s="3">
        <f>IF(H447&lt;&gt;"",H447,IF(I447&lt;&gt;"",I447,IF(J447&lt;&gt;"",J447,K447)))</f>
        <v>407.22</v>
      </c>
      <c r="C447" s="3">
        <f>MEDIAN(H447:K447)</f>
        <v>407.22</v>
      </c>
      <c r="D447" s="3">
        <f>ROUND(C447*(1-Settings!$B$2),2)</f>
        <v>285.05</v>
      </c>
      <c r="E447" s="2" t="inlineStr">
        <is>
          <t>Pokemon</t>
        </is>
      </c>
      <c r="F447" s="2" t="inlineStr">
        <is>
          <t>Box</t>
        </is>
      </c>
      <c r="G447" s="2" t="inlineStr">
        <is>
          <t>Astral Radiance</t>
        </is>
      </c>
      <c r="H447" s="3" t="n">
        <v>407.22</v>
      </c>
      <c r="I447" s="3" t="n"/>
      <c r="J447" s="3" t="n"/>
      <c r="K447" s="3" t="n"/>
      <c r="L447" s="2" t="inlineStr">
        <is>
          <t>PriceCharting</t>
        </is>
      </c>
      <c r="M447" s="4" t="inlineStr">
        <is>
          <t>https://www.pricecharting.com/game/pokemon-astral-radiance/build-&amp;-battle-display-box</t>
        </is>
      </c>
    </row>
    <row r="448">
      <c r="A448" s="2" t="inlineStr">
        <is>
          <t>Base Set Booster Box</t>
        </is>
      </c>
      <c r="B448" s="3">
        <f>IF(H448&lt;&gt;"",H448,IF(I448&lt;&gt;"",I448,IF(J448&lt;&gt;"",J448,K448)))</f>
        <v>38750.0</v>
      </c>
      <c r="C448" s="3">
        <f>MEDIAN(H448:K448)</f>
        <v>38750.0</v>
      </c>
      <c r="D448" s="3">
        <f>ROUND(C448*(1-Settings!$B$2),2)</f>
        <v>27125.0</v>
      </c>
      <c r="E448" s="2" t="inlineStr">
        <is>
          <t>Pokemon</t>
        </is>
      </c>
      <c r="F448" s="2" t="inlineStr">
        <is>
          <t>Box</t>
        </is>
      </c>
      <c r="G448" s="2" t="inlineStr">
        <is>
          <t>Base Set</t>
        </is>
      </c>
      <c r="H448" s="3" t="n">
        <v>38750</v>
      </c>
      <c r="I448" s="3" t="n"/>
      <c r="J448" s="3" t="n"/>
      <c r="K448" s="3" t="n"/>
      <c r="L448" s="2" t="inlineStr">
        <is>
          <t>PriceCharting</t>
        </is>
      </c>
      <c r="M448" s="4" t="inlineStr">
        <is>
          <t>https://www.pricecharting.com/game/pokemon-base-set/booster-box</t>
        </is>
      </c>
    </row>
    <row r="449">
      <c r="A449" s="2" t="inlineStr">
        <is>
          <t>Base Set Booster Box [1st Edition]</t>
        </is>
      </c>
      <c r="B449" s="3">
        <f>IF(H449&lt;&gt;"",H449,IF(I449&lt;&gt;"",I449,IF(J449&lt;&gt;"",J449,K449)))</f>
        <v>13195.38</v>
      </c>
      <c r="C449" s="3">
        <f>MEDIAN(H449:K449)</f>
        <v>13195.38</v>
      </c>
      <c r="D449" s="3">
        <f>ROUND(C449*(1-Settings!$B$2),2)</f>
        <v>9236.77</v>
      </c>
      <c r="E449" s="2" t="inlineStr">
        <is>
          <t>Pokemon</t>
        </is>
      </c>
      <c r="F449" s="2" t="inlineStr">
        <is>
          <t>Box</t>
        </is>
      </c>
      <c r="G449" s="2" t="inlineStr">
        <is>
          <t>Base Set</t>
        </is>
      </c>
      <c r="H449" s="3" t="n">
        <v>13195.38</v>
      </c>
      <c r="I449" s="3" t="n"/>
      <c r="J449" s="3" t="n"/>
      <c r="K449" s="3" t="n"/>
      <c r="L449" s="2" t="inlineStr">
        <is>
          <t>PriceCharting</t>
        </is>
      </c>
      <c r="M449" s="4" t="inlineStr">
        <is>
          <t>https://www.pricecharting.com/game/pokemon-base-set/booster-box-1st-edition</t>
        </is>
      </c>
    </row>
    <row r="450">
      <c r="A450" s="2" t="inlineStr">
        <is>
          <t>Base Set Booster Box [Revised Unlimited Edition]</t>
        </is>
      </c>
      <c r="B450" s="3">
        <f>IF(H450&lt;&gt;"",H450,IF(I450&lt;&gt;"",I450,IF(J450&lt;&gt;"",J450,K450)))</f>
        <v>100000.0</v>
      </c>
      <c r="C450" s="3">
        <f>MEDIAN(H450:K450)</f>
        <v>100000.0</v>
      </c>
      <c r="D450" s="3">
        <f>ROUND(C450*(1-Settings!$B$2),2)</f>
        <v>70000.0</v>
      </c>
      <c r="E450" s="2" t="inlineStr">
        <is>
          <t>Pokemon</t>
        </is>
      </c>
      <c r="F450" s="2" t="inlineStr">
        <is>
          <t>Box</t>
        </is>
      </c>
      <c r="G450" s="2" t="inlineStr">
        <is>
          <t>Base Set</t>
        </is>
      </c>
      <c r="H450" s="3" t="n"/>
      <c r="I450" s="3" t="n"/>
      <c r="J450" s="3" t="n">
        <v>100000</v>
      </c>
      <c r="K450" s="3" t="n">
        <v>100000</v>
      </c>
      <c r="L450" s="2" t="inlineStr">
        <is>
          <t>TCGplayer</t>
        </is>
      </c>
      <c r="N450" s="4" t="inlineStr">
        <is>
          <t>https://www.tcgplayer.com/product/185731</t>
        </is>
      </c>
    </row>
    <row r="451">
      <c r="A451" s="2" t="inlineStr">
        <is>
          <t>Base Set 2 Booster Box</t>
        </is>
      </c>
      <c r="B451" s="3">
        <f>IF(H451&lt;&gt;"",H451,IF(I451&lt;&gt;"",I451,IF(J451&lt;&gt;"",J451,K451)))</f>
        <v>18902.07</v>
      </c>
      <c r="C451" s="3">
        <f>MEDIAN(H451:K451)</f>
        <v>18902.07</v>
      </c>
      <c r="D451" s="3">
        <f>ROUND(C451*(1-Settings!$B$2),2)</f>
        <v>13231.45</v>
      </c>
      <c r="E451" s="2" t="inlineStr">
        <is>
          <t>Pokemon</t>
        </is>
      </c>
      <c r="F451" s="2" t="inlineStr">
        <is>
          <t>Box</t>
        </is>
      </c>
      <c r="G451" s="2" t="inlineStr">
        <is>
          <t>Base Set 2</t>
        </is>
      </c>
      <c r="H451" s="3" t="n">
        <v>18902.07</v>
      </c>
      <c r="I451" s="3" t="n"/>
      <c r="J451" s="3" t="n"/>
      <c r="K451" s="3" t="n"/>
      <c r="L451" s="2" t="inlineStr">
        <is>
          <t>PriceCharting + TCGplayer</t>
        </is>
      </c>
      <c r="M451" s="4" t="inlineStr">
        <is>
          <t>https://www.pricecharting.com/game/pokemon-base-set-2/booster-box</t>
        </is>
      </c>
      <c r="N451" s="4" t="inlineStr">
        <is>
          <t>https://www.tcgplayer.com/product/107610</t>
        </is>
      </c>
    </row>
    <row r="452">
      <c r="A452" s="2" t="inlineStr">
        <is>
          <t>Black Bolt Booster Bundle Display Box</t>
        </is>
      </c>
      <c r="B452" s="3">
        <f>IF(H452&lt;&gt;"",H452,IF(I452&lt;&gt;"",I452,IF(J452&lt;&gt;"",J452,K452)))</f>
        <v>1557.45</v>
      </c>
      <c r="C452" s="3">
        <f>MEDIAN(H452:K452)</f>
        <v>1557.45</v>
      </c>
      <c r="D452" s="3">
        <f>ROUND(C452*(1-Settings!$B$2),2)</f>
        <v>1090.22</v>
      </c>
      <c r="E452" s="2" t="inlineStr">
        <is>
          <t>Pokemon</t>
        </is>
      </c>
      <c r="F452" s="2" t="inlineStr">
        <is>
          <t>Box</t>
        </is>
      </c>
      <c r="G452" s="2" t="inlineStr">
        <is>
          <t>Black Bolt</t>
        </is>
      </c>
      <c r="H452" s="3" t="n">
        <v>1557.45</v>
      </c>
      <c r="I452" s="3" t="n"/>
      <c r="J452" s="3" t="n"/>
      <c r="K452" s="3" t="n"/>
      <c r="L452" s="2" t="inlineStr">
        <is>
          <t>PriceCharting</t>
        </is>
      </c>
      <c r="M452" s="4" t="inlineStr">
        <is>
          <t>https://www.pricecharting.com/game/pokemon-black-bolt/booster-bundle-display-box</t>
        </is>
      </c>
    </row>
    <row r="453">
      <c r="A453" s="2" t="inlineStr">
        <is>
          <t>Boundaries Crossed Booster Box</t>
        </is>
      </c>
      <c r="B453" s="3">
        <f>IF(H453&lt;&gt;"",H453,IF(I453&lt;&gt;"",I453,IF(J453&lt;&gt;"",J453,K453)))</f>
        <v>10557.6</v>
      </c>
      <c r="C453" s="3">
        <f>MEDIAN(H453:K453)</f>
        <v>10557.6</v>
      </c>
      <c r="D453" s="3">
        <f>ROUND(C453*(1-Settings!$B$2),2)</f>
        <v>7390.32</v>
      </c>
      <c r="E453" s="2" t="inlineStr">
        <is>
          <t>Pokemon</t>
        </is>
      </c>
      <c r="F453" s="2" t="inlineStr">
        <is>
          <t>Box</t>
        </is>
      </c>
      <c r="G453" s="2" t="inlineStr">
        <is>
          <t>Boundaries Crossed</t>
        </is>
      </c>
      <c r="H453" s="3" t="n">
        <v>10557.6</v>
      </c>
      <c r="I453" s="3" t="n"/>
      <c r="J453" s="3" t="n"/>
      <c r="K453" s="3" t="n"/>
      <c r="L453" s="2" t="inlineStr">
        <is>
          <t>PriceCharting + TCGplayer</t>
        </is>
      </c>
      <c r="M453" s="4" t="inlineStr">
        <is>
          <t>https://www.pricecharting.com/game/pokemon-boundaries-crossed/booster-box</t>
        </is>
      </c>
      <c r="N453" s="4" t="inlineStr">
        <is>
          <t>https://www.tcgplayer.com/product/98555</t>
        </is>
      </c>
    </row>
    <row r="454">
      <c r="A454" s="2" t="inlineStr">
        <is>
          <t>Breakpoint Booster Box</t>
        </is>
      </c>
      <c r="B454" s="3">
        <f>IF(H454&lt;&gt;"",H454,IF(I454&lt;&gt;"",I454,IF(J454&lt;&gt;"",J454,K454)))</f>
        <v>2499.0</v>
      </c>
      <c r="C454" s="3">
        <f>MEDIAN(H454:K454)</f>
        <v>2499.0</v>
      </c>
      <c r="D454" s="3">
        <f>ROUND(C454*(1-Settings!$B$2),2)</f>
        <v>1749.3</v>
      </c>
      <c r="E454" s="2" t="inlineStr">
        <is>
          <t>Pokemon</t>
        </is>
      </c>
      <c r="F454" s="2" t="inlineStr">
        <is>
          <t>Box</t>
        </is>
      </c>
      <c r="G454" s="2" t="inlineStr">
        <is>
          <t>Breakpoint</t>
        </is>
      </c>
      <c r="H454" s="3" t="n">
        <v>2499</v>
      </c>
      <c r="I454" s="3" t="n"/>
      <c r="J454" s="3" t="n"/>
      <c r="K454" s="3" t="n"/>
      <c r="L454" s="2" t="inlineStr">
        <is>
          <t>PriceCharting</t>
        </is>
      </c>
      <c r="M454" s="4" t="inlineStr">
        <is>
          <t>https://www.pricecharting.com/game/pokemon-breakpoint/booster-box</t>
        </is>
      </c>
    </row>
    <row r="455">
      <c r="A455" s="2" t="inlineStr">
        <is>
          <t>Breakthrough Booster Box</t>
        </is>
      </c>
      <c r="B455" s="3">
        <f>IF(H455&lt;&gt;"",H455,IF(I455&lt;&gt;"",I455,IF(J455&lt;&gt;"",J455,K455)))</f>
        <v>3300.0</v>
      </c>
      <c r="C455" s="3">
        <f>MEDIAN(H455:K455)</f>
        <v>3300.0</v>
      </c>
      <c r="D455" s="3">
        <f>ROUND(C455*(1-Settings!$B$2),2)</f>
        <v>2310.0</v>
      </c>
      <c r="E455" s="2" t="inlineStr">
        <is>
          <t>Pokemon</t>
        </is>
      </c>
      <c r="F455" s="2" t="inlineStr">
        <is>
          <t>Box</t>
        </is>
      </c>
      <c r="G455" s="2" t="inlineStr">
        <is>
          <t>Breakthrough</t>
        </is>
      </c>
      <c r="H455" s="3" t="n">
        <v>3300</v>
      </c>
      <c r="I455" s="3" t="n"/>
      <c r="J455" s="3" t="n"/>
      <c r="K455" s="3" t="n"/>
      <c r="L455" s="2" t="inlineStr">
        <is>
          <t>PriceCharting</t>
        </is>
      </c>
      <c r="M455" s="4" t="inlineStr">
        <is>
          <t>https://www.pricecharting.com/game/pokemon-breakthrough/booster-box</t>
        </is>
      </c>
    </row>
    <row r="456">
      <c r="A456" s="2" t="inlineStr">
        <is>
          <t>Brilliant Stars Build &amp; Battle Display Box</t>
        </is>
      </c>
      <c r="B456" s="3">
        <f>IF(H456&lt;&gt;"",H456,IF(I456&lt;&gt;"",I456,IF(J456&lt;&gt;"",J456,K456)))</f>
        <v>592.7</v>
      </c>
      <c r="C456" s="3">
        <f>MEDIAN(H456:K456)</f>
        <v>592.7</v>
      </c>
      <c r="D456" s="3">
        <f>ROUND(C456*(1-Settings!$B$2),2)</f>
        <v>414.89</v>
      </c>
      <c r="E456" s="2" t="inlineStr">
        <is>
          <t>Pokemon</t>
        </is>
      </c>
      <c r="F456" s="2" t="inlineStr">
        <is>
          <t>Box</t>
        </is>
      </c>
      <c r="G456" s="2" t="inlineStr">
        <is>
          <t>Brilliant Stars</t>
        </is>
      </c>
      <c r="H456" s="3" t="n">
        <v>592.7</v>
      </c>
      <c r="I456" s="3" t="n"/>
      <c r="J456" s="3" t="n"/>
      <c r="K456" s="3" t="n"/>
      <c r="L456" s="2" t="inlineStr">
        <is>
          <t>PriceCharting</t>
        </is>
      </c>
      <c r="M456" s="4" t="inlineStr">
        <is>
          <t>https://www.pricecharting.com/game/pokemon-brilliant-stars/build-&amp;-battle-display-box</t>
        </is>
      </c>
    </row>
    <row r="457">
      <c r="A457" s="2" t="inlineStr">
        <is>
          <t>Burning Shadows Booster Box [Prerelease]</t>
        </is>
      </c>
      <c r="B457" s="3">
        <f>IF(H457&lt;&gt;"",H457,IF(I457&lt;&gt;"",I457,IF(J457&lt;&gt;"",J457,K457)))</f>
        <v>59.99</v>
      </c>
      <c r="C457" s="3">
        <f>MEDIAN(H457:K457)</f>
        <v>59.99</v>
      </c>
      <c r="D457" s="3">
        <f>ROUND(C457*(1-Settings!$B$2),2)</f>
        <v>41.99</v>
      </c>
      <c r="E457" s="2" t="inlineStr">
        <is>
          <t>Pokemon</t>
        </is>
      </c>
      <c r="F457" s="2" t="inlineStr">
        <is>
          <t>Box</t>
        </is>
      </c>
      <c r="G457" s="2" t="inlineStr">
        <is>
          <t>Burning Shadows</t>
        </is>
      </c>
      <c r="H457" s="3" t="n">
        <v>59.99</v>
      </c>
      <c r="I457" s="3" t="n"/>
      <c r="J457" s="3" t="n"/>
      <c r="K457" s="3" t="n"/>
      <c r="L457" s="2" t="inlineStr">
        <is>
          <t>PriceCharting</t>
        </is>
      </c>
      <c r="M457" s="4" t="inlineStr">
        <is>
          <t>https://www.pricecharting.com/game/pokemon-burning-shadows/booster-box-prerelease</t>
        </is>
      </c>
    </row>
    <row r="458">
      <c r="A458" s="2" t="inlineStr">
        <is>
          <t>Call of Legends Booster Box</t>
        </is>
      </c>
      <c r="B458" s="3">
        <f>IF(H458&lt;&gt;"",H458,IF(I458&lt;&gt;"",I458,IF(J458&lt;&gt;"",J458,K458)))</f>
        <v>9625.0</v>
      </c>
      <c r="C458" s="3">
        <f>MEDIAN(H458:K458)</f>
        <v>9625.0</v>
      </c>
      <c r="D458" s="3">
        <f>ROUND(C458*(1-Settings!$B$2),2)</f>
        <v>6737.5</v>
      </c>
      <c r="E458" s="2" t="inlineStr">
        <is>
          <t>Pokemon</t>
        </is>
      </c>
      <c r="F458" s="2" t="inlineStr">
        <is>
          <t>Box</t>
        </is>
      </c>
      <c r="G458" s="2" t="inlineStr">
        <is>
          <t>Call of Legends</t>
        </is>
      </c>
      <c r="H458" s="3" t="n">
        <v>9625</v>
      </c>
      <c r="I458" s="3" t="n"/>
      <c r="J458" s="3" t="n"/>
      <c r="K458" s="3" t="n"/>
      <c r="L458" s="2" t="inlineStr">
        <is>
          <t>PriceCharting + TCGplayer</t>
        </is>
      </c>
      <c r="M458" s="4" t="inlineStr">
        <is>
          <t>https://www.pricecharting.com/game/pokemon-call-of-legends/booster-box</t>
        </is>
      </c>
      <c r="N458" s="4" t="inlineStr">
        <is>
          <t>https://www.tcgplayer.com/product/98514</t>
        </is>
      </c>
    </row>
    <row r="459">
      <c r="A459" s="2" t="inlineStr">
        <is>
          <t>Chaos Rising Booster Box</t>
        </is>
      </c>
      <c r="B459" s="3">
        <f>IF(H459&lt;&gt;"",H459,IF(I459&lt;&gt;"",I459,IF(J459&lt;&gt;"",J459,K459)))</f>
        <v>186.9</v>
      </c>
      <c r="C459" s="3">
        <f>MEDIAN(H459:K459)</f>
        <v>186.9</v>
      </c>
      <c r="D459" s="3">
        <f>ROUND(C459*(1-Settings!$B$2),2)</f>
        <v>130.83</v>
      </c>
      <c r="E459" s="2" t="inlineStr">
        <is>
          <t>Pokemon</t>
        </is>
      </c>
      <c r="F459" s="2" t="inlineStr">
        <is>
          <t>Box</t>
        </is>
      </c>
      <c r="G459" s="2" t="inlineStr">
        <is>
          <t>Chaos Rising</t>
        </is>
      </c>
      <c r="H459" s="3" t="n">
        <v>186.9</v>
      </c>
      <c r="I459" s="3" t="n"/>
      <c r="J459" s="3" t="n"/>
      <c r="K459" s="3" t="n"/>
      <c r="L459" s="2" t="inlineStr">
        <is>
          <t>PriceCharting</t>
        </is>
      </c>
      <c r="M459" s="4" t="inlineStr">
        <is>
          <t>https://www.pricecharting.com/game/pokemon-chaos-rising/booster-box</t>
        </is>
      </c>
    </row>
    <row r="460">
      <c r="A460" s="2" t="inlineStr">
        <is>
          <t>Chaos Rising Half Booster Box</t>
        </is>
      </c>
      <c r="B460" s="3">
        <f>IF(H460&lt;&gt;"",H460,IF(I460&lt;&gt;"",I460,IF(J460&lt;&gt;"",J460,K460)))</f>
        <v>111.55</v>
      </c>
      <c r="C460" s="3">
        <f>MEDIAN(H460:K460)</f>
        <v>111.55</v>
      </c>
      <c r="D460" s="3">
        <f>ROUND(C460*(1-Settings!$B$2),2)</f>
        <v>78.09</v>
      </c>
      <c r="E460" s="2" t="inlineStr">
        <is>
          <t>Pokemon</t>
        </is>
      </c>
      <c r="F460" s="2" t="inlineStr">
        <is>
          <t>Box</t>
        </is>
      </c>
      <c r="G460" s="2" t="inlineStr">
        <is>
          <t>Chaos Rising</t>
        </is>
      </c>
      <c r="H460" s="3" t="n">
        <v>111.55</v>
      </c>
      <c r="I460" s="3" t="n"/>
      <c r="J460" s="3" t="n"/>
      <c r="K460" s="3" t="n"/>
      <c r="L460" s="2" t="inlineStr">
        <is>
          <t>PriceCharting</t>
        </is>
      </c>
      <c r="M460" s="4" t="inlineStr">
        <is>
          <t>https://www.pricecharting.com/game/pokemon-chaos-rising/half-booster-box</t>
        </is>
      </c>
    </row>
    <row r="461">
      <c r="A461" s="2" t="inlineStr">
        <is>
          <t>Chilling Reign Build &amp; Battle Display Box</t>
        </is>
      </c>
      <c r="B461" s="3">
        <f>IF(H461&lt;&gt;"",H461,IF(I461&lt;&gt;"",I461,IF(J461&lt;&gt;"",J461,K461)))</f>
        <v>630.0</v>
      </c>
      <c r="C461" s="3">
        <f>MEDIAN(H461:K461)</f>
        <v>630.0</v>
      </c>
      <c r="D461" s="3">
        <f>ROUND(C461*(1-Settings!$B$2),2)</f>
        <v>441.0</v>
      </c>
      <c r="E461" s="2" t="inlineStr">
        <is>
          <t>Pokemon</t>
        </is>
      </c>
      <c r="F461" s="2" t="inlineStr">
        <is>
          <t>Box</t>
        </is>
      </c>
      <c r="G461" s="2" t="inlineStr">
        <is>
          <t>Chilling Reign</t>
        </is>
      </c>
      <c r="H461" s="3" t="n">
        <v>630</v>
      </c>
      <c r="I461" s="3" t="n"/>
      <c r="J461" s="3" t="n"/>
      <c r="K461" s="3" t="n"/>
      <c r="L461" s="2" t="inlineStr">
        <is>
          <t>PriceCharting</t>
        </is>
      </c>
      <c r="M461" s="4" t="inlineStr">
        <is>
          <t>https://www.pricecharting.com/game/pokemon-chilling-reign/build-&amp;-battle-display-box</t>
        </is>
      </c>
    </row>
    <row r="462">
      <c r="A462" s="2" t="inlineStr">
        <is>
          <t>Chinese 151 Collect Booster Box</t>
        </is>
      </c>
      <c r="B462" s="3">
        <f>IF(H462&lt;&gt;"",H462,IF(I462&lt;&gt;"",I462,IF(J462&lt;&gt;"",J462,K462)))</f>
        <v>50.48</v>
      </c>
      <c r="C462" s="3">
        <f>MEDIAN(H462:K462)</f>
        <v>50.48</v>
      </c>
      <c r="D462" s="3">
        <f>ROUND(C462*(1-Settings!$B$2),2)</f>
        <v>35.34</v>
      </c>
      <c r="E462" s="2" t="inlineStr">
        <is>
          <t>Pokemon</t>
        </is>
      </c>
      <c r="F462" s="2" t="inlineStr">
        <is>
          <t>Box</t>
        </is>
      </c>
      <c r="G462" s="2" t="inlineStr">
        <is>
          <t>Chinese 151 Collect</t>
        </is>
      </c>
      <c r="H462" s="3" t="n">
        <v>50.48</v>
      </c>
      <c r="I462" s="3" t="n"/>
      <c r="J462" s="3" t="n"/>
      <c r="K462" s="3" t="n"/>
      <c r="L462" s="2" t="inlineStr">
        <is>
          <t>PriceCharting</t>
        </is>
      </c>
      <c r="M462" s="4" t="inlineStr">
        <is>
          <t>https://www.pricecharting.com/game/pokemon-chinese-151-collect/booster-box</t>
        </is>
      </c>
    </row>
    <row r="463">
      <c r="A463" s="2" t="inlineStr">
        <is>
          <t>Chinese 151 Collect Booster Box [Surprise Jumbo]</t>
        </is>
      </c>
      <c r="B463" s="3">
        <f>IF(H463&lt;&gt;"",H463,IF(I463&lt;&gt;"",I463,IF(J463&lt;&gt;"",J463,K463)))</f>
        <v>88.22</v>
      </c>
      <c r="C463" s="3">
        <f>MEDIAN(H463:K463)</f>
        <v>88.22</v>
      </c>
      <c r="D463" s="3">
        <f>ROUND(C463*(1-Settings!$B$2),2)</f>
        <v>61.75</v>
      </c>
      <c r="E463" s="2" t="inlineStr">
        <is>
          <t>Pokemon</t>
        </is>
      </c>
      <c r="F463" s="2" t="inlineStr">
        <is>
          <t>Box</t>
        </is>
      </c>
      <c r="G463" s="2" t="inlineStr">
        <is>
          <t>Chinese 151 Collect</t>
        </is>
      </c>
      <c r="H463" s="3" t="n">
        <v>88.22</v>
      </c>
      <c r="I463" s="3" t="n"/>
      <c r="J463" s="3" t="n"/>
      <c r="K463" s="3" t="n"/>
      <c r="L463" s="2" t="inlineStr">
        <is>
          <t>PriceCharting</t>
        </is>
      </c>
      <c r="M463" s="4" t="inlineStr">
        <is>
          <t>https://www.pricecharting.com/game/pokemon-chinese-151-collect/booster-box-surprise-jumbo</t>
        </is>
      </c>
    </row>
    <row r="464">
      <c r="A464" s="2" t="inlineStr">
        <is>
          <t>Chinese 151 Collect Booster Box [Surprise Slim]</t>
        </is>
      </c>
      <c r="B464" s="3">
        <f>IF(H464&lt;&gt;"",H464,IF(I464&lt;&gt;"",I464,IF(J464&lt;&gt;"",J464,K464)))</f>
        <v>53.5</v>
      </c>
      <c r="C464" s="3">
        <f>MEDIAN(H464:K464)</f>
        <v>53.5</v>
      </c>
      <c r="D464" s="3">
        <f>ROUND(C464*(1-Settings!$B$2),2)</f>
        <v>37.45</v>
      </c>
      <c r="E464" s="2" t="inlineStr">
        <is>
          <t>Pokemon</t>
        </is>
      </c>
      <c r="F464" s="2" t="inlineStr">
        <is>
          <t>Box</t>
        </is>
      </c>
      <c r="G464" s="2" t="inlineStr">
        <is>
          <t>Chinese 151 Collect</t>
        </is>
      </c>
      <c r="H464" s="3" t="n">
        <v>53.5</v>
      </c>
      <c r="I464" s="3" t="n"/>
      <c r="J464" s="3" t="n"/>
      <c r="K464" s="3" t="n"/>
      <c r="L464" s="2" t="inlineStr">
        <is>
          <t>PriceCharting</t>
        </is>
      </c>
      <c r="M464" s="4" t="inlineStr">
        <is>
          <t>https://www.pricecharting.com/game/pokemon-chinese-151-collect/booster-box-surprise-slim</t>
        </is>
      </c>
    </row>
    <row r="465">
      <c r="A465" s="2" t="inlineStr">
        <is>
          <t>Chinese 151 Collect Booster Box [Volume 4]</t>
        </is>
      </c>
      <c r="B465" s="3">
        <f>IF(H465&lt;&gt;"",H465,IF(I465&lt;&gt;"",I465,IF(J465&lt;&gt;"",J465,K465)))</f>
        <v>43.39</v>
      </c>
      <c r="C465" s="3">
        <f>MEDIAN(H465:K465)</f>
        <v>43.39</v>
      </c>
      <c r="D465" s="3">
        <f>ROUND(C465*(1-Settings!$B$2),2)</f>
        <v>30.37</v>
      </c>
      <c r="E465" s="2" t="inlineStr">
        <is>
          <t>Pokemon</t>
        </is>
      </c>
      <c r="F465" s="2" t="inlineStr">
        <is>
          <t>Box</t>
        </is>
      </c>
      <c r="G465" s="2" t="inlineStr">
        <is>
          <t>Chinese 151 Collect</t>
        </is>
      </c>
      <c r="H465" s="3" t="n">
        <v>43.39</v>
      </c>
      <c r="I465" s="3" t="n"/>
      <c r="J465" s="3" t="n"/>
      <c r="K465" s="3" t="n"/>
      <c r="L465" s="2" t="inlineStr">
        <is>
          <t>PriceCharting</t>
        </is>
      </c>
      <c r="M465" s="4" t="inlineStr">
        <is>
          <t>https://www.pricecharting.com/game/pokemon-chinese-151-collect/booster-box-volume-4</t>
        </is>
      </c>
    </row>
    <row r="466">
      <c r="A466" s="2" t="inlineStr">
        <is>
          <t>Chinese 151 Collect Slim Booster Box: Hope</t>
        </is>
      </c>
      <c r="B466" s="3">
        <f>IF(H466&lt;&gt;"",H466,IF(I466&lt;&gt;"",I466,IF(J466&lt;&gt;"",J466,K466)))</f>
        <v>44.99</v>
      </c>
      <c r="C466" s="3">
        <f>MEDIAN(H466:K466)</f>
        <v>44.99</v>
      </c>
      <c r="D466" s="3">
        <f>ROUND(C466*(1-Settings!$B$2),2)</f>
        <v>31.49</v>
      </c>
      <c r="E466" s="2" t="inlineStr">
        <is>
          <t>Pokemon</t>
        </is>
      </c>
      <c r="F466" s="2" t="inlineStr">
        <is>
          <t>Box</t>
        </is>
      </c>
      <c r="G466" s="2" t="inlineStr">
        <is>
          <t>Chinese 151 Collect</t>
        </is>
      </c>
      <c r="H466" s="3" t="n">
        <v>44.99</v>
      </c>
      <c r="I466" s="3" t="n"/>
      <c r="J466" s="3" t="n"/>
      <c r="K466" s="3" t="n"/>
      <c r="L466" s="2" t="inlineStr">
        <is>
          <t>PriceCharting</t>
        </is>
      </c>
      <c r="M466" s="4" t="inlineStr">
        <is>
          <t>https://www.pricecharting.com/game/pokemon-chinese-151-collect/slim-booster-box-hope</t>
        </is>
      </c>
    </row>
    <row r="467">
      <c r="A467" s="2" t="inlineStr">
        <is>
          <t>Chinese Csv10c Jumbo Booster Box</t>
        </is>
      </c>
      <c r="B467" s="3">
        <f>IF(H467&lt;&gt;"",H467,IF(I467&lt;&gt;"",I467,IF(J467&lt;&gt;"",J467,K467)))</f>
        <v>60.99</v>
      </c>
      <c r="C467" s="3">
        <f>MEDIAN(H467:K467)</f>
        <v>60.99</v>
      </c>
      <c r="D467" s="3">
        <f>ROUND(C467*(1-Settings!$B$2),2)</f>
        <v>42.69</v>
      </c>
      <c r="E467" s="2" t="inlineStr">
        <is>
          <t>Pokemon</t>
        </is>
      </c>
      <c r="F467" s="2" t="inlineStr">
        <is>
          <t>Box</t>
        </is>
      </c>
      <c r="G467" s="2" t="inlineStr">
        <is>
          <t>Chinese Csv10c</t>
        </is>
      </c>
      <c r="H467" s="3" t="n">
        <v>60.99</v>
      </c>
      <c r="I467" s="3" t="n"/>
      <c r="J467" s="3" t="n"/>
      <c r="K467" s="3" t="n"/>
      <c r="L467" s="2" t="inlineStr">
        <is>
          <t>PriceCharting</t>
        </is>
      </c>
      <c r="M467" s="4" t="inlineStr">
        <is>
          <t>https://www.pricecharting.com/game/pokemon-chinese-csv10c/jumbo-booster-box</t>
        </is>
      </c>
    </row>
    <row r="468">
      <c r="A468" s="2" t="inlineStr">
        <is>
          <t>Chinese Csv10c Slim Booster Box</t>
        </is>
      </c>
      <c r="B468" s="3">
        <f>IF(H468&lt;&gt;"",H468,IF(I468&lt;&gt;"",I468,IF(J468&lt;&gt;"",J468,K468)))</f>
        <v>37.99</v>
      </c>
      <c r="C468" s="3">
        <f>MEDIAN(H468:K468)</f>
        <v>37.99</v>
      </c>
      <c r="D468" s="3">
        <f>ROUND(C468*(1-Settings!$B$2),2)</f>
        <v>26.59</v>
      </c>
      <c r="E468" s="2" t="inlineStr">
        <is>
          <t>Pokemon</t>
        </is>
      </c>
      <c r="F468" s="2" t="inlineStr">
        <is>
          <t>Box</t>
        </is>
      </c>
      <c r="G468" s="2" t="inlineStr">
        <is>
          <t>Chinese Csv10c</t>
        </is>
      </c>
      <c r="H468" s="3" t="n">
        <v>37.99</v>
      </c>
      <c r="I468" s="3" t="n"/>
      <c r="J468" s="3" t="n"/>
      <c r="K468" s="3" t="n"/>
      <c r="L468" s="2" t="inlineStr">
        <is>
          <t>PriceCharting</t>
        </is>
      </c>
      <c r="M468" s="4" t="inlineStr">
        <is>
          <t>https://www.pricecharting.com/game/pokemon-chinese-csv10c/slim-booster-box</t>
        </is>
      </c>
    </row>
    <row r="469">
      <c r="A469" s="2" t="inlineStr">
        <is>
          <t>Chinese Csv4c Booster Box [Jumbo]</t>
        </is>
      </c>
      <c r="B469" s="3">
        <f>IF(H469&lt;&gt;"",H469,IF(I469&lt;&gt;"",I469,IF(J469&lt;&gt;"",J469,K469)))</f>
        <v>60.98</v>
      </c>
      <c r="C469" s="3">
        <f>MEDIAN(H469:K469)</f>
        <v>60.98</v>
      </c>
      <c r="D469" s="3">
        <f>ROUND(C469*(1-Settings!$B$2),2)</f>
        <v>42.69</v>
      </c>
      <c r="E469" s="2" t="inlineStr">
        <is>
          <t>Pokemon</t>
        </is>
      </c>
      <c r="F469" s="2" t="inlineStr">
        <is>
          <t>Box</t>
        </is>
      </c>
      <c r="G469" s="2" t="inlineStr">
        <is>
          <t>Chinese Csv4c</t>
        </is>
      </c>
      <c r="H469" s="3" t="n">
        <v>60.98</v>
      </c>
      <c r="I469" s="3" t="n"/>
      <c r="J469" s="3" t="n"/>
      <c r="K469" s="3" t="n"/>
      <c r="L469" s="2" t="inlineStr">
        <is>
          <t>PriceCharting</t>
        </is>
      </c>
      <c r="M469" s="4" t="inlineStr">
        <is>
          <t>https://www.pricecharting.com/game/pokemon-chinese-csv4c/booster-box-jumbo</t>
        </is>
      </c>
    </row>
    <row r="470">
      <c r="A470" s="2" t="inlineStr">
        <is>
          <t>Chinese Csv4c Booster Box [Slim]</t>
        </is>
      </c>
      <c r="B470" s="3">
        <f>IF(H470&lt;&gt;"",H470,IF(I470&lt;&gt;"",I470,IF(J470&lt;&gt;"",J470,K470)))</f>
        <v>33.24</v>
      </c>
      <c r="C470" s="3">
        <f>MEDIAN(H470:K470)</f>
        <v>33.24</v>
      </c>
      <c r="D470" s="3">
        <f>ROUND(C470*(1-Settings!$B$2),2)</f>
        <v>23.27</v>
      </c>
      <c r="E470" s="2" t="inlineStr">
        <is>
          <t>Pokemon</t>
        </is>
      </c>
      <c r="F470" s="2" t="inlineStr">
        <is>
          <t>Box</t>
        </is>
      </c>
      <c r="G470" s="2" t="inlineStr">
        <is>
          <t>Chinese Csv4c</t>
        </is>
      </c>
      <c r="H470" s="3" t="n">
        <v>33.24</v>
      </c>
      <c r="I470" s="3" t="n"/>
      <c r="J470" s="3" t="n"/>
      <c r="K470" s="3" t="n"/>
      <c r="L470" s="2" t="inlineStr">
        <is>
          <t>PriceCharting</t>
        </is>
      </c>
      <c r="M470" s="4" t="inlineStr">
        <is>
          <t>https://www.pricecharting.com/game/pokemon-chinese-csv4c/booster-box-slim</t>
        </is>
      </c>
    </row>
    <row r="471">
      <c r="A471" s="2" t="inlineStr">
        <is>
          <t>Chinese Csv5c Jumbo Booster Box</t>
        </is>
      </c>
      <c r="B471" s="3">
        <f>IF(H471&lt;&gt;"",H471,IF(I471&lt;&gt;"",I471,IF(J471&lt;&gt;"",J471,K471)))</f>
        <v>46.99</v>
      </c>
      <c r="C471" s="3">
        <f>MEDIAN(H471:K471)</f>
        <v>46.99</v>
      </c>
      <c r="D471" s="3">
        <f>ROUND(C471*(1-Settings!$B$2),2)</f>
        <v>32.89</v>
      </c>
      <c r="E471" s="2" t="inlineStr">
        <is>
          <t>Pokemon</t>
        </is>
      </c>
      <c r="F471" s="2" t="inlineStr">
        <is>
          <t>Box</t>
        </is>
      </c>
      <c r="G471" s="2" t="inlineStr">
        <is>
          <t>Chinese Csv5c</t>
        </is>
      </c>
      <c r="H471" s="3" t="n">
        <v>46.99</v>
      </c>
      <c r="I471" s="3" t="n"/>
      <c r="J471" s="3" t="n"/>
      <c r="K471" s="3" t="n"/>
      <c r="L471" s="2" t="inlineStr">
        <is>
          <t>PriceCharting</t>
        </is>
      </c>
      <c r="M471" s="4" t="inlineStr">
        <is>
          <t>https://www.pricecharting.com/game/pokemon-chinese-csv5c/jumbo-booster-box</t>
        </is>
      </c>
    </row>
    <row r="472">
      <c r="A472" s="2" t="inlineStr">
        <is>
          <t>Chinese Csv5c Slim Booster Box</t>
        </is>
      </c>
      <c r="B472" s="3">
        <f>IF(H472&lt;&gt;"",H472,IF(I472&lt;&gt;"",I472,IF(J472&lt;&gt;"",J472,K472)))</f>
        <v>30.49</v>
      </c>
      <c r="C472" s="3">
        <f>MEDIAN(H472:K472)</f>
        <v>30.49</v>
      </c>
      <c r="D472" s="3">
        <f>ROUND(C472*(1-Settings!$B$2),2)</f>
        <v>21.34</v>
      </c>
      <c r="E472" s="2" t="inlineStr">
        <is>
          <t>Pokemon</t>
        </is>
      </c>
      <c r="F472" s="2" t="inlineStr">
        <is>
          <t>Box</t>
        </is>
      </c>
      <c r="G472" s="2" t="inlineStr">
        <is>
          <t>Chinese Csv5c</t>
        </is>
      </c>
      <c r="H472" s="3" t="n">
        <v>30.49</v>
      </c>
      <c r="I472" s="3" t="n"/>
      <c r="J472" s="3" t="n"/>
      <c r="K472" s="3" t="n"/>
      <c r="L472" s="2" t="inlineStr">
        <is>
          <t>PriceCharting</t>
        </is>
      </c>
      <c r="M472" s="4" t="inlineStr">
        <is>
          <t>https://www.pricecharting.com/game/pokemon-chinese-csv5c/slim-booster-box</t>
        </is>
      </c>
    </row>
    <row r="473">
      <c r="A473" s="2" t="inlineStr">
        <is>
          <t>Chinese Csv6c Jumbo Booster Box</t>
        </is>
      </c>
      <c r="B473" s="3">
        <f>IF(H473&lt;&gt;"",H473,IF(I473&lt;&gt;"",I473,IF(J473&lt;&gt;"",J473,K473)))</f>
        <v>36.99</v>
      </c>
      <c r="C473" s="3">
        <f>MEDIAN(H473:K473)</f>
        <v>36.99</v>
      </c>
      <c r="D473" s="3">
        <f>ROUND(C473*(1-Settings!$B$2),2)</f>
        <v>25.89</v>
      </c>
      <c r="E473" s="2" t="inlineStr">
        <is>
          <t>Pokemon</t>
        </is>
      </c>
      <c r="F473" s="2" t="inlineStr">
        <is>
          <t>Box</t>
        </is>
      </c>
      <c r="G473" s="2" t="inlineStr">
        <is>
          <t>Chinese Csv6c</t>
        </is>
      </c>
      <c r="H473" s="3" t="n">
        <v>36.99</v>
      </c>
      <c r="I473" s="3" t="n"/>
      <c r="J473" s="3" t="n"/>
      <c r="K473" s="3" t="n"/>
      <c r="L473" s="2" t="inlineStr">
        <is>
          <t>PriceCharting</t>
        </is>
      </c>
      <c r="M473" s="4" t="inlineStr">
        <is>
          <t>https://www.pricecharting.com/game/pokemon-chinese-csv6c/jumbo-booster-box</t>
        </is>
      </c>
    </row>
    <row r="474">
      <c r="A474" s="2" t="inlineStr">
        <is>
          <t>Chinese Csv7c Jumbo Booster Box</t>
        </is>
      </c>
      <c r="B474" s="3">
        <f>IF(H474&lt;&gt;"",H474,IF(I474&lt;&gt;"",I474,IF(J474&lt;&gt;"",J474,K474)))</f>
        <v>50.87</v>
      </c>
      <c r="C474" s="3">
        <f>MEDIAN(H474:K474)</f>
        <v>50.87</v>
      </c>
      <c r="D474" s="3">
        <f>ROUND(C474*(1-Settings!$B$2),2)</f>
        <v>35.61</v>
      </c>
      <c r="E474" s="2" t="inlineStr">
        <is>
          <t>Pokemon</t>
        </is>
      </c>
      <c r="F474" s="2" t="inlineStr">
        <is>
          <t>Box</t>
        </is>
      </c>
      <c r="G474" s="2" t="inlineStr">
        <is>
          <t>Chinese Csv7c</t>
        </is>
      </c>
      <c r="H474" s="3" t="n">
        <v>50.87</v>
      </c>
      <c r="I474" s="3" t="n"/>
      <c r="J474" s="3" t="n"/>
      <c r="K474" s="3" t="n"/>
      <c r="L474" s="2" t="inlineStr">
        <is>
          <t>PriceCharting</t>
        </is>
      </c>
      <c r="M474" s="4" t="inlineStr">
        <is>
          <t>https://www.pricecharting.com/game/pokemon-chinese-csv7c/jumbo-booster-box</t>
        </is>
      </c>
    </row>
    <row r="475">
      <c r="A475" s="2" t="inlineStr">
        <is>
          <t>Chinese Csv8c Jumbo Booster Box</t>
        </is>
      </c>
      <c r="B475" s="3">
        <f>IF(H475&lt;&gt;"",H475,IF(I475&lt;&gt;"",I475,IF(J475&lt;&gt;"",J475,K475)))</f>
        <v>29.01</v>
      </c>
      <c r="C475" s="3">
        <f>MEDIAN(H475:K475)</f>
        <v>29.01</v>
      </c>
      <c r="D475" s="3">
        <f>ROUND(C475*(1-Settings!$B$2),2)</f>
        <v>20.31</v>
      </c>
      <c r="E475" s="2" t="inlineStr">
        <is>
          <t>Pokemon</t>
        </is>
      </c>
      <c r="F475" s="2" t="inlineStr">
        <is>
          <t>Box</t>
        </is>
      </c>
      <c r="G475" s="2" t="inlineStr">
        <is>
          <t>Chinese Csv8c</t>
        </is>
      </c>
      <c r="H475" s="3" t="n">
        <v>29.01</v>
      </c>
      <c r="I475" s="3" t="n"/>
      <c r="J475" s="3" t="n"/>
      <c r="K475" s="3" t="n"/>
      <c r="L475" s="2" t="inlineStr">
        <is>
          <t>PriceCharting</t>
        </is>
      </c>
      <c r="M475" s="4" t="inlineStr">
        <is>
          <t>https://www.pricecharting.com/game/pokemon-chinese-csv8c/jumbo-booster-box</t>
        </is>
      </c>
    </row>
    <row r="476">
      <c r="A476" s="2" t="inlineStr">
        <is>
          <t>Chinese Csv9c Booster Box</t>
        </is>
      </c>
      <c r="B476" s="3">
        <f>IF(H476&lt;&gt;"",H476,IF(I476&lt;&gt;"",I476,IF(J476&lt;&gt;"",J476,K476)))</f>
        <v>40.31</v>
      </c>
      <c r="C476" s="3">
        <f>MEDIAN(H476:K476)</f>
        <v>40.31</v>
      </c>
      <c r="D476" s="3">
        <f>ROUND(C476*(1-Settings!$B$2),2)</f>
        <v>28.22</v>
      </c>
      <c r="E476" s="2" t="inlineStr">
        <is>
          <t>Pokemon</t>
        </is>
      </c>
      <c r="F476" s="2" t="inlineStr">
        <is>
          <t>Box</t>
        </is>
      </c>
      <c r="G476" s="2" t="inlineStr">
        <is>
          <t>Chinese Csv9c</t>
        </is>
      </c>
      <c r="H476" s="3" t="n">
        <v>40.31</v>
      </c>
      <c r="I476" s="3" t="n"/>
      <c r="J476" s="3" t="n"/>
      <c r="K476" s="3" t="n"/>
      <c r="L476" s="2" t="inlineStr">
        <is>
          <t>PriceCharting</t>
        </is>
      </c>
      <c r="M476" s="4" t="inlineStr">
        <is>
          <t>https://www.pricecharting.com/game/pokemon-chinese-csv9c/booster-box</t>
        </is>
      </c>
    </row>
    <row r="477">
      <c r="A477" s="2" t="inlineStr">
        <is>
          <t>Chinese Gem Pack Sealed Booster Box</t>
        </is>
      </c>
      <c r="B477" s="3">
        <f>IF(H477&lt;&gt;"",H477,IF(I477&lt;&gt;"",I477,IF(J477&lt;&gt;"",J477,K477)))</f>
        <v>102.5</v>
      </c>
      <c r="C477" s="3">
        <f>MEDIAN(H477:K477)</f>
        <v>102.5</v>
      </c>
      <c r="D477" s="3">
        <f>ROUND(C477*(1-Settings!$B$2),2)</f>
        <v>71.75</v>
      </c>
      <c r="E477" s="2" t="inlineStr">
        <is>
          <t>Pokemon</t>
        </is>
      </c>
      <c r="F477" s="2" t="inlineStr">
        <is>
          <t>Box</t>
        </is>
      </c>
      <c r="G477" s="2" t="inlineStr">
        <is>
          <t>Chinese Gem Pack</t>
        </is>
      </c>
      <c r="H477" s="3" t="n">
        <v>102.5</v>
      </c>
      <c r="I477" s="3" t="n"/>
      <c r="J477" s="3" t="n"/>
      <c r="K477" s="3" t="n"/>
      <c r="L477" s="2" t="inlineStr">
        <is>
          <t>PriceCharting</t>
        </is>
      </c>
      <c r="M477" s="4" t="inlineStr">
        <is>
          <t>https://www.pricecharting.com/game/pokemon-chinese-gem-pack/sealed-booster-box</t>
        </is>
      </c>
    </row>
    <row r="478">
      <c r="A478" s="2" t="inlineStr">
        <is>
          <t>Chinese Gem Pack 2 Booster Box</t>
        </is>
      </c>
      <c r="B478" s="3">
        <f>IF(H478&lt;&gt;"",H478,IF(I478&lt;&gt;"",I478,IF(J478&lt;&gt;"",J478,K478)))</f>
        <v>68.1</v>
      </c>
      <c r="C478" s="3">
        <f>MEDIAN(H478:K478)</f>
        <v>68.1</v>
      </c>
      <c r="D478" s="3">
        <f>ROUND(C478*(1-Settings!$B$2),2)</f>
        <v>47.67</v>
      </c>
      <c r="E478" s="2" t="inlineStr">
        <is>
          <t>Pokemon</t>
        </is>
      </c>
      <c r="F478" s="2" t="inlineStr">
        <is>
          <t>Box</t>
        </is>
      </c>
      <c r="G478" s="2" t="inlineStr">
        <is>
          <t>Chinese Gem Pack 2</t>
        </is>
      </c>
      <c r="H478" s="3" t="n">
        <v>68.09999999999999</v>
      </c>
      <c r="I478" s="3" t="n"/>
      <c r="J478" s="3" t="n"/>
      <c r="K478" s="3" t="n"/>
      <c r="L478" s="2" t="inlineStr">
        <is>
          <t>PriceCharting</t>
        </is>
      </c>
      <c r="M478" s="4" t="inlineStr">
        <is>
          <t>https://www.pricecharting.com/game/pokemon-chinese-gem-pack-2/booster-box</t>
        </is>
      </c>
    </row>
    <row r="479">
      <c r="A479" s="2" t="inlineStr">
        <is>
          <t>Chinese Gem Pack 3 Booster Box</t>
        </is>
      </c>
      <c r="B479" s="3">
        <f>IF(H479&lt;&gt;"",H479,IF(I479&lt;&gt;"",I479,IF(J479&lt;&gt;"",J479,K479)))</f>
        <v>67.81</v>
      </c>
      <c r="C479" s="3">
        <f>MEDIAN(H479:K479)</f>
        <v>67.81</v>
      </c>
      <c r="D479" s="3">
        <f>ROUND(C479*(1-Settings!$B$2),2)</f>
        <v>47.47</v>
      </c>
      <c r="E479" s="2" t="inlineStr">
        <is>
          <t>Pokemon</t>
        </is>
      </c>
      <c r="F479" s="2" t="inlineStr">
        <is>
          <t>Box</t>
        </is>
      </c>
      <c r="G479" s="2" t="inlineStr">
        <is>
          <t>Chinese Gem Pack 3</t>
        </is>
      </c>
      <c r="H479" s="3" t="n">
        <v>67.81</v>
      </c>
      <c r="I479" s="3" t="n"/>
      <c r="J479" s="3" t="n"/>
      <c r="K479" s="3" t="n"/>
      <c r="L479" s="2" t="inlineStr">
        <is>
          <t>PriceCharting</t>
        </is>
      </c>
      <c r="M479" s="4" t="inlineStr">
        <is>
          <t>https://www.pricecharting.com/game/pokemon-chinese-gem-pack-3/booster-box</t>
        </is>
      </c>
    </row>
    <row r="480">
      <c r="A480" s="2" t="inlineStr">
        <is>
          <t>Chinese Gem Pack 4 Booster Box</t>
        </is>
      </c>
      <c r="B480" s="3">
        <f>IF(H480&lt;&gt;"",H480,IF(I480&lt;&gt;"",I480,IF(J480&lt;&gt;"",J480,K480)))</f>
        <v>29.08</v>
      </c>
      <c r="C480" s="3">
        <f>MEDIAN(H480:K480)</f>
        <v>29.08</v>
      </c>
      <c r="D480" s="3">
        <f>ROUND(C480*(1-Settings!$B$2),2)</f>
        <v>20.36</v>
      </c>
      <c r="E480" s="2" t="inlineStr">
        <is>
          <t>Pokemon</t>
        </is>
      </c>
      <c r="F480" s="2" t="inlineStr">
        <is>
          <t>Box</t>
        </is>
      </c>
      <c r="G480" s="2" t="inlineStr">
        <is>
          <t>Chinese Gem Pack 4</t>
        </is>
      </c>
      <c r="H480" s="3" t="n">
        <v>29.08</v>
      </c>
      <c r="I480" s="3" t="n"/>
      <c r="J480" s="3" t="n"/>
      <c r="K480" s="3" t="n"/>
      <c r="L480" s="2" t="inlineStr">
        <is>
          <t>PriceCharting</t>
        </is>
      </c>
      <c r="M480" s="4" t="inlineStr">
        <is>
          <t>https://www.pricecharting.com/game/pokemon-chinese-gem-pack-4/booster-box</t>
        </is>
      </c>
    </row>
    <row r="481">
      <c r="A481" s="2" t="inlineStr">
        <is>
          <t>Chinese Gem Pack 5 Booster Box</t>
        </is>
      </c>
      <c r="B481" s="3">
        <f>IF(H481&lt;&gt;"",H481,IF(I481&lt;&gt;"",I481,IF(J481&lt;&gt;"",J481,K481)))</f>
        <v>45.5</v>
      </c>
      <c r="C481" s="3">
        <f>MEDIAN(H481:K481)</f>
        <v>45.5</v>
      </c>
      <c r="D481" s="3">
        <f>ROUND(C481*(1-Settings!$B$2),2)</f>
        <v>31.85</v>
      </c>
      <c r="E481" s="2" t="inlineStr">
        <is>
          <t>Pokemon</t>
        </is>
      </c>
      <c r="F481" s="2" t="inlineStr">
        <is>
          <t>Box</t>
        </is>
      </c>
      <c r="G481" s="2" t="inlineStr">
        <is>
          <t>Chinese Gem Pack 5</t>
        </is>
      </c>
      <c r="H481" s="3" t="n">
        <v>45.5</v>
      </c>
      <c r="I481" s="3" t="n"/>
      <c r="J481" s="3" t="n"/>
      <c r="K481" s="3" t="n"/>
      <c r="L481" s="2" t="inlineStr">
        <is>
          <t>PriceCharting</t>
        </is>
      </c>
      <c r="M481" s="4" t="inlineStr">
        <is>
          <t>https://www.pricecharting.com/game/pokemon-chinese-gem-pack-5/booster-box</t>
        </is>
      </c>
    </row>
    <row r="482">
      <c r="A482" s="2" t="inlineStr">
        <is>
          <t>Chinese Gem Pack 6 Booster Box</t>
        </is>
      </c>
      <c r="B482" s="3">
        <f>IF(H482&lt;&gt;"",H482,IF(I482&lt;&gt;"",I482,IF(J482&lt;&gt;"",J482,K482)))</f>
        <v>37.51</v>
      </c>
      <c r="C482" s="3">
        <f>MEDIAN(H482:K482)</f>
        <v>37.51</v>
      </c>
      <c r="D482" s="3">
        <f>ROUND(C482*(1-Settings!$B$2),2)</f>
        <v>26.26</v>
      </c>
      <c r="E482" s="2" t="inlineStr">
        <is>
          <t>Pokemon</t>
        </is>
      </c>
      <c r="F482" s="2" t="inlineStr">
        <is>
          <t>Box</t>
        </is>
      </c>
      <c r="G482" s="2" t="inlineStr">
        <is>
          <t>Chinese Gem Pack 6</t>
        </is>
      </c>
      <c r="H482" s="3" t="n">
        <v>37.51</v>
      </c>
      <c r="I482" s="3" t="n"/>
      <c r="J482" s="3" t="n"/>
      <c r="K482" s="3" t="n"/>
      <c r="L482" s="2" t="inlineStr">
        <is>
          <t>PriceCharting</t>
        </is>
      </c>
      <c r="M482" s="4" t="inlineStr">
        <is>
          <t>https://www.pricecharting.com/game/pokemon-chinese-gem-pack-6/booster-box</t>
        </is>
      </c>
    </row>
    <row r="483">
      <c r="A483" s="2" t="inlineStr">
        <is>
          <t>Chinese Promo 151 First Partner Display Box [Bulbasaur]</t>
        </is>
      </c>
      <c r="B483" s="3">
        <f>IF(H483&lt;&gt;"",H483,IF(I483&lt;&gt;"",I483,IF(J483&lt;&gt;"",J483,K483)))</f>
        <v>27.49</v>
      </c>
      <c r="C483" s="3">
        <f>MEDIAN(H483:K483)</f>
        <v>27.49</v>
      </c>
      <c r="D483" s="3">
        <f>ROUND(C483*(1-Settings!$B$2),2)</f>
        <v>19.24</v>
      </c>
      <c r="E483" s="2" t="inlineStr">
        <is>
          <t>Pokemon</t>
        </is>
      </c>
      <c r="F483" s="2" t="inlineStr">
        <is>
          <t>Box</t>
        </is>
      </c>
      <c r="G483" s="2" t="inlineStr">
        <is>
          <t>Chinese Promo</t>
        </is>
      </c>
      <c r="H483" s="3" t="n">
        <v>27.49</v>
      </c>
      <c r="I483" s="3" t="n"/>
      <c r="J483" s="3" t="n"/>
      <c r="K483" s="3" t="n"/>
      <c r="L483" s="2" t="inlineStr">
        <is>
          <t>PriceCharting</t>
        </is>
      </c>
      <c r="M483" s="4" t="inlineStr">
        <is>
          <t>https://www.pricecharting.com/game/pokemon-chinese-promo/151-first-partner-display-box-bulbasaur</t>
        </is>
      </c>
    </row>
    <row r="484">
      <c r="A484" s="2" t="inlineStr">
        <is>
          <t>Chinese Promo 151 First Partner Display Box [Charmander]</t>
        </is>
      </c>
      <c r="B484" s="3">
        <f>IF(H484&lt;&gt;"",H484,IF(I484&lt;&gt;"",I484,IF(J484&lt;&gt;"",J484,K484)))</f>
        <v>27.49</v>
      </c>
      <c r="C484" s="3">
        <f>MEDIAN(H484:K484)</f>
        <v>27.49</v>
      </c>
      <c r="D484" s="3">
        <f>ROUND(C484*(1-Settings!$B$2),2)</f>
        <v>19.24</v>
      </c>
      <c r="E484" s="2" t="inlineStr">
        <is>
          <t>Pokemon</t>
        </is>
      </c>
      <c r="F484" s="2" t="inlineStr">
        <is>
          <t>Box</t>
        </is>
      </c>
      <c r="G484" s="2" t="inlineStr">
        <is>
          <t>Chinese Promo</t>
        </is>
      </c>
      <c r="H484" s="3" t="n">
        <v>27.49</v>
      </c>
      <c r="I484" s="3" t="n"/>
      <c r="J484" s="3" t="n"/>
      <c r="K484" s="3" t="n"/>
      <c r="L484" s="2" t="inlineStr">
        <is>
          <t>PriceCharting</t>
        </is>
      </c>
      <c r="M484" s="4" t="inlineStr">
        <is>
          <t>https://www.pricecharting.com/game/pokemon-chinese-promo/151-first-partner-display-box-charmander</t>
        </is>
      </c>
    </row>
    <row r="485">
      <c r="A485" s="2" t="inlineStr">
        <is>
          <t>Chinese Promo 151 First Partner Display Box [Squirtle]</t>
        </is>
      </c>
      <c r="B485" s="3">
        <f>IF(H485&lt;&gt;"",H485,IF(I485&lt;&gt;"",I485,IF(J485&lt;&gt;"",J485,K485)))</f>
        <v>28.49</v>
      </c>
      <c r="C485" s="3">
        <f>MEDIAN(H485:K485)</f>
        <v>28.49</v>
      </c>
      <c r="D485" s="3">
        <f>ROUND(C485*(1-Settings!$B$2),2)</f>
        <v>19.94</v>
      </c>
      <c r="E485" s="2" t="inlineStr">
        <is>
          <t>Pokemon</t>
        </is>
      </c>
      <c r="F485" s="2" t="inlineStr">
        <is>
          <t>Box</t>
        </is>
      </c>
      <c r="G485" s="2" t="inlineStr">
        <is>
          <t>Chinese Promo</t>
        </is>
      </c>
      <c r="H485" s="3" t="n">
        <v>28.49</v>
      </c>
      <c r="I485" s="3" t="n"/>
      <c r="J485" s="3" t="n"/>
      <c r="K485" s="3" t="n"/>
      <c r="L485" s="2" t="inlineStr">
        <is>
          <t>PriceCharting</t>
        </is>
      </c>
      <c r="M485" s="4" t="inlineStr">
        <is>
          <t>https://www.pricecharting.com/game/pokemon-chinese-promo/151-first-partner-display-box-squirtle</t>
        </is>
      </c>
    </row>
    <row r="486">
      <c r="A486" s="2" t="inlineStr">
        <is>
          <t>Cosmic Eclipse Booster Box</t>
        </is>
      </c>
      <c r="B486" s="3">
        <f>IF(H486&lt;&gt;"",H486,IF(I486&lt;&gt;"",I486,IF(J486&lt;&gt;"",J486,K486)))</f>
        <v>4243.75</v>
      </c>
      <c r="C486" s="3">
        <f>MEDIAN(H486:K486)</f>
        <v>4243.75</v>
      </c>
      <c r="D486" s="3">
        <f>ROUND(C486*(1-Settings!$B$2),2)</f>
        <v>2970.63</v>
      </c>
      <c r="E486" s="2" t="inlineStr">
        <is>
          <t>Pokemon</t>
        </is>
      </c>
      <c r="F486" s="2" t="inlineStr">
        <is>
          <t>Box</t>
        </is>
      </c>
      <c r="G486" s="2" t="inlineStr">
        <is>
          <t>Cosmic Eclipse</t>
        </is>
      </c>
      <c r="H486" s="3" t="n">
        <v>4243.75</v>
      </c>
      <c r="I486" s="3" t="n"/>
      <c r="J486" s="3" t="n"/>
      <c r="K486" s="3" t="n"/>
      <c r="L486" s="2" t="inlineStr">
        <is>
          <t>PriceCharting</t>
        </is>
      </c>
      <c r="M486" s="4" t="inlineStr">
        <is>
          <t>https://www.pricecharting.com/game/pokemon-cosmic-eclipse/booster-box</t>
        </is>
      </c>
    </row>
    <row r="487">
      <c r="A487" s="2" t="inlineStr">
        <is>
          <t>Cosmic Eclipse Booster Box [Build &amp; Battle]</t>
        </is>
      </c>
      <c r="B487" s="3">
        <f>IF(H487&lt;&gt;"",H487,IF(I487&lt;&gt;"",I487,IF(J487&lt;&gt;"",J487,K487)))</f>
        <v>401.34</v>
      </c>
      <c r="C487" s="3">
        <f>MEDIAN(H487:K487)</f>
        <v>401.34</v>
      </c>
      <c r="D487" s="3">
        <f>ROUND(C487*(1-Settings!$B$2),2)</f>
        <v>280.94</v>
      </c>
      <c r="E487" s="2" t="inlineStr">
        <is>
          <t>Pokemon</t>
        </is>
      </c>
      <c r="F487" s="2" t="inlineStr">
        <is>
          <t>Box</t>
        </is>
      </c>
      <c r="G487" s="2" t="inlineStr">
        <is>
          <t>Cosmic Eclipse</t>
        </is>
      </c>
      <c r="H487" s="3" t="n">
        <v>401.34</v>
      </c>
      <c r="I487" s="3" t="n"/>
      <c r="J487" s="3" t="n"/>
      <c r="K487" s="3" t="n"/>
      <c r="L487" s="2" t="inlineStr">
        <is>
          <t>PriceCharting</t>
        </is>
      </c>
      <c r="M487" s="4" t="inlineStr">
        <is>
          <t>https://www.pricecharting.com/game/pokemon-cosmic-eclipse/booster-box-build-&amp;-battle</t>
        </is>
      </c>
    </row>
    <row r="488">
      <c r="A488" s="2" t="inlineStr">
        <is>
          <t>Cosmic Eclipse Build &amp; Battle Display Box</t>
        </is>
      </c>
      <c r="B488" s="3">
        <f>IF(H488&lt;&gt;"",H488,IF(I488&lt;&gt;"",I488,IF(J488&lt;&gt;"",J488,K488)))</f>
        <v>2249.99</v>
      </c>
      <c r="C488" s="3">
        <f>MEDIAN(H488:K488)</f>
        <v>2249.99</v>
      </c>
      <c r="D488" s="3">
        <f>ROUND(C488*(1-Settings!$B$2),2)</f>
        <v>1574.99</v>
      </c>
      <c r="E488" s="2" t="inlineStr">
        <is>
          <t>Pokemon</t>
        </is>
      </c>
      <c r="F488" s="2" t="inlineStr">
        <is>
          <t>Box</t>
        </is>
      </c>
      <c r="G488" s="2" t="inlineStr">
        <is>
          <t>Cosmic Eclipse</t>
        </is>
      </c>
      <c r="H488" s="3" t="n">
        <v>2249.99</v>
      </c>
      <c r="I488" s="3" t="n"/>
      <c r="J488" s="3" t="n"/>
      <c r="K488" s="3" t="n"/>
      <c r="L488" s="2" t="inlineStr">
        <is>
          <t>PriceCharting</t>
        </is>
      </c>
      <c r="M488" s="4" t="inlineStr">
        <is>
          <t>https://www.pricecharting.com/game/pokemon-cosmic-eclipse/build-&amp;-battle-display-box</t>
        </is>
      </c>
    </row>
    <row r="489">
      <c r="A489" s="2" t="inlineStr">
        <is>
          <t>Expansion Pack 20th Anniversary - Booster Box (1st Edition)</t>
        </is>
      </c>
      <c r="B489" s="3">
        <f>IF(H489&lt;&gt;"",H489,IF(I489&lt;&gt;"",I489,IF(J489&lt;&gt;"",J489,K489)))</f>
        <v>10999.0</v>
      </c>
      <c r="C489" s="3">
        <f>MEDIAN(H489:K489)</f>
        <v>10999.0</v>
      </c>
      <c r="D489" s="3">
        <f>ROUND(C489*(1-Settings!$B$2),2)</f>
        <v>7699.3</v>
      </c>
      <c r="E489" s="2" t="inlineStr">
        <is>
          <t>Pokemon</t>
        </is>
      </c>
      <c r="F489" s="2" t="inlineStr">
        <is>
          <t>Box</t>
        </is>
      </c>
      <c r="G489" s="2" t="inlineStr">
        <is>
          <t>CP6: Expansion Pack 20th Anniversary</t>
        </is>
      </c>
      <c r="H489" s="3" t="n"/>
      <c r="I489" s="3" t="n">
        <v>10999</v>
      </c>
      <c r="J489" s="3" t="n"/>
      <c r="K489" s="3" t="n"/>
      <c r="L489" s="2" t="inlineStr">
        <is>
          <t>TCGplayer</t>
        </is>
      </c>
      <c r="N489" s="4" t="inlineStr">
        <is>
          <t>https://www.tcgplayer.com/product/660024</t>
        </is>
      </c>
    </row>
    <row r="490">
      <c r="A490" s="2" t="inlineStr">
        <is>
          <t>Dark Explorers Booster Box</t>
        </is>
      </c>
      <c r="B490" s="3">
        <f>IF(H490&lt;&gt;"",H490,IF(I490&lt;&gt;"",I490,IF(J490&lt;&gt;"",J490,K490)))</f>
        <v>16573.82</v>
      </c>
      <c r="C490" s="3">
        <f>MEDIAN(H490:K490)</f>
        <v>16573.82</v>
      </c>
      <c r="D490" s="3">
        <f>ROUND(C490*(1-Settings!$B$2),2)</f>
        <v>11601.67</v>
      </c>
      <c r="E490" s="2" t="inlineStr">
        <is>
          <t>Pokemon</t>
        </is>
      </c>
      <c r="F490" s="2" t="inlineStr">
        <is>
          <t>Box</t>
        </is>
      </c>
      <c r="G490" s="2" t="inlineStr">
        <is>
          <t>Dark Explorers</t>
        </is>
      </c>
      <c r="H490" s="3" t="n">
        <v>16573.82</v>
      </c>
      <c r="I490" s="3" t="n"/>
      <c r="J490" s="3" t="n"/>
      <c r="K490" s="3" t="n"/>
      <c r="L490" s="2" t="inlineStr">
        <is>
          <t>PriceCharting + TCGplayer</t>
        </is>
      </c>
      <c r="M490" s="4" t="inlineStr">
        <is>
          <t>https://www.pricecharting.com/game/pokemon-dark-explorers/booster-box</t>
        </is>
      </c>
      <c r="N490" s="4" t="inlineStr">
        <is>
          <t>https://www.tcgplayer.com/product/98520</t>
        </is>
      </c>
    </row>
    <row r="491">
      <c r="A491" s="2" t="inlineStr">
        <is>
          <t>Darkness Ablaze Build &amp; Battle Display Box</t>
        </is>
      </c>
      <c r="B491" s="3">
        <f>IF(H491&lt;&gt;"",H491,IF(I491&lt;&gt;"",I491,IF(J491&lt;&gt;"",J491,K491)))</f>
        <v>527.5</v>
      </c>
      <c r="C491" s="3">
        <f>MEDIAN(H491:K491)</f>
        <v>527.5</v>
      </c>
      <c r="D491" s="3">
        <f>ROUND(C491*(1-Settings!$B$2),2)</f>
        <v>369.25</v>
      </c>
      <c r="E491" s="2" t="inlineStr">
        <is>
          <t>Pokemon</t>
        </is>
      </c>
      <c r="F491" s="2" t="inlineStr">
        <is>
          <t>Box</t>
        </is>
      </c>
      <c r="G491" s="2" t="inlineStr">
        <is>
          <t>Darkness Ablaze</t>
        </is>
      </c>
      <c r="H491" s="3" t="n">
        <v>527.5</v>
      </c>
      <c r="I491" s="3" t="n"/>
      <c r="J491" s="3" t="n"/>
      <c r="K491" s="3" t="n"/>
      <c r="L491" s="2" t="inlineStr">
        <is>
          <t>PriceCharting</t>
        </is>
      </c>
      <c r="M491" s="4" t="inlineStr">
        <is>
          <t>https://www.pricecharting.com/game/pokemon-darkness-ablaze/build-&amp;-battle-display-box</t>
        </is>
      </c>
    </row>
    <row r="492">
      <c r="A492" s="2" t="inlineStr">
        <is>
          <t>Destined Rivals Build &amp; Battle Display Box</t>
        </is>
      </c>
      <c r="B492" s="3">
        <f>IF(H492&lt;&gt;"",H492,IF(I492&lt;&gt;"",I492,IF(J492&lt;&gt;"",J492,K492)))</f>
        <v>579.52</v>
      </c>
      <c r="C492" s="3">
        <f>MEDIAN(H492:K492)</f>
        <v>579.52</v>
      </c>
      <c r="D492" s="3">
        <f>ROUND(C492*(1-Settings!$B$2),2)</f>
        <v>405.66</v>
      </c>
      <c r="E492" s="2" t="inlineStr">
        <is>
          <t>Pokemon</t>
        </is>
      </c>
      <c r="F492" s="2" t="inlineStr">
        <is>
          <t>Box</t>
        </is>
      </c>
      <c r="G492" s="2" t="inlineStr">
        <is>
          <t>Destined Rivals</t>
        </is>
      </c>
      <c r="H492" s="3" t="n">
        <v>579.52</v>
      </c>
      <c r="I492" s="3" t="n"/>
      <c r="J492" s="3" t="n"/>
      <c r="K492" s="3" t="n"/>
      <c r="L492" s="2" t="inlineStr">
        <is>
          <t>PriceCharting</t>
        </is>
      </c>
      <c r="M492" s="4" t="inlineStr">
        <is>
          <t>https://www.pricecharting.com/game/pokemon-destined-rivals/build-&amp;-battle-display-box</t>
        </is>
      </c>
    </row>
    <row r="493">
      <c r="A493" s="2" t="inlineStr">
        <is>
          <t>Dragons Exalted Booster Box</t>
        </is>
      </c>
      <c r="B493" s="3">
        <f>IF(H493&lt;&gt;"",H493,IF(I493&lt;&gt;"",I493,IF(J493&lt;&gt;"",J493,K493)))</f>
        <v>19357.97</v>
      </c>
      <c r="C493" s="3">
        <f>MEDIAN(H493:K493)</f>
        <v>19357.97</v>
      </c>
      <c r="D493" s="3">
        <f>ROUND(C493*(1-Settings!$B$2),2)</f>
        <v>13550.58</v>
      </c>
      <c r="E493" s="2" t="inlineStr">
        <is>
          <t>Pokemon</t>
        </is>
      </c>
      <c r="F493" s="2" t="inlineStr">
        <is>
          <t>Box</t>
        </is>
      </c>
      <c r="G493" s="2" t="inlineStr">
        <is>
          <t>Dragons Exalted</t>
        </is>
      </c>
      <c r="H493" s="3" t="n">
        <v>19357.97</v>
      </c>
      <c r="I493" s="3" t="n"/>
      <c r="J493" s="3" t="n"/>
      <c r="K493" s="3" t="n"/>
      <c r="L493" s="2" t="inlineStr">
        <is>
          <t>PriceCharting + TCGplayer</t>
        </is>
      </c>
      <c r="M493" s="4" t="inlineStr">
        <is>
          <t>https://www.pricecharting.com/game/pokemon-dragons-exalted/booster-box</t>
        </is>
      </c>
      <c r="N493" s="4" t="inlineStr">
        <is>
          <t>https://www.tcgplayer.com/product/98540</t>
        </is>
      </c>
    </row>
    <row r="494">
      <c r="A494" s="2" t="inlineStr">
        <is>
          <t>Evolutions Booster Box</t>
        </is>
      </c>
      <c r="B494" s="3">
        <f>IF(H494&lt;&gt;"",H494,IF(I494&lt;&gt;"",I494,IF(J494&lt;&gt;"",J494,K494)))</f>
        <v>2527.99</v>
      </c>
      <c r="C494" s="3">
        <f>MEDIAN(H494:K494)</f>
        <v>2527.99</v>
      </c>
      <c r="D494" s="3">
        <f>ROUND(C494*(1-Settings!$B$2),2)</f>
        <v>1769.59</v>
      </c>
      <c r="E494" s="2" t="inlineStr">
        <is>
          <t>Pokemon</t>
        </is>
      </c>
      <c r="F494" s="2" t="inlineStr">
        <is>
          <t>Box</t>
        </is>
      </c>
      <c r="G494" s="2" t="inlineStr">
        <is>
          <t>Evolutions</t>
        </is>
      </c>
      <c r="H494" s="3" t="n">
        <v>2527.99</v>
      </c>
      <c r="I494" s="3" t="n"/>
      <c r="J494" s="3" t="n"/>
      <c r="K494" s="3" t="n"/>
      <c r="L494" s="2" t="inlineStr">
        <is>
          <t>PriceCharting</t>
        </is>
      </c>
      <c r="M494" s="4" t="inlineStr">
        <is>
          <t>https://www.pricecharting.com/game/pokemon-evolutions/booster-box</t>
        </is>
      </c>
    </row>
    <row r="495">
      <c r="A495" s="2" t="inlineStr">
        <is>
          <t>Evolving Skies Build &amp; Battle Display Box</t>
        </is>
      </c>
      <c r="B495" s="3">
        <f>IF(H495&lt;&gt;"",H495,IF(I495&lt;&gt;"",I495,IF(J495&lt;&gt;"",J495,K495)))</f>
        <v>2888.88</v>
      </c>
      <c r="C495" s="3">
        <f>MEDIAN(H495:K495)</f>
        <v>2888.88</v>
      </c>
      <c r="D495" s="3">
        <f>ROUND(C495*(1-Settings!$B$2),2)</f>
        <v>2022.22</v>
      </c>
      <c r="E495" s="2" t="inlineStr">
        <is>
          <t>Pokemon</t>
        </is>
      </c>
      <c r="F495" s="2" t="inlineStr">
        <is>
          <t>Box</t>
        </is>
      </c>
      <c r="G495" s="2" t="inlineStr">
        <is>
          <t>Evolving Skies</t>
        </is>
      </c>
      <c r="H495" s="3" t="n">
        <v>2888.88</v>
      </c>
      <c r="I495" s="3" t="n"/>
      <c r="J495" s="3" t="n"/>
      <c r="K495" s="3" t="n"/>
      <c r="L495" s="2" t="inlineStr">
        <is>
          <t>PriceCharting</t>
        </is>
      </c>
      <c r="M495" s="4" t="inlineStr">
        <is>
          <t>https://www.pricecharting.com/game/pokemon-evolving-skies/build-&amp;-battle-display-box</t>
        </is>
      </c>
    </row>
    <row r="496">
      <c r="A496" s="2" t="inlineStr">
        <is>
          <t>Crystal Guardians Booster Box</t>
        </is>
      </c>
      <c r="B496" s="3">
        <f>IF(H496&lt;&gt;"",H496,IF(I496&lt;&gt;"",I496,IF(J496&lt;&gt;"",J496,K496)))</f>
        <v>1289.64</v>
      </c>
      <c r="C496" s="3">
        <f>MEDIAN(H496:K496)</f>
        <v>1289.64</v>
      </c>
      <c r="D496" s="3">
        <f>ROUND(C496*(1-Settings!$B$2),2)</f>
        <v>902.75</v>
      </c>
      <c r="E496" s="2" t="inlineStr">
        <is>
          <t>Pokemon</t>
        </is>
      </c>
      <c r="F496" s="2" t="inlineStr">
        <is>
          <t>Box</t>
        </is>
      </c>
      <c r="G496" s="2" t="inlineStr">
        <is>
          <t>EX Crystal Guardians</t>
        </is>
      </c>
      <c r="H496" s="3" t="n">
        <v>1289.64</v>
      </c>
      <c r="I496" s="3" t="n"/>
      <c r="J496" s="3" t="n"/>
      <c r="K496" s="3" t="n"/>
      <c r="L496" s="2" t="inlineStr">
        <is>
          <t>PriceCharting + TCGplayer</t>
        </is>
      </c>
      <c r="M496" s="4" t="inlineStr">
        <is>
          <t>https://www.pricecharting.com/game/pokemon-crystal-guardians/booster-box</t>
        </is>
      </c>
      <c r="N496" s="4" t="inlineStr">
        <is>
          <t>https://www.tcgplayer.com/product/98567</t>
        </is>
      </c>
    </row>
    <row r="497">
      <c r="A497" s="2" t="inlineStr">
        <is>
          <t>Delta Species Booster Box</t>
        </is>
      </c>
      <c r="B497" s="3">
        <f>IF(H497&lt;&gt;"",H497,IF(I497&lt;&gt;"",I497,IF(J497&lt;&gt;"",J497,K497)))</f>
        <v>25000.0</v>
      </c>
      <c r="C497" s="3">
        <f>MEDIAN(H497:K497)</f>
        <v>25000.0</v>
      </c>
      <c r="D497" s="3">
        <f>ROUND(C497*(1-Settings!$B$2),2)</f>
        <v>17500.0</v>
      </c>
      <c r="E497" s="2" t="inlineStr">
        <is>
          <t>Pokemon</t>
        </is>
      </c>
      <c r="F497" s="2" t="inlineStr">
        <is>
          <t>Box</t>
        </is>
      </c>
      <c r="G497" s="2" t="inlineStr">
        <is>
          <t>EX Delta Species</t>
        </is>
      </c>
      <c r="H497" s="3" t="n">
        <v>25000</v>
      </c>
      <c r="I497" s="3" t="n"/>
      <c r="J497" s="3" t="n"/>
      <c r="K497" s="3" t="n"/>
      <c r="L497" s="2" t="inlineStr">
        <is>
          <t>PriceCharting + TCGplayer</t>
        </is>
      </c>
      <c r="M497" s="4" t="inlineStr">
        <is>
          <t>https://www.pricecharting.com/game/pokemon-delta-species/booster-box</t>
        </is>
      </c>
      <c r="N497" s="4" t="inlineStr">
        <is>
          <t>https://www.tcgplayer.com/product/98943</t>
        </is>
      </c>
    </row>
    <row r="498">
      <c r="A498" s="2" t="inlineStr">
        <is>
          <t>Deoxys Booster Box</t>
        </is>
      </c>
      <c r="B498" s="3">
        <f>IF(H498&lt;&gt;"",H498,IF(I498&lt;&gt;"",I498,IF(J498&lt;&gt;"",J498,K498)))</f>
        <v>30599.36</v>
      </c>
      <c r="C498" s="3">
        <f>MEDIAN(H498:K498)</f>
        <v>30599.36</v>
      </c>
      <c r="D498" s="3">
        <f>ROUND(C498*(1-Settings!$B$2),2)</f>
        <v>21419.55</v>
      </c>
      <c r="E498" s="2" t="inlineStr">
        <is>
          <t>Pokemon</t>
        </is>
      </c>
      <c r="F498" s="2" t="inlineStr">
        <is>
          <t>Box</t>
        </is>
      </c>
      <c r="G498" s="2" t="inlineStr">
        <is>
          <t>EX Deoxys</t>
        </is>
      </c>
      <c r="H498" s="3" t="n">
        <v>30599.36</v>
      </c>
      <c r="I498" s="3" t="n"/>
      <c r="J498" s="3" t="n"/>
      <c r="K498" s="3" t="n"/>
      <c r="L498" s="2" t="inlineStr">
        <is>
          <t>PriceCharting + TCGplayer</t>
        </is>
      </c>
      <c r="M498" s="4" t="inlineStr">
        <is>
          <t>https://www.pricecharting.com/game/pokemon-deoxys/booster-box</t>
        </is>
      </c>
      <c r="N498" s="4" t="inlineStr">
        <is>
          <t>https://www.tcgplayer.com/product/98563</t>
        </is>
      </c>
    </row>
    <row r="499">
      <c r="A499" s="2" t="inlineStr">
        <is>
          <t>Dragon Frontiers Booster Box</t>
        </is>
      </c>
      <c r="B499" s="3">
        <f>IF(H499&lt;&gt;"",H499,IF(I499&lt;&gt;"",I499,IF(J499&lt;&gt;"",J499,K499)))</f>
        <v>10344.1</v>
      </c>
      <c r="C499" s="3">
        <f>MEDIAN(H499:K499)</f>
        <v>10344.1</v>
      </c>
      <c r="D499" s="3">
        <f>ROUND(C499*(1-Settings!$B$2),2)</f>
        <v>7240.87</v>
      </c>
      <c r="E499" s="2" t="inlineStr">
        <is>
          <t>Pokemon</t>
        </is>
      </c>
      <c r="F499" s="2" t="inlineStr">
        <is>
          <t>Box</t>
        </is>
      </c>
      <c r="G499" s="2" t="inlineStr">
        <is>
          <t>EX Dragon Frontiers</t>
        </is>
      </c>
      <c r="H499" s="3" t="n">
        <v>10344.1</v>
      </c>
      <c r="I499" s="3" t="n"/>
      <c r="J499" s="3" t="n"/>
      <c r="K499" s="3" t="n"/>
      <c r="L499" s="2" t="inlineStr">
        <is>
          <t>PriceCharting + TCGplayer</t>
        </is>
      </c>
      <c r="M499" s="4" t="inlineStr">
        <is>
          <t>https://www.pricecharting.com/game/pokemon-dragon-frontiers/booster-box</t>
        </is>
      </c>
      <c r="N499" s="4" t="inlineStr">
        <is>
          <t>https://www.tcgplayer.com/product/98532</t>
        </is>
      </c>
    </row>
    <row r="500">
      <c r="A500" s="2" t="inlineStr">
        <is>
          <t>Emerald Booster Box</t>
        </is>
      </c>
      <c r="B500" s="3">
        <f>IF(H500&lt;&gt;"",H500,IF(I500&lt;&gt;"",I500,IF(J500&lt;&gt;"",J500,K500)))</f>
        <v>14053.23</v>
      </c>
      <c r="C500" s="3">
        <f>MEDIAN(H500:K500)</f>
        <v>14053.23</v>
      </c>
      <c r="D500" s="3">
        <f>ROUND(C500*(1-Settings!$B$2),2)</f>
        <v>9837.26</v>
      </c>
      <c r="E500" s="2" t="inlineStr">
        <is>
          <t>Pokemon</t>
        </is>
      </c>
      <c r="F500" s="2" t="inlineStr">
        <is>
          <t>Box</t>
        </is>
      </c>
      <c r="G500" s="2" t="inlineStr">
        <is>
          <t>EX Emerald</t>
        </is>
      </c>
      <c r="H500" s="3" t="n">
        <v>14053.23</v>
      </c>
      <c r="I500" s="3" t="n"/>
      <c r="J500" s="3" t="n"/>
      <c r="K500" s="3" t="n"/>
      <c r="L500" s="2" t="inlineStr">
        <is>
          <t>PriceCharting + TCGplayer</t>
        </is>
      </c>
      <c r="M500" s="4" t="inlineStr">
        <is>
          <t>https://www.pricecharting.com/game/pokemon-emerald/booster-box</t>
        </is>
      </c>
      <c r="N500" s="4" t="inlineStr">
        <is>
          <t>https://www.tcgplayer.com/product/98547</t>
        </is>
      </c>
    </row>
    <row r="501">
      <c r="A501" s="2" t="inlineStr">
        <is>
          <t>Hidden Legends Booster Box</t>
        </is>
      </c>
      <c r="B501" s="3">
        <f>IF(H501&lt;&gt;"",H501,IF(I501&lt;&gt;"",I501,IF(J501&lt;&gt;"",J501,K501)))</f>
        <v>14613.06</v>
      </c>
      <c r="C501" s="3">
        <f>MEDIAN(H501:K501)</f>
        <v>52400.0</v>
      </c>
      <c r="D501" s="3">
        <f>ROUND(C501*(1-Settings!$B$2),2)</f>
        <v>36680.0</v>
      </c>
      <c r="E501" s="2" t="inlineStr">
        <is>
          <t>Pokemon</t>
        </is>
      </c>
      <c r="F501" s="2" t="inlineStr">
        <is>
          <t>Box</t>
        </is>
      </c>
      <c r="G501" s="2" t="inlineStr">
        <is>
          <t>EX Hidden Legends</t>
        </is>
      </c>
      <c r="H501" s="3" t="n">
        <v>14613.06</v>
      </c>
      <c r="I501" s="3" t="n"/>
      <c r="J501" s="3" t="n">
        <v>52400</v>
      </c>
      <c r="K501" s="3" t="n">
        <v>52400</v>
      </c>
      <c r="L501" s="2" t="inlineStr">
        <is>
          <t>PriceCharting + TCGplayer</t>
        </is>
      </c>
      <c r="M501" s="4" t="inlineStr">
        <is>
          <t>https://www.pricecharting.com/game/pokemon-hidden-legends/booster-box</t>
        </is>
      </c>
      <c r="N501" s="4" t="inlineStr">
        <is>
          <t>https://www.tcgplayer.com/product/98596</t>
        </is>
      </c>
    </row>
    <row r="502">
      <c r="A502" s="2" t="inlineStr">
        <is>
          <t>Holon Phantoms Booster Box</t>
        </is>
      </c>
      <c r="B502" s="3">
        <f>IF(H502&lt;&gt;"",H502,IF(I502&lt;&gt;"",I502,IF(J502&lt;&gt;"",J502,K502)))</f>
        <v>20431.33</v>
      </c>
      <c r="C502" s="3">
        <f>MEDIAN(H502:K502)</f>
        <v>20431.33</v>
      </c>
      <c r="D502" s="3">
        <f>ROUND(C502*(1-Settings!$B$2),2)</f>
        <v>14301.93</v>
      </c>
      <c r="E502" s="2" t="inlineStr">
        <is>
          <t>Pokemon</t>
        </is>
      </c>
      <c r="F502" s="2" t="inlineStr">
        <is>
          <t>Box</t>
        </is>
      </c>
      <c r="G502" s="2" t="inlineStr">
        <is>
          <t>EX Holon Phantoms</t>
        </is>
      </c>
      <c r="H502" s="3" t="n">
        <v>20431.33</v>
      </c>
      <c r="I502" s="3" t="n"/>
      <c r="J502" s="3" t="n"/>
      <c r="K502" s="3" t="n"/>
      <c r="L502" s="2" t="inlineStr">
        <is>
          <t>PriceCharting + TCGplayer</t>
        </is>
      </c>
      <c r="M502" s="4" t="inlineStr">
        <is>
          <t>https://www.pricecharting.com/game/pokemon-holon-phantoms/booster-box</t>
        </is>
      </c>
      <c r="N502" s="4" t="inlineStr">
        <is>
          <t>https://www.tcgplayer.com/product/98523</t>
        </is>
      </c>
    </row>
    <row r="503">
      <c r="A503" s="2" t="inlineStr">
        <is>
          <t>Legend Maker Booster Box</t>
        </is>
      </c>
      <c r="B503" s="3">
        <f>IF(H503&lt;&gt;"",H503,IF(I503&lt;&gt;"",I503,IF(J503&lt;&gt;"",J503,K503)))</f>
        <v>13472.0</v>
      </c>
      <c r="C503" s="3">
        <f>MEDIAN(H503:K503)</f>
        <v>13472.0</v>
      </c>
      <c r="D503" s="3">
        <f>ROUND(C503*(1-Settings!$B$2),2)</f>
        <v>9430.4</v>
      </c>
      <c r="E503" s="2" t="inlineStr">
        <is>
          <t>Pokemon</t>
        </is>
      </c>
      <c r="F503" s="2" t="inlineStr">
        <is>
          <t>Box</t>
        </is>
      </c>
      <c r="G503" s="2" t="inlineStr">
        <is>
          <t>EX Legend Maker</t>
        </is>
      </c>
      <c r="H503" s="3" t="n">
        <v>13472</v>
      </c>
      <c r="I503" s="3" t="n"/>
      <c r="J503" s="3" t="n"/>
      <c r="K503" s="3" t="n"/>
      <c r="L503" s="2" t="inlineStr">
        <is>
          <t>PriceCharting + TCGplayer</t>
        </is>
      </c>
      <c r="M503" s="4" t="inlineStr">
        <is>
          <t>https://www.pricecharting.com/game/pokemon-legend-maker/booster-box</t>
        </is>
      </c>
      <c r="N503" s="4" t="inlineStr">
        <is>
          <t>https://www.tcgplayer.com/product/98556</t>
        </is>
      </c>
    </row>
    <row r="504">
      <c r="A504" s="2" t="inlineStr">
        <is>
          <t>Power Keepers Booster Box</t>
        </is>
      </c>
      <c r="B504" s="3">
        <f>IF(H504&lt;&gt;"",H504,IF(I504&lt;&gt;"",I504,IF(J504&lt;&gt;"",J504,K504)))</f>
        <v>20298.73</v>
      </c>
      <c r="C504" s="3">
        <f>MEDIAN(H504:K504)</f>
        <v>20298.73</v>
      </c>
      <c r="D504" s="3">
        <f>ROUND(C504*(1-Settings!$B$2),2)</f>
        <v>14209.11</v>
      </c>
      <c r="E504" s="2" t="inlineStr">
        <is>
          <t>Pokemon</t>
        </is>
      </c>
      <c r="F504" s="2" t="inlineStr">
        <is>
          <t>Box</t>
        </is>
      </c>
      <c r="G504" s="2" t="inlineStr">
        <is>
          <t>EX Power Keepers</t>
        </is>
      </c>
      <c r="H504" s="3" t="n">
        <v>20298.73</v>
      </c>
      <c r="I504" s="3" t="n"/>
      <c r="J504" s="3" t="n"/>
      <c r="K504" s="3" t="n"/>
      <c r="L504" s="2" t="inlineStr">
        <is>
          <t>PriceCharting + TCGplayer</t>
        </is>
      </c>
      <c r="M504" s="4" t="inlineStr">
        <is>
          <t>https://www.pricecharting.com/game/pokemon-power-keepers/booster-box</t>
        </is>
      </c>
      <c r="N504" s="4" t="inlineStr">
        <is>
          <t>https://www.tcgplayer.com/product/98528</t>
        </is>
      </c>
    </row>
    <row r="505">
      <c r="A505" s="2" t="inlineStr">
        <is>
          <t>Team Rocket Returns Booster Box</t>
        </is>
      </c>
      <c r="B505" s="3">
        <f>IF(H505&lt;&gt;"",H505,IF(I505&lt;&gt;"",I505,IF(J505&lt;&gt;"",J505,K505)))</f>
        <v>67654.0</v>
      </c>
      <c r="C505" s="3">
        <f>MEDIAN(H505:K505)</f>
        <v>67654.0</v>
      </c>
      <c r="D505" s="3">
        <f>ROUND(C505*(1-Settings!$B$2),2)</f>
        <v>47357.8</v>
      </c>
      <c r="E505" s="2" t="inlineStr">
        <is>
          <t>Pokemon</t>
        </is>
      </c>
      <c r="F505" s="2" t="inlineStr">
        <is>
          <t>Box</t>
        </is>
      </c>
      <c r="G505" s="2" t="inlineStr">
        <is>
          <t>EX Team Rocket Returns</t>
        </is>
      </c>
      <c r="H505" s="3" t="n">
        <v>67654</v>
      </c>
      <c r="I505" s="3" t="n"/>
      <c r="J505" s="3" t="n"/>
      <c r="K505" s="3" t="n"/>
      <c r="L505" s="2" t="inlineStr">
        <is>
          <t>PriceCharting + TCGplayer</t>
        </is>
      </c>
      <c r="M505" s="4" t="inlineStr">
        <is>
          <t>https://www.pricecharting.com/game/pokemon-team-rocket-returns/booster-box</t>
        </is>
      </c>
      <c r="N505" s="4" t="inlineStr">
        <is>
          <t>https://www.tcgplayer.com/product/98579</t>
        </is>
      </c>
    </row>
    <row r="506">
      <c r="A506" s="2" t="inlineStr">
        <is>
          <t>Unseen Forces Booster Box</t>
        </is>
      </c>
      <c r="B506" s="3">
        <f>IF(H506&lt;&gt;"",H506,IF(I506&lt;&gt;"",I506,IF(J506&lt;&gt;"",J506,K506)))</f>
        <v>116780.42</v>
      </c>
      <c r="C506" s="3">
        <f>MEDIAN(H506:K506)</f>
        <v>116780.42</v>
      </c>
      <c r="D506" s="3">
        <f>ROUND(C506*(1-Settings!$B$2),2)</f>
        <v>81746.29</v>
      </c>
      <c r="E506" s="2" t="inlineStr">
        <is>
          <t>Pokemon</t>
        </is>
      </c>
      <c r="F506" s="2" t="inlineStr">
        <is>
          <t>Box</t>
        </is>
      </c>
      <c r="G506" s="2" t="inlineStr">
        <is>
          <t>EX Unseen Forces</t>
        </is>
      </c>
      <c r="H506" s="3" t="n">
        <v>116780.42</v>
      </c>
      <c r="I506" s="3" t="n"/>
      <c r="J506" s="3" t="n"/>
      <c r="K506" s="3" t="n"/>
      <c r="L506" s="2" t="inlineStr">
        <is>
          <t>PriceCharting + TCGplayer</t>
        </is>
      </c>
      <c r="M506" s="4" t="inlineStr">
        <is>
          <t>https://www.pricecharting.com/game/pokemon-unseen-forces/booster-box</t>
        </is>
      </c>
      <c r="N506" s="4" t="inlineStr">
        <is>
          <t>https://www.tcgplayer.com/product/98576</t>
        </is>
      </c>
    </row>
    <row r="507">
      <c r="A507" s="2" t="inlineStr">
        <is>
          <t>Expedition Booster Box</t>
        </is>
      </c>
      <c r="B507" s="3">
        <f>IF(H507&lt;&gt;"",H507,IF(I507&lt;&gt;"",I507,IF(J507&lt;&gt;"",J507,K507)))</f>
        <v>81250.0</v>
      </c>
      <c r="C507" s="3">
        <f>MEDIAN(H507:K507)</f>
        <v>81250.0</v>
      </c>
      <c r="D507" s="3">
        <f>ROUND(C507*(1-Settings!$B$2),2)</f>
        <v>56875.0</v>
      </c>
      <c r="E507" s="2" t="inlineStr">
        <is>
          <t>Pokemon</t>
        </is>
      </c>
      <c r="F507" s="2" t="inlineStr">
        <is>
          <t>Box</t>
        </is>
      </c>
      <c r="G507" s="2" t="inlineStr">
        <is>
          <t>Expedition</t>
        </is>
      </c>
      <c r="H507" s="3" t="n">
        <v>81250</v>
      </c>
      <c r="I507" s="3" t="n"/>
      <c r="J507" s="3" t="n"/>
      <c r="K507" s="3" t="n"/>
      <c r="L507" s="2" t="inlineStr">
        <is>
          <t>PriceCharting</t>
        </is>
      </c>
      <c r="M507" s="4" t="inlineStr">
        <is>
          <t>https://www.pricecharting.com/game/pokemon-expedition/booster-box</t>
        </is>
      </c>
    </row>
    <row r="508">
      <c r="A508" s="2" t="inlineStr">
        <is>
          <t>Fates Collide Booster Box</t>
        </is>
      </c>
      <c r="B508" s="3">
        <f>IF(H508&lt;&gt;"",H508,IF(I508&lt;&gt;"",I508,IF(J508&lt;&gt;"",J508,K508)))</f>
        <v>2648.64</v>
      </c>
      <c r="C508" s="3">
        <f>MEDIAN(H508:K508)</f>
        <v>2648.64</v>
      </c>
      <c r="D508" s="3">
        <f>ROUND(C508*(1-Settings!$B$2),2)</f>
        <v>1854.05</v>
      </c>
      <c r="E508" s="2" t="inlineStr">
        <is>
          <t>Pokemon</t>
        </is>
      </c>
      <c r="F508" s="2" t="inlineStr">
        <is>
          <t>Box</t>
        </is>
      </c>
      <c r="G508" s="2" t="inlineStr">
        <is>
          <t>Fates Collide</t>
        </is>
      </c>
      <c r="H508" s="3" t="n">
        <v>2648.64</v>
      </c>
      <c r="I508" s="3" t="n"/>
      <c r="J508" s="3" t="n"/>
      <c r="K508" s="3" t="n"/>
      <c r="L508" s="2" t="inlineStr">
        <is>
          <t>PriceCharting</t>
        </is>
      </c>
      <c r="M508" s="4" t="inlineStr">
        <is>
          <t>https://www.pricecharting.com/game/pokemon-fates-collide/booster-box</t>
        </is>
      </c>
    </row>
    <row r="509">
      <c r="A509" s="2" t="inlineStr">
        <is>
          <t>Forbidden Light Booster Box</t>
        </is>
      </c>
      <c r="B509" s="3">
        <f>IF(H509&lt;&gt;"",H509,IF(I509&lt;&gt;"",I509,IF(J509&lt;&gt;"",J509,K509)))</f>
        <v>1337.34</v>
      </c>
      <c r="C509" s="3">
        <f>MEDIAN(H509:K509)</f>
        <v>1337.34</v>
      </c>
      <c r="D509" s="3">
        <f>ROUND(C509*(1-Settings!$B$2),2)</f>
        <v>936.14</v>
      </c>
      <c r="E509" s="2" t="inlineStr">
        <is>
          <t>Pokemon</t>
        </is>
      </c>
      <c r="F509" s="2" t="inlineStr">
        <is>
          <t>Box</t>
        </is>
      </c>
      <c r="G509" s="2" t="inlineStr">
        <is>
          <t>Forbidden Light</t>
        </is>
      </c>
      <c r="H509" s="3" t="n">
        <v>1337.34</v>
      </c>
      <c r="I509" s="3" t="n"/>
      <c r="J509" s="3" t="n"/>
      <c r="K509" s="3" t="n"/>
      <c r="L509" s="2" t="inlineStr">
        <is>
          <t>PriceCharting</t>
        </is>
      </c>
      <c r="M509" s="4" t="inlineStr">
        <is>
          <t>https://www.pricecharting.com/game/pokemon-forbidden-light/booster-box</t>
        </is>
      </c>
    </row>
    <row r="510">
      <c r="A510" s="2" t="inlineStr">
        <is>
          <t>Fossil Booster Box</t>
        </is>
      </c>
      <c r="B510" s="3">
        <f>IF(H510&lt;&gt;"",H510,IF(I510&lt;&gt;"",I510,IF(J510&lt;&gt;"",J510,K510)))</f>
        <v>14539.26</v>
      </c>
      <c r="C510" s="3">
        <f>MEDIAN(H510:K510)</f>
        <v>14539.26</v>
      </c>
      <c r="D510" s="3">
        <f>ROUND(C510*(1-Settings!$B$2),2)</f>
        <v>10177.48</v>
      </c>
      <c r="E510" s="2" t="inlineStr">
        <is>
          <t>Pokemon</t>
        </is>
      </c>
      <c r="F510" s="2" t="inlineStr">
        <is>
          <t>Box</t>
        </is>
      </c>
      <c r="G510" s="2" t="inlineStr">
        <is>
          <t>Fossil</t>
        </is>
      </c>
      <c r="H510" s="3" t="n">
        <v>14539.26</v>
      </c>
      <c r="I510" s="3" t="n"/>
      <c r="J510" s="3" t="n"/>
      <c r="K510" s="3" t="n"/>
      <c r="L510" s="2" t="inlineStr">
        <is>
          <t>PriceCharting</t>
        </is>
      </c>
      <c r="M510" s="4" t="inlineStr">
        <is>
          <t>https://www.pricecharting.com/game/pokemon-fossil/booster-box</t>
        </is>
      </c>
    </row>
    <row r="511">
      <c r="A511" s="2" t="inlineStr">
        <is>
          <t>Fossil Booster Box [1st Edition]</t>
        </is>
      </c>
      <c r="B511" s="3">
        <f>IF(H511&lt;&gt;"",H511,IF(I511&lt;&gt;"",I511,IF(J511&lt;&gt;"",J511,K511)))</f>
        <v>17443.52</v>
      </c>
      <c r="C511" s="3">
        <f>MEDIAN(H511:K511)</f>
        <v>17443.52</v>
      </c>
      <c r="D511" s="3">
        <f>ROUND(C511*(1-Settings!$B$2),2)</f>
        <v>12210.46</v>
      </c>
      <c r="E511" s="2" t="inlineStr">
        <is>
          <t>Pokemon</t>
        </is>
      </c>
      <c r="F511" s="2" t="inlineStr">
        <is>
          <t>Box</t>
        </is>
      </c>
      <c r="G511" s="2" t="inlineStr">
        <is>
          <t>Fossil</t>
        </is>
      </c>
      <c r="H511" s="3" t="n">
        <v>17443.52</v>
      </c>
      <c r="I511" s="3" t="n"/>
      <c r="J511" s="3" t="n"/>
      <c r="K511" s="3" t="n"/>
      <c r="L511" s="2" t="inlineStr">
        <is>
          <t>PriceCharting</t>
        </is>
      </c>
      <c r="M511" s="4" t="inlineStr">
        <is>
          <t>https://www.pricecharting.com/game/pokemon-fossil/booster-box-1st-edition</t>
        </is>
      </c>
    </row>
    <row r="512">
      <c r="A512" s="2" t="inlineStr">
        <is>
          <t>Fusion Strike Half Booster Box</t>
        </is>
      </c>
      <c r="B512" s="3">
        <f>IF(H512&lt;&gt;"",H512,IF(I512&lt;&gt;"",I512,IF(J512&lt;&gt;"",J512,K512)))</f>
        <v>429.06</v>
      </c>
      <c r="C512" s="3">
        <f>MEDIAN(H512:K512)</f>
        <v>429.06</v>
      </c>
      <c r="D512" s="3">
        <f>ROUND(C512*(1-Settings!$B$2),2)</f>
        <v>300.34</v>
      </c>
      <c r="E512" s="2" t="inlineStr">
        <is>
          <t>Pokemon</t>
        </is>
      </c>
      <c r="F512" s="2" t="inlineStr">
        <is>
          <t>Box</t>
        </is>
      </c>
      <c r="G512" s="2" t="inlineStr">
        <is>
          <t>Fusion Strike</t>
        </is>
      </c>
      <c r="H512" s="3" t="n">
        <v>429.06</v>
      </c>
      <c r="I512" s="3" t="n"/>
      <c r="J512" s="3" t="n"/>
      <c r="K512" s="3" t="n"/>
      <c r="L512" s="2" t="inlineStr">
        <is>
          <t>PriceCharting</t>
        </is>
      </c>
      <c r="M512" s="4" t="inlineStr">
        <is>
          <t>https://www.pricecharting.com/game/pokemon-fusion-strike/half-booster-box</t>
        </is>
      </c>
    </row>
    <row r="513">
      <c r="A513" s="2" t="inlineStr">
        <is>
          <t>Great Encounters Booster Box</t>
        </is>
      </c>
      <c r="B513" s="3">
        <f>IF(H513&lt;&gt;"",H513,IF(I513&lt;&gt;"",I513,IF(J513&lt;&gt;"",J513,K513)))</f>
        <v>4781.4</v>
      </c>
      <c r="C513" s="3">
        <f>MEDIAN(H513:K513)</f>
        <v>4781.4</v>
      </c>
      <c r="D513" s="3">
        <f>ROUND(C513*(1-Settings!$B$2),2)</f>
        <v>3346.98</v>
      </c>
      <c r="E513" s="2" t="inlineStr">
        <is>
          <t>Pokemon</t>
        </is>
      </c>
      <c r="F513" s="2" t="inlineStr">
        <is>
          <t>Box</t>
        </is>
      </c>
      <c r="G513" s="2" t="inlineStr">
        <is>
          <t>Great Encounters</t>
        </is>
      </c>
      <c r="H513" s="3" t="n">
        <v>4781.4</v>
      </c>
      <c r="I513" s="3" t="n"/>
      <c r="J513" s="3" t="n"/>
      <c r="K513" s="3" t="n"/>
      <c r="L513" s="2" t="inlineStr">
        <is>
          <t>PriceCharting + TCGplayer</t>
        </is>
      </c>
      <c r="M513" s="4" t="inlineStr">
        <is>
          <t>https://www.pricecharting.com/game/pokemon-great-encounters/booster-box</t>
        </is>
      </c>
      <c r="N513" s="4" t="inlineStr">
        <is>
          <t>https://www.tcgplayer.com/product/98544</t>
        </is>
      </c>
    </row>
    <row r="514">
      <c r="A514" s="2" t="inlineStr">
        <is>
          <t>Guardians Rising Booster Box</t>
        </is>
      </c>
      <c r="B514" s="3">
        <f>IF(H514&lt;&gt;"",H514,IF(I514&lt;&gt;"",I514,IF(J514&lt;&gt;"",J514,K514)))</f>
        <v>1236.82</v>
      </c>
      <c r="C514" s="3">
        <f>MEDIAN(H514:K514)</f>
        <v>1236.82</v>
      </c>
      <c r="D514" s="3">
        <f>ROUND(C514*(1-Settings!$B$2),2)</f>
        <v>865.77</v>
      </c>
      <c r="E514" s="2" t="inlineStr">
        <is>
          <t>Pokemon</t>
        </is>
      </c>
      <c r="F514" s="2" t="inlineStr">
        <is>
          <t>Box</t>
        </is>
      </c>
      <c r="G514" s="2" t="inlineStr">
        <is>
          <t>Guardians Rising</t>
        </is>
      </c>
      <c r="H514" s="3" t="n">
        <v>1236.82</v>
      </c>
      <c r="I514" s="3" t="n"/>
      <c r="J514" s="3" t="n"/>
      <c r="K514" s="3" t="n"/>
      <c r="L514" s="2" t="inlineStr">
        <is>
          <t>PriceCharting</t>
        </is>
      </c>
      <c r="M514" s="4" t="inlineStr">
        <is>
          <t>https://www.pricecharting.com/game/pokemon-guardians-rising/booster-box</t>
        </is>
      </c>
    </row>
    <row r="515">
      <c r="A515" s="2" t="inlineStr">
        <is>
          <t>Gym Challenge Booster Box</t>
        </is>
      </c>
      <c r="B515" s="3">
        <f>IF(H515&lt;&gt;"",H515,IF(I515&lt;&gt;"",I515,IF(J515&lt;&gt;"",J515,K515)))</f>
        <v>24110.0</v>
      </c>
      <c r="C515" s="3">
        <f>MEDIAN(H515:K515)</f>
        <v>24110.0</v>
      </c>
      <c r="D515" s="3">
        <f>ROUND(C515*(1-Settings!$B$2),2)</f>
        <v>16877.0</v>
      </c>
      <c r="E515" s="2" t="inlineStr">
        <is>
          <t>Pokemon</t>
        </is>
      </c>
      <c r="F515" s="2" t="inlineStr">
        <is>
          <t>Box</t>
        </is>
      </c>
      <c r="G515" s="2" t="inlineStr">
        <is>
          <t>Gym Challenge</t>
        </is>
      </c>
      <c r="H515" s="3" t="n">
        <v>24110</v>
      </c>
      <c r="I515" s="3" t="n"/>
      <c r="J515" s="3" t="n"/>
      <c r="K515" s="3" t="n"/>
      <c r="L515" s="2" t="inlineStr">
        <is>
          <t>PriceCharting</t>
        </is>
      </c>
      <c r="M515" s="4" t="inlineStr">
        <is>
          <t>https://www.pricecharting.com/game/pokemon-gym-challenge/booster-box</t>
        </is>
      </c>
    </row>
    <row r="516">
      <c r="A516" s="2" t="inlineStr">
        <is>
          <t>Gym Challenge Booster Box [1st Edition]</t>
        </is>
      </c>
      <c r="B516" s="3">
        <f>IF(H516&lt;&gt;"",H516,IF(I516&lt;&gt;"",I516,IF(J516&lt;&gt;"",J516,K516)))</f>
        <v>24207.63</v>
      </c>
      <c r="C516" s="3">
        <f>MEDIAN(H516:K516)</f>
        <v>24207.63</v>
      </c>
      <c r="D516" s="3">
        <f>ROUND(C516*(1-Settings!$B$2),2)</f>
        <v>16945.34</v>
      </c>
      <c r="E516" s="2" t="inlineStr">
        <is>
          <t>Pokemon</t>
        </is>
      </c>
      <c r="F516" s="2" t="inlineStr">
        <is>
          <t>Box</t>
        </is>
      </c>
      <c r="G516" s="2" t="inlineStr">
        <is>
          <t>Gym Challenge</t>
        </is>
      </c>
      <c r="H516" s="3" t="n">
        <v>24207.63</v>
      </c>
      <c r="I516" s="3" t="n"/>
      <c r="J516" s="3" t="n"/>
      <c r="K516" s="3" t="n"/>
      <c r="L516" s="2" t="inlineStr">
        <is>
          <t>PriceCharting + TCGplayer</t>
        </is>
      </c>
      <c r="M516" s="4" t="inlineStr">
        <is>
          <t>https://www.pricecharting.com/game/pokemon-gym-challenge/booster-box-1st-edition</t>
        </is>
      </c>
      <c r="N516" s="4" t="inlineStr">
        <is>
          <t>https://www.tcgplayer.com/product/276588</t>
        </is>
      </c>
    </row>
    <row r="517">
      <c r="A517" s="2" t="inlineStr">
        <is>
          <t>Gym Heroes Booster Box</t>
        </is>
      </c>
      <c r="B517" s="3">
        <f>IF(H517&lt;&gt;"",H517,IF(I517&lt;&gt;"",I517,IF(J517&lt;&gt;"",J517,K517)))</f>
        <v>19194.84</v>
      </c>
      <c r="C517" s="3">
        <f>MEDIAN(H517:K517)</f>
        <v>19194.84</v>
      </c>
      <c r="D517" s="3">
        <f>ROUND(C517*(1-Settings!$B$2),2)</f>
        <v>13436.39</v>
      </c>
      <c r="E517" s="2" t="inlineStr">
        <is>
          <t>Pokemon</t>
        </is>
      </c>
      <c r="F517" s="2" t="inlineStr">
        <is>
          <t>Box</t>
        </is>
      </c>
      <c r="G517" s="2" t="inlineStr">
        <is>
          <t>Gym Heroes</t>
        </is>
      </c>
      <c r="H517" s="3" t="n">
        <v>19194.84</v>
      </c>
      <c r="I517" s="3" t="n"/>
      <c r="J517" s="3" t="n"/>
      <c r="K517" s="3" t="n"/>
      <c r="L517" s="2" t="inlineStr">
        <is>
          <t>PriceCharting</t>
        </is>
      </c>
      <c r="M517" s="4" t="inlineStr">
        <is>
          <t>https://www.pricecharting.com/game/pokemon-gym-heroes/booster-box</t>
        </is>
      </c>
    </row>
    <row r="518">
      <c r="A518" s="2" t="inlineStr">
        <is>
          <t>Gym Heroes Booster Box [1st Edition]</t>
        </is>
      </c>
      <c r="B518" s="3">
        <f>IF(H518&lt;&gt;"",H518,IF(I518&lt;&gt;"",I518,IF(J518&lt;&gt;"",J518,K518)))</f>
        <v>30100.0</v>
      </c>
      <c r="C518" s="3">
        <f>MEDIAN(H518:K518)</f>
        <v>30100.0</v>
      </c>
      <c r="D518" s="3">
        <f>ROUND(C518*(1-Settings!$B$2),2)</f>
        <v>21070.0</v>
      </c>
      <c r="E518" s="2" t="inlineStr">
        <is>
          <t>Pokemon</t>
        </is>
      </c>
      <c r="F518" s="2" t="inlineStr">
        <is>
          <t>Box</t>
        </is>
      </c>
      <c r="G518" s="2" t="inlineStr">
        <is>
          <t>Gym Heroes</t>
        </is>
      </c>
      <c r="H518" s="3" t="n">
        <v>30100</v>
      </c>
      <c r="I518" s="3" t="n"/>
      <c r="J518" s="3" t="n"/>
      <c r="K518" s="3" t="n"/>
      <c r="L518" s="2" t="inlineStr">
        <is>
          <t>PriceCharting + TCGplayer</t>
        </is>
      </c>
      <c r="M518" s="4" t="inlineStr">
        <is>
          <t>https://www.pricecharting.com/game/pokemon-gym-heroes/booster-box-1st-edition</t>
        </is>
      </c>
      <c r="N518" s="4" t="inlineStr">
        <is>
          <t>https://www.tcgplayer.com/product/208707</t>
        </is>
      </c>
    </row>
    <row r="519">
      <c r="A519" s="2" t="inlineStr">
        <is>
          <t>Japanese 20th Anniversary Booster Box</t>
        </is>
      </c>
      <c r="B519" s="3">
        <f>IF(H519&lt;&gt;"",H519,IF(I519&lt;&gt;"",I519,IF(J519&lt;&gt;"",J519,K519)))</f>
        <v>10178.96</v>
      </c>
      <c r="C519" s="3">
        <f>MEDIAN(H519:K519)</f>
        <v>10178.96</v>
      </c>
      <c r="D519" s="3">
        <f>ROUND(C519*(1-Settings!$B$2),2)</f>
        <v>7125.27</v>
      </c>
      <c r="E519" s="2" t="inlineStr">
        <is>
          <t>Pokemon</t>
        </is>
      </c>
      <c r="F519" s="2" t="inlineStr">
        <is>
          <t>Box</t>
        </is>
      </c>
      <c r="G519" s="2" t="inlineStr">
        <is>
          <t>Japanese 20th Anniversary</t>
        </is>
      </c>
      <c r="H519" s="3" t="n">
        <v>10178.96</v>
      </c>
      <c r="I519" s="3" t="n"/>
      <c r="J519" s="3" t="n"/>
      <c r="K519" s="3" t="n"/>
      <c r="L519" s="2" t="inlineStr">
        <is>
          <t>PriceCharting</t>
        </is>
      </c>
      <c r="M519" s="4" t="inlineStr">
        <is>
          <t>https://www.pricecharting.com/game/pokemon-japanese-20th-anniversary/booster-box</t>
        </is>
      </c>
    </row>
    <row r="520">
      <c r="A520" s="2" t="inlineStr">
        <is>
          <t>Japanese 25th Anniversary Collection Booster Box</t>
        </is>
      </c>
      <c r="B520" s="3">
        <f>IF(H520&lt;&gt;"",H520,IF(I520&lt;&gt;"",I520,IF(J520&lt;&gt;"",J520,K520)))</f>
        <v>342.5</v>
      </c>
      <c r="C520" s="3">
        <f>MEDIAN(H520:K520)</f>
        <v>342.5</v>
      </c>
      <c r="D520" s="3">
        <f>ROUND(C520*(1-Settings!$B$2),2)</f>
        <v>239.75</v>
      </c>
      <c r="E520" s="2" t="inlineStr">
        <is>
          <t>Pokemon</t>
        </is>
      </c>
      <c r="F520" s="2" t="inlineStr">
        <is>
          <t>Box</t>
        </is>
      </c>
      <c r="G520" s="2" t="inlineStr">
        <is>
          <t>Japanese 25th Anniversary Collection</t>
        </is>
      </c>
      <c r="H520" s="3" t="n">
        <v>342.5</v>
      </c>
      <c r="I520" s="3" t="n"/>
      <c r="J520" s="3" t="n"/>
      <c r="K520" s="3" t="n"/>
      <c r="L520" s="2" t="inlineStr">
        <is>
          <t>PriceCharting</t>
        </is>
      </c>
      <c r="M520" s="4" t="inlineStr">
        <is>
          <t>https://www.pricecharting.com/game/pokemon-japanese-25th-anniversary-collection/booster-box</t>
        </is>
      </c>
    </row>
    <row r="521">
      <c r="A521" s="2" t="inlineStr">
        <is>
          <t>Japanese 30th Celebration Booster Box</t>
        </is>
      </c>
      <c r="B521" s="3">
        <f>IF(H521&lt;&gt;"",H521,IF(I521&lt;&gt;"",I521,IF(J521&lt;&gt;"",J521,K521)))</f>
        <v>207.49</v>
      </c>
      <c r="C521" s="3">
        <f>MEDIAN(H521:K521)</f>
        <v>207.49</v>
      </c>
      <c r="D521" s="3">
        <f>ROUND(C521*(1-Settings!$B$2),2)</f>
        <v>145.24</v>
      </c>
      <c r="E521" s="2" t="inlineStr">
        <is>
          <t>Pokemon</t>
        </is>
      </c>
      <c r="F521" s="2" t="inlineStr">
        <is>
          <t>Box</t>
        </is>
      </c>
      <c r="G521" s="2" t="inlineStr">
        <is>
          <t>Japanese 30th Celebration</t>
        </is>
      </c>
      <c r="H521" s="3" t="n">
        <v>207.49</v>
      </c>
      <c r="I521" s="3" t="n"/>
      <c r="J521" s="3" t="n"/>
      <c r="K521" s="3" t="n"/>
      <c r="L521" s="2" t="inlineStr">
        <is>
          <t>PriceCharting</t>
        </is>
      </c>
      <c r="M521" s="4" t="inlineStr">
        <is>
          <t>https://www.pricecharting.com/game/pokemon-japanese-30th-celebration/booster-box</t>
        </is>
      </c>
    </row>
    <row r="522">
      <c r="A522" s="2" t="inlineStr">
        <is>
          <t>Japanese Abyss Eye Booster Box</t>
        </is>
      </c>
      <c r="B522" s="3">
        <f>IF(H522&lt;&gt;"",H522,IF(I522&lt;&gt;"",I522,IF(J522&lt;&gt;"",J522,K522)))</f>
        <v>81.31</v>
      </c>
      <c r="C522" s="3">
        <f>MEDIAN(H522:K522)</f>
        <v>81.31</v>
      </c>
      <c r="D522" s="3">
        <f>ROUND(C522*(1-Settings!$B$2),2)</f>
        <v>56.92</v>
      </c>
      <c r="E522" s="2" t="inlineStr">
        <is>
          <t>Pokemon</t>
        </is>
      </c>
      <c r="F522" s="2" t="inlineStr">
        <is>
          <t>Box</t>
        </is>
      </c>
      <c r="G522" s="2" t="inlineStr">
        <is>
          <t>Japanese Abyss Eye</t>
        </is>
      </c>
      <c r="H522" s="3" t="n">
        <v>81.31</v>
      </c>
      <c r="I522" s="3" t="n"/>
      <c r="J522" s="3" t="n"/>
      <c r="K522" s="3" t="n"/>
      <c r="L522" s="2" t="inlineStr">
        <is>
          <t>PriceCharting</t>
        </is>
      </c>
      <c r="M522" s="4" t="inlineStr">
        <is>
          <t>https://www.pricecharting.com/game/pokemon-japanese-abyss-eye/booster-box</t>
        </is>
      </c>
    </row>
    <row r="523">
      <c r="A523" s="2" t="inlineStr">
        <is>
          <t>Japanese Alolan Moonlight Booster Box</t>
        </is>
      </c>
      <c r="B523" s="3">
        <f>IF(H523&lt;&gt;"",H523,IF(I523&lt;&gt;"",I523,IF(J523&lt;&gt;"",J523,K523)))</f>
        <v>845.51</v>
      </c>
      <c r="C523" s="3">
        <f>MEDIAN(H523:K523)</f>
        <v>845.51</v>
      </c>
      <c r="D523" s="3">
        <f>ROUND(C523*(1-Settings!$B$2),2)</f>
        <v>591.86</v>
      </c>
      <c r="E523" s="2" t="inlineStr">
        <is>
          <t>Pokemon</t>
        </is>
      </c>
      <c r="F523" s="2" t="inlineStr">
        <is>
          <t>Box</t>
        </is>
      </c>
      <c r="G523" s="2" t="inlineStr">
        <is>
          <t>Japanese Alolan Moonlight</t>
        </is>
      </c>
      <c r="H523" s="3" t="n">
        <v>845.51</v>
      </c>
      <c r="I523" s="3" t="n"/>
      <c r="J523" s="3" t="n"/>
      <c r="K523" s="3" t="n"/>
      <c r="L523" s="2" t="inlineStr">
        <is>
          <t>PriceCharting</t>
        </is>
      </c>
      <c r="M523" s="4" t="inlineStr">
        <is>
          <t>https://www.pricecharting.com/game/pokemon-japanese-alolan-moonlight/booster-box</t>
        </is>
      </c>
    </row>
    <row r="524">
      <c r="A524" s="2" t="inlineStr">
        <is>
          <t>Japanese Alter Genesis Booster Box</t>
        </is>
      </c>
      <c r="B524" s="3">
        <f>IF(H524&lt;&gt;"",H524,IF(I524&lt;&gt;"",I524,IF(J524&lt;&gt;"",J524,K524)))</f>
        <v>448.76</v>
      </c>
      <c r="C524" s="3">
        <f>MEDIAN(H524:K524)</f>
        <v>448.76</v>
      </c>
      <c r="D524" s="3">
        <f>ROUND(C524*(1-Settings!$B$2),2)</f>
        <v>314.13</v>
      </c>
      <c r="E524" s="2" t="inlineStr">
        <is>
          <t>Pokemon</t>
        </is>
      </c>
      <c r="F524" s="2" t="inlineStr">
        <is>
          <t>Box</t>
        </is>
      </c>
      <c r="G524" s="2" t="inlineStr">
        <is>
          <t>Japanese Alter Genesis</t>
        </is>
      </c>
      <c r="H524" s="3" t="n">
        <v>448.76</v>
      </c>
      <c r="I524" s="3" t="n"/>
      <c r="J524" s="3" t="n"/>
      <c r="K524" s="3" t="n"/>
      <c r="L524" s="2" t="inlineStr">
        <is>
          <t>PriceCharting</t>
        </is>
      </c>
      <c r="M524" s="4" t="inlineStr">
        <is>
          <t>https://www.pricecharting.com/game/pokemon-japanese-alter-genesis/booster-box</t>
        </is>
      </c>
    </row>
    <row r="525">
      <c r="A525" s="2" t="inlineStr">
        <is>
          <t>Japanese Amazing Volt Tackle Booster Box</t>
        </is>
      </c>
      <c r="B525" s="3">
        <f>IF(H525&lt;&gt;"",H525,IF(I525&lt;&gt;"",I525,IF(J525&lt;&gt;"",J525,K525)))</f>
        <v>180.0</v>
      </c>
      <c r="C525" s="3">
        <f>MEDIAN(H525:K525)</f>
        <v>180.0</v>
      </c>
      <c r="D525" s="3">
        <f>ROUND(C525*(1-Settings!$B$2),2)</f>
        <v>126.0</v>
      </c>
      <c r="E525" s="2" t="inlineStr">
        <is>
          <t>Pokemon</t>
        </is>
      </c>
      <c r="F525" s="2" t="inlineStr">
        <is>
          <t>Box</t>
        </is>
      </c>
      <c r="G525" s="2" t="inlineStr">
        <is>
          <t>Japanese Amazing Volt Tackle</t>
        </is>
      </c>
      <c r="H525" s="3" t="n">
        <v>180</v>
      </c>
      <c r="I525" s="3" t="n"/>
      <c r="J525" s="3" t="n"/>
      <c r="K525" s="3" t="n"/>
      <c r="L525" s="2" t="inlineStr">
        <is>
          <t>PriceCharting</t>
        </is>
      </c>
      <c r="M525" s="4" t="inlineStr">
        <is>
          <t>https://www.pricecharting.com/game/pokemon-japanese-amazing-volt-tackle/booster-box</t>
        </is>
      </c>
    </row>
    <row r="526">
      <c r="A526" s="2" t="inlineStr">
        <is>
          <t>Japanese Ancient Roar Booster Box</t>
        </is>
      </c>
      <c r="B526" s="3">
        <f>IF(H526&lt;&gt;"",H526,IF(I526&lt;&gt;"",I526,IF(J526&lt;&gt;"",J526,K526)))</f>
        <v>83.78</v>
      </c>
      <c r="C526" s="3">
        <f>MEDIAN(H526:K526)</f>
        <v>83.78</v>
      </c>
      <c r="D526" s="3">
        <f>ROUND(C526*(1-Settings!$B$2),2)</f>
        <v>58.65</v>
      </c>
      <c r="E526" s="2" t="inlineStr">
        <is>
          <t>Pokemon</t>
        </is>
      </c>
      <c r="F526" s="2" t="inlineStr">
        <is>
          <t>Box</t>
        </is>
      </c>
      <c r="G526" s="2" t="inlineStr">
        <is>
          <t>Japanese Ancient Roar</t>
        </is>
      </c>
      <c r="H526" s="3" t="n">
        <v>83.78</v>
      </c>
      <c r="I526" s="3" t="n"/>
      <c r="J526" s="3" t="n"/>
      <c r="K526" s="3" t="n"/>
      <c r="L526" s="2" t="inlineStr">
        <is>
          <t>PriceCharting</t>
        </is>
      </c>
      <c r="M526" s="4" t="inlineStr">
        <is>
          <t>https://www.pricecharting.com/game/pokemon-japanese-ancient-roar/booster-box</t>
        </is>
      </c>
    </row>
    <row r="527">
      <c r="A527" s="2" t="inlineStr">
        <is>
          <t>Japanese Bandit Ring Booster Box</t>
        </is>
      </c>
      <c r="B527" s="3">
        <f>IF(H527&lt;&gt;"",H527,IF(I527&lt;&gt;"",I527,IF(J527&lt;&gt;"",J527,K527)))</f>
        <v>1890.32</v>
      </c>
      <c r="C527" s="3">
        <f>MEDIAN(H527:K527)</f>
        <v>1890.32</v>
      </c>
      <c r="D527" s="3">
        <f>ROUND(C527*(1-Settings!$B$2),2)</f>
        <v>1323.22</v>
      </c>
      <c r="E527" s="2" t="inlineStr">
        <is>
          <t>Pokemon</t>
        </is>
      </c>
      <c r="F527" s="2" t="inlineStr">
        <is>
          <t>Box</t>
        </is>
      </c>
      <c r="G527" s="2" t="inlineStr">
        <is>
          <t>Japanese Bandit Ring</t>
        </is>
      </c>
      <c r="H527" s="3" t="n">
        <v>1890.32</v>
      </c>
      <c r="I527" s="3" t="n"/>
      <c r="J527" s="3" t="n"/>
      <c r="K527" s="3" t="n"/>
      <c r="L527" s="2" t="inlineStr">
        <is>
          <t>PriceCharting</t>
        </is>
      </c>
      <c r="M527" s="4" t="inlineStr">
        <is>
          <t>https://www.pricecharting.com/game/pokemon-japanese-bandit-ring/booster-box</t>
        </is>
      </c>
    </row>
    <row r="528">
      <c r="A528" s="2" t="inlineStr">
        <is>
          <t>Japanese Battle Partners Booster Box</t>
        </is>
      </c>
      <c r="B528" s="3">
        <f>IF(H528&lt;&gt;"",H528,IF(I528&lt;&gt;"",I528,IF(J528&lt;&gt;"",J528,K528)))</f>
        <v>84.45</v>
      </c>
      <c r="C528" s="3">
        <f>MEDIAN(H528:K528)</f>
        <v>84.45</v>
      </c>
      <c r="D528" s="3">
        <f>ROUND(C528*(1-Settings!$B$2),2)</f>
        <v>59.12</v>
      </c>
      <c r="E528" s="2" t="inlineStr">
        <is>
          <t>Pokemon</t>
        </is>
      </c>
      <c r="F528" s="2" t="inlineStr">
        <is>
          <t>Box</t>
        </is>
      </c>
      <c r="G528" s="2" t="inlineStr">
        <is>
          <t>Japanese Battle Partners</t>
        </is>
      </c>
      <c r="H528" s="3" t="n">
        <v>84.45</v>
      </c>
      <c r="I528" s="3" t="n"/>
      <c r="J528" s="3" t="n"/>
      <c r="K528" s="3" t="n"/>
      <c r="L528" s="2" t="inlineStr">
        <is>
          <t>PriceCharting</t>
        </is>
      </c>
      <c r="M528" s="4" t="inlineStr">
        <is>
          <t>https://www.pricecharting.com/game/pokemon-japanese-battle-partners/booster-box</t>
        </is>
      </c>
    </row>
    <row r="529">
      <c r="A529" s="2" t="inlineStr">
        <is>
          <t>Japanese Battle Region Booster Box</t>
        </is>
      </c>
      <c r="B529" s="3">
        <f>IF(H529&lt;&gt;"",H529,IF(I529&lt;&gt;"",I529,IF(J529&lt;&gt;"",J529,K529)))</f>
        <v>73.29</v>
      </c>
      <c r="C529" s="3">
        <f>MEDIAN(H529:K529)</f>
        <v>73.29</v>
      </c>
      <c r="D529" s="3">
        <f>ROUND(C529*(1-Settings!$B$2),2)</f>
        <v>51.3</v>
      </c>
      <c r="E529" s="2" t="inlineStr">
        <is>
          <t>Pokemon</t>
        </is>
      </c>
      <c r="F529" s="2" t="inlineStr">
        <is>
          <t>Box</t>
        </is>
      </c>
      <c r="G529" s="2" t="inlineStr">
        <is>
          <t>Japanese Battle Region</t>
        </is>
      </c>
      <c r="H529" s="3" t="n">
        <v>73.29000000000001</v>
      </c>
      <c r="I529" s="3" t="n"/>
      <c r="J529" s="3" t="n"/>
      <c r="K529" s="3" t="n"/>
      <c r="L529" s="2" t="inlineStr">
        <is>
          <t>PriceCharting</t>
        </is>
      </c>
      <c r="M529" s="4" t="inlineStr">
        <is>
          <t>https://www.pricecharting.com/game/pokemon-japanese-battle-region/booster-box</t>
        </is>
      </c>
    </row>
    <row r="530">
      <c r="A530" s="2" t="inlineStr">
        <is>
          <t>Japanese Best Of Xy Booster Box</t>
        </is>
      </c>
      <c r="B530" s="3">
        <f>IF(H530&lt;&gt;"",H530,IF(I530&lt;&gt;"",I530,IF(J530&lt;&gt;"",J530,K530)))</f>
        <v>4697.9</v>
      </c>
      <c r="C530" s="3">
        <f>MEDIAN(H530:K530)</f>
        <v>4697.9</v>
      </c>
      <c r="D530" s="3">
        <f>ROUND(C530*(1-Settings!$B$2),2)</f>
        <v>3288.53</v>
      </c>
      <c r="E530" s="2" t="inlineStr">
        <is>
          <t>Pokemon</t>
        </is>
      </c>
      <c r="F530" s="2" t="inlineStr">
        <is>
          <t>Box</t>
        </is>
      </c>
      <c r="G530" s="2" t="inlineStr">
        <is>
          <t>Japanese Best Of Xy</t>
        </is>
      </c>
      <c r="H530" s="3" t="n">
        <v>4697.9</v>
      </c>
      <c r="I530" s="3" t="n"/>
      <c r="J530" s="3" t="n"/>
      <c r="K530" s="3" t="n"/>
      <c r="L530" s="2" t="inlineStr">
        <is>
          <t>PriceCharting</t>
        </is>
      </c>
      <c r="M530" s="4" t="inlineStr">
        <is>
          <t>https://www.pricecharting.com/game/pokemon-japanese-best-of-xy/booster-box</t>
        </is>
      </c>
    </row>
    <row r="531">
      <c r="A531" s="2" t="inlineStr">
        <is>
          <t>Japanese Black Bolt Booster Box</t>
        </is>
      </c>
      <c r="B531" s="3">
        <f>IF(H531&lt;&gt;"",H531,IF(I531&lt;&gt;"",I531,IF(J531&lt;&gt;"",J531,K531)))</f>
        <v>118.37</v>
      </c>
      <c r="C531" s="3">
        <f>MEDIAN(H531:K531)</f>
        <v>118.37</v>
      </c>
      <c r="D531" s="3">
        <f>ROUND(C531*(1-Settings!$B$2),2)</f>
        <v>82.86</v>
      </c>
      <c r="E531" s="2" t="inlineStr">
        <is>
          <t>Pokemon</t>
        </is>
      </c>
      <c r="F531" s="2" t="inlineStr">
        <is>
          <t>Box</t>
        </is>
      </c>
      <c r="G531" s="2" t="inlineStr">
        <is>
          <t>Japanese Black Bolt</t>
        </is>
      </c>
      <c r="H531" s="3" t="n">
        <v>118.37</v>
      </c>
      <c r="I531" s="3" t="n"/>
      <c r="J531" s="3" t="n"/>
      <c r="K531" s="3" t="n"/>
      <c r="L531" s="2" t="inlineStr">
        <is>
          <t>PriceCharting</t>
        </is>
      </c>
      <c r="M531" s="4" t="inlineStr">
        <is>
          <t>https://www.pricecharting.com/game/pokemon-japanese-black-bolt/booster-box</t>
        </is>
      </c>
    </row>
    <row r="532">
      <c r="A532" s="2" t="inlineStr">
        <is>
          <t>Japanese Black Bolt Deluxe Booster Box</t>
        </is>
      </c>
      <c r="B532" s="3">
        <f>IF(H532&lt;&gt;"",H532,IF(I532&lt;&gt;"",I532,IF(J532&lt;&gt;"",J532,K532)))</f>
        <v>186.32</v>
      </c>
      <c r="C532" s="3">
        <f>MEDIAN(H532:K532)</f>
        <v>186.32</v>
      </c>
      <c r="D532" s="3">
        <f>ROUND(C532*(1-Settings!$B$2),2)</f>
        <v>130.42</v>
      </c>
      <c r="E532" s="2" t="inlineStr">
        <is>
          <t>Pokemon</t>
        </is>
      </c>
      <c r="F532" s="2" t="inlineStr">
        <is>
          <t>Box</t>
        </is>
      </c>
      <c r="G532" s="2" t="inlineStr">
        <is>
          <t>Japanese Black Bolt</t>
        </is>
      </c>
      <c r="H532" s="3" t="n">
        <v>186.32</v>
      </c>
      <c r="I532" s="3" t="n"/>
      <c r="J532" s="3" t="n"/>
      <c r="K532" s="3" t="n"/>
      <c r="L532" s="2" t="inlineStr">
        <is>
          <t>PriceCharting</t>
        </is>
      </c>
      <c r="M532" s="4" t="inlineStr">
        <is>
          <t>https://www.pricecharting.com/game/pokemon-japanese-black-bolt/deluxe-booster-box</t>
        </is>
      </c>
    </row>
    <row r="533">
      <c r="A533" s="2" t="inlineStr">
        <is>
          <t>Japanese Blue Sky Stream Booster Box</t>
        </is>
      </c>
      <c r="B533" s="3">
        <f>IF(H533&lt;&gt;"",H533,IF(I533&lt;&gt;"",I533,IF(J533&lt;&gt;"",J533,K533)))</f>
        <v>1277.15</v>
      </c>
      <c r="C533" s="3">
        <f>MEDIAN(H533:K533)</f>
        <v>1277.15</v>
      </c>
      <c r="D533" s="3">
        <f>ROUND(C533*(1-Settings!$B$2),2)</f>
        <v>894.01</v>
      </c>
      <c r="E533" s="2" t="inlineStr">
        <is>
          <t>Pokemon</t>
        </is>
      </c>
      <c r="F533" s="2" t="inlineStr">
        <is>
          <t>Box</t>
        </is>
      </c>
      <c r="G533" s="2" t="inlineStr">
        <is>
          <t>Japanese Blue Sky Stream</t>
        </is>
      </c>
      <c r="H533" s="3" t="n">
        <v>1277.15</v>
      </c>
      <c r="I533" s="3" t="n"/>
      <c r="J533" s="3" t="n"/>
      <c r="K533" s="3" t="n"/>
      <c r="L533" s="2" t="inlineStr">
        <is>
          <t>PriceCharting</t>
        </is>
      </c>
      <c r="M533" s="4" t="inlineStr">
        <is>
          <t>https://www.pricecharting.com/game/pokemon-japanese-blue-sky-stream/booster-box</t>
        </is>
      </c>
    </row>
    <row r="534">
      <c r="A534" s="2" t="inlineStr">
        <is>
          <t>Japanese Cd Promo Booster Box</t>
        </is>
      </c>
      <c r="B534" s="3">
        <f>IF(H534&lt;&gt;"",H534,IF(I534&lt;&gt;"",I534,IF(J534&lt;&gt;"",J534,K534)))</f>
        <v>7772.34</v>
      </c>
      <c r="C534" s="3">
        <f>MEDIAN(H534:K534)</f>
        <v>7772.34</v>
      </c>
      <c r="D534" s="3">
        <f>ROUND(C534*(1-Settings!$B$2),2)</f>
        <v>5440.64</v>
      </c>
      <c r="E534" s="2" t="inlineStr">
        <is>
          <t>Pokemon</t>
        </is>
      </c>
      <c r="F534" s="2" t="inlineStr">
        <is>
          <t>Box</t>
        </is>
      </c>
      <c r="G534" s="2" t="inlineStr">
        <is>
          <t>Japanese Cd Promo</t>
        </is>
      </c>
      <c r="H534" s="3" t="n">
        <v>7772.34</v>
      </c>
      <c r="I534" s="3" t="n"/>
      <c r="J534" s="3" t="n"/>
      <c r="K534" s="3" t="n"/>
      <c r="L534" s="2" t="inlineStr">
        <is>
          <t>PriceCharting</t>
        </is>
      </c>
      <c r="M534" s="4" t="inlineStr">
        <is>
          <t>https://www.pricecharting.com/game/pokemon-japanese-cd-promo/booster-box</t>
        </is>
      </c>
    </row>
    <row r="535">
      <c r="A535" s="2" t="inlineStr">
        <is>
          <t>Japanese Challenge From The Darkness Booster Box</t>
        </is>
      </c>
      <c r="B535" s="3">
        <f>IF(H535&lt;&gt;"",H535,IF(I535&lt;&gt;"",I535,IF(J535&lt;&gt;"",J535,K535)))</f>
        <v>129.95</v>
      </c>
      <c r="C535" s="3">
        <f>MEDIAN(H535:K535)</f>
        <v>129.95</v>
      </c>
      <c r="D535" s="3">
        <f>ROUND(C535*(1-Settings!$B$2),2)</f>
        <v>90.97</v>
      </c>
      <c r="E535" s="2" t="inlineStr">
        <is>
          <t>Pokemon</t>
        </is>
      </c>
      <c r="F535" s="2" t="inlineStr">
        <is>
          <t>Box</t>
        </is>
      </c>
      <c r="G535" s="2" t="inlineStr">
        <is>
          <t>Japanese Challenge From The Darkness</t>
        </is>
      </c>
      <c r="H535" s="3" t="n">
        <v>129.95</v>
      </c>
      <c r="I535" s="3" t="n"/>
      <c r="J535" s="3" t="n"/>
      <c r="K535" s="3" t="n"/>
      <c r="L535" s="2" t="inlineStr">
        <is>
          <t>PriceCharting</t>
        </is>
      </c>
      <c r="M535" s="4" t="inlineStr">
        <is>
          <t>https://www.pricecharting.com/game/pokemon-japanese-challenge-from-the-darkness/booster-box</t>
        </is>
      </c>
    </row>
    <row r="536">
      <c r="A536" s="2" t="inlineStr">
        <is>
          <t>Japanese Clay Burst Booster Box</t>
        </is>
      </c>
      <c r="B536" s="3">
        <f>IF(H536&lt;&gt;"",H536,IF(I536&lt;&gt;"",I536,IF(J536&lt;&gt;"",J536,K536)))</f>
        <v>97.35</v>
      </c>
      <c r="C536" s="3">
        <f>MEDIAN(H536:K536)</f>
        <v>97.35</v>
      </c>
      <c r="D536" s="3">
        <f>ROUND(C536*(1-Settings!$B$2),2)</f>
        <v>68.15</v>
      </c>
      <c r="E536" s="2" t="inlineStr">
        <is>
          <t>Pokemon</t>
        </is>
      </c>
      <c r="F536" s="2" t="inlineStr">
        <is>
          <t>Box</t>
        </is>
      </c>
      <c r="G536" s="2" t="inlineStr">
        <is>
          <t>Japanese Clay Burst</t>
        </is>
      </c>
      <c r="H536" s="3" t="n">
        <v>97.34999999999999</v>
      </c>
      <c r="I536" s="3" t="n"/>
      <c r="J536" s="3" t="n"/>
      <c r="K536" s="3" t="n"/>
      <c r="L536" s="2" t="inlineStr">
        <is>
          <t>PriceCharting</t>
        </is>
      </c>
      <c r="M536" s="4" t="inlineStr">
        <is>
          <t>https://www.pricecharting.com/game/pokemon-japanese-clay-burst/booster-box</t>
        </is>
      </c>
    </row>
    <row r="537">
      <c r="A537" s="2" t="inlineStr">
        <is>
          <t>Japanese Crimson Haze Booster Box</t>
        </is>
      </c>
      <c r="B537" s="3">
        <f>IF(H537&lt;&gt;"",H537,IF(I537&lt;&gt;"",I537,IF(J537&lt;&gt;"",J537,K537)))</f>
        <v>100.0</v>
      </c>
      <c r="C537" s="3">
        <f>MEDIAN(H537:K537)</f>
        <v>100.0</v>
      </c>
      <c r="D537" s="3">
        <f>ROUND(C537*(1-Settings!$B$2),2)</f>
        <v>70.0</v>
      </c>
      <c r="E537" s="2" t="inlineStr">
        <is>
          <t>Pokemon</t>
        </is>
      </c>
      <c r="F537" s="2" t="inlineStr">
        <is>
          <t>Box</t>
        </is>
      </c>
      <c r="G537" s="2" t="inlineStr">
        <is>
          <t>Japanese Crimson Haze</t>
        </is>
      </c>
      <c r="H537" s="3" t="n">
        <v>100</v>
      </c>
      <c r="I537" s="3" t="n"/>
      <c r="J537" s="3" t="n"/>
      <c r="K537" s="3" t="n"/>
      <c r="L537" s="2" t="inlineStr">
        <is>
          <t>PriceCharting</t>
        </is>
      </c>
      <c r="M537" s="4" t="inlineStr">
        <is>
          <t>https://www.pricecharting.com/game/pokemon-japanese-crimson-haze/booster-box</t>
        </is>
      </c>
    </row>
    <row r="538">
      <c r="A538" s="2" t="inlineStr">
        <is>
          <t>Japanese Crossing The Ruins Booster Box</t>
        </is>
      </c>
      <c r="B538" s="3">
        <f>IF(H538&lt;&gt;"",H538,IF(I538&lt;&gt;"",I538,IF(J538&lt;&gt;"",J538,K538)))</f>
        <v>57515.0</v>
      </c>
      <c r="C538" s="3">
        <f>MEDIAN(H538:K538)</f>
        <v>57515.0</v>
      </c>
      <c r="D538" s="3">
        <f>ROUND(C538*(1-Settings!$B$2),2)</f>
        <v>40260.5</v>
      </c>
      <c r="E538" s="2" t="inlineStr">
        <is>
          <t>Pokemon</t>
        </is>
      </c>
      <c r="F538" s="2" t="inlineStr">
        <is>
          <t>Box</t>
        </is>
      </c>
      <c r="G538" s="2" t="inlineStr">
        <is>
          <t>Japanese Crossing The Ruins</t>
        </is>
      </c>
      <c r="H538" s="3" t="n">
        <v>57515</v>
      </c>
      <c r="I538" s="3" t="n"/>
      <c r="J538" s="3" t="n"/>
      <c r="K538" s="3" t="n"/>
      <c r="L538" s="2" t="inlineStr">
        <is>
          <t>PriceCharting</t>
        </is>
      </c>
      <c r="M538" s="4" t="inlineStr">
        <is>
          <t>https://www.pricecharting.com/game/pokemon-japanese-crossing-the-ruins/booster-box</t>
        </is>
      </c>
    </row>
    <row r="539">
      <c r="A539" s="2" t="inlineStr">
        <is>
          <t>Japanese Cyber Judge Booster Box</t>
        </is>
      </c>
      <c r="B539" s="3">
        <f>IF(H539&lt;&gt;"",H539,IF(I539&lt;&gt;"",I539,IF(J539&lt;&gt;"",J539,K539)))</f>
        <v>91.52</v>
      </c>
      <c r="C539" s="3">
        <f>MEDIAN(H539:K539)</f>
        <v>91.52</v>
      </c>
      <c r="D539" s="3">
        <f>ROUND(C539*(1-Settings!$B$2),2)</f>
        <v>64.06</v>
      </c>
      <c r="E539" s="2" t="inlineStr">
        <is>
          <t>Pokemon</t>
        </is>
      </c>
      <c r="F539" s="2" t="inlineStr">
        <is>
          <t>Box</t>
        </is>
      </c>
      <c r="G539" s="2" t="inlineStr">
        <is>
          <t>Japanese Cyber Judge</t>
        </is>
      </c>
      <c r="H539" s="3" t="n">
        <v>91.52</v>
      </c>
      <c r="I539" s="3" t="n"/>
      <c r="J539" s="3" t="n"/>
      <c r="K539" s="3" t="n"/>
      <c r="L539" s="2" t="inlineStr">
        <is>
          <t>PriceCharting</t>
        </is>
      </c>
      <c r="M539" s="4" t="inlineStr">
        <is>
          <t>https://www.pricecharting.com/game/pokemon-japanese-cyber-judge/booster-box</t>
        </is>
      </c>
    </row>
    <row r="540">
      <c r="A540" s="2" t="inlineStr">
        <is>
          <t>Japanese Dark Phantasma Booster Box</t>
        </is>
      </c>
      <c r="B540" s="3">
        <f>IF(H540&lt;&gt;"",H540,IF(I540&lt;&gt;"",I540,IF(J540&lt;&gt;"",J540,K540)))</f>
        <v>182.7</v>
      </c>
      <c r="C540" s="3">
        <f>MEDIAN(H540:K540)</f>
        <v>182.7</v>
      </c>
      <c r="D540" s="3">
        <f>ROUND(C540*(1-Settings!$B$2),2)</f>
        <v>127.89</v>
      </c>
      <c r="E540" s="2" t="inlineStr">
        <is>
          <t>Pokemon</t>
        </is>
      </c>
      <c r="F540" s="2" t="inlineStr">
        <is>
          <t>Box</t>
        </is>
      </c>
      <c r="G540" s="2" t="inlineStr">
        <is>
          <t>Japanese Dark Phantasma</t>
        </is>
      </c>
      <c r="H540" s="3" t="n">
        <v>182.7</v>
      </c>
      <c r="I540" s="3" t="n"/>
      <c r="J540" s="3" t="n"/>
      <c r="K540" s="3" t="n"/>
      <c r="L540" s="2" t="inlineStr">
        <is>
          <t>PriceCharting</t>
        </is>
      </c>
      <c r="M540" s="4" t="inlineStr">
        <is>
          <t>https://www.pricecharting.com/game/pokemon-japanese-dark-phantasma/booster-box</t>
        </is>
      </c>
    </row>
    <row r="541">
      <c r="A541" s="2" t="inlineStr">
        <is>
          <t>Japanese Double Blaze Booster Box</t>
        </is>
      </c>
      <c r="B541" s="3">
        <f>IF(H541&lt;&gt;"",H541,IF(I541&lt;&gt;"",I541,IF(J541&lt;&gt;"",J541,K541)))</f>
        <v>628.52</v>
      </c>
      <c r="C541" s="3">
        <f>MEDIAN(H541:K541)</f>
        <v>628.52</v>
      </c>
      <c r="D541" s="3">
        <f>ROUND(C541*(1-Settings!$B$2),2)</f>
        <v>439.96</v>
      </c>
      <c r="E541" s="2" t="inlineStr">
        <is>
          <t>Pokemon</t>
        </is>
      </c>
      <c r="F541" s="2" t="inlineStr">
        <is>
          <t>Box</t>
        </is>
      </c>
      <c r="G541" s="2" t="inlineStr">
        <is>
          <t>Japanese Double Blaze</t>
        </is>
      </c>
      <c r="H541" s="3" t="n">
        <v>628.52</v>
      </c>
      <c r="I541" s="3" t="n"/>
      <c r="J541" s="3" t="n"/>
      <c r="K541" s="3" t="n"/>
      <c r="L541" s="2" t="inlineStr">
        <is>
          <t>PriceCharting</t>
        </is>
      </c>
      <c r="M541" s="4" t="inlineStr">
        <is>
          <t>https://www.pricecharting.com/game/pokemon-japanese-double-blaze/booster-box</t>
        </is>
      </c>
    </row>
    <row r="542">
      <c r="A542" s="2" t="inlineStr">
        <is>
          <t>Japanese Dream League Booster Box</t>
        </is>
      </c>
      <c r="B542" s="3">
        <f>IF(H542&lt;&gt;"",H542,IF(I542&lt;&gt;"",I542,IF(J542&lt;&gt;"",J542,K542)))</f>
        <v>812.72</v>
      </c>
      <c r="C542" s="3">
        <f>MEDIAN(H542:K542)</f>
        <v>812.72</v>
      </c>
      <c r="D542" s="3">
        <f>ROUND(C542*(1-Settings!$B$2),2)</f>
        <v>568.9</v>
      </c>
      <c r="E542" s="2" t="inlineStr">
        <is>
          <t>Pokemon</t>
        </is>
      </c>
      <c r="F542" s="2" t="inlineStr">
        <is>
          <t>Box</t>
        </is>
      </c>
      <c r="G542" s="2" t="inlineStr">
        <is>
          <t>Japanese Dream League</t>
        </is>
      </c>
      <c r="H542" s="3" t="n">
        <v>812.72</v>
      </c>
      <c r="I542" s="3" t="n"/>
      <c r="J542" s="3" t="n"/>
      <c r="K542" s="3" t="n"/>
      <c r="L542" s="2" t="inlineStr">
        <is>
          <t>PriceCharting</t>
        </is>
      </c>
      <c r="M542" s="4" t="inlineStr">
        <is>
          <t>https://www.pricecharting.com/game/pokemon-japanese-dream-league/booster-box</t>
        </is>
      </c>
    </row>
    <row r="543">
      <c r="A543" s="2" t="inlineStr">
        <is>
          <t>Japanese Dream Shine Collection Booster Box</t>
        </is>
      </c>
      <c r="B543" s="3">
        <f>IF(H543&lt;&gt;"",H543,IF(I543&lt;&gt;"",I543,IF(J543&lt;&gt;"",J543,K543)))</f>
        <v>7500.0</v>
      </c>
      <c r="C543" s="3">
        <f>MEDIAN(H543:K543)</f>
        <v>7500.0</v>
      </c>
      <c r="D543" s="3">
        <f>ROUND(C543*(1-Settings!$B$2),2)</f>
        <v>5250.0</v>
      </c>
      <c r="E543" s="2" t="inlineStr">
        <is>
          <t>Pokemon</t>
        </is>
      </c>
      <c r="F543" s="2" t="inlineStr">
        <is>
          <t>Box</t>
        </is>
      </c>
      <c r="G543" s="2" t="inlineStr">
        <is>
          <t>Japanese Dream Shine Collection</t>
        </is>
      </c>
      <c r="H543" s="3" t="n">
        <v>7500</v>
      </c>
      <c r="I543" s="3" t="n"/>
      <c r="J543" s="3" t="n"/>
      <c r="K543" s="3" t="n"/>
      <c r="L543" s="2" t="inlineStr">
        <is>
          <t>PriceCharting</t>
        </is>
      </c>
      <c r="M543" s="4" t="inlineStr">
        <is>
          <t>https://www.pricecharting.com/game/pokemon-japanese-dream-shine-collection/booster-box</t>
        </is>
      </c>
    </row>
    <row r="544">
      <c r="A544" s="2" t="inlineStr">
        <is>
          <t>Japanese Eevee Heroes Booster Box</t>
        </is>
      </c>
      <c r="B544" s="3">
        <f>IF(H544&lt;&gt;"",H544,IF(I544&lt;&gt;"",I544,IF(J544&lt;&gt;"",J544,K544)))</f>
        <v>682.5</v>
      </c>
      <c r="C544" s="3">
        <f>MEDIAN(H544:K544)</f>
        <v>682.5</v>
      </c>
      <c r="D544" s="3">
        <f>ROUND(C544*(1-Settings!$B$2),2)</f>
        <v>477.75</v>
      </c>
      <c r="E544" s="2" t="inlineStr">
        <is>
          <t>Pokemon</t>
        </is>
      </c>
      <c r="F544" s="2" t="inlineStr">
        <is>
          <t>Box</t>
        </is>
      </c>
      <c r="G544" s="2" t="inlineStr">
        <is>
          <t>Japanese Eevee Heroes</t>
        </is>
      </c>
      <c r="H544" s="3" t="n">
        <v>682.5</v>
      </c>
      <c r="I544" s="3" t="n"/>
      <c r="J544" s="3" t="n"/>
      <c r="K544" s="3" t="n"/>
      <c r="L544" s="2" t="inlineStr">
        <is>
          <t>PriceCharting</t>
        </is>
      </c>
      <c r="M544" s="4" t="inlineStr">
        <is>
          <t>https://www.pricecharting.com/game/pokemon-japanese-eevee-heroes/booster-box</t>
        </is>
      </c>
    </row>
    <row r="545">
      <c r="A545" s="2" t="inlineStr">
        <is>
          <t>Japanese Expansion Pack Booster Box [Base Set]</t>
        </is>
      </c>
      <c r="B545" s="3">
        <f>IF(H545&lt;&gt;"",H545,IF(I545&lt;&gt;"",I545,IF(J545&lt;&gt;"",J545,K545)))</f>
        <v>118340.0</v>
      </c>
      <c r="C545" s="3">
        <f>MEDIAN(H545:K545)</f>
        <v>118340.0</v>
      </c>
      <c r="D545" s="3">
        <f>ROUND(C545*(1-Settings!$B$2),2)</f>
        <v>82838.0</v>
      </c>
      <c r="E545" s="2" t="inlineStr">
        <is>
          <t>Pokemon</t>
        </is>
      </c>
      <c r="F545" s="2" t="inlineStr">
        <is>
          <t>Box</t>
        </is>
      </c>
      <c r="G545" s="2" t="inlineStr">
        <is>
          <t>Japanese Expansion Pack</t>
        </is>
      </c>
      <c r="H545" s="3" t="n">
        <v>118340</v>
      </c>
      <c r="I545" s="3" t="n"/>
      <c r="J545" s="3" t="n"/>
      <c r="K545" s="3" t="n"/>
      <c r="L545" s="2" t="inlineStr">
        <is>
          <t>PriceCharting</t>
        </is>
      </c>
      <c r="M545" s="4" t="inlineStr">
        <is>
          <t>https://www.pricecharting.com/game/pokemon-japanese-expansion-pack/booster-box-base-set</t>
        </is>
      </c>
    </row>
    <row r="546">
      <c r="A546" s="2" t="inlineStr">
        <is>
          <t>Japanese Fusion Arts Booster Box</t>
        </is>
      </c>
      <c r="B546" s="3">
        <f>IF(H546&lt;&gt;"",H546,IF(I546&lt;&gt;"",I546,IF(J546&lt;&gt;"",J546,K546)))</f>
        <v>260.0</v>
      </c>
      <c r="C546" s="3">
        <f>MEDIAN(H546:K546)</f>
        <v>260.0</v>
      </c>
      <c r="D546" s="3">
        <f>ROUND(C546*(1-Settings!$B$2),2)</f>
        <v>182.0</v>
      </c>
      <c r="E546" s="2" t="inlineStr">
        <is>
          <t>Pokemon</t>
        </is>
      </c>
      <c r="F546" s="2" t="inlineStr">
        <is>
          <t>Box</t>
        </is>
      </c>
      <c r="G546" s="2" t="inlineStr">
        <is>
          <t>Japanese Fusion Arts</t>
        </is>
      </c>
      <c r="H546" s="3" t="n">
        <v>260</v>
      </c>
      <c r="I546" s="3" t="n"/>
      <c r="J546" s="3" t="n"/>
      <c r="K546" s="3" t="n"/>
      <c r="L546" s="2" t="inlineStr">
        <is>
          <t>PriceCharting</t>
        </is>
      </c>
      <c r="M546" s="4" t="inlineStr">
        <is>
          <t>https://www.pricecharting.com/game/pokemon-japanese-fusion-arts/booster-box</t>
        </is>
      </c>
    </row>
    <row r="547">
      <c r="A547" s="2" t="inlineStr">
        <is>
          <t>Japanese Future Flash Booster Box</t>
        </is>
      </c>
      <c r="B547" s="3">
        <f>IF(H547&lt;&gt;"",H547,IF(I547&lt;&gt;"",I547,IF(J547&lt;&gt;"",J547,K547)))</f>
        <v>85.01</v>
      </c>
      <c r="C547" s="3">
        <f>MEDIAN(H547:K547)</f>
        <v>85.01</v>
      </c>
      <c r="D547" s="3">
        <f>ROUND(C547*(1-Settings!$B$2),2)</f>
        <v>59.51</v>
      </c>
      <c r="E547" s="2" t="inlineStr">
        <is>
          <t>Pokemon</t>
        </is>
      </c>
      <c r="F547" s="2" t="inlineStr">
        <is>
          <t>Box</t>
        </is>
      </c>
      <c r="G547" s="2" t="inlineStr">
        <is>
          <t>Japanese Future Flash</t>
        </is>
      </c>
      <c r="H547" s="3" t="n">
        <v>85.01000000000001</v>
      </c>
      <c r="I547" s="3" t="n"/>
      <c r="J547" s="3" t="n"/>
      <c r="K547" s="3" t="n"/>
      <c r="L547" s="2" t="inlineStr">
        <is>
          <t>PriceCharting</t>
        </is>
      </c>
      <c r="M547" s="4" t="inlineStr">
        <is>
          <t>https://www.pricecharting.com/game/pokemon-japanese-future-flash/booster-box</t>
        </is>
      </c>
    </row>
    <row r="548">
      <c r="A548" s="2" t="inlineStr">
        <is>
          <t>Japanese Glory Of Team Rocket Booster Box</t>
        </is>
      </c>
      <c r="B548" s="3">
        <f>IF(H548&lt;&gt;"",H548,IF(I548&lt;&gt;"",I548,IF(J548&lt;&gt;"",J548,K548)))</f>
        <v>157.47</v>
      </c>
      <c r="C548" s="3">
        <f>MEDIAN(H548:K548)</f>
        <v>157.47</v>
      </c>
      <c r="D548" s="3">
        <f>ROUND(C548*(1-Settings!$B$2),2)</f>
        <v>110.23</v>
      </c>
      <c r="E548" s="2" t="inlineStr">
        <is>
          <t>Pokemon</t>
        </is>
      </c>
      <c r="F548" s="2" t="inlineStr">
        <is>
          <t>Box</t>
        </is>
      </c>
      <c r="G548" s="2" t="inlineStr">
        <is>
          <t>Japanese Glory Of Team Rocket</t>
        </is>
      </c>
      <c r="H548" s="3" t="n">
        <v>157.47</v>
      </c>
      <c r="I548" s="3" t="n"/>
      <c r="J548" s="3" t="n"/>
      <c r="K548" s="3" t="n"/>
      <c r="L548" s="2" t="inlineStr">
        <is>
          <t>PriceCharting</t>
        </is>
      </c>
      <c r="M548" s="4" t="inlineStr">
        <is>
          <t>https://www.pricecharting.com/game/pokemon-japanese-glory-of-team-rocket/booster-box</t>
        </is>
      </c>
    </row>
    <row r="549">
      <c r="A549" s="2" t="inlineStr">
        <is>
          <t>Japanese Go Booster Box</t>
        </is>
      </c>
      <c r="B549" s="3">
        <f>IF(H549&lt;&gt;"",H549,IF(I549&lt;&gt;"",I549,IF(J549&lt;&gt;"",J549,K549)))</f>
        <v>140.28</v>
      </c>
      <c r="C549" s="3">
        <f>MEDIAN(H549:K549)</f>
        <v>140.28</v>
      </c>
      <c r="D549" s="3">
        <f>ROUND(C549*(1-Settings!$B$2),2)</f>
        <v>98.2</v>
      </c>
      <c r="E549" s="2" t="inlineStr">
        <is>
          <t>Pokemon</t>
        </is>
      </c>
      <c r="F549" s="2" t="inlineStr">
        <is>
          <t>Box</t>
        </is>
      </c>
      <c r="G549" s="2" t="inlineStr">
        <is>
          <t>Japanese Go</t>
        </is>
      </c>
      <c r="H549" s="3" t="n">
        <v>140.28</v>
      </c>
      <c r="I549" s="3" t="n"/>
      <c r="J549" s="3" t="n"/>
      <c r="K549" s="3" t="n"/>
      <c r="L549" s="2" t="inlineStr">
        <is>
          <t>PriceCharting</t>
        </is>
      </c>
      <c r="M549" s="4" t="inlineStr">
        <is>
          <t>https://www.pricecharting.com/game/pokemon-japanese-go/booster-box</t>
        </is>
      </c>
    </row>
    <row r="550">
      <c r="A550" s="2" t="inlineStr">
        <is>
          <t>Japanese Gold Silver New World Booster Box</t>
        </is>
      </c>
      <c r="B550" s="3">
        <f>IF(H550&lt;&gt;"",H550,IF(I550&lt;&gt;"",I550,IF(J550&lt;&gt;"",J550,K550)))</f>
        <v>47500.0</v>
      </c>
      <c r="C550" s="3">
        <f>MEDIAN(H550:K550)</f>
        <v>47500.0</v>
      </c>
      <c r="D550" s="3">
        <f>ROUND(C550*(1-Settings!$B$2),2)</f>
        <v>33250.0</v>
      </c>
      <c r="E550" s="2" t="inlineStr">
        <is>
          <t>Pokemon</t>
        </is>
      </c>
      <c r="F550" s="2" t="inlineStr">
        <is>
          <t>Box</t>
        </is>
      </c>
      <c r="G550" s="2" t="inlineStr">
        <is>
          <t>Japanese Gold Silver New World</t>
        </is>
      </c>
      <c r="H550" s="3" t="n">
        <v>47500</v>
      </c>
      <c r="I550" s="3" t="n"/>
      <c r="J550" s="3" t="n"/>
      <c r="K550" s="3" t="n"/>
      <c r="L550" s="2" t="inlineStr">
        <is>
          <t>PriceCharting</t>
        </is>
      </c>
      <c r="M550" s="4" t="inlineStr">
        <is>
          <t>https://www.pricecharting.com/game/pokemon-japanese-gold-silver-new-world/booster-box</t>
        </is>
      </c>
    </row>
    <row r="551">
      <c r="A551" s="2" t="inlineStr">
        <is>
          <t>Japanese Gx Battle Boost Booster Box Version 1</t>
        </is>
      </c>
      <c r="B551" s="3">
        <f>IF(H551&lt;&gt;"",H551,IF(I551&lt;&gt;"",I551,IF(J551&lt;&gt;"",J551,K551)))</f>
        <v>13543.45</v>
      </c>
      <c r="C551" s="3">
        <f>MEDIAN(H551:K551)</f>
        <v>13543.45</v>
      </c>
      <c r="D551" s="3">
        <f>ROUND(C551*(1-Settings!$B$2),2)</f>
        <v>9480.42</v>
      </c>
      <c r="E551" s="2" t="inlineStr">
        <is>
          <t>Pokemon</t>
        </is>
      </c>
      <c r="F551" s="2" t="inlineStr">
        <is>
          <t>Box</t>
        </is>
      </c>
      <c r="G551" s="2" t="inlineStr">
        <is>
          <t>Japanese Gx Battle Boost</t>
        </is>
      </c>
      <c r="H551" s="3" t="n">
        <v>13543.45</v>
      </c>
      <c r="I551" s="3" t="n"/>
      <c r="J551" s="3" t="n"/>
      <c r="K551" s="3" t="n"/>
      <c r="L551" s="2" t="inlineStr">
        <is>
          <t>PriceCharting</t>
        </is>
      </c>
      <c r="M551" s="4" t="inlineStr">
        <is>
          <t>https://www.pricecharting.com/game/pokemon-japanese-gx-battle-boost/booster-box-version-1</t>
        </is>
      </c>
    </row>
    <row r="552">
      <c r="A552" s="2" t="inlineStr">
        <is>
          <t>Japanese Gx Ultra Shiny Booster Box</t>
        </is>
      </c>
      <c r="B552" s="3">
        <f>IF(H552&lt;&gt;"",H552,IF(I552&lt;&gt;"",I552,IF(J552&lt;&gt;"",J552,K552)))</f>
        <v>905.37</v>
      </c>
      <c r="C552" s="3">
        <f>MEDIAN(H552:K552)</f>
        <v>905.37</v>
      </c>
      <c r="D552" s="3">
        <f>ROUND(C552*(1-Settings!$B$2),2)</f>
        <v>633.76</v>
      </c>
      <c r="E552" s="2" t="inlineStr">
        <is>
          <t>Pokemon</t>
        </is>
      </c>
      <c r="F552" s="2" t="inlineStr">
        <is>
          <t>Box</t>
        </is>
      </c>
      <c r="G552" s="2" t="inlineStr">
        <is>
          <t>Japanese Gx Ultra Shiny</t>
        </is>
      </c>
      <c r="H552" s="3" t="n">
        <v>905.37</v>
      </c>
      <c r="I552" s="3" t="n"/>
      <c r="J552" s="3" t="n"/>
      <c r="K552" s="3" t="n"/>
      <c r="L552" s="2" t="inlineStr">
        <is>
          <t>PriceCharting</t>
        </is>
      </c>
      <c r="M552" s="4" t="inlineStr">
        <is>
          <t>https://www.pricecharting.com/game/pokemon-japanese-gx-ultra-shiny/booster-box</t>
        </is>
      </c>
    </row>
    <row r="553">
      <c r="A553" s="2" t="inlineStr">
        <is>
          <t>Japanese Heat Wave Arena Booster Box</t>
        </is>
      </c>
      <c r="B553" s="3">
        <f>IF(H553&lt;&gt;"",H553,IF(I553&lt;&gt;"",I553,IF(J553&lt;&gt;"",J553,K553)))</f>
        <v>111.02</v>
      </c>
      <c r="C553" s="3">
        <f>MEDIAN(H553:K553)</f>
        <v>111.02</v>
      </c>
      <c r="D553" s="3">
        <f>ROUND(C553*(1-Settings!$B$2),2)</f>
        <v>77.71</v>
      </c>
      <c r="E553" s="2" t="inlineStr">
        <is>
          <t>Pokemon</t>
        </is>
      </c>
      <c r="F553" s="2" t="inlineStr">
        <is>
          <t>Box</t>
        </is>
      </c>
      <c r="G553" s="2" t="inlineStr">
        <is>
          <t>Japanese Heat Wave Arena</t>
        </is>
      </c>
      <c r="H553" s="3" t="n">
        <v>111.02</v>
      </c>
      <c r="I553" s="3" t="n"/>
      <c r="J553" s="3" t="n"/>
      <c r="K553" s="3" t="n"/>
      <c r="L553" s="2" t="inlineStr">
        <is>
          <t>PriceCharting</t>
        </is>
      </c>
      <c r="M553" s="4" t="inlineStr">
        <is>
          <t>https://www.pricecharting.com/game/pokemon-japanese-heat-wave-arena/booster-box</t>
        </is>
      </c>
    </row>
    <row r="554">
      <c r="A554" s="2" t="inlineStr">
        <is>
          <t>Japanese Incandescent Arcana Booster Box</t>
        </is>
      </c>
      <c r="B554" s="3">
        <f>IF(H554&lt;&gt;"",H554,IF(I554&lt;&gt;"",I554,IF(J554&lt;&gt;"",J554,K554)))</f>
        <v>84.94</v>
      </c>
      <c r="C554" s="3">
        <f>MEDIAN(H554:K554)</f>
        <v>84.94</v>
      </c>
      <c r="D554" s="3">
        <f>ROUND(C554*(1-Settings!$B$2),2)</f>
        <v>59.46</v>
      </c>
      <c r="E554" s="2" t="inlineStr">
        <is>
          <t>Pokemon</t>
        </is>
      </c>
      <c r="F554" s="2" t="inlineStr">
        <is>
          <t>Box</t>
        </is>
      </c>
      <c r="G554" s="2" t="inlineStr">
        <is>
          <t>Japanese Incandescent Arcana</t>
        </is>
      </c>
      <c r="H554" s="3" t="n">
        <v>84.94</v>
      </c>
      <c r="I554" s="3" t="n"/>
      <c r="J554" s="3" t="n"/>
      <c r="K554" s="3" t="n"/>
      <c r="L554" s="2" t="inlineStr">
        <is>
          <t>PriceCharting</t>
        </is>
      </c>
      <c r="M554" s="4" t="inlineStr">
        <is>
          <t>https://www.pricecharting.com/game/pokemon-japanese-incandescent-arcana/booster-box</t>
        </is>
      </c>
    </row>
    <row r="555">
      <c r="A555" s="2" t="inlineStr">
        <is>
          <t>Japanese Inferno X Booster Box</t>
        </is>
      </c>
      <c r="B555" s="3">
        <f>IF(H555&lt;&gt;"",H555,IF(I555&lt;&gt;"",I555,IF(J555&lt;&gt;"",J555,K555)))</f>
        <v>83.06</v>
      </c>
      <c r="C555" s="3">
        <f>MEDIAN(H555:K555)</f>
        <v>83.06</v>
      </c>
      <c r="D555" s="3">
        <f>ROUND(C555*(1-Settings!$B$2),2)</f>
        <v>58.14</v>
      </c>
      <c r="E555" s="2" t="inlineStr">
        <is>
          <t>Pokemon</t>
        </is>
      </c>
      <c r="F555" s="2" t="inlineStr">
        <is>
          <t>Box</t>
        </is>
      </c>
      <c r="G555" s="2" t="inlineStr">
        <is>
          <t>Japanese Inferno X</t>
        </is>
      </c>
      <c r="H555" s="3" t="n">
        <v>83.06</v>
      </c>
      <c r="I555" s="3" t="n"/>
      <c r="J555" s="3" t="n"/>
      <c r="K555" s="3" t="n"/>
      <c r="L555" s="2" t="inlineStr">
        <is>
          <t>PriceCharting</t>
        </is>
      </c>
      <c r="M555" s="4" t="inlineStr">
        <is>
          <t>https://www.pricecharting.com/game/pokemon-japanese-inferno-x/booster-box</t>
        </is>
      </c>
    </row>
    <row r="556">
      <c r="A556" s="2" t="inlineStr">
        <is>
          <t>Japanese Jungle Booster Box</t>
        </is>
      </c>
      <c r="B556" s="3">
        <f>IF(H556&lt;&gt;"",H556,IF(I556&lt;&gt;"",I556,IF(J556&lt;&gt;"",J556,K556)))</f>
        <v>120.37</v>
      </c>
      <c r="C556" s="3">
        <f>MEDIAN(H556:K556)</f>
        <v>120.37</v>
      </c>
      <c r="D556" s="3">
        <f>ROUND(C556*(1-Settings!$B$2),2)</f>
        <v>84.26</v>
      </c>
      <c r="E556" s="2" t="inlineStr">
        <is>
          <t>Pokemon</t>
        </is>
      </c>
      <c r="F556" s="2" t="inlineStr">
        <is>
          <t>Box</t>
        </is>
      </c>
      <c r="G556" s="2" t="inlineStr">
        <is>
          <t>Japanese Jungle</t>
        </is>
      </c>
      <c r="H556" s="3" t="n">
        <v>120.37</v>
      </c>
      <c r="I556" s="3" t="n"/>
      <c r="J556" s="3" t="n"/>
      <c r="K556" s="3" t="n"/>
      <c r="L556" s="2" t="inlineStr">
        <is>
          <t>PriceCharting</t>
        </is>
      </c>
      <c r="M556" s="4" t="inlineStr">
        <is>
          <t>https://www.pricecharting.com/game/pokemon-japanese-jungle/booster-box</t>
        </is>
      </c>
    </row>
    <row r="557">
      <c r="A557" s="2" t="inlineStr">
        <is>
          <t>Japanese Legendary Shine Collection Booster Box</t>
        </is>
      </c>
      <c r="B557" s="3">
        <f>IF(H557&lt;&gt;"",H557,IF(I557&lt;&gt;"",I557,IF(J557&lt;&gt;"",J557,K557)))</f>
        <v>6500.0</v>
      </c>
      <c r="C557" s="3">
        <f>MEDIAN(H557:K557)</f>
        <v>6500.0</v>
      </c>
      <c r="D557" s="3">
        <f>ROUND(C557*(1-Settings!$B$2),2)</f>
        <v>4550.0</v>
      </c>
      <c r="E557" s="2" t="inlineStr">
        <is>
          <t>Pokemon</t>
        </is>
      </c>
      <c r="F557" s="2" t="inlineStr">
        <is>
          <t>Box</t>
        </is>
      </c>
      <c r="G557" s="2" t="inlineStr">
        <is>
          <t>Japanese Legendary Shine Collection</t>
        </is>
      </c>
      <c r="H557" s="3" t="n">
        <v>6500</v>
      </c>
      <c r="I557" s="3" t="n"/>
      <c r="J557" s="3" t="n"/>
      <c r="K557" s="3" t="n"/>
      <c r="L557" s="2" t="inlineStr">
        <is>
          <t>PriceCharting</t>
        </is>
      </c>
      <c r="M557" s="4" t="inlineStr">
        <is>
          <t>https://www.pricecharting.com/game/pokemon-japanese-legendary-shine-collection/booster-box</t>
        </is>
      </c>
    </row>
    <row r="558">
      <c r="A558" s="2" t="inlineStr">
        <is>
          <t>Japanese Lost Abyss Booster Box</t>
        </is>
      </c>
      <c r="B558" s="3">
        <f>IF(H558&lt;&gt;"",H558,IF(I558&lt;&gt;"",I558,IF(J558&lt;&gt;"",J558,K558)))</f>
        <v>300.0</v>
      </c>
      <c r="C558" s="3">
        <f>MEDIAN(H558:K558)</f>
        <v>300.0</v>
      </c>
      <c r="D558" s="3">
        <f>ROUND(C558*(1-Settings!$B$2),2)</f>
        <v>210.0</v>
      </c>
      <c r="E558" s="2" t="inlineStr">
        <is>
          <t>Pokemon</t>
        </is>
      </c>
      <c r="F558" s="2" t="inlineStr">
        <is>
          <t>Box</t>
        </is>
      </c>
      <c r="G558" s="2" t="inlineStr">
        <is>
          <t>Japanese Lost Abyss</t>
        </is>
      </c>
      <c r="H558" s="3" t="n">
        <v>300</v>
      </c>
      <c r="I558" s="3" t="n"/>
      <c r="J558" s="3" t="n"/>
      <c r="K558" s="3" t="n"/>
      <c r="L558" s="2" t="inlineStr">
        <is>
          <t>PriceCharting</t>
        </is>
      </c>
      <c r="M558" s="4" t="inlineStr">
        <is>
          <t>https://www.pricecharting.com/game/pokemon-japanese-lost-abyss/booster-box</t>
        </is>
      </c>
    </row>
    <row r="559">
      <c r="A559" s="2" t="inlineStr">
        <is>
          <t>Japanese Mask Of Change Booster Box</t>
        </is>
      </c>
      <c r="B559" s="3">
        <f>IF(H559&lt;&gt;"",H559,IF(I559&lt;&gt;"",I559,IF(J559&lt;&gt;"",J559,K559)))</f>
        <v>98.0</v>
      </c>
      <c r="C559" s="3">
        <f>MEDIAN(H559:K559)</f>
        <v>98.0</v>
      </c>
      <c r="D559" s="3">
        <f>ROUND(C559*(1-Settings!$B$2),2)</f>
        <v>68.6</v>
      </c>
      <c r="E559" s="2" t="inlineStr">
        <is>
          <t>Pokemon</t>
        </is>
      </c>
      <c r="F559" s="2" t="inlineStr">
        <is>
          <t>Box</t>
        </is>
      </c>
      <c r="G559" s="2" t="inlineStr">
        <is>
          <t>Japanese Mask Of Change</t>
        </is>
      </c>
      <c r="H559" s="3" t="n">
        <v>98</v>
      </c>
      <c r="I559" s="3" t="n"/>
      <c r="J559" s="3" t="n"/>
      <c r="K559" s="3" t="n"/>
      <c r="L559" s="2" t="inlineStr">
        <is>
          <t>PriceCharting</t>
        </is>
      </c>
      <c r="M559" s="4" t="inlineStr">
        <is>
          <t>https://www.pricecharting.com/game/pokemon-japanese-mask-of-change/booster-box</t>
        </is>
      </c>
    </row>
    <row r="560">
      <c r="A560" s="2" t="inlineStr">
        <is>
          <t>Japanese Mega Brave Booster Box</t>
        </is>
      </c>
      <c r="B560" s="3">
        <f>IF(H560&lt;&gt;"",H560,IF(I560&lt;&gt;"",I560,IF(J560&lt;&gt;"",J560,K560)))</f>
        <v>95.51</v>
      </c>
      <c r="C560" s="3">
        <f>MEDIAN(H560:K560)</f>
        <v>95.51</v>
      </c>
      <c r="D560" s="3">
        <f>ROUND(C560*(1-Settings!$B$2),2)</f>
        <v>66.86</v>
      </c>
      <c r="E560" s="2" t="inlineStr">
        <is>
          <t>Pokemon</t>
        </is>
      </c>
      <c r="F560" s="2" t="inlineStr">
        <is>
          <t>Box</t>
        </is>
      </c>
      <c r="G560" s="2" t="inlineStr">
        <is>
          <t>Japanese Mega Brave</t>
        </is>
      </c>
      <c r="H560" s="3" t="n">
        <v>95.51000000000001</v>
      </c>
      <c r="I560" s="3" t="n"/>
      <c r="J560" s="3" t="n"/>
      <c r="K560" s="3" t="n"/>
      <c r="L560" s="2" t="inlineStr">
        <is>
          <t>PriceCharting</t>
        </is>
      </c>
      <c r="M560" s="4" t="inlineStr">
        <is>
          <t>https://www.pricecharting.com/game/pokemon-japanese-mega-brave/booster-box</t>
        </is>
      </c>
    </row>
    <row r="561">
      <c r="A561" s="2" t="inlineStr">
        <is>
          <t>Japanese Mega Dream Ex Booster Box</t>
        </is>
      </c>
      <c r="B561" s="3">
        <f>IF(H561&lt;&gt;"",H561,IF(I561&lt;&gt;"",I561,IF(J561&lt;&gt;"",J561,K561)))</f>
        <v>88.45</v>
      </c>
      <c r="C561" s="3">
        <f>MEDIAN(H561:K561)</f>
        <v>88.45</v>
      </c>
      <c r="D561" s="3">
        <f>ROUND(C561*(1-Settings!$B$2),2)</f>
        <v>61.92</v>
      </c>
      <c r="E561" s="2" t="inlineStr">
        <is>
          <t>Pokemon</t>
        </is>
      </c>
      <c r="F561" s="2" t="inlineStr">
        <is>
          <t>Box</t>
        </is>
      </c>
      <c r="G561" s="2" t="inlineStr">
        <is>
          <t>Japanese Mega Dream Ex</t>
        </is>
      </c>
      <c r="H561" s="3" t="n">
        <v>88.45</v>
      </c>
      <c r="I561" s="3" t="n"/>
      <c r="J561" s="3" t="n"/>
      <c r="K561" s="3" t="n"/>
      <c r="L561" s="2" t="inlineStr">
        <is>
          <t>PriceCharting</t>
        </is>
      </c>
      <c r="M561" s="4" t="inlineStr">
        <is>
          <t>https://www.pricecharting.com/game/pokemon-japanese-mega-dream-ex/booster-box</t>
        </is>
      </c>
    </row>
    <row r="562">
      <c r="A562" s="2" t="inlineStr">
        <is>
          <t>Japanese Mega Symphonia Booster Box</t>
        </is>
      </c>
      <c r="B562" s="3">
        <f>IF(H562&lt;&gt;"",H562,IF(I562&lt;&gt;"",I562,IF(J562&lt;&gt;"",J562,K562)))</f>
        <v>82.85</v>
      </c>
      <c r="C562" s="3">
        <f>MEDIAN(H562:K562)</f>
        <v>82.85</v>
      </c>
      <c r="D562" s="3">
        <f>ROUND(C562*(1-Settings!$B$2),2)</f>
        <v>58.0</v>
      </c>
      <c r="E562" s="2" t="inlineStr">
        <is>
          <t>Pokemon</t>
        </is>
      </c>
      <c r="F562" s="2" t="inlineStr">
        <is>
          <t>Box</t>
        </is>
      </c>
      <c r="G562" s="2" t="inlineStr">
        <is>
          <t>Japanese Mega Symphonia</t>
        </is>
      </c>
      <c r="H562" s="3" t="n">
        <v>82.84999999999999</v>
      </c>
      <c r="I562" s="3" t="n"/>
      <c r="J562" s="3" t="n"/>
      <c r="K562" s="3" t="n"/>
      <c r="L562" s="2" t="inlineStr">
        <is>
          <t>PriceCharting</t>
        </is>
      </c>
      <c r="M562" s="4" t="inlineStr">
        <is>
          <t>https://www.pricecharting.com/game/pokemon-japanese-mega-symphonia/booster-box</t>
        </is>
      </c>
    </row>
    <row r="563">
      <c r="A563" s="2" t="inlineStr">
        <is>
          <t>Japanese Miracle Twins Booster Box</t>
        </is>
      </c>
      <c r="B563" s="3">
        <f>IF(H563&lt;&gt;"",H563,IF(I563&lt;&gt;"",I563,IF(J563&lt;&gt;"",J563,K563)))</f>
        <v>873.89</v>
      </c>
      <c r="C563" s="3">
        <f>MEDIAN(H563:K563)</f>
        <v>873.89</v>
      </c>
      <c r="D563" s="3">
        <f>ROUND(C563*(1-Settings!$B$2),2)</f>
        <v>611.72</v>
      </c>
      <c r="E563" s="2" t="inlineStr">
        <is>
          <t>Pokemon</t>
        </is>
      </c>
      <c r="F563" s="2" t="inlineStr">
        <is>
          <t>Box</t>
        </is>
      </c>
      <c r="G563" s="2" t="inlineStr">
        <is>
          <t>Japanese Miracle Twins</t>
        </is>
      </c>
      <c r="H563" s="3" t="n">
        <v>873.89</v>
      </c>
      <c r="I563" s="3" t="n"/>
      <c r="J563" s="3" t="n"/>
      <c r="K563" s="3" t="n"/>
      <c r="L563" s="2" t="inlineStr">
        <is>
          <t>PriceCharting</t>
        </is>
      </c>
      <c r="M563" s="4" t="inlineStr">
        <is>
          <t>https://www.pricecharting.com/game/pokemon-japanese-miracle-twins/booster-box</t>
        </is>
      </c>
    </row>
    <row r="564">
      <c r="A564" s="2" t="inlineStr">
        <is>
          <t>Japanese Mystery Of The Fossils Booster Box</t>
        </is>
      </c>
      <c r="B564" s="3">
        <f>IF(H564&lt;&gt;"",H564,IF(I564&lt;&gt;"",I564,IF(J564&lt;&gt;"",J564,K564)))</f>
        <v>48000.0</v>
      </c>
      <c r="C564" s="3">
        <f>MEDIAN(H564:K564)</f>
        <v>48000.0</v>
      </c>
      <c r="D564" s="3">
        <f>ROUND(C564*(1-Settings!$B$2),2)</f>
        <v>33600.0</v>
      </c>
      <c r="E564" s="2" t="inlineStr">
        <is>
          <t>Pokemon</t>
        </is>
      </c>
      <c r="F564" s="2" t="inlineStr">
        <is>
          <t>Box</t>
        </is>
      </c>
      <c r="G564" s="2" t="inlineStr">
        <is>
          <t>Japanese Mystery Of The Fossils</t>
        </is>
      </c>
      <c r="H564" s="3" t="n">
        <v>48000</v>
      </c>
      <c r="I564" s="3" t="n"/>
      <c r="J564" s="3" t="n"/>
      <c r="K564" s="3" t="n"/>
      <c r="L564" s="2" t="inlineStr">
        <is>
          <t>PriceCharting</t>
        </is>
      </c>
      <c r="M564" s="4" t="inlineStr">
        <is>
          <t>https://www.pricecharting.com/game/pokemon-japanese-mystery-of-the-fossils/booster-box</t>
        </is>
      </c>
    </row>
    <row r="565">
      <c r="A565" s="2" t="inlineStr">
        <is>
          <t>Japanese Night Wanderer Booster Box</t>
        </is>
      </c>
      <c r="B565" s="3">
        <f>IF(H565&lt;&gt;"",H565,IF(I565&lt;&gt;"",I565,IF(J565&lt;&gt;"",J565,K565)))</f>
        <v>89.17</v>
      </c>
      <c r="C565" s="3">
        <f>MEDIAN(H565:K565)</f>
        <v>89.17</v>
      </c>
      <c r="D565" s="3">
        <f>ROUND(C565*(1-Settings!$B$2),2)</f>
        <v>62.42</v>
      </c>
      <c r="E565" s="2" t="inlineStr">
        <is>
          <t>Pokemon</t>
        </is>
      </c>
      <c r="F565" s="2" t="inlineStr">
        <is>
          <t>Box</t>
        </is>
      </c>
      <c r="G565" s="2" t="inlineStr">
        <is>
          <t>Japanese Night Wanderer</t>
        </is>
      </c>
      <c r="H565" s="3" t="n">
        <v>89.17</v>
      </c>
      <c r="I565" s="3" t="n"/>
      <c r="J565" s="3" t="n"/>
      <c r="K565" s="3" t="n"/>
      <c r="L565" s="2" t="inlineStr">
        <is>
          <t>PriceCharting</t>
        </is>
      </c>
      <c r="M565" s="4" t="inlineStr">
        <is>
          <t>https://www.pricecharting.com/game/pokemon-japanese-night-wanderer/booster-box</t>
        </is>
      </c>
    </row>
    <row r="566">
      <c r="A566" s="2" t="inlineStr">
        <is>
          <t>Japanese Nihil Zero Booster Box</t>
        </is>
      </c>
      <c r="B566" s="3">
        <f>IF(H566&lt;&gt;"",H566,IF(I566&lt;&gt;"",I566,IF(J566&lt;&gt;"",J566,K566)))</f>
        <v>74.0</v>
      </c>
      <c r="C566" s="3">
        <f>MEDIAN(H566:K566)</f>
        <v>74.0</v>
      </c>
      <c r="D566" s="3">
        <f>ROUND(C566*(1-Settings!$B$2),2)</f>
        <v>51.8</v>
      </c>
      <c r="E566" s="2" t="inlineStr">
        <is>
          <t>Pokemon</t>
        </is>
      </c>
      <c r="F566" s="2" t="inlineStr">
        <is>
          <t>Box</t>
        </is>
      </c>
      <c r="G566" s="2" t="inlineStr">
        <is>
          <t>Japanese Nihil Zero</t>
        </is>
      </c>
      <c r="H566" s="3" t="n">
        <v>74</v>
      </c>
      <c r="I566" s="3" t="n"/>
      <c r="J566" s="3" t="n"/>
      <c r="K566" s="3" t="n"/>
      <c r="L566" s="2" t="inlineStr">
        <is>
          <t>PriceCharting</t>
        </is>
      </c>
      <c r="M566" s="4" t="inlineStr">
        <is>
          <t>https://www.pricecharting.com/game/pokemon-japanese-nihil-zero/booster-box</t>
        </is>
      </c>
    </row>
    <row r="567">
      <c r="A567" s="2" t="inlineStr">
        <is>
          <t>Japanese Ninja Spinner Booster Box</t>
        </is>
      </c>
      <c r="B567" s="3">
        <f>IF(H567&lt;&gt;"",H567,IF(I567&lt;&gt;"",I567,IF(J567&lt;&gt;"",J567,K567)))</f>
        <v>75.66</v>
      </c>
      <c r="C567" s="3">
        <f>MEDIAN(H567:K567)</f>
        <v>75.66</v>
      </c>
      <c r="D567" s="3">
        <f>ROUND(C567*(1-Settings!$B$2),2)</f>
        <v>52.96</v>
      </c>
      <c r="E567" s="2" t="inlineStr">
        <is>
          <t>Pokemon</t>
        </is>
      </c>
      <c r="F567" s="2" t="inlineStr">
        <is>
          <t>Box</t>
        </is>
      </c>
      <c r="G567" s="2" t="inlineStr">
        <is>
          <t>Japanese Ninja Spinner</t>
        </is>
      </c>
      <c r="H567" s="3" t="n">
        <v>75.66</v>
      </c>
      <c r="I567" s="3" t="n"/>
      <c r="J567" s="3" t="n"/>
      <c r="K567" s="3" t="n"/>
      <c r="L567" s="2" t="inlineStr">
        <is>
          <t>PriceCharting</t>
        </is>
      </c>
      <c r="M567" s="4" t="inlineStr">
        <is>
          <t>https://www.pricecharting.com/game/pokemon-japanese-ninja-spinner/booster-box</t>
        </is>
      </c>
    </row>
    <row r="568">
      <c r="A568" s="2" t="inlineStr">
        <is>
          <t>Japanese Paradigm Trigger Booster Box</t>
        </is>
      </c>
      <c r="B568" s="3">
        <f>IF(H568&lt;&gt;"",H568,IF(I568&lt;&gt;"",I568,IF(J568&lt;&gt;"",J568,K568)))</f>
        <v>150.13</v>
      </c>
      <c r="C568" s="3">
        <f>MEDIAN(H568:K568)</f>
        <v>150.13</v>
      </c>
      <c r="D568" s="3">
        <f>ROUND(C568*(1-Settings!$B$2),2)</f>
        <v>105.09</v>
      </c>
      <c r="E568" s="2" t="inlineStr">
        <is>
          <t>Pokemon</t>
        </is>
      </c>
      <c r="F568" s="2" t="inlineStr">
        <is>
          <t>Box</t>
        </is>
      </c>
      <c r="G568" s="2" t="inlineStr">
        <is>
          <t>Japanese Paradigm Trigger</t>
        </is>
      </c>
      <c r="H568" s="3" t="n">
        <v>150.13</v>
      </c>
      <c r="I568" s="3" t="n"/>
      <c r="J568" s="3" t="n"/>
      <c r="K568" s="3" t="n"/>
      <c r="L568" s="2" t="inlineStr">
        <is>
          <t>PriceCharting</t>
        </is>
      </c>
      <c r="M568" s="4" t="inlineStr">
        <is>
          <t>https://www.pricecharting.com/game/pokemon-japanese-paradigm-trigger/booster-box</t>
        </is>
      </c>
    </row>
    <row r="569">
      <c r="A569" s="2" t="inlineStr">
        <is>
          <t>Japanese Paradise Dragona Booster Box</t>
        </is>
      </c>
      <c r="B569" s="3">
        <f>IF(H569&lt;&gt;"",H569,IF(I569&lt;&gt;"",I569,IF(J569&lt;&gt;"",J569,K569)))</f>
        <v>110.0</v>
      </c>
      <c r="C569" s="3">
        <f>MEDIAN(H569:K569)</f>
        <v>110.0</v>
      </c>
      <c r="D569" s="3">
        <f>ROUND(C569*(1-Settings!$B$2),2)</f>
        <v>77.0</v>
      </c>
      <c r="E569" s="2" t="inlineStr">
        <is>
          <t>Pokemon</t>
        </is>
      </c>
      <c r="F569" s="2" t="inlineStr">
        <is>
          <t>Box</t>
        </is>
      </c>
      <c r="G569" s="2" t="inlineStr">
        <is>
          <t>Japanese Paradise Dragona</t>
        </is>
      </c>
      <c r="H569" s="3" t="n">
        <v>110</v>
      </c>
      <c r="I569" s="3" t="n"/>
      <c r="J569" s="3" t="n"/>
      <c r="K569" s="3" t="n"/>
      <c r="L569" s="2" t="inlineStr">
        <is>
          <t>PriceCharting</t>
        </is>
      </c>
      <c r="M569" s="4" t="inlineStr">
        <is>
          <t>https://www.pricecharting.com/game/pokemon-japanese-paradise-dragona/booster-box</t>
        </is>
      </c>
    </row>
    <row r="570">
      <c r="A570" s="2" t="inlineStr">
        <is>
          <t>Japanese Pokekyun Collection Booster Box</t>
        </is>
      </c>
      <c r="B570" s="3">
        <f>IF(H570&lt;&gt;"",H570,IF(I570&lt;&gt;"",I570,IF(J570&lt;&gt;"",J570,K570)))</f>
        <v>5887.25</v>
      </c>
      <c r="C570" s="3">
        <f>MEDIAN(H570:K570)</f>
        <v>5887.25</v>
      </c>
      <c r="D570" s="3">
        <f>ROUND(C570*(1-Settings!$B$2),2)</f>
        <v>4121.08</v>
      </c>
      <c r="E570" s="2" t="inlineStr">
        <is>
          <t>Pokemon</t>
        </is>
      </c>
      <c r="F570" s="2" t="inlineStr">
        <is>
          <t>Box</t>
        </is>
      </c>
      <c r="G570" s="2" t="inlineStr">
        <is>
          <t>Japanese Pokekyun Collection</t>
        </is>
      </c>
      <c r="H570" s="3" t="n">
        <v>5887.25</v>
      </c>
      <c r="I570" s="3" t="n"/>
      <c r="J570" s="3" t="n"/>
      <c r="K570" s="3" t="n"/>
      <c r="L570" s="2" t="inlineStr">
        <is>
          <t>PriceCharting</t>
        </is>
      </c>
      <c r="M570" s="4" t="inlineStr">
        <is>
          <t>https://www.pricecharting.com/game/pokemon-japanese-pokekyun-collection/booster-box</t>
        </is>
      </c>
    </row>
    <row r="571">
      <c r="A571" s="2" t="inlineStr">
        <is>
          <t>Japanese Raging Surf Booster Box</t>
        </is>
      </c>
      <c r="B571" s="3">
        <f>IF(H571&lt;&gt;"",H571,IF(I571&lt;&gt;"",I571,IF(J571&lt;&gt;"",J571,K571)))</f>
        <v>98.06</v>
      </c>
      <c r="C571" s="3">
        <f>MEDIAN(H571:K571)</f>
        <v>98.06</v>
      </c>
      <c r="D571" s="3">
        <f>ROUND(C571*(1-Settings!$B$2),2)</f>
        <v>68.64</v>
      </c>
      <c r="E571" s="2" t="inlineStr">
        <is>
          <t>Pokemon</t>
        </is>
      </c>
      <c r="F571" s="2" t="inlineStr">
        <is>
          <t>Box</t>
        </is>
      </c>
      <c r="G571" s="2" t="inlineStr">
        <is>
          <t>Japanese Raging Surf</t>
        </is>
      </c>
      <c r="H571" s="3" t="n">
        <v>98.06</v>
      </c>
      <c r="I571" s="3" t="n"/>
      <c r="J571" s="3" t="n"/>
      <c r="K571" s="3" t="n"/>
      <c r="L571" s="2" t="inlineStr">
        <is>
          <t>PriceCharting</t>
        </is>
      </c>
      <c r="M571" s="4" t="inlineStr">
        <is>
          <t>https://www.pricecharting.com/game/pokemon-japanese-raging-surf/booster-box</t>
        </is>
      </c>
    </row>
    <row r="572">
      <c r="A572" s="2" t="inlineStr">
        <is>
          <t>Japanese Remix Bout Booster Box</t>
        </is>
      </c>
      <c r="B572" s="3">
        <f>IF(H572&lt;&gt;"",H572,IF(I572&lt;&gt;"",I572,IF(J572&lt;&gt;"",J572,K572)))</f>
        <v>650.5</v>
      </c>
      <c r="C572" s="3">
        <f>MEDIAN(H572:K572)</f>
        <v>650.5</v>
      </c>
      <c r="D572" s="3">
        <f>ROUND(C572*(1-Settings!$B$2),2)</f>
        <v>455.35</v>
      </c>
      <c r="E572" s="2" t="inlineStr">
        <is>
          <t>Pokemon</t>
        </is>
      </c>
      <c r="F572" s="2" t="inlineStr">
        <is>
          <t>Box</t>
        </is>
      </c>
      <c r="G572" s="2" t="inlineStr">
        <is>
          <t>Japanese Remix Bout</t>
        </is>
      </c>
      <c r="H572" s="3" t="n">
        <v>650.5</v>
      </c>
      <c r="I572" s="3" t="n"/>
      <c r="J572" s="3" t="n"/>
      <c r="K572" s="3" t="n"/>
      <c r="L572" s="2" t="inlineStr">
        <is>
          <t>PriceCharting</t>
        </is>
      </c>
      <c r="M572" s="4" t="inlineStr">
        <is>
          <t>https://www.pricecharting.com/game/pokemon-japanese-remix-bout/booster-box</t>
        </is>
      </c>
    </row>
    <row r="573">
      <c r="A573" s="2" t="inlineStr">
        <is>
          <t>Japanese Rocket Gang Booster Box</t>
        </is>
      </c>
      <c r="B573" s="3">
        <f>IF(H573&lt;&gt;"",H573,IF(I573&lt;&gt;"",I573,IF(J573&lt;&gt;"",J573,K573)))</f>
        <v>65625.0</v>
      </c>
      <c r="C573" s="3">
        <f>MEDIAN(H573:K573)</f>
        <v>65625.0</v>
      </c>
      <c r="D573" s="3">
        <f>ROUND(C573*(1-Settings!$B$2),2)</f>
        <v>45937.5</v>
      </c>
      <c r="E573" s="2" t="inlineStr">
        <is>
          <t>Pokemon</t>
        </is>
      </c>
      <c r="F573" s="2" t="inlineStr">
        <is>
          <t>Box</t>
        </is>
      </c>
      <c r="G573" s="2" t="inlineStr">
        <is>
          <t>Japanese Rocket Gang</t>
        </is>
      </c>
      <c r="H573" s="3" t="n">
        <v>65625</v>
      </c>
      <c r="I573" s="3" t="n"/>
      <c r="J573" s="3" t="n"/>
      <c r="K573" s="3" t="n"/>
      <c r="L573" s="2" t="inlineStr">
        <is>
          <t>PriceCharting</t>
        </is>
      </c>
      <c r="M573" s="4" t="inlineStr">
        <is>
          <t>https://www.pricecharting.com/game/pokemon-japanese-rocket-gang/booster-box</t>
        </is>
      </c>
    </row>
    <row r="574">
      <c r="A574" s="2" t="inlineStr">
        <is>
          <t>Japanese Rocket Gang Strikes Back Booster Box</t>
        </is>
      </c>
      <c r="B574" s="3">
        <f>IF(H574&lt;&gt;"",H574,IF(I574&lt;&gt;"",I574,IF(J574&lt;&gt;"",J574,K574)))</f>
        <v>193.58</v>
      </c>
      <c r="C574" s="3">
        <f>MEDIAN(H574:K574)</f>
        <v>193.58</v>
      </c>
      <c r="D574" s="3">
        <f>ROUND(C574*(1-Settings!$B$2),2)</f>
        <v>135.51</v>
      </c>
      <c r="E574" s="2" t="inlineStr">
        <is>
          <t>Pokemon</t>
        </is>
      </c>
      <c r="F574" s="2" t="inlineStr">
        <is>
          <t>Box</t>
        </is>
      </c>
      <c r="G574" s="2" t="inlineStr">
        <is>
          <t>Japanese Rocket Gang Strikes Back</t>
        </is>
      </c>
      <c r="H574" s="3" t="n">
        <v>193.58</v>
      </c>
      <c r="I574" s="3" t="n"/>
      <c r="J574" s="3" t="n"/>
      <c r="K574" s="3" t="n"/>
      <c r="L574" s="2" t="inlineStr">
        <is>
          <t>PriceCharting</t>
        </is>
      </c>
      <c r="M574" s="4" t="inlineStr">
        <is>
          <t>https://www.pricecharting.com/game/pokemon-japanese-rocket-gang-strikes-back/booster-box</t>
        </is>
      </c>
    </row>
    <row r="575">
      <c r="A575" s="2" t="inlineStr">
        <is>
          <t>Japanese Ruler Of The Black Flame Booster Box</t>
        </is>
      </c>
      <c r="B575" s="3">
        <f>IF(H575&lt;&gt;"",H575,IF(I575&lt;&gt;"",I575,IF(J575&lt;&gt;"",J575,K575)))</f>
        <v>134.65</v>
      </c>
      <c r="C575" s="3">
        <f>MEDIAN(H575:K575)</f>
        <v>134.65</v>
      </c>
      <c r="D575" s="3">
        <f>ROUND(C575*(1-Settings!$B$2),2)</f>
        <v>94.26</v>
      </c>
      <c r="E575" s="2" t="inlineStr">
        <is>
          <t>Pokemon</t>
        </is>
      </c>
      <c r="F575" s="2" t="inlineStr">
        <is>
          <t>Box</t>
        </is>
      </c>
      <c r="G575" s="2" t="inlineStr">
        <is>
          <t>Japanese Ruler Of The Black Flame</t>
        </is>
      </c>
      <c r="H575" s="3" t="n">
        <v>134.65</v>
      </c>
      <c r="I575" s="3" t="n"/>
      <c r="J575" s="3" t="n"/>
      <c r="K575" s="3" t="n"/>
      <c r="L575" s="2" t="inlineStr">
        <is>
          <t>PriceCharting</t>
        </is>
      </c>
      <c r="M575" s="4" t="inlineStr">
        <is>
          <t>https://www.pricecharting.com/game/pokemon-japanese-ruler-of-the-black-flame/booster-box</t>
        </is>
      </c>
    </row>
    <row r="576">
      <c r="A576" s="2" t="inlineStr">
        <is>
          <t>Japanese Scarlet Ex Booster Box</t>
        </is>
      </c>
      <c r="B576" s="3">
        <f>IF(H576&lt;&gt;"",H576,IF(I576&lt;&gt;"",I576,IF(J576&lt;&gt;"",J576,K576)))</f>
        <v>101.99</v>
      </c>
      <c r="C576" s="3">
        <f>MEDIAN(H576:K576)</f>
        <v>101.99</v>
      </c>
      <c r="D576" s="3">
        <f>ROUND(C576*(1-Settings!$B$2),2)</f>
        <v>71.39</v>
      </c>
      <c r="E576" s="2" t="inlineStr">
        <is>
          <t>Pokemon</t>
        </is>
      </c>
      <c r="F576" s="2" t="inlineStr">
        <is>
          <t>Box</t>
        </is>
      </c>
      <c r="G576" s="2" t="inlineStr">
        <is>
          <t>Japanese Scarlet Ex</t>
        </is>
      </c>
      <c r="H576" s="3" t="n">
        <v>101.99</v>
      </c>
      <c r="I576" s="3" t="n"/>
      <c r="J576" s="3" t="n"/>
      <c r="K576" s="3" t="n"/>
      <c r="L576" s="2" t="inlineStr">
        <is>
          <t>PriceCharting</t>
        </is>
      </c>
      <c r="M576" s="4" t="inlineStr">
        <is>
          <t>https://www.pricecharting.com/game/pokemon-japanese-scarlet-ex/booster-box</t>
        </is>
      </c>
    </row>
    <row r="577">
      <c r="A577" s="2" t="inlineStr">
        <is>
          <t>Japanese Shining Legends Booster Box</t>
        </is>
      </c>
      <c r="B577" s="3">
        <f>IF(H577&lt;&gt;"",H577,IF(I577&lt;&gt;"",I577,IF(J577&lt;&gt;"",J577,K577)))</f>
        <v>4650.0</v>
      </c>
      <c r="C577" s="3">
        <f>MEDIAN(H577:K577)</f>
        <v>4650.0</v>
      </c>
      <c r="D577" s="3">
        <f>ROUND(C577*(1-Settings!$B$2),2)</f>
        <v>3255.0</v>
      </c>
      <c r="E577" s="2" t="inlineStr">
        <is>
          <t>Pokemon</t>
        </is>
      </c>
      <c r="F577" s="2" t="inlineStr">
        <is>
          <t>Box</t>
        </is>
      </c>
      <c r="G577" s="2" t="inlineStr">
        <is>
          <t>Japanese Shining Legends</t>
        </is>
      </c>
      <c r="H577" s="3" t="n">
        <v>4650</v>
      </c>
      <c r="I577" s="3" t="n"/>
      <c r="J577" s="3" t="n"/>
      <c r="K577" s="3" t="n"/>
      <c r="L577" s="2" t="inlineStr">
        <is>
          <t>PriceCharting</t>
        </is>
      </c>
      <c r="M577" s="4" t="inlineStr">
        <is>
          <t>https://www.pricecharting.com/game/pokemon-japanese-shining-legends/booster-box</t>
        </is>
      </c>
    </row>
    <row r="578">
      <c r="A578" s="2" t="inlineStr">
        <is>
          <t>Japanese Shiny Collection Booster Box</t>
        </is>
      </c>
      <c r="B578" s="3">
        <f>IF(H578&lt;&gt;"",H578,IF(I578&lt;&gt;"",I578,IF(J578&lt;&gt;"",J578,K578)))</f>
        <v>5125.13</v>
      </c>
      <c r="C578" s="3">
        <f>MEDIAN(H578:K578)</f>
        <v>5125.13</v>
      </c>
      <c r="D578" s="3">
        <f>ROUND(C578*(1-Settings!$B$2),2)</f>
        <v>3587.59</v>
      </c>
      <c r="E578" s="2" t="inlineStr">
        <is>
          <t>Pokemon</t>
        </is>
      </c>
      <c r="F578" s="2" t="inlineStr">
        <is>
          <t>Box</t>
        </is>
      </c>
      <c r="G578" s="2" t="inlineStr">
        <is>
          <t>Japanese Shiny Collection</t>
        </is>
      </c>
      <c r="H578" s="3" t="n">
        <v>5125.13</v>
      </c>
      <c r="I578" s="3" t="n"/>
      <c r="J578" s="3" t="n"/>
      <c r="K578" s="3" t="n"/>
      <c r="L578" s="2" t="inlineStr">
        <is>
          <t>PriceCharting</t>
        </is>
      </c>
      <c r="M578" s="4" t="inlineStr">
        <is>
          <t>https://www.pricecharting.com/game/pokemon-japanese-shiny-collection/booster-box</t>
        </is>
      </c>
    </row>
    <row r="579">
      <c r="A579" s="2" t="inlineStr">
        <is>
          <t>Japanese Shiny Star V Booster Box</t>
        </is>
      </c>
      <c r="B579" s="3">
        <f>IF(H579&lt;&gt;"",H579,IF(I579&lt;&gt;"",I579,IF(J579&lt;&gt;"",J579,K579)))</f>
        <v>144.5</v>
      </c>
      <c r="C579" s="3">
        <f>MEDIAN(H579:K579)</f>
        <v>144.5</v>
      </c>
      <c r="D579" s="3">
        <f>ROUND(C579*(1-Settings!$B$2),2)</f>
        <v>101.15</v>
      </c>
      <c r="E579" s="2" t="inlineStr">
        <is>
          <t>Pokemon</t>
        </is>
      </c>
      <c r="F579" s="2" t="inlineStr">
        <is>
          <t>Box</t>
        </is>
      </c>
      <c r="G579" s="2" t="inlineStr">
        <is>
          <t>Japanese Shiny Star V</t>
        </is>
      </c>
      <c r="H579" s="3" t="n">
        <v>144.5</v>
      </c>
      <c r="I579" s="3" t="n"/>
      <c r="J579" s="3" t="n"/>
      <c r="K579" s="3" t="n"/>
      <c r="L579" s="2" t="inlineStr">
        <is>
          <t>PriceCharting</t>
        </is>
      </c>
      <c r="M579" s="4" t="inlineStr">
        <is>
          <t>https://www.pricecharting.com/game/pokemon-japanese-shiny-star-v/booster-box</t>
        </is>
      </c>
    </row>
    <row r="580">
      <c r="A580" s="2" t="inlineStr">
        <is>
          <t>Japanese Shiny Star V Booster Box [1st Edition]</t>
        </is>
      </c>
      <c r="B580" s="3">
        <f>IF(H580&lt;&gt;"",H580,IF(I580&lt;&gt;"",I580,IF(J580&lt;&gt;"",J580,K580)))</f>
        <v>149.5</v>
      </c>
      <c r="C580" s="3">
        <f>MEDIAN(H580:K580)</f>
        <v>149.5</v>
      </c>
      <c r="D580" s="3">
        <f>ROUND(C580*(1-Settings!$B$2),2)</f>
        <v>104.65</v>
      </c>
      <c r="E580" s="2" t="inlineStr">
        <is>
          <t>Pokemon</t>
        </is>
      </c>
      <c r="F580" s="2" t="inlineStr">
        <is>
          <t>Box</t>
        </is>
      </c>
      <c r="G580" s="2" t="inlineStr">
        <is>
          <t>Japanese Shiny Star V</t>
        </is>
      </c>
      <c r="H580" s="3" t="n">
        <v>149.5</v>
      </c>
      <c r="I580" s="3" t="n"/>
      <c r="J580" s="3" t="n"/>
      <c r="K580" s="3" t="n"/>
      <c r="L580" s="2" t="inlineStr">
        <is>
          <t>PriceCharting</t>
        </is>
      </c>
      <c r="M580" s="4" t="inlineStr">
        <is>
          <t>https://www.pricecharting.com/game/pokemon-japanese-shiny-star-v/booster-box-1st-edition</t>
        </is>
      </c>
    </row>
    <row r="581">
      <c r="A581" s="2" t="inlineStr">
        <is>
          <t>Japanese Shiny Treasure Ex Booster Box</t>
        </is>
      </c>
      <c r="B581" s="3">
        <f>IF(H581&lt;&gt;"",H581,IF(I581&lt;&gt;"",I581,IF(J581&lt;&gt;"",J581,K581)))</f>
        <v>111.06</v>
      </c>
      <c r="C581" s="3">
        <f>MEDIAN(H581:K581)</f>
        <v>111.06</v>
      </c>
      <c r="D581" s="3">
        <f>ROUND(C581*(1-Settings!$B$2),2)</f>
        <v>77.74</v>
      </c>
      <c r="E581" s="2" t="inlineStr">
        <is>
          <t>Pokemon</t>
        </is>
      </c>
      <c r="F581" s="2" t="inlineStr">
        <is>
          <t>Box</t>
        </is>
      </c>
      <c r="G581" s="2" t="inlineStr">
        <is>
          <t>Japanese Shiny Treasure Ex</t>
        </is>
      </c>
      <c r="H581" s="3" t="n">
        <v>111.06</v>
      </c>
      <c r="I581" s="3" t="n"/>
      <c r="J581" s="3" t="n"/>
      <c r="K581" s="3" t="n"/>
      <c r="L581" s="2" t="inlineStr">
        <is>
          <t>PriceCharting</t>
        </is>
      </c>
      <c r="M581" s="4" t="inlineStr">
        <is>
          <t>https://www.pricecharting.com/game/pokemon-japanese-shiny-treasure-ex/booster-box</t>
        </is>
      </c>
    </row>
    <row r="582">
      <c r="A582" s="2" t="inlineStr">
        <is>
          <t>Japanese Snow Hazard Booster Box</t>
        </is>
      </c>
      <c r="B582" s="3">
        <f>IF(H582&lt;&gt;"",H582,IF(I582&lt;&gt;"",I582,IF(J582&lt;&gt;"",J582,K582)))</f>
        <v>80.08</v>
      </c>
      <c r="C582" s="3">
        <f>MEDIAN(H582:K582)</f>
        <v>80.08</v>
      </c>
      <c r="D582" s="3">
        <f>ROUND(C582*(1-Settings!$B$2),2)</f>
        <v>56.06</v>
      </c>
      <c r="E582" s="2" t="inlineStr">
        <is>
          <t>Pokemon</t>
        </is>
      </c>
      <c r="F582" s="2" t="inlineStr">
        <is>
          <t>Box</t>
        </is>
      </c>
      <c r="G582" s="2" t="inlineStr">
        <is>
          <t>Japanese Snow Hazard</t>
        </is>
      </c>
      <c r="H582" s="3" t="n">
        <v>80.08</v>
      </c>
      <c r="I582" s="3" t="n"/>
      <c r="J582" s="3" t="n"/>
      <c r="K582" s="3" t="n"/>
      <c r="L582" s="2" t="inlineStr">
        <is>
          <t>PriceCharting</t>
        </is>
      </c>
      <c r="M582" s="4" t="inlineStr">
        <is>
          <t>https://www.pricecharting.com/game/pokemon-japanese-snow-hazard/booster-box</t>
        </is>
      </c>
    </row>
    <row r="583">
      <c r="A583" s="2" t="inlineStr">
        <is>
          <t>Japanese Star Birth Booster Box</t>
        </is>
      </c>
      <c r="B583" s="3">
        <f>IF(H583&lt;&gt;"",H583,IF(I583&lt;&gt;"",I583,IF(J583&lt;&gt;"",J583,K583)))</f>
        <v>135.11</v>
      </c>
      <c r="C583" s="3">
        <f>MEDIAN(H583:K583)</f>
        <v>135.11</v>
      </c>
      <c r="D583" s="3">
        <f>ROUND(C583*(1-Settings!$B$2),2)</f>
        <v>94.58</v>
      </c>
      <c r="E583" s="2" t="inlineStr">
        <is>
          <t>Pokemon</t>
        </is>
      </c>
      <c r="F583" s="2" t="inlineStr">
        <is>
          <t>Box</t>
        </is>
      </c>
      <c r="G583" s="2" t="inlineStr">
        <is>
          <t>Japanese Star Birth</t>
        </is>
      </c>
      <c r="H583" s="3" t="n">
        <v>135.11</v>
      </c>
      <c r="I583" s="3" t="n"/>
      <c r="J583" s="3" t="n"/>
      <c r="K583" s="3" t="n"/>
      <c r="L583" s="2" t="inlineStr">
        <is>
          <t>PriceCharting</t>
        </is>
      </c>
      <c r="M583" s="4" t="inlineStr">
        <is>
          <t>https://www.pricecharting.com/game/pokemon-japanese-star-birth/booster-box</t>
        </is>
      </c>
    </row>
    <row r="584">
      <c r="A584" s="2" t="inlineStr">
        <is>
          <t>Japanese Stellar Miracle Booster Box</t>
        </is>
      </c>
      <c r="B584" s="3">
        <f>IF(H584&lt;&gt;"",H584,IF(I584&lt;&gt;"",I584,IF(J584&lt;&gt;"",J584,K584)))</f>
        <v>95.37</v>
      </c>
      <c r="C584" s="3">
        <f>MEDIAN(H584:K584)</f>
        <v>95.37</v>
      </c>
      <c r="D584" s="3">
        <f>ROUND(C584*(1-Settings!$B$2),2)</f>
        <v>66.76</v>
      </c>
      <c r="E584" s="2" t="inlineStr">
        <is>
          <t>Pokemon</t>
        </is>
      </c>
      <c r="F584" s="2" t="inlineStr">
        <is>
          <t>Box</t>
        </is>
      </c>
      <c r="G584" s="2" t="inlineStr">
        <is>
          <t>Japanese Stellar Miracle</t>
        </is>
      </c>
      <c r="H584" s="3" t="n">
        <v>95.37</v>
      </c>
      <c r="I584" s="3" t="n"/>
      <c r="J584" s="3" t="n"/>
      <c r="K584" s="3" t="n"/>
      <c r="L584" s="2" t="inlineStr">
        <is>
          <t>PriceCharting</t>
        </is>
      </c>
      <c r="M584" s="4" t="inlineStr">
        <is>
          <t>https://www.pricecharting.com/game/pokemon-japanese-stellar-miracle/booster-box</t>
        </is>
      </c>
    </row>
    <row r="585">
      <c r="A585" s="2" t="inlineStr">
        <is>
          <t>Japanese Storm Emeralda Booster Box</t>
        </is>
      </c>
      <c r="B585" s="3">
        <f>IF(H585&lt;&gt;"",H585,IF(I585&lt;&gt;"",I585,IF(J585&lt;&gt;"",J585,K585)))</f>
        <v>110.35</v>
      </c>
      <c r="C585" s="3">
        <f>MEDIAN(H585:K585)</f>
        <v>110.35</v>
      </c>
      <c r="D585" s="3">
        <f>ROUND(C585*(1-Settings!$B$2),2)</f>
        <v>77.25</v>
      </c>
      <c r="E585" s="2" t="inlineStr">
        <is>
          <t>Pokemon</t>
        </is>
      </c>
      <c r="F585" s="2" t="inlineStr">
        <is>
          <t>Box</t>
        </is>
      </c>
      <c r="G585" s="2" t="inlineStr">
        <is>
          <t>Japanese Storm Emeralda</t>
        </is>
      </c>
      <c r="H585" s="3" t="n">
        <v>110.35</v>
      </c>
      <c r="I585" s="3" t="n"/>
      <c r="J585" s="3" t="n"/>
      <c r="K585" s="3" t="n"/>
      <c r="L585" s="2" t="inlineStr">
        <is>
          <t>PriceCharting</t>
        </is>
      </c>
      <c r="M585" s="4" t="inlineStr">
        <is>
          <t>https://www.pricecharting.com/game/pokemon-japanese-storm-emeralda/booster-box</t>
        </is>
      </c>
    </row>
    <row r="586">
      <c r="A586" s="2" t="inlineStr">
        <is>
          <t>Japanese Super Electric Breaker Booster Box</t>
        </is>
      </c>
      <c r="B586" s="3">
        <f>IF(H586&lt;&gt;"",H586,IF(I586&lt;&gt;"",I586,IF(J586&lt;&gt;"",J586,K586)))</f>
        <v>110.5</v>
      </c>
      <c r="C586" s="3">
        <f>MEDIAN(H586:K586)</f>
        <v>110.5</v>
      </c>
      <c r="D586" s="3">
        <f>ROUND(C586*(1-Settings!$B$2),2)</f>
        <v>77.35</v>
      </c>
      <c r="E586" s="2" t="inlineStr">
        <is>
          <t>Pokemon</t>
        </is>
      </c>
      <c r="F586" s="2" t="inlineStr">
        <is>
          <t>Box</t>
        </is>
      </c>
      <c r="G586" s="2" t="inlineStr">
        <is>
          <t>Japanese Super Electric Breaker</t>
        </is>
      </c>
      <c r="H586" s="3" t="n">
        <v>110.5</v>
      </c>
      <c r="I586" s="3" t="n"/>
      <c r="J586" s="3" t="n"/>
      <c r="K586" s="3" t="n"/>
      <c r="L586" s="2" t="inlineStr">
        <is>
          <t>PriceCharting</t>
        </is>
      </c>
      <c r="M586" s="4" t="inlineStr">
        <is>
          <t>https://www.pricecharting.com/game/pokemon-japanese-super-electric-breaker/booster-box</t>
        </is>
      </c>
    </row>
    <row r="587">
      <c r="A587" s="2" t="inlineStr">
        <is>
          <t>Japanese Tag All Stars Booster Box</t>
        </is>
      </c>
      <c r="B587" s="3">
        <f>IF(H587&lt;&gt;"",H587,IF(I587&lt;&gt;"",I587,IF(J587&lt;&gt;"",J587,K587)))</f>
        <v>1100.0</v>
      </c>
      <c r="C587" s="3">
        <f>MEDIAN(H587:K587)</f>
        <v>1100.0</v>
      </c>
      <c r="D587" s="3">
        <f>ROUND(C587*(1-Settings!$B$2),2)</f>
        <v>770.0</v>
      </c>
      <c r="E587" s="2" t="inlineStr">
        <is>
          <t>Pokemon</t>
        </is>
      </c>
      <c r="F587" s="2" t="inlineStr">
        <is>
          <t>Box</t>
        </is>
      </c>
      <c r="G587" s="2" t="inlineStr">
        <is>
          <t>Japanese Tag All Stars</t>
        </is>
      </c>
      <c r="H587" s="3" t="n">
        <v>1100</v>
      </c>
      <c r="I587" s="3" t="n"/>
      <c r="J587" s="3" t="n"/>
      <c r="K587" s="3" t="n"/>
      <c r="L587" s="2" t="inlineStr">
        <is>
          <t>PriceCharting</t>
        </is>
      </c>
      <c r="M587" s="4" t="inlineStr">
        <is>
          <t>https://www.pricecharting.com/game/pokemon-japanese-tag-all-stars/booster-box</t>
        </is>
      </c>
    </row>
    <row r="588">
      <c r="A588" s="2" t="inlineStr">
        <is>
          <t>Japanese Tag Bolt Booster Box</t>
        </is>
      </c>
      <c r="B588" s="3">
        <f>IF(H588&lt;&gt;"",H588,IF(I588&lt;&gt;"",I588,IF(J588&lt;&gt;"",J588,K588)))</f>
        <v>2437.23</v>
      </c>
      <c r="C588" s="3">
        <f>MEDIAN(H588:K588)</f>
        <v>2437.23</v>
      </c>
      <c r="D588" s="3">
        <f>ROUND(C588*(1-Settings!$B$2),2)</f>
        <v>1706.06</v>
      </c>
      <c r="E588" s="2" t="inlineStr">
        <is>
          <t>Pokemon</t>
        </is>
      </c>
      <c r="F588" s="2" t="inlineStr">
        <is>
          <t>Box</t>
        </is>
      </c>
      <c r="G588" s="2" t="inlineStr">
        <is>
          <t>Japanese Tag Bolt</t>
        </is>
      </c>
      <c r="H588" s="3" t="n">
        <v>2437.23</v>
      </c>
      <c r="I588" s="3" t="n"/>
      <c r="J588" s="3" t="n"/>
      <c r="K588" s="3" t="n"/>
      <c r="L588" s="2" t="inlineStr">
        <is>
          <t>PriceCharting</t>
        </is>
      </c>
      <c r="M588" s="4" t="inlineStr">
        <is>
          <t>https://www.pricecharting.com/game/pokemon-japanese-tag-bolt/booster-box</t>
        </is>
      </c>
    </row>
    <row r="589">
      <c r="A589" s="2" t="inlineStr">
        <is>
          <t>Japanese Terastal Festival Booster Box</t>
        </is>
      </c>
      <c r="B589" s="3">
        <f>IF(H589&lt;&gt;"",H589,IF(I589&lt;&gt;"",I589,IF(J589&lt;&gt;"",J589,K589)))</f>
        <v>96.0</v>
      </c>
      <c r="C589" s="3">
        <f>MEDIAN(H589:K589)</f>
        <v>96.0</v>
      </c>
      <c r="D589" s="3">
        <f>ROUND(C589*(1-Settings!$B$2),2)</f>
        <v>67.2</v>
      </c>
      <c r="E589" s="2" t="inlineStr">
        <is>
          <t>Pokemon</t>
        </is>
      </c>
      <c r="F589" s="2" t="inlineStr">
        <is>
          <t>Box</t>
        </is>
      </c>
      <c r="G589" s="2" t="inlineStr">
        <is>
          <t>Japanese Terastal Festival</t>
        </is>
      </c>
      <c r="H589" s="3" t="n">
        <v>96</v>
      </c>
      <c r="I589" s="3" t="n"/>
      <c r="J589" s="3" t="n"/>
      <c r="K589" s="3" t="n"/>
      <c r="L589" s="2" t="inlineStr">
        <is>
          <t>PriceCharting</t>
        </is>
      </c>
      <c r="M589" s="4" t="inlineStr">
        <is>
          <t>https://www.pricecharting.com/game/pokemon-japanese-terastal-festival/booster-box</t>
        </is>
      </c>
    </row>
    <row r="590">
      <c r="A590" s="2" t="inlineStr">
        <is>
          <t>Japanese Triplet Beat Booster Box</t>
        </is>
      </c>
      <c r="B590" s="3">
        <f>IF(H590&lt;&gt;"",H590,IF(I590&lt;&gt;"",I590,IF(J590&lt;&gt;"",J590,K590)))</f>
        <v>146.44</v>
      </c>
      <c r="C590" s="3">
        <f>MEDIAN(H590:K590)</f>
        <v>146.44</v>
      </c>
      <c r="D590" s="3">
        <f>ROUND(C590*(1-Settings!$B$2),2)</f>
        <v>102.51</v>
      </c>
      <c r="E590" s="2" t="inlineStr">
        <is>
          <t>Pokemon</t>
        </is>
      </c>
      <c r="F590" s="2" t="inlineStr">
        <is>
          <t>Box</t>
        </is>
      </c>
      <c r="G590" s="2" t="inlineStr">
        <is>
          <t>Japanese Triplet Beat</t>
        </is>
      </c>
      <c r="H590" s="3" t="n">
        <v>146.44</v>
      </c>
      <c r="I590" s="3" t="n"/>
      <c r="J590" s="3" t="n"/>
      <c r="K590" s="3" t="n"/>
      <c r="L590" s="2" t="inlineStr">
        <is>
          <t>PriceCharting</t>
        </is>
      </c>
      <c r="M590" s="4" t="inlineStr">
        <is>
          <t>https://www.pricecharting.com/game/pokemon-japanese-triplet-beat/booster-box</t>
        </is>
      </c>
    </row>
    <row r="591">
      <c r="A591" s="2" t="inlineStr">
        <is>
          <t>Japanese Violet Ex Booster Box</t>
        </is>
      </c>
      <c r="B591" s="3">
        <f>IF(H591&lt;&gt;"",H591,IF(I591&lt;&gt;"",I591,IF(J591&lt;&gt;"",J591,K591)))</f>
        <v>94.25</v>
      </c>
      <c r="C591" s="3">
        <f>MEDIAN(H591:K591)</f>
        <v>94.25</v>
      </c>
      <c r="D591" s="3">
        <f>ROUND(C591*(1-Settings!$B$2),2)</f>
        <v>65.98</v>
      </c>
      <c r="E591" s="2" t="inlineStr">
        <is>
          <t>Pokemon</t>
        </is>
      </c>
      <c r="F591" s="2" t="inlineStr">
        <is>
          <t>Box</t>
        </is>
      </c>
      <c r="G591" s="2" t="inlineStr">
        <is>
          <t>Japanese Violet Ex</t>
        </is>
      </c>
      <c r="H591" s="3" t="n">
        <v>94.25</v>
      </c>
      <c r="I591" s="3" t="n"/>
      <c r="J591" s="3" t="n"/>
      <c r="K591" s="3" t="n"/>
      <c r="L591" s="2" t="inlineStr">
        <is>
          <t>PriceCharting</t>
        </is>
      </c>
      <c r="M591" s="4" t="inlineStr">
        <is>
          <t>https://www.pricecharting.com/game/pokemon-japanese-violet-ex/booster-box</t>
        </is>
      </c>
    </row>
    <row r="592">
      <c r="A592" s="2" t="inlineStr">
        <is>
          <t>Japanese Vmax Climax Booster Box</t>
        </is>
      </c>
      <c r="B592" s="3">
        <f>IF(H592&lt;&gt;"",H592,IF(I592&lt;&gt;"",I592,IF(J592&lt;&gt;"",J592,K592)))</f>
        <v>197.18</v>
      </c>
      <c r="C592" s="3">
        <f>MEDIAN(H592:K592)</f>
        <v>197.18</v>
      </c>
      <c r="D592" s="3">
        <f>ROUND(C592*(1-Settings!$B$2),2)</f>
        <v>138.03</v>
      </c>
      <c r="E592" s="2" t="inlineStr">
        <is>
          <t>Pokemon</t>
        </is>
      </c>
      <c r="F592" s="2" t="inlineStr">
        <is>
          <t>Box</t>
        </is>
      </c>
      <c r="G592" s="2" t="inlineStr">
        <is>
          <t>Japanese Vmax Climax</t>
        </is>
      </c>
      <c r="H592" s="3" t="n">
        <v>197.18</v>
      </c>
      <c r="I592" s="3" t="n"/>
      <c r="J592" s="3" t="n"/>
      <c r="K592" s="3" t="n"/>
      <c r="L592" s="2" t="inlineStr">
        <is>
          <t>PriceCharting</t>
        </is>
      </c>
      <c r="M592" s="4" t="inlineStr">
        <is>
          <t>https://www.pricecharting.com/game/pokemon-japanese-vmax-climax/booster-box</t>
        </is>
      </c>
    </row>
    <row r="593">
      <c r="A593" s="2" t="inlineStr">
        <is>
          <t>Japanese Vstar Universe Booster Box</t>
        </is>
      </c>
      <c r="B593" s="3">
        <f>IF(H593&lt;&gt;"",H593,IF(I593&lt;&gt;"",I593,IF(J593&lt;&gt;"",J593,K593)))</f>
        <v>185.88</v>
      </c>
      <c r="C593" s="3">
        <f>MEDIAN(H593:K593)</f>
        <v>185.88</v>
      </c>
      <c r="D593" s="3">
        <f>ROUND(C593*(1-Settings!$B$2),2)</f>
        <v>130.12</v>
      </c>
      <c r="E593" s="2" t="inlineStr">
        <is>
          <t>Pokemon</t>
        </is>
      </c>
      <c r="F593" s="2" t="inlineStr">
        <is>
          <t>Box</t>
        </is>
      </c>
      <c r="G593" s="2" t="inlineStr">
        <is>
          <t>Japanese Vstar Universe</t>
        </is>
      </c>
      <c r="H593" s="3" t="n">
        <v>185.88</v>
      </c>
      <c r="I593" s="3" t="n"/>
      <c r="J593" s="3" t="n"/>
      <c r="K593" s="3" t="n"/>
      <c r="L593" s="2" t="inlineStr">
        <is>
          <t>PriceCharting</t>
        </is>
      </c>
      <c r="M593" s="4" t="inlineStr">
        <is>
          <t>https://www.pricecharting.com/game/pokemon-japanese-vstar-universe/booster-box</t>
        </is>
      </c>
    </row>
    <row r="594">
      <c r="A594" s="2" t="inlineStr">
        <is>
          <t>Japanese White Flare Booster Box</t>
        </is>
      </c>
      <c r="B594" s="3">
        <f>IF(H594&lt;&gt;"",H594,IF(I594&lt;&gt;"",I594,IF(J594&lt;&gt;"",J594,K594)))</f>
        <v>110.65</v>
      </c>
      <c r="C594" s="3">
        <f>MEDIAN(H594:K594)</f>
        <v>110.65</v>
      </c>
      <c r="D594" s="3">
        <f>ROUND(C594*(1-Settings!$B$2),2)</f>
        <v>77.46</v>
      </c>
      <c r="E594" s="2" t="inlineStr">
        <is>
          <t>Pokemon</t>
        </is>
      </c>
      <c r="F594" s="2" t="inlineStr">
        <is>
          <t>Box</t>
        </is>
      </c>
      <c r="G594" s="2" t="inlineStr">
        <is>
          <t>Japanese White Flare</t>
        </is>
      </c>
      <c r="H594" s="3" t="n">
        <v>110.65</v>
      </c>
      <c r="I594" s="3" t="n"/>
      <c r="J594" s="3" t="n"/>
      <c r="K594" s="3" t="n"/>
      <c r="L594" s="2" t="inlineStr">
        <is>
          <t>PriceCharting</t>
        </is>
      </c>
      <c r="M594" s="4" t="inlineStr">
        <is>
          <t>https://www.pricecharting.com/game/pokemon-japanese-white-flare/booster-box</t>
        </is>
      </c>
    </row>
    <row r="595">
      <c r="A595" s="2" t="inlineStr">
        <is>
          <t>Japanese White Flare Deluxe Booster Box</t>
        </is>
      </c>
      <c r="B595" s="3">
        <f>IF(H595&lt;&gt;"",H595,IF(I595&lt;&gt;"",I595,IF(J595&lt;&gt;"",J595,K595)))</f>
        <v>127.83</v>
      </c>
      <c r="C595" s="3">
        <f>MEDIAN(H595:K595)</f>
        <v>127.83</v>
      </c>
      <c r="D595" s="3">
        <f>ROUND(C595*(1-Settings!$B$2),2)</f>
        <v>89.48</v>
      </c>
      <c r="E595" s="2" t="inlineStr">
        <is>
          <t>Pokemon</t>
        </is>
      </c>
      <c r="F595" s="2" t="inlineStr">
        <is>
          <t>Box</t>
        </is>
      </c>
      <c r="G595" s="2" t="inlineStr">
        <is>
          <t>Japanese White Flare</t>
        </is>
      </c>
      <c r="H595" s="3" t="n">
        <v>127.83</v>
      </c>
      <c r="I595" s="3" t="n"/>
      <c r="J595" s="3" t="n"/>
      <c r="K595" s="3" t="n"/>
      <c r="L595" s="2" t="inlineStr">
        <is>
          <t>PriceCharting</t>
        </is>
      </c>
      <c r="M595" s="4" t="inlineStr">
        <is>
          <t>https://www.pricecharting.com/game/pokemon-japanese-white-flare/deluxe-booster-box</t>
        </is>
      </c>
    </row>
    <row r="596">
      <c r="A596" s="2" t="inlineStr">
        <is>
          <t>Japanese Wild Force Booster Box</t>
        </is>
      </c>
      <c r="B596" s="3">
        <f>IF(H596&lt;&gt;"",H596,IF(I596&lt;&gt;"",I596,IF(J596&lt;&gt;"",J596,K596)))</f>
        <v>91.5</v>
      </c>
      <c r="C596" s="3">
        <f>MEDIAN(H596:K596)</f>
        <v>91.5</v>
      </c>
      <c r="D596" s="3">
        <f>ROUND(C596*(1-Settings!$B$2),2)</f>
        <v>64.05</v>
      </c>
      <c r="E596" s="2" t="inlineStr">
        <is>
          <t>Pokemon</t>
        </is>
      </c>
      <c r="F596" s="2" t="inlineStr">
        <is>
          <t>Box</t>
        </is>
      </c>
      <c r="G596" s="2" t="inlineStr">
        <is>
          <t>Japanese Wild Force</t>
        </is>
      </c>
      <c r="H596" s="3" t="n">
        <v>91.5</v>
      </c>
      <c r="I596" s="3" t="n"/>
      <c r="J596" s="3" t="n"/>
      <c r="K596" s="3" t="n"/>
      <c r="L596" s="2" t="inlineStr">
        <is>
          <t>PriceCharting</t>
        </is>
      </c>
      <c r="M596" s="4" t="inlineStr">
        <is>
          <t>https://www.pricecharting.com/game/pokemon-japanese-wild-force/booster-box</t>
        </is>
      </c>
    </row>
    <row r="597">
      <c r="A597" s="2" t="inlineStr">
        <is>
          <t>Japanese Wind From The Sea Booster Box</t>
        </is>
      </c>
      <c r="B597" s="3">
        <f>IF(H597&lt;&gt;"",H597,IF(I597&lt;&gt;"",I597,IF(J597&lt;&gt;"",J597,K597)))</f>
        <v>39.0</v>
      </c>
      <c r="C597" s="3">
        <f>MEDIAN(H597:K597)</f>
        <v>39.0</v>
      </c>
      <c r="D597" s="3">
        <f>ROUND(C597*(1-Settings!$B$2),2)</f>
        <v>27.3</v>
      </c>
      <c r="E597" s="2" t="inlineStr">
        <is>
          <t>Pokemon</t>
        </is>
      </c>
      <c r="F597" s="2" t="inlineStr">
        <is>
          <t>Box</t>
        </is>
      </c>
      <c r="G597" s="2" t="inlineStr">
        <is>
          <t>Japanese Wind From The Sea</t>
        </is>
      </c>
      <c r="H597" s="3" t="n">
        <v>39</v>
      </c>
      <c r="I597" s="3" t="n"/>
      <c r="J597" s="3" t="n"/>
      <c r="K597" s="3" t="n"/>
      <c r="L597" s="2" t="inlineStr">
        <is>
          <t>PriceCharting</t>
        </is>
      </c>
      <c r="M597" s="4" t="inlineStr">
        <is>
          <t>https://www.pricecharting.com/game/pokemon-japanese-wind-from-the-sea/booster-box</t>
        </is>
      </c>
    </row>
    <row r="598">
      <c r="A598" s="2" t="inlineStr">
        <is>
          <t>Journey Together Booster Box [Enhanced]</t>
        </is>
      </c>
      <c r="B598" s="3">
        <f>IF(H598&lt;&gt;"",H598,IF(I598&lt;&gt;"",I598,IF(J598&lt;&gt;"",J598,K598)))</f>
        <v>234.91</v>
      </c>
      <c r="C598" s="3">
        <f>MEDIAN(H598:K598)</f>
        <v>234.91</v>
      </c>
      <c r="D598" s="3">
        <f>ROUND(C598*(1-Settings!$B$2),2)</f>
        <v>164.44</v>
      </c>
      <c r="E598" s="2" t="inlineStr">
        <is>
          <t>Pokemon</t>
        </is>
      </c>
      <c r="F598" s="2" t="inlineStr">
        <is>
          <t>Box</t>
        </is>
      </c>
      <c r="G598" s="2" t="inlineStr">
        <is>
          <t>Journey Together</t>
        </is>
      </c>
      <c r="H598" s="3" t="n">
        <v>234.91</v>
      </c>
      <c r="I598" s="3" t="n"/>
      <c r="J598" s="3" t="n"/>
      <c r="K598" s="3" t="n"/>
      <c r="L598" s="2" t="inlineStr">
        <is>
          <t>PriceCharting</t>
        </is>
      </c>
      <c r="M598" s="4" t="inlineStr">
        <is>
          <t>https://www.pricecharting.com/game/pokemon-journey-together/booster-box-enhanced</t>
        </is>
      </c>
    </row>
    <row r="599">
      <c r="A599" s="2" t="inlineStr">
        <is>
          <t>Journey Together Build &amp; Battle Display Box</t>
        </is>
      </c>
      <c r="B599" s="3">
        <f>IF(H599&lt;&gt;"",H599,IF(I599&lt;&gt;"",I599,IF(J599&lt;&gt;"",J599,K599)))</f>
        <v>243.74</v>
      </c>
      <c r="C599" s="3">
        <f>MEDIAN(H599:K599)</f>
        <v>243.74</v>
      </c>
      <c r="D599" s="3">
        <f>ROUND(C599*(1-Settings!$B$2),2)</f>
        <v>170.62</v>
      </c>
      <c r="E599" s="2" t="inlineStr">
        <is>
          <t>Pokemon</t>
        </is>
      </c>
      <c r="F599" s="2" t="inlineStr">
        <is>
          <t>Box</t>
        </is>
      </c>
      <c r="G599" s="2" t="inlineStr">
        <is>
          <t>Journey Together</t>
        </is>
      </c>
      <c r="H599" s="3" t="n">
        <v>243.74</v>
      </c>
      <c r="I599" s="3" t="n"/>
      <c r="J599" s="3" t="n"/>
      <c r="K599" s="3" t="n"/>
      <c r="L599" s="2" t="inlineStr">
        <is>
          <t>PriceCharting</t>
        </is>
      </c>
      <c r="M599" s="4" t="inlineStr">
        <is>
          <t>https://www.pricecharting.com/game/pokemon-journey-together/build-&amp;-battle-display-box</t>
        </is>
      </c>
    </row>
    <row r="600">
      <c r="A600" s="2" t="inlineStr">
        <is>
          <t>Jungle Booster Box</t>
        </is>
      </c>
      <c r="B600" s="3">
        <f>IF(H600&lt;&gt;"",H600,IF(I600&lt;&gt;"",I600,IF(J600&lt;&gt;"",J600,K600)))</f>
        <v>13584.68</v>
      </c>
      <c r="C600" s="3">
        <f>MEDIAN(H600:K600)</f>
        <v>13584.68</v>
      </c>
      <c r="D600" s="3">
        <f>ROUND(C600*(1-Settings!$B$2),2)</f>
        <v>9509.28</v>
      </c>
      <c r="E600" s="2" t="inlineStr">
        <is>
          <t>Pokemon</t>
        </is>
      </c>
      <c r="F600" s="2" t="inlineStr">
        <is>
          <t>Box</t>
        </is>
      </c>
      <c r="G600" s="2" t="inlineStr">
        <is>
          <t>Jungle</t>
        </is>
      </c>
      <c r="H600" s="3" t="n">
        <v>13584.68</v>
      </c>
      <c r="I600" s="3" t="n"/>
      <c r="J600" s="3" t="n"/>
      <c r="K600" s="3" t="n"/>
      <c r="L600" s="2" t="inlineStr">
        <is>
          <t>PriceCharting</t>
        </is>
      </c>
      <c r="M600" s="4" t="inlineStr">
        <is>
          <t>https://www.pricecharting.com/game/pokemon-jungle/booster-box</t>
        </is>
      </c>
    </row>
    <row r="601">
      <c r="A601" s="2" t="inlineStr">
        <is>
          <t>Jungle Booster Box [1st Edition]</t>
        </is>
      </c>
      <c r="B601" s="3">
        <f>IF(H601&lt;&gt;"",H601,IF(I601&lt;&gt;"",I601,IF(J601&lt;&gt;"",J601,K601)))</f>
        <v>17223.45</v>
      </c>
      <c r="C601" s="3">
        <f>MEDIAN(H601:K601)</f>
        <v>17223.45</v>
      </c>
      <c r="D601" s="3">
        <f>ROUND(C601*(1-Settings!$B$2),2)</f>
        <v>12056.42</v>
      </c>
      <c r="E601" s="2" t="inlineStr">
        <is>
          <t>Pokemon</t>
        </is>
      </c>
      <c r="F601" s="2" t="inlineStr">
        <is>
          <t>Box</t>
        </is>
      </c>
      <c r="G601" s="2" t="inlineStr">
        <is>
          <t>Jungle</t>
        </is>
      </c>
      <c r="H601" s="3" t="n">
        <v>17223.45</v>
      </c>
      <c r="I601" s="3" t="n"/>
      <c r="J601" s="3" t="n"/>
      <c r="K601" s="3" t="n"/>
      <c r="L601" s="2" t="inlineStr">
        <is>
          <t>PriceCharting</t>
        </is>
      </c>
      <c r="M601" s="4" t="inlineStr">
        <is>
          <t>https://www.pricecharting.com/game/pokemon-jungle/booster-box-1st-edition</t>
        </is>
      </c>
    </row>
    <row r="602">
      <c r="A602" s="2" t="inlineStr">
        <is>
          <t>Jungle Booster Box [Unlimited Edition]</t>
        </is>
      </c>
      <c r="B602" s="3">
        <f>IF(H602&lt;&gt;"",H602,IF(I602&lt;&gt;"",I602,IF(J602&lt;&gt;"",J602,K602)))</f>
        <v>37200.0</v>
      </c>
      <c r="C602" s="3">
        <f>MEDIAN(H602:K602)</f>
        <v>35800.0</v>
      </c>
      <c r="D602" s="3">
        <f>ROUND(C602*(1-Settings!$B$2),2)</f>
        <v>25060.0</v>
      </c>
      <c r="E602" s="2" t="inlineStr">
        <is>
          <t>Pokemon</t>
        </is>
      </c>
      <c r="F602" s="2" t="inlineStr">
        <is>
          <t>Box</t>
        </is>
      </c>
      <c r="G602" s="2" t="inlineStr">
        <is>
          <t>Jungle</t>
        </is>
      </c>
      <c r="H602" s="3" t="n"/>
      <c r="I602" s="3" t="n"/>
      <c r="J602" s="3" t="n">
        <v>37200</v>
      </c>
      <c r="K602" s="3" t="n">
        <v>34400</v>
      </c>
      <c r="L602" s="2" t="inlineStr">
        <is>
          <t>TCGplayer</t>
        </is>
      </c>
      <c r="N602" s="4" t="inlineStr">
        <is>
          <t>https://www.tcgplayer.com/product/107599</t>
        </is>
      </c>
    </row>
    <row r="603">
      <c r="A603" s="2" t="inlineStr">
        <is>
          <t>Korean Terastal Festival Ex Booster Box</t>
        </is>
      </c>
      <c r="B603" s="3">
        <f>IF(H603&lt;&gt;"",H603,IF(I603&lt;&gt;"",I603,IF(J603&lt;&gt;"",J603,K603)))</f>
        <v>85.1</v>
      </c>
      <c r="C603" s="3">
        <f>MEDIAN(H603:K603)</f>
        <v>85.1</v>
      </c>
      <c r="D603" s="3">
        <f>ROUND(C603*(1-Settings!$B$2),2)</f>
        <v>59.57</v>
      </c>
      <c r="E603" s="2" t="inlineStr">
        <is>
          <t>Pokemon</t>
        </is>
      </c>
      <c r="F603" s="2" t="inlineStr">
        <is>
          <t>Box</t>
        </is>
      </c>
      <c r="G603" s="2" t="inlineStr">
        <is>
          <t>Korean Terastal Festival Ex</t>
        </is>
      </c>
      <c r="H603" s="3" t="n">
        <v>85.09999999999999</v>
      </c>
      <c r="I603" s="3" t="n"/>
      <c r="J603" s="3" t="n"/>
      <c r="K603" s="3" t="n"/>
      <c r="L603" s="2" t="inlineStr">
        <is>
          <t>PriceCharting</t>
        </is>
      </c>
      <c r="M603" s="4" t="inlineStr">
        <is>
          <t>https://www.pricecharting.com/game/pokemon-korean-terastal-festival-ex/booster-box</t>
        </is>
      </c>
    </row>
    <row r="604">
      <c r="A604" s="2" t="inlineStr">
        <is>
          <t>Legendary Collection Booster Box</t>
        </is>
      </c>
      <c r="B604" s="3">
        <f>IF(H604&lt;&gt;"",H604,IF(I604&lt;&gt;"",I604,IF(J604&lt;&gt;"",J604,K604)))</f>
        <v>110200.0</v>
      </c>
      <c r="C604" s="3">
        <f>MEDIAN(H604:K604)</f>
        <v>110200.0</v>
      </c>
      <c r="D604" s="3">
        <f>ROUND(C604*(1-Settings!$B$2),2)</f>
        <v>77140.0</v>
      </c>
      <c r="E604" s="2" t="inlineStr">
        <is>
          <t>Pokemon</t>
        </is>
      </c>
      <c r="F604" s="2" t="inlineStr">
        <is>
          <t>Box</t>
        </is>
      </c>
      <c r="G604" s="2" t="inlineStr">
        <is>
          <t>Legendary Collection</t>
        </is>
      </c>
      <c r="H604" s="3" t="n">
        <v>110200</v>
      </c>
      <c r="I604" s="3" t="n"/>
      <c r="J604" s="3" t="n"/>
      <c r="K604" s="3" t="n"/>
      <c r="L604" s="2" t="inlineStr">
        <is>
          <t>PriceCharting + TCGplayer</t>
        </is>
      </c>
      <c r="M604" s="4" t="inlineStr">
        <is>
          <t>https://www.pricecharting.com/game/pokemon-legendary-collection/booster-box</t>
        </is>
      </c>
      <c r="N604" s="4" t="inlineStr">
        <is>
          <t>https://www.tcgplayer.com/product/691155</t>
        </is>
      </c>
    </row>
    <row r="605">
      <c r="A605" s="2" t="inlineStr">
        <is>
          <t>Legendary Treasures Booster Box</t>
        </is>
      </c>
      <c r="B605" s="3">
        <f>IF(H605&lt;&gt;"",H605,IF(I605&lt;&gt;"",I605,IF(J605&lt;&gt;"",J605,K605)))</f>
        <v>18400.0</v>
      </c>
      <c r="C605" s="3">
        <f>MEDIAN(H605:K605)</f>
        <v>18400.0</v>
      </c>
      <c r="D605" s="3">
        <f>ROUND(C605*(1-Settings!$B$2),2)</f>
        <v>12880.0</v>
      </c>
      <c r="E605" s="2" t="inlineStr">
        <is>
          <t>Pokemon</t>
        </is>
      </c>
      <c r="F605" s="2" t="inlineStr">
        <is>
          <t>Box</t>
        </is>
      </c>
      <c r="G605" s="2" t="inlineStr">
        <is>
          <t>Legendary Treasures</t>
        </is>
      </c>
      <c r="H605" s="3" t="n">
        <v>18400</v>
      </c>
      <c r="I605" s="3" t="n"/>
      <c r="J605" s="3" t="n"/>
      <c r="K605" s="3" t="n"/>
      <c r="L605" s="2" t="inlineStr">
        <is>
          <t>PriceCharting</t>
        </is>
      </c>
      <c r="M605" s="4" t="inlineStr">
        <is>
          <t>https://www.pricecharting.com/game/pokemon-legendary-treasures/booster-box</t>
        </is>
      </c>
    </row>
    <row r="606">
      <c r="A606" s="2" t="inlineStr">
        <is>
          <t>Legends Awakened Booster Box</t>
        </is>
      </c>
      <c r="B606" s="3">
        <f>IF(H606&lt;&gt;"",H606,IF(I606&lt;&gt;"",I606,IF(J606&lt;&gt;"",J606,K606)))</f>
        <v>7337.64</v>
      </c>
      <c r="C606" s="3">
        <f>MEDIAN(H606:K606)</f>
        <v>7337.64</v>
      </c>
      <c r="D606" s="3">
        <f>ROUND(C606*(1-Settings!$B$2),2)</f>
        <v>5136.35</v>
      </c>
      <c r="E606" s="2" t="inlineStr">
        <is>
          <t>Pokemon</t>
        </is>
      </c>
      <c r="F606" s="2" t="inlineStr">
        <is>
          <t>Box</t>
        </is>
      </c>
      <c r="G606" s="2" t="inlineStr">
        <is>
          <t>Legends Awakened</t>
        </is>
      </c>
      <c r="H606" s="3" t="n">
        <v>7337.64</v>
      </c>
      <c r="I606" s="3" t="n"/>
      <c r="J606" s="3" t="n"/>
      <c r="K606" s="3" t="n"/>
      <c r="L606" s="2" t="inlineStr">
        <is>
          <t>PriceCharting + TCGplayer</t>
        </is>
      </c>
      <c r="M606" s="4" t="inlineStr">
        <is>
          <t>https://www.pricecharting.com/game/pokemon-legends-awakened/booster-box</t>
        </is>
      </c>
      <c r="N606" s="4" t="inlineStr">
        <is>
          <t>https://www.tcgplayer.com/product/98536</t>
        </is>
      </c>
    </row>
    <row r="607">
      <c r="A607" s="2" t="inlineStr">
        <is>
          <t>Lost Origin Build &amp; Battle Display Box</t>
        </is>
      </c>
      <c r="B607" s="3">
        <f>IF(H607&lt;&gt;"",H607,IF(I607&lt;&gt;"",I607,IF(J607&lt;&gt;"",J607,K607)))</f>
        <v>789.4</v>
      </c>
      <c r="C607" s="3">
        <f>MEDIAN(H607:K607)</f>
        <v>789.4</v>
      </c>
      <c r="D607" s="3">
        <f>ROUND(C607*(1-Settings!$B$2),2)</f>
        <v>552.58</v>
      </c>
      <c r="E607" s="2" t="inlineStr">
        <is>
          <t>Pokemon</t>
        </is>
      </c>
      <c r="F607" s="2" t="inlineStr">
        <is>
          <t>Box</t>
        </is>
      </c>
      <c r="G607" s="2" t="inlineStr">
        <is>
          <t>Lost Origin</t>
        </is>
      </c>
      <c r="H607" s="3" t="n">
        <v>789.4</v>
      </c>
      <c r="I607" s="3" t="n"/>
      <c r="J607" s="3" t="n"/>
      <c r="K607" s="3" t="n"/>
      <c r="L607" s="2" t="inlineStr">
        <is>
          <t>PriceCharting</t>
        </is>
      </c>
      <c r="M607" s="4" t="inlineStr">
        <is>
          <t>https://www.pricecharting.com/game/pokemon-lost-origin/build-&amp;-battle-display-box</t>
        </is>
      </c>
    </row>
    <row r="608">
      <c r="A608" s="2" t="inlineStr">
        <is>
          <t>Lost Origin Half Booster Box</t>
        </is>
      </c>
      <c r="B608" s="3">
        <f>IF(H608&lt;&gt;"",H608,IF(I608&lt;&gt;"",I608,IF(J608&lt;&gt;"",J608,K608)))</f>
        <v>435.4</v>
      </c>
      <c r="C608" s="3">
        <f>MEDIAN(H608:K608)</f>
        <v>435.4</v>
      </c>
      <c r="D608" s="3">
        <f>ROUND(C608*(1-Settings!$B$2),2)</f>
        <v>304.78</v>
      </c>
      <c r="E608" s="2" t="inlineStr">
        <is>
          <t>Pokemon</t>
        </is>
      </c>
      <c r="F608" s="2" t="inlineStr">
        <is>
          <t>Box</t>
        </is>
      </c>
      <c r="G608" s="2" t="inlineStr">
        <is>
          <t>Lost Origin</t>
        </is>
      </c>
      <c r="H608" s="3" t="n">
        <v>435.4</v>
      </c>
      <c r="I608" s="3" t="n"/>
      <c r="J608" s="3" t="n"/>
      <c r="K608" s="3" t="n"/>
      <c r="L608" s="2" t="inlineStr">
        <is>
          <t>PriceCharting</t>
        </is>
      </c>
      <c r="M608" s="4" t="inlineStr">
        <is>
          <t>https://www.pricecharting.com/game/pokemon-lost-origin/half-booster-box</t>
        </is>
      </c>
    </row>
    <row r="609">
      <c r="A609" s="2" t="inlineStr">
        <is>
          <t>Mega Brave Booster Box</t>
        </is>
      </c>
      <c r="B609" s="3">
        <f>IF(H609&lt;&gt;"",H609,IF(I609&lt;&gt;"",I609,IF(J609&lt;&gt;"",J609,K609)))</f>
        <v>87.36</v>
      </c>
      <c r="C609" s="3">
        <f>MEDIAN(H609:K609)</f>
        <v>76.10499999999999</v>
      </c>
      <c r="D609" s="3">
        <f>ROUND(C609*(1-Settings!$B$2),2)</f>
        <v>53.27</v>
      </c>
      <c r="E609" s="2" t="inlineStr">
        <is>
          <t>Pokemon</t>
        </is>
      </c>
      <c r="F609" s="2" t="inlineStr">
        <is>
          <t>Box</t>
        </is>
      </c>
      <c r="G609" s="2" t="inlineStr">
        <is>
          <t>m1L: Mega Brave</t>
        </is>
      </c>
      <c r="H609" s="3" t="n"/>
      <c r="I609" s="3" t="n">
        <v>87.36</v>
      </c>
      <c r="J609" s="3" t="n"/>
      <c r="K609" s="3" t="n">
        <v>64.84999999999999</v>
      </c>
      <c r="L609" s="2" t="inlineStr">
        <is>
          <t>TCGplayer</t>
        </is>
      </c>
      <c r="N609" s="4" t="inlineStr">
        <is>
          <t>https://www.tcgplayer.com/product/647500</t>
        </is>
      </c>
    </row>
    <row r="610">
      <c r="A610" s="2" t="inlineStr">
        <is>
          <t>Mega Symphonia Booster Box</t>
        </is>
      </c>
      <c r="B610" s="3">
        <f>IF(H610&lt;&gt;"",H610,IF(I610&lt;&gt;"",I610,IF(J610&lt;&gt;"",J610,K610)))</f>
        <v>89.52</v>
      </c>
      <c r="C610" s="3">
        <f>MEDIAN(H610:K610)</f>
        <v>77.065</v>
      </c>
      <c r="D610" s="3">
        <f>ROUND(C610*(1-Settings!$B$2),2)</f>
        <v>53.95</v>
      </c>
      <c r="E610" s="2" t="inlineStr">
        <is>
          <t>Pokemon</t>
        </is>
      </c>
      <c r="F610" s="2" t="inlineStr">
        <is>
          <t>Box</t>
        </is>
      </c>
      <c r="G610" s="2" t="inlineStr">
        <is>
          <t>m1S: Mega Symphonia</t>
        </is>
      </c>
      <c r="H610" s="3" t="n"/>
      <c r="I610" s="3" t="n">
        <v>89.52</v>
      </c>
      <c r="J610" s="3" t="n"/>
      <c r="K610" s="3" t="n">
        <v>64.61</v>
      </c>
      <c r="L610" s="2" t="inlineStr">
        <is>
          <t>TCGplayer</t>
        </is>
      </c>
      <c r="N610" s="4" t="inlineStr">
        <is>
          <t>https://www.tcgplayer.com/product/647501</t>
        </is>
      </c>
    </row>
    <row r="611">
      <c r="A611" s="2" t="inlineStr">
        <is>
          <t>Inferno X Booster Box</t>
        </is>
      </c>
      <c r="B611" s="3">
        <f>IF(H611&lt;&gt;"",H611,IF(I611&lt;&gt;"",I611,IF(J611&lt;&gt;"",J611,K611)))</f>
        <v>101.15</v>
      </c>
      <c r="C611" s="3">
        <f>MEDIAN(H611:K611)</f>
        <v>90.445</v>
      </c>
      <c r="D611" s="3">
        <f>ROUND(C611*(1-Settings!$B$2),2)</f>
        <v>63.31</v>
      </c>
      <c r="E611" s="2" t="inlineStr">
        <is>
          <t>Pokemon</t>
        </is>
      </c>
      <c r="F611" s="2" t="inlineStr">
        <is>
          <t>Box</t>
        </is>
      </c>
      <c r="G611" s="2" t="inlineStr">
        <is>
          <t>M2: Inferno X</t>
        </is>
      </c>
      <c r="H611" s="3" t="n"/>
      <c r="I611" s="3" t="n">
        <v>101.15</v>
      </c>
      <c r="J611" s="3" t="n"/>
      <c r="K611" s="3" t="n">
        <v>79.73999999999999</v>
      </c>
      <c r="L611" s="2" t="inlineStr">
        <is>
          <t>TCGplayer</t>
        </is>
      </c>
      <c r="N611" s="4" t="inlineStr">
        <is>
          <t>https://www.tcgplayer.com/product/655968</t>
        </is>
      </c>
    </row>
    <row r="612">
      <c r="A612" s="2" t="inlineStr">
        <is>
          <t>Mega Dream ex Booster Box</t>
        </is>
      </c>
      <c r="B612" s="3">
        <f>IF(H612&lt;&gt;"",H612,IF(I612&lt;&gt;"",I612,IF(J612&lt;&gt;"",J612,K612)))</f>
        <v>77.0</v>
      </c>
      <c r="C612" s="3">
        <f>MEDIAN(H612:K612)</f>
        <v>77.0</v>
      </c>
      <c r="D612" s="3">
        <f>ROUND(C612*(1-Settings!$B$2),2)</f>
        <v>53.9</v>
      </c>
      <c r="E612" s="2" t="inlineStr">
        <is>
          <t>Pokemon</t>
        </is>
      </c>
      <c r="F612" s="2" t="inlineStr">
        <is>
          <t>Box</t>
        </is>
      </c>
      <c r="G612" s="2" t="inlineStr">
        <is>
          <t>M2a: High Class Pack: MEGA Dream ex</t>
        </is>
      </c>
      <c r="H612" s="3" t="n"/>
      <c r="I612" s="3" t="n">
        <v>77</v>
      </c>
      <c r="J612" s="3" t="n"/>
      <c r="K612" s="3" t="n">
        <v>77</v>
      </c>
      <c r="L612" s="2" t="inlineStr">
        <is>
          <t>TCGplayer</t>
        </is>
      </c>
      <c r="N612" s="4" t="inlineStr">
        <is>
          <t>https://www.tcgplayer.com/product/666254</t>
        </is>
      </c>
    </row>
    <row r="613">
      <c r="A613" s="2" t="inlineStr">
        <is>
          <t>Nihil Zero Booster Box</t>
        </is>
      </c>
      <c r="B613" s="3">
        <f>IF(H613&lt;&gt;"",H613,IF(I613&lt;&gt;"",I613,IF(J613&lt;&gt;"",J613,K613)))</f>
        <v>75.38</v>
      </c>
      <c r="C613" s="3">
        <f>MEDIAN(H613:K613)</f>
        <v>66.435</v>
      </c>
      <c r="D613" s="3">
        <f>ROUND(C613*(1-Settings!$B$2),2)</f>
        <v>46.5</v>
      </c>
      <c r="E613" s="2" t="inlineStr">
        <is>
          <t>Pokemon</t>
        </is>
      </c>
      <c r="F613" s="2" t="inlineStr">
        <is>
          <t>Box</t>
        </is>
      </c>
      <c r="G613" s="2" t="inlineStr">
        <is>
          <t>M3: Nihil Zero</t>
        </is>
      </c>
      <c r="H613" s="3" t="n"/>
      <c r="I613" s="3" t="n">
        <v>75.38</v>
      </c>
      <c r="J613" s="3" t="n"/>
      <c r="K613" s="3" t="n">
        <v>57.49</v>
      </c>
      <c r="L613" s="2" t="inlineStr">
        <is>
          <t>TCGplayer</t>
        </is>
      </c>
      <c r="N613" s="4" t="inlineStr">
        <is>
          <t>https://www.tcgplayer.com/product/674449</t>
        </is>
      </c>
    </row>
    <row r="614">
      <c r="A614" s="2" t="inlineStr">
        <is>
          <t>Ninja Spinner Booster Box</t>
        </is>
      </c>
      <c r="B614" s="3">
        <f>IF(H614&lt;&gt;"",H614,IF(I614&lt;&gt;"",I614,IF(J614&lt;&gt;"",J614,K614)))</f>
        <v>76.62</v>
      </c>
      <c r="C614" s="3">
        <f>MEDIAN(H614:K614)</f>
        <v>55.27</v>
      </c>
      <c r="D614" s="3">
        <f>ROUND(C614*(1-Settings!$B$2),2)</f>
        <v>38.69</v>
      </c>
      <c r="E614" s="2" t="inlineStr">
        <is>
          <t>Pokemon</t>
        </is>
      </c>
      <c r="F614" s="2" t="inlineStr">
        <is>
          <t>Box</t>
        </is>
      </c>
      <c r="G614" s="2" t="inlineStr">
        <is>
          <t>M4: Ninja Spinner</t>
        </is>
      </c>
      <c r="H614" s="3" t="n"/>
      <c r="I614" s="3" t="n">
        <v>76.62</v>
      </c>
      <c r="J614" s="3" t="n"/>
      <c r="K614" s="3" t="n">
        <v>33.92</v>
      </c>
      <c r="L614" s="2" t="inlineStr">
        <is>
          <t>TCGplayer</t>
        </is>
      </c>
      <c r="N614" s="4" t="inlineStr">
        <is>
          <t>https://www.tcgplayer.com/product/683774</t>
        </is>
      </c>
    </row>
    <row r="615">
      <c r="A615" s="2" t="inlineStr">
        <is>
          <t>Abyss Eye Booster Box</t>
        </is>
      </c>
      <c r="B615" s="3">
        <f>IF(H615&lt;&gt;"",H615,IF(I615&lt;&gt;"",I615,IF(J615&lt;&gt;"",J615,K615)))</f>
        <v>75.09</v>
      </c>
      <c r="C615" s="3">
        <f>MEDIAN(H615:K615)</f>
        <v>69.89</v>
      </c>
      <c r="D615" s="3">
        <f>ROUND(C615*(1-Settings!$B$2),2)</f>
        <v>48.92</v>
      </c>
      <c r="E615" s="2" t="inlineStr">
        <is>
          <t>Pokemon</t>
        </is>
      </c>
      <c r="F615" s="2" t="inlineStr">
        <is>
          <t>Box</t>
        </is>
      </c>
      <c r="G615" s="2" t="inlineStr">
        <is>
          <t>M5: Abyss Eye</t>
        </is>
      </c>
      <c r="H615" s="3" t="n"/>
      <c r="I615" s="3" t="n">
        <v>75.09</v>
      </c>
      <c r="J615" s="3" t="n"/>
      <c r="K615" s="3" t="n">
        <v>64.69</v>
      </c>
      <c r="L615" s="2" t="inlineStr">
        <is>
          <t>TCGplayer</t>
        </is>
      </c>
      <c r="N615" s="4" t="inlineStr">
        <is>
          <t>https://www.tcgplayer.com/product/695112</t>
        </is>
      </c>
    </row>
    <row r="616">
      <c r="A616" s="2" t="inlineStr">
        <is>
          <t>Storm Emeralda Booster Box</t>
        </is>
      </c>
      <c r="B616" s="3">
        <f>IF(H616&lt;&gt;"",H616,IF(I616&lt;&gt;"",I616,IF(J616&lt;&gt;"",J616,K616)))</f>
        <v>100.71</v>
      </c>
      <c r="C616" s="3">
        <f>MEDIAN(H616:K616)</f>
        <v>100.71</v>
      </c>
      <c r="D616" s="3">
        <f>ROUND(C616*(1-Settings!$B$2),2)</f>
        <v>70.5</v>
      </c>
      <c r="E616" s="2" t="inlineStr">
        <is>
          <t>Pokemon</t>
        </is>
      </c>
      <c r="F616" s="2" t="inlineStr">
        <is>
          <t>Box</t>
        </is>
      </c>
      <c r="G616" s="2" t="inlineStr">
        <is>
          <t>M6: Storm Emeralda</t>
        </is>
      </c>
      <c r="H616" s="3" t="n"/>
      <c r="I616" s="3" t="n">
        <v>100.71</v>
      </c>
      <c r="J616" s="3" t="n"/>
      <c r="K616" s="3" t="n"/>
      <c r="L616" s="2" t="inlineStr">
        <is>
          <t>TCGplayer</t>
        </is>
      </c>
      <c r="N616" s="4" t="inlineStr">
        <is>
          <t>https://www.tcgplayer.com/product/709110</t>
        </is>
      </c>
    </row>
    <row r="617">
      <c r="A617" s="2" t="inlineStr">
        <is>
          <t>MEGA Expansion 30th Celebration Booster Box</t>
        </is>
      </c>
      <c r="B617" s="3">
        <f>IF(H617&lt;&gt;"",H617,IF(I617&lt;&gt;"",I617,IF(J617&lt;&gt;"",J617,K617)))</f>
        <v>206.61</v>
      </c>
      <c r="C617" s="3">
        <f>MEDIAN(H617:K617)</f>
        <v>206.61</v>
      </c>
      <c r="D617" s="3">
        <f>ROUND(C617*(1-Settings!$B$2),2)</f>
        <v>144.63</v>
      </c>
      <c r="E617" s="2" t="inlineStr">
        <is>
          <t>Pokemon</t>
        </is>
      </c>
      <c r="F617" s="2" t="inlineStr">
        <is>
          <t>Box</t>
        </is>
      </c>
      <c r="G617" s="2" t="inlineStr">
        <is>
          <t>M6a: MEGA Expansion 30th Celebration</t>
        </is>
      </c>
      <c r="H617" s="3" t="n"/>
      <c r="I617" s="3" t="n">
        <v>206.61</v>
      </c>
      <c r="J617" s="3" t="n"/>
      <c r="K617" s="3" t="n"/>
      <c r="L617" s="2" t="inlineStr">
        <is>
          <t>TCGplayer</t>
        </is>
      </c>
      <c r="N617" s="4" t="inlineStr">
        <is>
          <t>https://www.tcgplayer.com/product/718620</t>
        </is>
      </c>
    </row>
    <row r="618">
      <c r="A618" s="2" t="inlineStr">
        <is>
          <t>Majestic Dawn Booster Box</t>
        </is>
      </c>
      <c r="B618" s="3">
        <f>IF(H618&lt;&gt;"",H618,IF(I618&lt;&gt;"",I618,IF(J618&lt;&gt;"",J618,K618)))</f>
        <v>5900.0</v>
      </c>
      <c r="C618" s="3">
        <f>MEDIAN(H618:K618)</f>
        <v>5900.0</v>
      </c>
      <c r="D618" s="3">
        <f>ROUND(C618*(1-Settings!$B$2),2)</f>
        <v>4130.0</v>
      </c>
      <c r="E618" s="2" t="inlineStr">
        <is>
          <t>Pokemon</t>
        </is>
      </c>
      <c r="F618" s="2" t="inlineStr">
        <is>
          <t>Box</t>
        </is>
      </c>
      <c r="G618" s="2" t="inlineStr">
        <is>
          <t>Majestic Dawn</t>
        </is>
      </c>
      <c r="H618" s="3" t="n">
        <v>5900</v>
      </c>
      <c r="I618" s="3" t="n"/>
      <c r="J618" s="3" t="n"/>
      <c r="K618" s="3" t="n"/>
      <c r="L618" s="2" t="inlineStr">
        <is>
          <t>PriceCharting + TCGplayer</t>
        </is>
      </c>
      <c r="M618" s="4" t="inlineStr">
        <is>
          <t>https://www.pricecharting.com/game/pokemon-majestic-dawn/booster-box</t>
        </is>
      </c>
      <c r="N618" s="4" t="inlineStr">
        <is>
          <t>https://www.tcgplayer.com/product/98584</t>
        </is>
      </c>
    </row>
    <row r="619">
      <c r="A619" s="2" t="inlineStr">
        <is>
          <t>Mega Evolution Booster Box</t>
        </is>
      </c>
      <c r="B619" s="3">
        <f>IF(H619&lt;&gt;"",H619,IF(I619&lt;&gt;"",I619,IF(J619&lt;&gt;"",J619,K619)))</f>
        <v>308.32</v>
      </c>
      <c r="C619" s="3">
        <f>MEDIAN(H619:K619)</f>
        <v>308.32</v>
      </c>
      <c r="D619" s="3">
        <f>ROUND(C619*(1-Settings!$B$2),2)</f>
        <v>215.82</v>
      </c>
      <c r="E619" s="2" t="inlineStr">
        <is>
          <t>Pokemon</t>
        </is>
      </c>
      <c r="F619" s="2" t="inlineStr">
        <is>
          <t>Box</t>
        </is>
      </c>
      <c r="G619" s="2" t="inlineStr">
        <is>
          <t>ME01: Mega Evolution</t>
        </is>
      </c>
      <c r="H619" s="3" t="n"/>
      <c r="I619" s="3" t="n">
        <v>308.32</v>
      </c>
      <c r="J619" s="3" t="n">
        <v>329.03</v>
      </c>
      <c r="K619" s="3" t="n">
        <v>63</v>
      </c>
      <c r="L619" s="2" t="inlineStr">
        <is>
          <t>TCGplayer</t>
        </is>
      </c>
      <c r="N619" s="4" t="inlineStr">
        <is>
          <t>https://www.tcgplayer.com/product/644298</t>
        </is>
      </c>
    </row>
    <row r="620">
      <c r="A620" s="2" t="inlineStr">
        <is>
          <t>Mega Evolution Enhanced Booster Box</t>
        </is>
      </c>
      <c r="B620" s="3">
        <f>IF(H620&lt;&gt;"",H620,IF(I620&lt;&gt;"",I620,IF(J620&lt;&gt;"",J620,K620)))</f>
        <v>286.41</v>
      </c>
      <c r="C620" s="3">
        <f>MEDIAN(H620:K620)</f>
        <v>286.41</v>
      </c>
      <c r="D620" s="3">
        <f>ROUND(C620*(1-Settings!$B$2),2)</f>
        <v>200.49</v>
      </c>
      <c r="E620" s="2" t="inlineStr">
        <is>
          <t>Pokemon</t>
        </is>
      </c>
      <c r="F620" s="2" t="inlineStr">
        <is>
          <t>Box</t>
        </is>
      </c>
      <c r="G620" s="2" t="inlineStr">
        <is>
          <t>ME01: Mega Evolution</t>
        </is>
      </c>
      <c r="H620" s="3" t="n"/>
      <c r="I620" s="3" t="n">
        <v>286.41</v>
      </c>
      <c r="J620" s="3" t="n">
        <v>330</v>
      </c>
      <c r="K620" s="3" t="n">
        <v>279</v>
      </c>
      <c r="L620" s="2" t="inlineStr">
        <is>
          <t>TCGplayer</t>
        </is>
      </c>
      <c r="N620" s="4" t="inlineStr">
        <is>
          <t>https://www.tcgplayer.com/product/644300</t>
        </is>
      </c>
    </row>
    <row r="621">
      <c r="A621" s="2" t="inlineStr">
        <is>
          <t>Mega Evolution Half Booster Box</t>
        </is>
      </c>
      <c r="B621" s="3">
        <f>IF(H621&lt;&gt;"",H621,IF(I621&lt;&gt;"",I621,IF(J621&lt;&gt;"",J621,K621)))</f>
        <v>312.5</v>
      </c>
      <c r="C621" s="3">
        <f>MEDIAN(H621:K621)</f>
        <v>312.5</v>
      </c>
      <c r="D621" s="3">
        <f>ROUND(C621*(1-Settings!$B$2),2)</f>
        <v>218.75</v>
      </c>
      <c r="E621" s="2" t="inlineStr">
        <is>
          <t>Pokemon</t>
        </is>
      </c>
      <c r="F621" s="2" t="inlineStr">
        <is>
          <t>Box</t>
        </is>
      </c>
      <c r="G621" s="2" t="inlineStr">
        <is>
          <t>ME01: Mega Evolution</t>
        </is>
      </c>
      <c r="H621" s="3" t="n"/>
      <c r="I621" s="3" t="n">
        <v>312.5</v>
      </c>
      <c r="J621" s="3" t="n"/>
      <c r="K621" s="3" t="n"/>
      <c r="L621" s="2" t="inlineStr">
        <is>
          <t>TCGplayer</t>
        </is>
      </c>
      <c r="N621" s="4" t="inlineStr">
        <is>
          <t>https://www.tcgplayer.com/product/644351</t>
        </is>
      </c>
    </row>
    <row r="622">
      <c r="A622" s="2" t="inlineStr">
        <is>
          <t>Phantasmal Flames Booster Box</t>
        </is>
      </c>
      <c r="B622" s="3">
        <f>IF(H622&lt;&gt;"",H622,IF(I622&lt;&gt;"",I622,IF(J622&lt;&gt;"",J622,K622)))</f>
        <v>391.23</v>
      </c>
      <c r="C622" s="3">
        <f>MEDIAN(H622:K622)</f>
        <v>391.23</v>
      </c>
      <c r="D622" s="3">
        <f>ROUND(C622*(1-Settings!$B$2),2)</f>
        <v>273.86</v>
      </c>
      <c r="E622" s="2" t="inlineStr">
        <is>
          <t>Pokemon</t>
        </is>
      </c>
      <c r="F622" s="2" t="inlineStr">
        <is>
          <t>Box</t>
        </is>
      </c>
      <c r="G622" s="2" t="inlineStr">
        <is>
          <t>ME02: Phantasmal Flames</t>
        </is>
      </c>
      <c r="H622" s="3" t="n"/>
      <c r="I622" s="3" t="n">
        <v>391.23</v>
      </c>
      <c r="J622" s="3" t="n">
        <v>453.87</v>
      </c>
      <c r="K622" s="3" t="n">
        <v>78.88</v>
      </c>
      <c r="L622" s="2" t="inlineStr">
        <is>
          <t>TCGplayer</t>
        </is>
      </c>
      <c r="N622" s="4" t="inlineStr">
        <is>
          <t>https://www.tcgplayer.com/product/654137</t>
        </is>
      </c>
    </row>
    <row r="623">
      <c r="A623" s="2" t="inlineStr">
        <is>
          <t>Perfect Order Booster Box</t>
        </is>
      </c>
      <c r="B623" s="3">
        <f>IF(H623&lt;&gt;"",H623,IF(I623&lt;&gt;"",I623,IF(J623&lt;&gt;"",J623,K623)))</f>
        <v>174.87</v>
      </c>
      <c r="C623" s="3">
        <f>MEDIAN(H623:K623)</f>
        <v>174.87</v>
      </c>
      <c r="D623" s="3">
        <f>ROUND(C623*(1-Settings!$B$2),2)</f>
        <v>122.41</v>
      </c>
      <c r="E623" s="2" t="inlineStr">
        <is>
          <t>Pokemon</t>
        </is>
      </c>
      <c r="F623" s="2" t="inlineStr">
        <is>
          <t>Box</t>
        </is>
      </c>
      <c r="G623" s="2" t="inlineStr">
        <is>
          <t>ME03: Perfect Order</t>
        </is>
      </c>
      <c r="H623" s="3" t="n"/>
      <c r="I623" s="3" t="n">
        <v>174.87</v>
      </c>
      <c r="J623" s="3" t="n">
        <v>225</v>
      </c>
      <c r="K623" s="3" t="n">
        <v>49.99</v>
      </c>
      <c r="L623" s="2" t="inlineStr">
        <is>
          <t>TCGplayer</t>
        </is>
      </c>
      <c r="N623" s="4" t="inlineStr">
        <is>
          <t>https://www.tcgplayer.com/product/672394</t>
        </is>
      </c>
    </row>
    <row r="624">
      <c r="A624" s="2" t="inlineStr">
        <is>
          <t>Chaos Rising Booster Box</t>
        </is>
      </c>
      <c r="B624" s="3">
        <f>IF(H624&lt;&gt;"",H624,IF(I624&lt;&gt;"",I624,IF(J624&lt;&gt;"",J624,K624)))</f>
        <v>190.89</v>
      </c>
      <c r="C624" s="3">
        <f>MEDIAN(H624:K624)</f>
        <v>190.89</v>
      </c>
      <c r="D624" s="3">
        <f>ROUND(C624*(1-Settings!$B$2),2)</f>
        <v>133.62</v>
      </c>
      <c r="E624" s="2" t="inlineStr">
        <is>
          <t>Pokemon</t>
        </is>
      </c>
      <c r="F624" s="2" t="inlineStr">
        <is>
          <t>Box</t>
        </is>
      </c>
      <c r="G624" s="2" t="inlineStr">
        <is>
          <t>ME04: Chaos Rising</t>
        </is>
      </c>
      <c r="H624" s="3" t="n"/>
      <c r="I624" s="3" t="n">
        <v>190.89</v>
      </c>
      <c r="J624" s="3" t="n">
        <v>231.29</v>
      </c>
      <c r="K624" s="3" t="n">
        <v>37.27</v>
      </c>
      <c r="L624" s="2" t="inlineStr">
        <is>
          <t>TCGplayer</t>
        </is>
      </c>
      <c r="N624" s="4" t="inlineStr">
        <is>
          <t>https://www.tcgplayer.com/product/684444</t>
        </is>
      </c>
    </row>
    <row r="625">
      <c r="A625" s="2" t="inlineStr">
        <is>
          <t>Pitch Black Booster Box</t>
        </is>
      </c>
      <c r="B625" s="3">
        <f>IF(H625&lt;&gt;"",H625,IF(I625&lt;&gt;"",I625,IF(J625&lt;&gt;"",J625,K625)))</f>
        <v>192.49</v>
      </c>
      <c r="C625" s="3">
        <f>MEDIAN(H625:K625)</f>
        <v>192.49</v>
      </c>
      <c r="D625" s="3">
        <f>ROUND(C625*(1-Settings!$B$2),2)</f>
        <v>134.74</v>
      </c>
      <c r="E625" s="2" t="inlineStr">
        <is>
          <t>Pokemon</t>
        </is>
      </c>
      <c r="F625" s="2" t="inlineStr">
        <is>
          <t>Box</t>
        </is>
      </c>
      <c r="G625" s="2" t="inlineStr">
        <is>
          <t>ME05: Pitch Black</t>
        </is>
      </c>
      <c r="H625" s="3" t="n"/>
      <c r="I625" s="3" t="n">
        <v>192.49</v>
      </c>
      <c r="J625" s="3" t="n">
        <v>221.99</v>
      </c>
      <c r="K625" s="3" t="n">
        <v>174.99</v>
      </c>
      <c r="L625" s="2" t="inlineStr">
        <is>
          <t>TCGplayer</t>
        </is>
      </c>
      <c r="N625" s="4" t="inlineStr">
        <is>
          <t>https://www.tcgplayer.com/product/692939</t>
        </is>
      </c>
    </row>
    <row r="626">
      <c r="A626" s="2" t="inlineStr">
        <is>
          <t>Delta Reign Booster Box</t>
        </is>
      </c>
      <c r="B626" s="3">
        <f>IF(H626&lt;&gt;"",H626,IF(I626&lt;&gt;"",I626,IF(J626&lt;&gt;"",J626,K626)))</f>
        <v>262.59</v>
      </c>
      <c r="C626" s="3">
        <f>MEDIAN(H626:K626)</f>
        <v>262.59</v>
      </c>
      <c r="D626" s="3">
        <f>ROUND(C626*(1-Settings!$B$2),2)</f>
        <v>183.81</v>
      </c>
      <c r="E626" s="2" t="inlineStr">
        <is>
          <t>Pokemon</t>
        </is>
      </c>
      <c r="F626" s="2" t="inlineStr">
        <is>
          <t>Box</t>
        </is>
      </c>
      <c r="G626" s="2" t="inlineStr">
        <is>
          <t>ME06: Delta Reign</t>
        </is>
      </c>
      <c r="H626" s="3" t="n"/>
      <c r="I626" s="3" t="n">
        <v>262.59</v>
      </c>
      <c r="J626" s="3" t="n">
        <v>263.95</v>
      </c>
      <c r="K626" s="3" t="n">
        <v>251.74</v>
      </c>
      <c r="L626" s="2" t="inlineStr">
        <is>
          <t>TCGplayer</t>
        </is>
      </c>
      <c r="N626" s="4" t="inlineStr">
        <is>
          <t>https://www.tcgplayer.com/product/712094</t>
        </is>
      </c>
    </row>
    <row r="627">
      <c r="A627" s="2" t="inlineStr">
        <is>
          <t>Mega Evolution Booster Box</t>
        </is>
      </c>
      <c r="B627" s="3">
        <f>IF(H627&lt;&gt;"",H627,IF(I627&lt;&gt;"",I627,IF(J627&lt;&gt;"",J627,K627)))</f>
        <v>280.81</v>
      </c>
      <c r="C627" s="3">
        <f>MEDIAN(H627:K627)</f>
        <v>280.81</v>
      </c>
      <c r="D627" s="3">
        <f>ROUND(C627*(1-Settings!$B$2),2)</f>
        <v>196.57</v>
      </c>
      <c r="E627" s="2" t="inlineStr">
        <is>
          <t>Pokemon</t>
        </is>
      </c>
      <c r="F627" s="2" t="inlineStr">
        <is>
          <t>Box</t>
        </is>
      </c>
      <c r="G627" s="2" t="inlineStr">
        <is>
          <t>Mega Evolution</t>
        </is>
      </c>
      <c r="H627" s="3" t="n">
        <v>280.81</v>
      </c>
      <c r="I627" s="3" t="n"/>
      <c r="J627" s="3" t="n"/>
      <c r="K627" s="3" t="n"/>
      <c r="L627" s="2" t="inlineStr">
        <is>
          <t>PriceCharting</t>
        </is>
      </c>
      <c r="M627" s="4" t="inlineStr">
        <is>
          <t>https://www.pricecharting.com/game/pokemon-mega-evolution/booster-box</t>
        </is>
      </c>
    </row>
    <row r="628">
      <c r="A628" s="2" t="inlineStr">
        <is>
          <t>Mega Evolution Enhanced Booster Box</t>
        </is>
      </c>
      <c r="B628" s="3">
        <f>IF(H628&lt;&gt;"",H628,IF(I628&lt;&gt;"",I628,IF(J628&lt;&gt;"",J628,K628)))</f>
        <v>289.99</v>
      </c>
      <c r="C628" s="3">
        <f>MEDIAN(H628:K628)</f>
        <v>289.99</v>
      </c>
      <c r="D628" s="3">
        <f>ROUND(C628*(1-Settings!$B$2),2)</f>
        <v>202.99</v>
      </c>
      <c r="E628" s="2" t="inlineStr">
        <is>
          <t>Pokemon</t>
        </is>
      </c>
      <c r="F628" s="2" t="inlineStr">
        <is>
          <t>Box</t>
        </is>
      </c>
      <c r="G628" s="2" t="inlineStr">
        <is>
          <t>Mega Evolution</t>
        </is>
      </c>
      <c r="H628" s="3" t="n">
        <v>289.99</v>
      </c>
      <c r="I628" s="3" t="n"/>
      <c r="J628" s="3" t="n"/>
      <c r="K628" s="3" t="n"/>
      <c r="L628" s="2" t="inlineStr">
        <is>
          <t>PriceCharting</t>
        </is>
      </c>
      <c r="M628" s="4" t="inlineStr">
        <is>
          <t>https://www.pricecharting.com/game/pokemon-mega-evolution/enhanced-booster-box</t>
        </is>
      </c>
    </row>
    <row r="629">
      <c r="A629" s="2" t="inlineStr">
        <is>
          <t>Mega Evolution Half Booster Box</t>
        </is>
      </c>
      <c r="B629" s="3">
        <f>IF(H629&lt;&gt;"",H629,IF(I629&lt;&gt;"",I629,IF(J629&lt;&gt;"",J629,K629)))</f>
        <v>165.39</v>
      </c>
      <c r="C629" s="3">
        <f>MEDIAN(H629:K629)</f>
        <v>165.39</v>
      </c>
      <c r="D629" s="3">
        <f>ROUND(C629*(1-Settings!$B$2),2)</f>
        <v>115.77</v>
      </c>
      <c r="E629" s="2" t="inlineStr">
        <is>
          <t>Pokemon</t>
        </is>
      </c>
      <c r="F629" s="2" t="inlineStr">
        <is>
          <t>Box</t>
        </is>
      </c>
      <c r="G629" s="2" t="inlineStr">
        <is>
          <t>Mega Evolution</t>
        </is>
      </c>
      <c r="H629" s="3" t="n">
        <v>165.39</v>
      </c>
      <c r="I629" s="3" t="n"/>
      <c r="J629" s="3" t="n"/>
      <c r="K629" s="3" t="n"/>
      <c r="L629" s="2" t="inlineStr">
        <is>
          <t>PriceCharting</t>
        </is>
      </c>
      <c r="M629" s="4" t="inlineStr">
        <is>
          <t>https://www.pricecharting.com/game/pokemon-mega-evolution/half-booster-box</t>
        </is>
      </c>
    </row>
    <row r="630">
      <c r="A630" s="2" t="inlineStr">
        <is>
          <t>Mysterious Treasures Booster Box</t>
        </is>
      </c>
      <c r="B630" s="3">
        <f>IF(H630&lt;&gt;"",H630,IF(I630&lt;&gt;"",I630,IF(J630&lt;&gt;"",J630,K630)))</f>
        <v>15400.0</v>
      </c>
      <c r="C630" s="3">
        <f>MEDIAN(H630:K630)</f>
        <v>15400.0</v>
      </c>
      <c r="D630" s="3">
        <f>ROUND(C630*(1-Settings!$B$2),2)</f>
        <v>10780.0</v>
      </c>
      <c r="E630" s="2" t="inlineStr">
        <is>
          <t>Pokemon</t>
        </is>
      </c>
      <c r="F630" s="2" t="inlineStr">
        <is>
          <t>Box</t>
        </is>
      </c>
      <c r="G630" s="2" t="inlineStr">
        <is>
          <t>Mysterious Treasures</t>
        </is>
      </c>
      <c r="H630" s="3" t="n">
        <v>15400</v>
      </c>
      <c r="I630" s="3" t="n"/>
      <c r="J630" s="3" t="n"/>
      <c r="K630" s="3" t="n"/>
      <c r="L630" s="2" t="inlineStr">
        <is>
          <t>PriceCharting + TCGplayer</t>
        </is>
      </c>
      <c r="M630" s="4" t="inlineStr">
        <is>
          <t>https://www.pricecharting.com/game/pokemon-mysterious-treasures/booster-box</t>
        </is>
      </c>
      <c r="N630" s="4" t="inlineStr">
        <is>
          <t>https://www.tcgplayer.com/product/98560</t>
        </is>
      </c>
    </row>
    <row r="631">
      <c r="A631" s="2" t="inlineStr">
        <is>
          <t>Neo Destiny Booster Box</t>
        </is>
      </c>
      <c r="B631" s="3">
        <f>IF(H631&lt;&gt;"",H631,IF(I631&lt;&gt;"",I631,IF(J631&lt;&gt;"",J631,K631)))</f>
        <v>68.03</v>
      </c>
      <c r="C631" s="3">
        <f>MEDIAN(H631:K631)</f>
        <v>68.03</v>
      </c>
      <c r="D631" s="3">
        <f>ROUND(C631*(1-Settings!$B$2),2)</f>
        <v>47.62</v>
      </c>
      <c r="E631" s="2" t="inlineStr">
        <is>
          <t>Pokemon</t>
        </is>
      </c>
      <c r="F631" s="2" t="inlineStr">
        <is>
          <t>Box</t>
        </is>
      </c>
      <c r="G631" s="2" t="inlineStr">
        <is>
          <t>Neo Destiny</t>
        </is>
      </c>
      <c r="H631" s="3" t="n">
        <v>68.03</v>
      </c>
      <c r="I631" s="3" t="n"/>
      <c r="J631" s="3" t="n"/>
      <c r="K631" s="3" t="n"/>
      <c r="L631" s="2" t="inlineStr">
        <is>
          <t>PriceCharting</t>
        </is>
      </c>
      <c r="M631" s="4" t="inlineStr">
        <is>
          <t>https://www.pricecharting.com/game/pokemon-neo-destiny/booster-box</t>
        </is>
      </c>
    </row>
    <row r="632">
      <c r="A632" s="2" t="inlineStr">
        <is>
          <t>Neo Destiny Booster Box [1st Edition]</t>
        </is>
      </c>
      <c r="B632" s="3">
        <f>IF(H632&lt;&gt;"",H632,IF(I632&lt;&gt;"",I632,IF(J632&lt;&gt;"",J632,K632)))</f>
        <v>1530.0</v>
      </c>
      <c r="C632" s="3">
        <f>MEDIAN(H632:K632)</f>
        <v>1530.0</v>
      </c>
      <c r="D632" s="3">
        <f>ROUND(C632*(1-Settings!$B$2),2)</f>
        <v>1071.0</v>
      </c>
      <c r="E632" s="2" t="inlineStr">
        <is>
          <t>Pokemon</t>
        </is>
      </c>
      <c r="F632" s="2" t="inlineStr">
        <is>
          <t>Box</t>
        </is>
      </c>
      <c r="G632" s="2" t="inlineStr">
        <is>
          <t>Neo Destiny</t>
        </is>
      </c>
      <c r="H632" s="3" t="n">
        <v>1530</v>
      </c>
      <c r="I632" s="3" t="n"/>
      <c r="J632" s="3" t="n"/>
      <c r="K632" s="3" t="n"/>
      <c r="L632" s="2" t="inlineStr">
        <is>
          <t>PriceCharting + TCGplayer</t>
        </is>
      </c>
      <c r="M632" s="4" t="inlineStr">
        <is>
          <t>https://www.pricecharting.com/game/pokemon-neo-destiny/booster-box-1st-edition</t>
        </is>
      </c>
      <c r="N632" s="4" t="inlineStr">
        <is>
          <t>https://www.tcgplayer.com/product/563754</t>
        </is>
      </c>
    </row>
    <row r="633">
      <c r="A633" s="2" t="inlineStr">
        <is>
          <t>Neo Discovery Booster Box</t>
        </is>
      </c>
      <c r="B633" s="3">
        <f>IF(H633&lt;&gt;"",H633,IF(I633&lt;&gt;"",I633,IF(J633&lt;&gt;"",J633,K633)))</f>
        <v>11877.88</v>
      </c>
      <c r="C633" s="3">
        <f>MEDIAN(H633:K633)</f>
        <v>11877.88</v>
      </c>
      <c r="D633" s="3">
        <f>ROUND(C633*(1-Settings!$B$2),2)</f>
        <v>8314.52</v>
      </c>
      <c r="E633" s="2" t="inlineStr">
        <is>
          <t>Pokemon</t>
        </is>
      </c>
      <c r="F633" s="2" t="inlineStr">
        <is>
          <t>Box</t>
        </is>
      </c>
      <c r="G633" s="2" t="inlineStr">
        <is>
          <t>Neo Discovery</t>
        </is>
      </c>
      <c r="H633" s="3" t="n">
        <v>11877.88</v>
      </c>
      <c r="I633" s="3" t="n"/>
      <c r="J633" s="3" t="n"/>
      <c r="K633" s="3" t="n"/>
      <c r="L633" s="2" t="inlineStr">
        <is>
          <t>PriceCharting</t>
        </is>
      </c>
      <c r="M633" s="4" t="inlineStr">
        <is>
          <t>https://www.pricecharting.com/game/pokemon-neo-discovery/booster-box</t>
        </is>
      </c>
    </row>
    <row r="634">
      <c r="A634" s="2" t="inlineStr">
        <is>
          <t>Neo Discovery Booster Box [1st Edition]</t>
        </is>
      </c>
      <c r="B634" s="3">
        <f>IF(H634&lt;&gt;"",H634,IF(I634&lt;&gt;"",I634,IF(J634&lt;&gt;"",J634,K634)))</f>
        <v>48742.45</v>
      </c>
      <c r="C634" s="3">
        <f>MEDIAN(H634:K634)</f>
        <v>48742.45</v>
      </c>
      <c r="D634" s="3">
        <f>ROUND(C634*(1-Settings!$B$2),2)</f>
        <v>34119.72</v>
      </c>
      <c r="E634" s="2" t="inlineStr">
        <is>
          <t>Pokemon</t>
        </is>
      </c>
      <c r="F634" s="2" t="inlineStr">
        <is>
          <t>Box</t>
        </is>
      </c>
      <c r="G634" s="2" t="inlineStr">
        <is>
          <t>Neo Discovery</t>
        </is>
      </c>
      <c r="H634" s="3" t="n">
        <v>48742.45</v>
      </c>
      <c r="I634" s="3" t="n"/>
      <c r="J634" s="3" t="n"/>
      <c r="K634" s="3" t="n"/>
      <c r="L634" s="2" t="inlineStr">
        <is>
          <t>PriceCharting</t>
        </is>
      </c>
      <c r="M634" s="4" t="inlineStr">
        <is>
          <t>https://www.pricecharting.com/game/pokemon-neo-discovery/booster-box-1st-edition</t>
        </is>
      </c>
    </row>
    <row r="635">
      <c r="A635" s="2" t="inlineStr">
        <is>
          <t>Neo Genesis Booster Box</t>
        </is>
      </c>
      <c r="B635" s="3">
        <f>IF(H635&lt;&gt;"",H635,IF(I635&lt;&gt;"",I635,IF(J635&lt;&gt;"",J635,K635)))</f>
        <v>7740.28</v>
      </c>
      <c r="C635" s="3">
        <f>MEDIAN(H635:K635)</f>
        <v>7740.28</v>
      </c>
      <c r="D635" s="3">
        <f>ROUND(C635*(1-Settings!$B$2),2)</f>
        <v>5418.2</v>
      </c>
      <c r="E635" s="2" t="inlineStr">
        <is>
          <t>Pokemon</t>
        </is>
      </c>
      <c r="F635" s="2" t="inlineStr">
        <is>
          <t>Box</t>
        </is>
      </c>
      <c r="G635" s="2" t="inlineStr">
        <is>
          <t>Neo Genesis</t>
        </is>
      </c>
      <c r="H635" s="3" t="n">
        <v>7740.28</v>
      </c>
      <c r="I635" s="3" t="n"/>
      <c r="J635" s="3" t="n"/>
      <c r="K635" s="3" t="n"/>
      <c r="L635" s="2" t="inlineStr">
        <is>
          <t>PriceCharting</t>
        </is>
      </c>
      <c r="M635" s="4" t="inlineStr">
        <is>
          <t>https://www.pricecharting.com/game/pokemon-neo-genesis/booster-box</t>
        </is>
      </c>
    </row>
    <row r="636">
      <c r="A636" s="2" t="inlineStr">
        <is>
          <t>Neo Genesis Booster Box [1st Edition]</t>
        </is>
      </c>
      <c r="B636" s="3">
        <f>IF(H636&lt;&gt;"",H636,IF(I636&lt;&gt;"",I636,IF(J636&lt;&gt;"",J636,K636)))</f>
        <v>23750.0</v>
      </c>
      <c r="C636" s="3">
        <f>MEDIAN(H636:K636)</f>
        <v>23750.0</v>
      </c>
      <c r="D636" s="3">
        <f>ROUND(C636*(1-Settings!$B$2),2)</f>
        <v>16625.0</v>
      </c>
      <c r="E636" s="2" t="inlineStr">
        <is>
          <t>Pokemon</t>
        </is>
      </c>
      <c r="F636" s="2" t="inlineStr">
        <is>
          <t>Box</t>
        </is>
      </c>
      <c r="G636" s="2" t="inlineStr">
        <is>
          <t>Neo Genesis</t>
        </is>
      </c>
      <c r="H636" s="3" t="n">
        <v>23750</v>
      </c>
      <c r="I636" s="3" t="n"/>
      <c r="J636" s="3" t="n"/>
      <c r="K636" s="3" t="n"/>
      <c r="L636" s="2" t="inlineStr">
        <is>
          <t>PriceCharting + TCGplayer</t>
        </is>
      </c>
      <c r="M636" s="4" t="inlineStr">
        <is>
          <t>https://www.pricecharting.com/game/pokemon-neo-genesis/booster-box-1st-edition</t>
        </is>
      </c>
      <c r="N636" s="4" t="inlineStr">
        <is>
          <t>https://www.tcgplayer.com/product/193334</t>
        </is>
      </c>
    </row>
    <row r="637">
      <c r="A637" s="2" t="inlineStr">
        <is>
          <t>Neo Genesis Booster Box [Unlimited Edition]</t>
        </is>
      </c>
      <c r="B637" s="3">
        <f>IF(H637&lt;&gt;"",H637,IF(I637&lt;&gt;"",I637,IF(J637&lt;&gt;"",J637,K637)))</f>
        <v>14000.0</v>
      </c>
      <c r="C637" s="3">
        <f>MEDIAN(H637:K637)</f>
        <v>14000.0</v>
      </c>
      <c r="D637" s="3">
        <f>ROUND(C637*(1-Settings!$B$2),2)</f>
        <v>9800.0</v>
      </c>
      <c r="E637" s="2" t="inlineStr">
        <is>
          <t>Pokemon</t>
        </is>
      </c>
      <c r="F637" s="2" t="inlineStr">
        <is>
          <t>Box</t>
        </is>
      </c>
      <c r="G637" s="2" t="inlineStr">
        <is>
          <t>Neo Genesis</t>
        </is>
      </c>
      <c r="H637" s="3" t="n"/>
      <c r="I637" s="3" t="n">
        <v>14000</v>
      </c>
      <c r="J637" s="3" t="n"/>
      <c r="K637" s="3" t="n"/>
      <c r="L637" s="2" t="inlineStr">
        <is>
          <t>TCGplayer</t>
        </is>
      </c>
      <c r="N637" s="4" t="inlineStr">
        <is>
          <t>https://www.tcgplayer.com/product/193335</t>
        </is>
      </c>
    </row>
    <row r="638">
      <c r="A638" s="2" t="inlineStr">
        <is>
          <t>Neo Revelation Booster Box</t>
        </is>
      </c>
      <c r="B638" s="3">
        <f>IF(H638&lt;&gt;"",H638,IF(I638&lt;&gt;"",I638,IF(J638&lt;&gt;"",J638,K638)))</f>
        <v>12145.3</v>
      </c>
      <c r="C638" s="3">
        <f>MEDIAN(H638:K638)</f>
        <v>12145.3</v>
      </c>
      <c r="D638" s="3">
        <f>ROUND(C638*(1-Settings!$B$2),2)</f>
        <v>8501.71</v>
      </c>
      <c r="E638" s="2" t="inlineStr">
        <is>
          <t>Pokemon</t>
        </is>
      </c>
      <c r="F638" s="2" t="inlineStr">
        <is>
          <t>Box</t>
        </is>
      </c>
      <c r="G638" s="2" t="inlineStr">
        <is>
          <t>Neo Revelation</t>
        </is>
      </c>
      <c r="H638" s="3" t="n">
        <v>12145.3</v>
      </c>
      <c r="I638" s="3" t="n"/>
      <c r="J638" s="3" t="n"/>
      <c r="K638" s="3" t="n"/>
      <c r="L638" s="2" t="inlineStr">
        <is>
          <t>PriceCharting</t>
        </is>
      </c>
      <c r="M638" s="4" t="inlineStr">
        <is>
          <t>https://www.pricecharting.com/game/pokemon-neo-revelation/booster-box</t>
        </is>
      </c>
    </row>
    <row r="639">
      <c r="A639" s="2" t="inlineStr">
        <is>
          <t>Neo Revelation Booster Box [1st Edition]</t>
        </is>
      </c>
      <c r="B639" s="3">
        <f>IF(H639&lt;&gt;"",H639,IF(I639&lt;&gt;"",I639,IF(J639&lt;&gt;"",J639,K639)))</f>
        <v>51400.0</v>
      </c>
      <c r="C639" s="3">
        <f>MEDIAN(H639:K639)</f>
        <v>51400.0</v>
      </c>
      <c r="D639" s="3">
        <f>ROUND(C639*(1-Settings!$B$2),2)</f>
        <v>35980.0</v>
      </c>
      <c r="E639" s="2" t="inlineStr">
        <is>
          <t>Pokemon</t>
        </is>
      </c>
      <c r="F639" s="2" t="inlineStr">
        <is>
          <t>Box</t>
        </is>
      </c>
      <c r="G639" s="2" t="inlineStr">
        <is>
          <t>Neo Revelation</t>
        </is>
      </c>
      <c r="H639" s="3" t="n">
        <v>51400</v>
      </c>
      <c r="I639" s="3" t="n"/>
      <c r="J639" s="3" t="n"/>
      <c r="K639" s="3" t="n"/>
      <c r="L639" s="2" t="inlineStr">
        <is>
          <t>PriceCharting + TCGplayer</t>
        </is>
      </c>
      <c r="M639" s="4" t="inlineStr">
        <is>
          <t>https://www.pricecharting.com/game/pokemon-neo-revelation/booster-box-1st-edition</t>
        </is>
      </c>
      <c r="N639" s="4" t="inlineStr">
        <is>
          <t>https://www.tcgplayer.com/product/634445</t>
        </is>
      </c>
    </row>
    <row r="640">
      <c r="A640" s="2" t="inlineStr">
        <is>
          <t>Next Destinies Booster Box</t>
        </is>
      </c>
      <c r="B640" s="3">
        <f>IF(H640&lt;&gt;"",H640,IF(I640&lt;&gt;"",I640,IF(J640&lt;&gt;"",J640,K640)))</f>
        <v>10364.11</v>
      </c>
      <c r="C640" s="3">
        <f>MEDIAN(H640:K640)</f>
        <v>10364.11</v>
      </c>
      <c r="D640" s="3">
        <f>ROUND(C640*(1-Settings!$B$2),2)</f>
        <v>7254.88</v>
      </c>
      <c r="E640" s="2" t="inlineStr">
        <is>
          <t>Pokemon</t>
        </is>
      </c>
      <c r="F640" s="2" t="inlineStr">
        <is>
          <t>Box</t>
        </is>
      </c>
      <c r="G640" s="2" t="inlineStr">
        <is>
          <t>Next Destinies</t>
        </is>
      </c>
      <c r="H640" s="3" t="n">
        <v>10364.11</v>
      </c>
      <c r="I640" s="3" t="n"/>
      <c r="J640" s="3" t="n"/>
      <c r="K640" s="3" t="n"/>
      <c r="L640" s="2" t="inlineStr">
        <is>
          <t>PriceCharting + TCGplayer</t>
        </is>
      </c>
      <c r="M640" s="4" t="inlineStr">
        <is>
          <t>https://www.pricecharting.com/game/pokemon-next-destinies/booster-box</t>
        </is>
      </c>
      <c r="N640" s="4" t="inlineStr">
        <is>
          <t>https://www.tcgplayer.com/product/98539</t>
        </is>
      </c>
    </row>
    <row r="641">
      <c r="A641" s="2" t="inlineStr">
        <is>
          <t>Noble Victories Booster Box</t>
        </is>
      </c>
      <c r="B641" s="3">
        <f>IF(H641&lt;&gt;"",H641,IF(I641&lt;&gt;"",I641,IF(J641&lt;&gt;"",J641,K641)))</f>
        <v>10880.34</v>
      </c>
      <c r="C641" s="3">
        <f>MEDIAN(H641:K641)</f>
        <v>10880.34</v>
      </c>
      <c r="D641" s="3">
        <f>ROUND(C641*(1-Settings!$B$2),2)</f>
        <v>7616.24</v>
      </c>
      <c r="E641" s="2" t="inlineStr">
        <is>
          <t>Pokemon</t>
        </is>
      </c>
      <c r="F641" s="2" t="inlineStr">
        <is>
          <t>Box</t>
        </is>
      </c>
      <c r="G641" s="2" t="inlineStr">
        <is>
          <t>Noble Victories</t>
        </is>
      </c>
      <c r="H641" s="3" t="n">
        <v>10880.34</v>
      </c>
      <c r="I641" s="3" t="n"/>
      <c r="J641" s="3" t="n"/>
      <c r="K641" s="3" t="n"/>
      <c r="L641" s="2" t="inlineStr">
        <is>
          <t>PriceCharting + TCGplayer</t>
        </is>
      </c>
      <c r="M641" s="4" t="inlineStr">
        <is>
          <t>https://www.pricecharting.com/game/pokemon-noble-victories/booster-box</t>
        </is>
      </c>
      <c r="N641" s="4" t="inlineStr">
        <is>
          <t>https://www.tcgplayer.com/product/98571</t>
        </is>
      </c>
    </row>
    <row r="642">
      <c r="A642" s="2" t="inlineStr">
        <is>
          <t>Obsidian Flames Build &amp; Battle Display Box</t>
        </is>
      </c>
      <c r="B642" s="3">
        <f>IF(H642&lt;&gt;"",H642,IF(I642&lt;&gt;"",I642,IF(J642&lt;&gt;"",J642,K642)))</f>
        <v>352.75</v>
      </c>
      <c r="C642" s="3">
        <f>MEDIAN(H642:K642)</f>
        <v>352.75</v>
      </c>
      <c r="D642" s="3">
        <f>ROUND(C642*(1-Settings!$B$2),2)</f>
        <v>246.93</v>
      </c>
      <c r="E642" s="2" t="inlineStr">
        <is>
          <t>Pokemon</t>
        </is>
      </c>
      <c r="F642" s="2" t="inlineStr">
        <is>
          <t>Box</t>
        </is>
      </c>
      <c r="G642" s="2" t="inlineStr">
        <is>
          <t>Obsidian Flames</t>
        </is>
      </c>
      <c r="H642" s="3" t="n">
        <v>352.75</v>
      </c>
      <c r="I642" s="3" t="n"/>
      <c r="J642" s="3" t="n"/>
      <c r="K642" s="3" t="n"/>
      <c r="L642" s="2" t="inlineStr">
        <is>
          <t>PriceCharting</t>
        </is>
      </c>
      <c r="M642" s="4" t="inlineStr">
        <is>
          <t>https://www.pricecharting.com/game/pokemon-obsidian-flames/build-&amp;-battle-display-box</t>
        </is>
      </c>
    </row>
    <row r="643">
      <c r="A643" s="2" t="inlineStr">
        <is>
          <t>Obsidian Flames Half Booster Box</t>
        </is>
      </c>
      <c r="B643" s="3">
        <f>IF(H643&lt;&gt;"",H643,IF(I643&lt;&gt;"",I643,IF(J643&lt;&gt;"",J643,K643)))</f>
        <v>189.53</v>
      </c>
      <c r="C643" s="3">
        <f>MEDIAN(H643:K643)</f>
        <v>189.53</v>
      </c>
      <c r="D643" s="3">
        <f>ROUND(C643*(1-Settings!$B$2),2)</f>
        <v>132.67</v>
      </c>
      <c r="E643" s="2" t="inlineStr">
        <is>
          <t>Pokemon</t>
        </is>
      </c>
      <c r="F643" s="2" t="inlineStr">
        <is>
          <t>Box</t>
        </is>
      </c>
      <c r="G643" s="2" t="inlineStr">
        <is>
          <t>Obsidian Flames</t>
        </is>
      </c>
      <c r="H643" s="3" t="n">
        <v>189.53</v>
      </c>
      <c r="I643" s="3" t="n"/>
      <c r="J643" s="3" t="n"/>
      <c r="K643" s="3" t="n"/>
      <c r="L643" s="2" t="inlineStr">
        <is>
          <t>PriceCharting</t>
        </is>
      </c>
      <c r="M643" s="4" t="inlineStr">
        <is>
          <t>https://www.pricecharting.com/game/pokemon-obsidian-flames/half-booster-box</t>
        </is>
      </c>
    </row>
    <row r="644">
      <c r="A644" s="2" t="inlineStr">
        <is>
          <t>Paldea Evolved Build &amp; Battle Display Box</t>
        </is>
      </c>
      <c r="B644" s="3">
        <f>IF(H644&lt;&gt;"",H644,IF(I644&lt;&gt;"",I644,IF(J644&lt;&gt;"",J644,K644)))</f>
        <v>498.68</v>
      </c>
      <c r="C644" s="3">
        <f>MEDIAN(H644:K644)</f>
        <v>498.68</v>
      </c>
      <c r="D644" s="3">
        <f>ROUND(C644*(1-Settings!$B$2),2)</f>
        <v>349.08</v>
      </c>
      <c r="E644" s="2" t="inlineStr">
        <is>
          <t>Pokemon</t>
        </is>
      </c>
      <c r="F644" s="2" t="inlineStr">
        <is>
          <t>Box</t>
        </is>
      </c>
      <c r="G644" s="2" t="inlineStr">
        <is>
          <t>Paldea Evolved</t>
        </is>
      </c>
      <c r="H644" s="3" t="n">
        <v>498.68</v>
      </c>
      <c r="I644" s="3" t="n"/>
      <c r="J644" s="3" t="n"/>
      <c r="K644" s="3" t="n"/>
      <c r="L644" s="2" t="inlineStr">
        <is>
          <t>PriceCharting</t>
        </is>
      </c>
      <c r="M644" s="4" t="inlineStr">
        <is>
          <t>https://www.pricecharting.com/game/pokemon-paldea-evolved/build-&amp;-battle-display-box</t>
        </is>
      </c>
    </row>
    <row r="645">
      <c r="A645" s="2" t="inlineStr">
        <is>
          <t>Paldean Fates Sealed Mini Tin Display Box</t>
        </is>
      </c>
      <c r="B645" s="3">
        <f>IF(H645&lt;&gt;"",H645,IF(I645&lt;&gt;"",I645,IF(J645&lt;&gt;"",J645,K645)))</f>
        <v>420.54</v>
      </c>
      <c r="C645" s="3">
        <f>MEDIAN(H645:K645)</f>
        <v>420.54</v>
      </c>
      <c r="D645" s="3">
        <f>ROUND(C645*(1-Settings!$B$2),2)</f>
        <v>294.38</v>
      </c>
      <c r="E645" s="2" t="inlineStr">
        <is>
          <t>Pokemon</t>
        </is>
      </c>
      <c r="F645" s="2" t="inlineStr">
        <is>
          <t>Box</t>
        </is>
      </c>
      <c r="G645" s="2" t="inlineStr">
        <is>
          <t>Paldean Fates</t>
        </is>
      </c>
      <c r="H645" s="3" t="n">
        <v>420.54</v>
      </c>
      <c r="I645" s="3" t="n"/>
      <c r="J645" s="3" t="n"/>
      <c r="K645" s="3" t="n"/>
      <c r="L645" s="2" t="inlineStr">
        <is>
          <t>PriceCharting</t>
        </is>
      </c>
      <c r="M645" s="4" t="inlineStr">
        <is>
          <t>https://www.pricecharting.com/game/pokemon-paldean-fates/sealed-mini-tin-display-box</t>
        </is>
      </c>
    </row>
    <row r="646">
      <c r="A646" s="2" t="inlineStr">
        <is>
          <t>Paradox Rift Build &amp; Battle Display Box</t>
        </is>
      </c>
      <c r="B646" s="3">
        <f>IF(H646&lt;&gt;"",H646,IF(I646&lt;&gt;"",I646,IF(J646&lt;&gt;"",J646,K646)))</f>
        <v>340.0</v>
      </c>
      <c r="C646" s="3">
        <f>MEDIAN(H646:K646)</f>
        <v>340.0</v>
      </c>
      <c r="D646" s="3">
        <f>ROUND(C646*(1-Settings!$B$2),2)</f>
        <v>238.0</v>
      </c>
      <c r="E646" s="2" t="inlineStr">
        <is>
          <t>Pokemon</t>
        </is>
      </c>
      <c r="F646" s="2" t="inlineStr">
        <is>
          <t>Box</t>
        </is>
      </c>
      <c r="G646" s="2" t="inlineStr">
        <is>
          <t>Paradox Rift</t>
        </is>
      </c>
      <c r="H646" s="3" t="n">
        <v>340</v>
      </c>
      <c r="I646" s="3" t="n"/>
      <c r="J646" s="3" t="n"/>
      <c r="K646" s="3" t="n"/>
      <c r="L646" s="2" t="inlineStr">
        <is>
          <t>PriceCharting</t>
        </is>
      </c>
      <c r="M646" s="4" t="inlineStr">
        <is>
          <t>https://www.pricecharting.com/game/pokemon-paradox-rift/build-&amp;-battle-display-box</t>
        </is>
      </c>
    </row>
    <row r="647">
      <c r="A647" s="2" t="inlineStr">
        <is>
          <t>Perfect Order Booster Box</t>
        </is>
      </c>
      <c r="B647" s="3">
        <f>IF(H647&lt;&gt;"",H647,IF(I647&lt;&gt;"",I647,IF(J647&lt;&gt;"",J647,K647)))</f>
        <v>165.5</v>
      </c>
      <c r="C647" s="3">
        <f>MEDIAN(H647:K647)</f>
        <v>165.5</v>
      </c>
      <c r="D647" s="3">
        <f>ROUND(C647*(1-Settings!$B$2),2)</f>
        <v>115.85</v>
      </c>
      <c r="E647" s="2" t="inlineStr">
        <is>
          <t>Pokemon</t>
        </is>
      </c>
      <c r="F647" s="2" t="inlineStr">
        <is>
          <t>Box</t>
        </is>
      </c>
      <c r="G647" s="2" t="inlineStr">
        <is>
          <t>Perfect Order</t>
        </is>
      </c>
      <c r="H647" s="3" t="n">
        <v>165.5</v>
      </c>
      <c r="I647" s="3" t="n"/>
      <c r="J647" s="3" t="n"/>
      <c r="K647" s="3" t="n"/>
      <c r="L647" s="2" t="inlineStr">
        <is>
          <t>PriceCharting</t>
        </is>
      </c>
      <c r="M647" s="4" t="inlineStr">
        <is>
          <t>https://www.pricecharting.com/game/pokemon-perfect-order/booster-box</t>
        </is>
      </c>
    </row>
    <row r="648">
      <c r="A648" s="2" t="inlineStr">
        <is>
          <t>Perfect Order Half Booster Box</t>
        </is>
      </c>
      <c r="B648" s="3">
        <f>IF(H648&lt;&gt;"",H648,IF(I648&lt;&gt;"",I648,IF(J648&lt;&gt;"",J648,K648)))</f>
        <v>114.57</v>
      </c>
      <c r="C648" s="3">
        <f>MEDIAN(H648:K648)</f>
        <v>114.57</v>
      </c>
      <c r="D648" s="3">
        <f>ROUND(C648*(1-Settings!$B$2),2)</f>
        <v>80.2</v>
      </c>
      <c r="E648" s="2" t="inlineStr">
        <is>
          <t>Pokemon</t>
        </is>
      </c>
      <c r="F648" s="2" t="inlineStr">
        <is>
          <t>Box</t>
        </is>
      </c>
      <c r="G648" s="2" t="inlineStr">
        <is>
          <t>Perfect Order</t>
        </is>
      </c>
      <c r="H648" s="3" t="n">
        <v>114.57</v>
      </c>
      <c r="I648" s="3" t="n"/>
      <c r="J648" s="3" t="n"/>
      <c r="K648" s="3" t="n"/>
      <c r="L648" s="2" t="inlineStr">
        <is>
          <t>PriceCharting</t>
        </is>
      </c>
      <c r="M648" s="4" t="inlineStr">
        <is>
          <t>https://www.pricecharting.com/game/pokemon-perfect-order/half-booster-box</t>
        </is>
      </c>
    </row>
    <row r="649">
      <c r="A649" s="2" t="inlineStr">
        <is>
          <t>Phantasmal Flames Booster Box</t>
        </is>
      </c>
      <c r="B649" s="3">
        <f>IF(H649&lt;&gt;"",H649,IF(I649&lt;&gt;"",I649,IF(J649&lt;&gt;"",J649,K649)))</f>
        <v>392.54</v>
      </c>
      <c r="C649" s="3">
        <f>MEDIAN(H649:K649)</f>
        <v>392.54</v>
      </c>
      <c r="D649" s="3">
        <f>ROUND(C649*(1-Settings!$B$2),2)</f>
        <v>274.78</v>
      </c>
      <c r="E649" s="2" t="inlineStr">
        <is>
          <t>Pokemon</t>
        </is>
      </c>
      <c r="F649" s="2" t="inlineStr">
        <is>
          <t>Box</t>
        </is>
      </c>
      <c r="G649" s="2" t="inlineStr">
        <is>
          <t>Phantasmal Flames</t>
        </is>
      </c>
      <c r="H649" s="3" t="n">
        <v>392.54</v>
      </c>
      <c r="I649" s="3" t="n"/>
      <c r="J649" s="3" t="n"/>
      <c r="K649" s="3" t="n"/>
      <c r="L649" s="2" t="inlineStr">
        <is>
          <t>PriceCharting</t>
        </is>
      </c>
      <c r="M649" s="4" t="inlineStr">
        <is>
          <t>https://www.pricecharting.com/game/pokemon-phantasmal-flames/booster-box</t>
        </is>
      </c>
    </row>
    <row r="650">
      <c r="A650" s="2" t="inlineStr">
        <is>
          <t>Phantasmal Flames Half Booster Box</t>
        </is>
      </c>
      <c r="B650" s="3">
        <f>IF(H650&lt;&gt;"",H650,IF(I650&lt;&gt;"",I650,IF(J650&lt;&gt;"",J650,K650)))</f>
        <v>197.26</v>
      </c>
      <c r="C650" s="3">
        <f>MEDIAN(H650:K650)</f>
        <v>197.26</v>
      </c>
      <c r="D650" s="3">
        <f>ROUND(C650*(1-Settings!$B$2),2)</f>
        <v>138.08</v>
      </c>
      <c r="E650" s="2" t="inlineStr">
        <is>
          <t>Pokemon</t>
        </is>
      </c>
      <c r="F650" s="2" t="inlineStr">
        <is>
          <t>Box</t>
        </is>
      </c>
      <c r="G650" s="2" t="inlineStr">
        <is>
          <t>Phantasmal Flames</t>
        </is>
      </c>
      <c r="H650" s="3" t="n">
        <v>197.26</v>
      </c>
      <c r="I650" s="3" t="n"/>
      <c r="J650" s="3" t="n"/>
      <c r="K650" s="3" t="n"/>
      <c r="L650" s="2" t="inlineStr">
        <is>
          <t>PriceCharting</t>
        </is>
      </c>
      <c r="M650" s="4" t="inlineStr">
        <is>
          <t>https://www.pricecharting.com/game/pokemon-phantasmal-flames/half-booster-box</t>
        </is>
      </c>
    </row>
    <row r="651">
      <c r="A651" s="2" t="inlineStr">
        <is>
          <t>Phantom Forces Booster Box</t>
        </is>
      </c>
      <c r="B651" s="3">
        <f>IF(H651&lt;&gt;"",H651,IF(I651&lt;&gt;"",I651,IF(J651&lt;&gt;"",J651,K651)))</f>
        <v>16951.16</v>
      </c>
      <c r="C651" s="3">
        <f>MEDIAN(H651:K651)</f>
        <v>16951.16</v>
      </c>
      <c r="D651" s="3">
        <f>ROUND(C651*(1-Settings!$B$2),2)</f>
        <v>11865.81</v>
      </c>
      <c r="E651" s="2" t="inlineStr">
        <is>
          <t>Pokemon</t>
        </is>
      </c>
      <c r="F651" s="2" t="inlineStr">
        <is>
          <t>Box</t>
        </is>
      </c>
      <c r="G651" s="2" t="inlineStr">
        <is>
          <t>Phantom Forces</t>
        </is>
      </c>
      <c r="H651" s="3" t="n">
        <v>16951.16</v>
      </c>
      <c r="I651" s="3" t="n"/>
      <c r="J651" s="3" t="n"/>
      <c r="K651" s="3" t="n"/>
      <c r="L651" s="2" t="inlineStr">
        <is>
          <t>PriceCharting</t>
        </is>
      </c>
      <c r="M651" s="4" t="inlineStr">
        <is>
          <t>https://www.pricecharting.com/game/pokemon-phantom-forces/booster-box</t>
        </is>
      </c>
    </row>
    <row r="652">
      <c r="A652" s="2" t="inlineStr">
        <is>
          <t>Pitch Black Booster Box</t>
        </is>
      </c>
      <c r="B652" s="3">
        <f>IF(H652&lt;&gt;"",H652,IF(I652&lt;&gt;"",I652,IF(J652&lt;&gt;"",J652,K652)))</f>
        <v>171.38</v>
      </c>
      <c r="C652" s="3">
        <f>MEDIAN(H652:K652)</f>
        <v>171.38</v>
      </c>
      <c r="D652" s="3">
        <f>ROUND(C652*(1-Settings!$B$2),2)</f>
        <v>119.97</v>
      </c>
      <c r="E652" s="2" t="inlineStr">
        <is>
          <t>Pokemon</t>
        </is>
      </c>
      <c r="F652" s="2" t="inlineStr">
        <is>
          <t>Box</t>
        </is>
      </c>
      <c r="G652" s="2" t="inlineStr">
        <is>
          <t>Pitch Black</t>
        </is>
      </c>
      <c r="H652" s="3" t="n">
        <v>171.38</v>
      </c>
      <c r="I652" s="3" t="n"/>
      <c r="J652" s="3" t="n"/>
      <c r="K652" s="3" t="n"/>
      <c r="L652" s="2" t="inlineStr">
        <is>
          <t>PriceCharting</t>
        </is>
      </c>
      <c r="M652" s="4" t="inlineStr">
        <is>
          <t>https://www.pricecharting.com/game/pokemon-pitch-black/booster-box</t>
        </is>
      </c>
    </row>
    <row r="653">
      <c r="A653" s="2" t="inlineStr">
        <is>
          <t>Pitch Black Half Booster Box</t>
        </is>
      </c>
      <c r="B653" s="3">
        <f>IF(H653&lt;&gt;"",H653,IF(I653&lt;&gt;"",I653,IF(J653&lt;&gt;"",J653,K653)))</f>
        <v>110.67</v>
      </c>
      <c r="C653" s="3">
        <f>MEDIAN(H653:K653)</f>
        <v>110.67</v>
      </c>
      <c r="D653" s="3">
        <f>ROUND(C653*(1-Settings!$B$2),2)</f>
        <v>77.47</v>
      </c>
      <c r="E653" s="2" t="inlineStr">
        <is>
          <t>Pokemon</t>
        </is>
      </c>
      <c r="F653" s="2" t="inlineStr">
        <is>
          <t>Box</t>
        </is>
      </c>
      <c r="G653" s="2" t="inlineStr">
        <is>
          <t>Pitch Black</t>
        </is>
      </c>
      <c r="H653" s="3" t="n">
        <v>110.67</v>
      </c>
      <c r="I653" s="3" t="n"/>
      <c r="J653" s="3" t="n"/>
      <c r="K653" s="3" t="n"/>
      <c r="L653" s="2" t="inlineStr">
        <is>
          <t>PriceCharting</t>
        </is>
      </c>
      <c r="M653" s="4" t="inlineStr">
        <is>
          <t>https://www.pricecharting.com/game/pokemon-pitch-black/half-booster-box</t>
        </is>
      </c>
    </row>
    <row r="654">
      <c r="A654" s="2" t="inlineStr">
        <is>
          <t>Plasma Blast Booster Box</t>
        </is>
      </c>
      <c r="B654" s="3">
        <f>IF(H654&lt;&gt;"",H654,IF(I654&lt;&gt;"",I654,IF(J654&lt;&gt;"",J654,K654)))</f>
        <v>11800.0</v>
      </c>
      <c r="C654" s="3">
        <f>MEDIAN(H654:K654)</f>
        <v>11800.0</v>
      </c>
      <c r="D654" s="3">
        <f>ROUND(C654*(1-Settings!$B$2),2)</f>
        <v>8260.0</v>
      </c>
      <c r="E654" s="2" t="inlineStr">
        <is>
          <t>Pokemon</t>
        </is>
      </c>
      <c r="F654" s="2" t="inlineStr">
        <is>
          <t>Box</t>
        </is>
      </c>
      <c r="G654" s="2" t="inlineStr">
        <is>
          <t>Plasma Blast</t>
        </is>
      </c>
      <c r="H654" s="3" t="n">
        <v>11800</v>
      </c>
      <c r="I654" s="3" t="n"/>
      <c r="J654" s="3" t="n"/>
      <c r="K654" s="3" t="n"/>
      <c r="L654" s="2" t="inlineStr">
        <is>
          <t>PriceCharting + TCGplayer</t>
        </is>
      </c>
      <c r="M654" s="4" t="inlineStr">
        <is>
          <t>https://www.pricecharting.com/game/pokemon-plasma-blast/booster-box</t>
        </is>
      </c>
      <c r="N654" s="4" t="inlineStr">
        <is>
          <t>https://www.tcgplayer.com/product/98572</t>
        </is>
      </c>
    </row>
    <row r="655">
      <c r="A655" s="2" t="inlineStr">
        <is>
          <t>Plasma Freeze Booster Box</t>
        </is>
      </c>
      <c r="B655" s="3">
        <f>IF(H655&lt;&gt;"",H655,IF(I655&lt;&gt;"",I655,IF(J655&lt;&gt;"",J655,K655)))</f>
        <v>13500.0</v>
      </c>
      <c r="C655" s="3">
        <f>MEDIAN(H655:K655)</f>
        <v>13500.0</v>
      </c>
      <c r="D655" s="3">
        <f>ROUND(C655*(1-Settings!$B$2),2)</f>
        <v>9450.0</v>
      </c>
      <c r="E655" s="2" t="inlineStr">
        <is>
          <t>Pokemon</t>
        </is>
      </c>
      <c r="F655" s="2" t="inlineStr">
        <is>
          <t>Box</t>
        </is>
      </c>
      <c r="G655" s="2" t="inlineStr">
        <is>
          <t>Plasma Freeze</t>
        </is>
      </c>
      <c r="H655" s="3" t="n">
        <v>13500</v>
      </c>
      <c r="I655" s="3" t="n"/>
      <c r="J655" s="3" t="n"/>
      <c r="K655" s="3" t="n"/>
      <c r="L655" s="2" t="inlineStr">
        <is>
          <t>PriceCharting</t>
        </is>
      </c>
      <c r="M655" s="4" t="inlineStr">
        <is>
          <t>https://www.pricecharting.com/game/pokemon-plasma-freeze/booster-box</t>
        </is>
      </c>
    </row>
    <row r="656">
      <c r="A656" s="2" t="inlineStr">
        <is>
          <t>Plasma Storm Booster Box</t>
        </is>
      </c>
      <c r="B656" s="3">
        <f>IF(H656&lt;&gt;"",H656,IF(I656&lt;&gt;"",I656,IF(J656&lt;&gt;"",J656,K656)))</f>
        <v>22909.81</v>
      </c>
      <c r="C656" s="3">
        <f>MEDIAN(H656:K656)</f>
        <v>22909.81</v>
      </c>
      <c r="D656" s="3">
        <f>ROUND(C656*(1-Settings!$B$2),2)</f>
        <v>16036.87</v>
      </c>
      <c r="E656" s="2" t="inlineStr">
        <is>
          <t>Pokemon</t>
        </is>
      </c>
      <c r="F656" s="2" t="inlineStr">
        <is>
          <t>Box</t>
        </is>
      </c>
      <c r="G656" s="2" t="inlineStr">
        <is>
          <t>Plasma Storm</t>
        </is>
      </c>
      <c r="H656" s="3" t="n">
        <v>22909.81</v>
      </c>
      <c r="I656" s="3" t="n"/>
      <c r="J656" s="3" t="n"/>
      <c r="K656" s="3" t="n"/>
      <c r="L656" s="2" t="inlineStr">
        <is>
          <t>PriceCharting + TCGplayer</t>
        </is>
      </c>
      <c r="M656" s="4" t="inlineStr">
        <is>
          <t>https://www.pricecharting.com/game/pokemon-plasma-storm/booster-box</t>
        </is>
      </c>
      <c r="N656" s="4" t="inlineStr">
        <is>
          <t>https://www.tcgplayer.com/product/98527</t>
        </is>
      </c>
    </row>
    <row r="657">
      <c r="A657" s="2" t="inlineStr">
        <is>
          <t>Platinum Booster Box</t>
        </is>
      </c>
      <c r="B657" s="3">
        <f>IF(H657&lt;&gt;"",H657,IF(I657&lt;&gt;"",I657,IF(J657&lt;&gt;"",J657,K657)))</f>
        <v>12449.81</v>
      </c>
      <c r="C657" s="3">
        <f>MEDIAN(H657:K657)</f>
        <v>12449.81</v>
      </c>
      <c r="D657" s="3">
        <f>ROUND(C657*(1-Settings!$B$2),2)</f>
        <v>8714.87</v>
      </c>
      <c r="E657" s="2" t="inlineStr">
        <is>
          <t>Pokemon</t>
        </is>
      </c>
      <c r="F657" s="2" t="inlineStr">
        <is>
          <t>Box</t>
        </is>
      </c>
      <c r="G657" s="2" t="inlineStr">
        <is>
          <t>Platinum</t>
        </is>
      </c>
      <c r="H657" s="3" t="n">
        <v>12449.81</v>
      </c>
      <c r="I657" s="3" t="n"/>
      <c r="J657" s="3" t="n"/>
      <c r="K657" s="3" t="n"/>
      <c r="L657" s="2" t="inlineStr">
        <is>
          <t>PriceCharting + TCGplayer</t>
        </is>
      </c>
      <c r="M657" s="4" t="inlineStr">
        <is>
          <t>https://www.pricecharting.com/game/pokemon-platinum/booster-box</t>
        </is>
      </c>
      <c r="N657" s="4" t="inlineStr">
        <is>
          <t>https://www.tcgplayer.com/product/98592</t>
        </is>
      </c>
    </row>
    <row r="658">
      <c r="A658" s="2" t="inlineStr">
        <is>
          <t>Primal Clash Booster Box</t>
        </is>
      </c>
      <c r="B658" s="3">
        <f>IF(H658&lt;&gt;"",H658,IF(I658&lt;&gt;"",I658,IF(J658&lt;&gt;"",J658,K658)))</f>
        <v>3387.51</v>
      </c>
      <c r="C658" s="3">
        <f>MEDIAN(H658:K658)</f>
        <v>3387.51</v>
      </c>
      <c r="D658" s="3">
        <f>ROUND(C658*(1-Settings!$B$2),2)</f>
        <v>2371.26</v>
      </c>
      <c r="E658" s="2" t="inlineStr">
        <is>
          <t>Pokemon</t>
        </is>
      </c>
      <c r="F658" s="2" t="inlineStr">
        <is>
          <t>Box</t>
        </is>
      </c>
      <c r="G658" s="2" t="inlineStr">
        <is>
          <t>Primal Clash</t>
        </is>
      </c>
      <c r="H658" s="3" t="n">
        <v>3387.51</v>
      </c>
      <c r="I658" s="3" t="n"/>
      <c r="J658" s="3" t="n"/>
      <c r="K658" s="3" t="n"/>
      <c r="L658" s="2" t="inlineStr">
        <is>
          <t>PriceCharting</t>
        </is>
      </c>
      <c r="M658" s="4" t="inlineStr">
        <is>
          <t>https://www.pricecharting.com/game/pokemon-primal-clash/booster-box</t>
        </is>
      </c>
    </row>
    <row r="659">
      <c r="A659" s="2" t="inlineStr">
        <is>
          <t>Prismatic Evolutions Booster Bundle Display Box</t>
        </is>
      </c>
      <c r="B659" s="3">
        <f>IF(H659&lt;&gt;"",H659,IF(I659&lt;&gt;"",I659,IF(J659&lt;&gt;"",J659,K659)))</f>
        <v>1334.97</v>
      </c>
      <c r="C659" s="3">
        <f>MEDIAN(H659:K659)</f>
        <v>1334.97</v>
      </c>
      <c r="D659" s="3">
        <f>ROUND(C659*(1-Settings!$B$2),2)</f>
        <v>934.48</v>
      </c>
      <c r="E659" s="2" t="inlineStr">
        <is>
          <t>Pokemon</t>
        </is>
      </c>
      <c r="F659" s="2" t="inlineStr">
        <is>
          <t>Box</t>
        </is>
      </c>
      <c r="G659" s="2" t="inlineStr">
        <is>
          <t>Prismatic Evolutions</t>
        </is>
      </c>
      <c r="H659" s="3" t="n">
        <v>1334.97</v>
      </c>
      <c r="I659" s="3" t="n"/>
      <c r="J659" s="3" t="n"/>
      <c r="K659" s="3" t="n"/>
      <c r="L659" s="2" t="inlineStr">
        <is>
          <t>PriceCharting</t>
        </is>
      </c>
      <c r="M659" s="4" t="inlineStr">
        <is>
          <t>https://www.pricecharting.com/game/pokemon-prismatic-evolutions/booster-bundle-display-box</t>
        </is>
      </c>
    </row>
    <row r="660">
      <c r="A660" s="2" t="inlineStr">
        <is>
          <t>Rebel Clash Half Booster Box</t>
        </is>
      </c>
      <c r="B660" s="3">
        <f>IF(H660&lt;&gt;"",H660,IF(I660&lt;&gt;"",I660,IF(J660&lt;&gt;"",J660,K660)))</f>
        <v>179.85</v>
      </c>
      <c r="C660" s="3">
        <f>MEDIAN(H660:K660)</f>
        <v>179.85</v>
      </c>
      <c r="D660" s="3">
        <f>ROUND(C660*(1-Settings!$B$2),2)</f>
        <v>125.9</v>
      </c>
      <c r="E660" s="2" t="inlineStr">
        <is>
          <t>Pokemon</t>
        </is>
      </c>
      <c r="F660" s="2" t="inlineStr">
        <is>
          <t>Box</t>
        </is>
      </c>
      <c r="G660" s="2" t="inlineStr">
        <is>
          <t>Rebel Clash</t>
        </is>
      </c>
      <c r="H660" s="3" t="n">
        <v>179.85</v>
      </c>
      <c r="I660" s="3" t="n"/>
      <c r="J660" s="3" t="n"/>
      <c r="K660" s="3" t="n"/>
      <c r="L660" s="2" t="inlineStr">
        <is>
          <t>PriceCharting</t>
        </is>
      </c>
      <c r="M660" s="4" t="inlineStr">
        <is>
          <t>https://www.pricecharting.com/game/pokemon-rebel-clash/half-booster-box</t>
        </is>
      </c>
    </row>
    <row r="661">
      <c r="A661" s="2" t="inlineStr">
        <is>
          <t>Rising Rivals Booster Box</t>
        </is>
      </c>
      <c r="B661" s="3">
        <f>IF(H661&lt;&gt;"",H661,IF(I661&lt;&gt;"",I661,IF(J661&lt;&gt;"",J661,K661)))</f>
        <v>4893.46</v>
      </c>
      <c r="C661" s="3">
        <f>MEDIAN(H661:K661)</f>
        <v>4893.46</v>
      </c>
      <c r="D661" s="3">
        <f>ROUND(C661*(1-Settings!$B$2),2)</f>
        <v>3425.42</v>
      </c>
      <c r="E661" s="2" t="inlineStr">
        <is>
          <t>Pokemon</t>
        </is>
      </c>
      <c r="F661" s="2" t="inlineStr">
        <is>
          <t>Box</t>
        </is>
      </c>
      <c r="G661" s="2" t="inlineStr">
        <is>
          <t>Rising Rivals</t>
        </is>
      </c>
      <c r="H661" s="3" t="n">
        <v>4893.46</v>
      </c>
      <c r="I661" s="3" t="n"/>
      <c r="J661" s="3" t="n"/>
      <c r="K661" s="3" t="n"/>
      <c r="L661" s="2" t="inlineStr">
        <is>
          <t>PriceCharting + TCGplayer</t>
        </is>
      </c>
      <c r="M661" s="4" t="inlineStr">
        <is>
          <t>https://www.pricecharting.com/game/pokemon-rising-rivals/booster-box</t>
        </is>
      </c>
      <c r="N661" s="4" t="inlineStr">
        <is>
          <t>https://www.tcgplayer.com/product/98543</t>
        </is>
      </c>
    </row>
    <row r="662">
      <c r="A662" s="2" t="inlineStr">
        <is>
          <t>Roaring Skies Booster Box</t>
        </is>
      </c>
      <c r="B662" s="3">
        <f>IF(H662&lt;&gt;"",H662,IF(I662&lt;&gt;"",I662,IF(J662&lt;&gt;"",J662,K662)))</f>
        <v>4509.29</v>
      </c>
      <c r="C662" s="3">
        <f>MEDIAN(H662:K662)</f>
        <v>4509.29</v>
      </c>
      <c r="D662" s="3">
        <f>ROUND(C662*(1-Settings!$B$2),2)</f>
        <v>3156.5</v>
      </c>
      <c r="E662" s="2" t="inlineStr">
        <is>
          <t>Pokemon</t>
        </is>
      </c>
      <c r="F662" s="2" t="inlineStr">
        <is>
          <t>Box</t>
        </is>
      </c>
      <c r="G662" s="2" t="inlineStr">
        <is>
          <t>Roaring Skies</t>
        </is>
      </c>
      <c r="H662" s="3" t="n">
        <v>4509.29</v>
      </c>
      <c r="I662" s="3" t="n"/>
      <c r="J662" s="3" t="n"/>
      <c r="K662" s="3" t="n"/>
      <c r="L662" s="2" t="inlineStr">
        <is>
          <t>PriceCharting</t>
        </is>
      </c>
      <c r="M662" s="4" t="inlineStr">
        <is>
          <t>https://www.pricecharting.com/game/pokemon-roaring-skies/booster-box</t>
        </is>
      </c>
    </row>
    <row r="663">
      <c r="A663" s="2" t="inlineStr">
        <is>
          <t>Dark Phantasma Booster Box</t>
        </is>
      </c>
      <c r="B663" s="3">
        <f>IF(H663&lt;&gt;"",H663,IF(I663&lt;&gt;"",I663,IF(J663&lt;&gt;"",J663,K663)))</f>
        <v>144.62</v>
      </c>
      <c r="C663" s="3">
        <f>MEDIAN(H663:K663)</f>
        <v>134.805</v>
      </c>
      <c r="D663" s="3">
        <f>ROUND(C663*(1-Settings!$B$2),2)</f>
        <v>94.36</v>
      </c>
      <c r="E663" s="2" t="inlineStr">
        <is>
          <t>Pokemon</t>
        </is>
      </c>
      <c r="F663" s="2" t="inlineStr">
        <is>
          <t>Box</t>
        </is>
      </c>
      <c r="G663" s="2" t="inlineStr">
        <is>
          <t>S10a: Dark Phantasma</t>
        </is>
      </c>
      <c r="H663" s="3" t="n"/>
      <c r="I663" s="3" t="n">
        <v>144.62</v>
      </c>
      <c r="J663" s="3" t="n"/>
      <c r="K663" s="3" t="n">
        <v>124.99</v>
      </c>
      <c r="L663" s="2" t="inlineStr">
        <is>
          <t>TCGplayer</t>
        </is>
      </c>
      <c r="N663" s="4" t="inlineStr">
        <is>
          <t>https://www.tcgplayer.com/product/575042</t>
        </is>
      </c>
    </row>
    <row r="664">
      <c r="A664" s="2" t="inlineStr">
        <is>
          <t>Pokemon GO Booster Box</t>
        </is>
      </c>
      <c r="B664" s="3">
        <f>IF(H664&lt;&gt;"",H664,IF(I664&lt;&gt;"",I664,IF(J664&lt;&gt;"",J664,K664)))</f>
        <v>124.35</v>
      </c>
      <c r="C664" s="3">
        <f>MEDIAN(H664:K664)</f>
        <v>137.17000000000002</v>
      </c>
      <c r="D664" s="3">
        <f>ROUND(C664*(1-Settings!$B$2),2)</f>
        <v>96.02</v>
      </c>
      <c r="E664" s="2" t="inlineStr">
        <is>
          <t>Pokemon</t>
        </is>
      </c>
      <c r="F664" s="2" t="inlineStr">
        <is>
          <t>Box</t>
        </is>
      </c>
      <c r="G664" s="2" t="inlineStr">
        <is>
          <t>S10b: Pokemon GO</t>
        </is>
      </c>
      <c r="H664" s="3" t="n"/>
      <c r="I664" s="3" t="n">
        <v>124.35</v>
      </c>
      <c r="J664" s="3" t="n"/>
      <c r="K664" s="3" t="n">
        <v>149.99</v>
      </c>
      <c r="L664" s="2" t="inlineStr">
        <is>
          <t>TCGplayer</t>
        </is>
      </c>
      <c r="N664" s="4" t="inlineStr">
        <is>
          <t>https://www.tcgplayer.com/product/575040</t>
        </is>
      </c>
    </row>
    <row r="665">
      <c r="A665" s="2" t="inlineStr">
        <is>
          <t>Time Gazer Booster Box</t>
        </is>
      </c>
      <c r="B665" s="3">
        <f>IF(H665&lt;&gt;"",H665,IF(I665&lt;&gt;"",I665,IF(J665&lt;&gt;"",J665,K665)))</f>
        <v>142.92</v>
      </c>
      <c r="C665" s="3">
        <f>MEDIAN(H665:K665)</f>
        <v>113.96</v>
      </c>
      <c r="D665" s="3">
        <f>ROUND(C665*(1-Settings!$B$2),2)</f>
        <v>79.77</v>
      </c>
      <c r="E665" s="2" t="inlineStr">
        <is>
          <t>Pokemon</t>
        </is>
      </c>
      <c r="F665" s="2" t="inlineStr">
        <is>
          <t>Box</t>
        </is>
      </c>
      <c r="G665" s="2" t="inlineStr">
        <is>
          <t>S10D: Time Gazer</t>
        </is>
      </c>
      <c r="H665" s="3" t="n"/>
      <c r="I665" s="3" t="n">
        <v>142.92</v>
      </c>
      <c r="J665" s="3" t="n"/>
      <c r="K665" s="3" t="n">
        <v>85</v>
      </c>
      <c r="L665" s="2" t="inlineStr">
        <is>
          <t>TCGplayer</t>
        </is>
      </c>
      <c r="N665" s="4" t="inlineStr">
        <is>
          <t>https://www.tcgplayer.com/product/571832</t>
        </is>
      </c>
    </row>
    <row r="666">
      <c r="A666" s="2" t="inlineStr">
        <is>
          <t>Space Juggler Booster Box</t>
        </is>
      </c>
      <c r="B666" s="3">
        <f>IF(H666&lt;&gt;"",H666,IF(I666&lt;&gt;"",I666,IF(J666&lt;&gt;"",J666,K666)))</f>
        <v>130.03</v>
      </c>
      <c r="C666" s="3">
        <f>MEDIAN(H666:K666)</f>
        <v>104.015</v>
      </c>
      <c r="D666" s="3">
        <f>ROUND(C666*(1-Settings!$B$2),2)</f>
        <v>72.81</v>
      </c>
      <c r="E666" s="2" t="inlineStr">
        <is>
          <t>Pokemon</t>
        </is>
      </c>
      <c r="F666" s="2" t="inlineStr">
        <is>
          <t>Box</t>
        </is>
      </c>
      <c r="G666" s="2" t="inlineStr">
        <is>
          <t>S10P: Space Juggler</t>
        </is>
      </c>
      <c r="H666" s="3" t="n"/>
      <c r="I666" s="3" t="n">
        <v>130.03</v>
      </c>
      <c r="J666" s="3" t="n"/>
      <c r="K666" s="3" t="n">
        <v>78</v>
      </c>
      <c r="L666" s="2" t="inlineStr">
        <is>
          <t>TCGplayer</t>
        </is>
      </c>
      <c r="N666" s="4" t="inlineStr">
        <is>
          <t>https://www.tcgplayer.com/product/575036</t>
        </is>
      </c>
    </row>
    <row r="667">
      <c r="A667" s="2" t="inlineStr">
        <is>
          <t>Lost Abyss Booster Box</t>
        </is>
      </c>
      <c r="B667" s="3">
        <f>IF(H667&lt;&gt;"",H667,IF(I667&lt;&gt;"",I667,IF(J667&lt;&gt;"",J667,K667)))</f>
        <v>350.54</v>
      </c>
      <c r="C667" s="3">
        <f>MEDIAN(H667:K667)</f>
        <v>232.77</v>
      </c>
      <c r="D667" s="3">
        <f>ROUND(C667*(1-Settings!$B$2),2)</f>
        <v>162.94</v>
      </c>
      <c r="E667" s="2" t="inlineStr">
        <is>
          <t>Pokemon</t>
        </is>
      </c>
      <c r="F667" s="2" t="inlineStr">
        <is>
          <t>Box</t>
        </is>
      </c>
      <c r="G667" s="2" t="inlineStr">
        <is>
          <t>S11: Lost Abyss</t>
        </is>
      </c>
      <c r="H667" s="3" t="n"/>
      <c r="I667" s="3" t="n">
        <v>350.54</v>
      </c>
      <c r="J667" s="3" t="n"/>
      <c r="K667" s="3" t="n">
        <v>115</v>
      </c>
      <c r="L667" s="2" t="inlineStr">
        <is>
          <t>TCGplayer</t>
        </is>
      </c>
      <c r="N667" s="4" t="inlineStr">
        <is>
          <t>https://www.tcgplayer.com/product/574954</t>
        </is>
      </c>
    </row>
    <row r="668">
      <c r="A668" s="2" t="inlineStr">
        <is>
          <t>Incandescent Arcana Booster Box</t>
        </is>
      </c>
      <c r="B668" s="3">
        <f>IF(H668&lt;&gt;"",H668,IF(I668&lt;&gt;"",I668,IF(J668&lt;&gt;"",J668,K668)))</f>
        <v>95.93</v>
      </c>
      <c r="C668" s="3">
        <f>MEDIAN(H668:K668)</f>
        <v>94.46000000000001</v>
      </c>
      <c r="D668" s="3">
        <f>ROUND(C668*(1-Settings!$B$2),2)</f>
        <v>66.12</v>
      </c>
      <c r="E668" s="2" t="inlineStr">
        <is>
          <t>Pokemon</t>
        </is>
      </c>
      <c r="F668" s="2" t="inlineStr">
        <is>
          <t>Box</t>
        </is>
      </c>
      <c r="G668" s="2" t="inlineStr">
        <is>
          <t>S11a: Incandescent Arcana</t>
        </is>
      </c>
      <c r="H668" s="3" t="n"/>
      <c r="I668" s="3" t="n">
        <v>95.93000000000001</v>
      </c>
      <c r="J668" s="3" t="n"/>
      <c r="K668" s="3" t="n">
        <v>92.98999999999999</v>
      </c>
      <c r="L668" s="2" t="inlineStr">
        <is>
          <t>TCGplayer</t>
        </is>
      </c>
      <c r="N668" s="4" t="inlineStr">
        <is>
          <t>https://www.tcgplayer.com/product/574876</t>
        </is>
      </c>
    </row>
    <row r="669">
      <c r="A669" s="2" t="inlineStr">
        <is>
          <t>Paradigm Trigger Booster Box</t>
        </is>
      </c>
      <c r="B669" s="3">
        <f>IF(H669&lt;&gt;"",H669,IF(I669&lt;&gt;"",I669,IF(J669&lt;&gt;"",J669,K669)))</f>
        <v>160.7</v>
      </c>
      <c r="C669" s="3">
        <f>MEDIAN(H669:K669)</f>
        <v>142.85</v>
      </c>
      <c r="D669" s="3">
        <f>ROUND(C669*(1-Settings!$B$2),2)</f>
        <v>100.0</v>
      </c>
      <c r="E669" s="2" t="inlineStr">
        <is>
          <t>Pokemon</t>
        </is>
      </c>
      <c r="F669" s="2" t="inlineStr">
        <is>
          <t>Box</t>
        </is>
      </c>
      <c r="G669" s="2" t="inlineStr">
        <is>
          <t>S12: Paradigm Trigger</t>
        </is>
      </c>
      <c r="H669" s="3" t="n"/>
      <c r="I669" s="3" t="n">
        <v>160.7</v>
      </c>
      <c r="J669" s="3" t="n"/>
      <c r="K669" s="3" t="n">
        <v>125</v>
      </c>
      <c r="L669" s="2" t="inlineStr">
        <is>
          <t>TCGplayer</t>
        </is>
      </c>
      <c r="N669" s="4" t="inlineStr">
        <is>
          <t>https://www.tcgplayer.com/product/565250</t>
        </is>
      </c>
    </row>
    <row r="670">
      <c r="A670" s="2" t="inlineStr">
        <is>
          <t>VSTAR Universe Booster Box</t>
        </is>
      </c>
      <c r="B670" s="3">
        <f>IF(H670&lt;&gt;"",H670,IF(I670&lt;&gt;"",I670,IF(J670&lt;&gt;"",J670,K670)))</f>
        <v>219.28</v>
      </c>
      <c r="C670" s="3">
        <f>MEDIAN(H670:K670)</f>
        <v>197.135</v>
      </c>
      <c r="D670" s="3">
        <f>ROUND(C670*(1-Settings!$B$2),2)</f>
        <v>137.99</v>
      </c>
      <c r="E670" s="2" t="inlineStr">
        <is>
          <t>Pokemon</t>
        </is>
      </c>
      <c r="F670" s="2" t="inlineStr">
        <is>
          <t>Box</t>
        </is>
      </c>
      <c r="G670" s="2" t="inlineStr">
        <is>
          <t>S12a: VSTAR Universe</t>
        </is>
      </c>
      <c r="H670" s="3" t="n"/>
      <c r="I670" s="3" t="n">
        <v>219.28</v>
      </c>
      <c r="J670" s="3" t="n"/>
      <c r="K670" s="3" t="n">
        <v>174.99</v>
      </c>
      <c r="L670" s="2" t="inlineStr">
        <is>
          <t>TCGplayer</t>
        </is>
      </c>
      <c r="N670" s="4" t="inlineStr">
        <is>
          <t>https://www.tcgplayer.com/product/565252</t>
        </is>
      </c>
    </row>
    <row r="671">
      <c r="A671" s="2" t="inlineStr">
        <is>
          <t>VMAX Rising Booster Box</t>
        </is>
      </c>
      <c r="B671" s="3">
        <f>IF(H671&lt;&gt;"",H671,IF(I671&lt;&gt;"",I671,IF(J671&lt;&gt;"",J671,K671)))</f>
        <v>585.0</v>
      </c>
      <c r="C671" s="3">
        <f>MEDIAN(H671:K671)</f>
        <v>585.0</v>
      </c>
      <c r="D671" s="3">
        <f>ROUND(C671*(1-Settings!$B$2),2)</f>
        <v>409.5</v>
      </c>
      <c r="E671" s="2" t="inlineStr">
        <is>
          <t>Pokemon</t>
        </is>
      </c>
      <c r="F671" s="2" t="inlineStr">
        <is>
          <t>Box</t>
        </is>
      </c>
      <c r="G671" s="2" t="inlineStr">
        <is>
          <t>S1a: VMAX Rising</t>
        </is>
      </c>
      <c r="H671" s="3" t="n"/>
      <c r="I671" s="3" t="n"/>
      <c r="J671" s="3" t="n"/>
      <c r="K671" s="3" t="n">
        <v>585</v>
      </c>
      <c r="L671" s="2" t="inlineStr">
        <is>
          <t>TCGplayer</t>
        </is>
      </c>
      <c r="N671" s="4" t="inlineStr">
        <is>
          <t>https://www.tcgplayer.com/product/574874</t>
        </is>
      </c>
    </row>
    <row r="672">
      <c r="A672" s="2" t="inlineStr">
        <is>
          <t>Sword Booster Box</t>
        </is>
      </c>
      <c r="B672" s="3">
        <f>IF(H672&lt;&gt;"",H672,IF(I672&lt;&gt;"",I672,IF(J672&lt;&gt;"",J672,K672)))</f>
        <v>84.99</v>
      </c>
      <c r="C672" s="3">
        <f>MEDIAN(H672:K672)</f>
        <v>84.99</v>
      </c>
      <c r="D672" s="3">
        <f>ROUND(C672*(1-Settings!$B$2),2)</f>
        <v>59.49</v>
      </c>
      <c r="E672" s="2" t="inlineStr">
        <is>
          <t>Pokemon</t>
        </is>
      </c>
      <c r="F672" s="2" t="inlineStr">
        <is>
          <t>Box</t>
        </is>
      </c>
      <c r="G672" s="2" t="inlineStr">
        <is>
          <t>S1W: Sword</t>
        </is>
      </c>
      <c r="H672" s="3" t="n"/>
      <c r="I672" s="3" t="n"/>
      <c r="J672" s="3" t="n"/>
      <c r="K672" s="3" t="n">
        <v>84.98999999999999</v>
      </c>
      <c r="L672" s="2" t="inlineStr">
        <is>
          <t>TCGplayer</t>
        </is>
      </c>
      <c r="N672" s="4" t="inlineStr">
        <is>
          <t>https://www.tcgplayer.com/product/574796</t>
        </is>
      </c>
    </row>
    <row r="673">
      <c r="A673" s="2" t="inlineStr">
        <is>
          <t>Rebellion Crash Booster Box</t>
        </is>
      </c>
      <c r="B673" s="3">
        <f>IF(H673&lt;&gt;"",H673,IF(I673&lt;&gt;"",I673,IF(J673&lt;&gt;"",J673,K673)))</f>
        <v>450.0</v>
      </c>
      <c r="C673" s="3">
        <f>MEDIAN(H673:K673)</f>
        <v>450.0</v>
      </c>
      <c r="D673" s="3">
        <f>ROUND(C673*(1-Settings!$B$2),2)</f>
        <v>315.0</v>
      </c>
      <c r="E673" s="2" t="inlineStr">
        <is>
          <t>Pokemon</t>
        </is>
      </c>
      <c r="F673" s="2" t="inlineStr">
        <is>
          <t>Box</t>
        </is>
      </c>
      <c r="G673" s="2" t="inlineStr">
        <is>
          <t>S2: Rebellion Crash</t>
        </is>
      </c>
      <c r="H673" s="3" t="n"/>
      <c r="I673" s="3" t="n"/>
      <c r="J673" s="3" t="n"/>
      <c r="K673" s="3" t="n">
        <v>450</v>
      </c>
      <c r="L673" s="2" t="inlineStr">
        <is>
          <t>TCGplayer</t>
        </is>
      </c>
      <c r="N673" s="4" t="inlineStr">
        <is>
          <t>https://www.tcgplayer.com/product/574371</t>
        </is>
      </c>
    </row>
    <row r="674">
      <c r="A674" s="2" t="inlineStr">
        <is>
          <t>Explosive Walker Booster Box</t>
        </is>
      </c>
      <c r="B674" s="3">
        <f>IF(H674&lt;&gt;"",H674,IF(I674&lt;&gt;"",I674,IF(J674&lt;&gt;"",J674,K674)))</f>
        <v>187.5</v>
      </c>
      <c r="C674" s="3">
        <f>MEDIAN(H674:K674)</f>
        <v>187.5</v>
      </c>
      <c r="D674" s="3">
        <f>ROUND(C674*(1-Settings!$B$2),2)</f>
        <v>131.25</v>
      </c>
      <c r="E674" s="2" t="inlineStr">
        <is>
          <t>Pokemon</t>
        </is>
      </c>
      <c r="F674" s="2" t="inlineStr">
        <is>
          <t>Box</t>
        </is>
      </c>
      <c r="G674" s="2" t="inlineStr">
        <is>
          <t>S2a: Explosive Walker</t>
        </is>
      </c>
      <c r="H674" s="3" t="n"/>
      <c r="I674" s="3" t="n">
        <v>187.5</v>
      </c>
      <c r="J674" s="3" t="n"/>
      <c r="K674" s="3" t="n"/>
      <c r="L674" s="2" t="inlineStr">
        <is>
          <t>TCGplayer</t>
        </is>
      </c>
      <c r="N674" s="4" t="inlineStr">
        <is>
          <t>https://www.tcgplayer.com/product/571840</t>
        </is>
      </c>
    </row>
    <row r="675">
      <c r="A675" s="2" t="inlineStr">
        <is>
          <t>Infinity Zone Booster Box</t>
        </is>
      </c>
      <c r="B675" s="3">
        <f>IF(H675&lt;&gt;"",H675,IF(I675&lt;&gt;"",I675,IF(J675&lt;&gt;"",J675,K675)))</f>
        <v>189.99</v>
      </c>
      <c r="C675" s="3">
        <f>MEDIAN(H675:K675)</f>
        <v>369.995</v>
      </c>
      <c r="D675" s="3">
        <f>ROUND(C675*(1-Settings!$B$2),2)</f>
        <v>259.0</v>
      </c>
      <c r="E675" s="2" t="inlineStr">
        <is>
          <t>Pokemon</t>
        </is>
      </c>
      <c r="F675" s="2" t="inlineStr">
        <is>
          <t>Box</t>
        </is>
      </c>
      <c r="G675" s="2" t="inlineStr">
        <is>
          <t>S3: Infinity Zone</t>
        </is>
      </c>
      <c r="H675" s="3" t="n"/>
      <c r="I675" s="3" t="n">
        <v>189.99</v>
      </c>
      <c r="J675" s="3" t="n"/>
      <c r="K675" s="3" t="n">
        <v>550</v>
      </c>
      <c r="L675" s="2" t="inlineStr">
        <is>
          <t>TCGplayer</t>
        </is>
      </c>
      <c r="N675" s="4" t="inlineStr">
        <is>
          <t>https://www.tcgplayer.com/product/571838</t>
        </is>
      </c>
    </row>
    <row r="676">
      <c r="A676" s="2" t="inlineStr">
        <is>
          <t>Legendary Heartbeat Booster Box</t>
        </is>
      </c>
      <c r="B676" s="3">
        <f>IF(H676&lt;&gt;"",H676,IF(I676&lt;&gt;"",I676,IF(J676&lt;&gt;"",J676,K676)))</f>
        <v>172.45</v>
      </c>
      <c r="C676" s="3">
        <f>MEDIAN(H676:K676)</f>
        <v>211.22</v>
      </c>
      <c r="D676" s="3">
        <f>ROUND(C676*(1-Settings!$B$2),2)</f>
        <v>147.85</v>
      </c>
      <c r="E676" s="2" t="inlineStr">
        <is>
          <t>Pokemon</t>
        </is>
      </c>
      <c r="F676" s="2" t="inlineStr">
        <is>
          <t>Box</t>
        </is>
      </c>
      <c r="G676" s="2" t="inlineStr">
        <is>
          <t>S3a: Legendary Heartbeat</t>
        </is>
      </c>
      <c r="H676" s="3" t="n"/>
      <c r="I676" s="3" t="n">
        <v>172.45</v>
      </c>
      <c r="J676" s="3" t="n"/>
      <c r="K676" s="3" t="n">
        <v>249.99</v>
      </c>
      <c r="L676" s="2" t="inlineStr">
        <is>
          <t>TCGplayer</t>
        </is>
      </c>
      <c r="N676" s="4" t="inlineStr">
        <is>
          <t>https://www.tcgplayer.com/product/571836</t>
        </is>
      </c>
    </row>
    <row r="677">
      <c r="A677" s="2" t="inlineStr">
        <is>
          <t>Amazing Volt Tackle Booster Box</t>
        </is>
      </c>
      <c r="B677" s="3">
        <f>IF(H677&lt;&gt;"",H677,IF(I677&lt;&gt;"",I677,IF(J677&lt;&gt;"",J677,K677)))</f>
        <v>169.88</v>
      </c>
      <c r="C677" s="3">
        <f>MEDIAN(H677:K677)</f>
        <v>209.94</v>
      </c>
      <c r="D677" s="3">
        <f>ROUND(C677*(1-Settings!$B$2),2)</f>
        <v>146.96</v>
      </c>
      <c r="E677" s="2" t="inlineStr">
        <is>
          <t>Pokemon</t>
        </is>
      </c>
      <c r="F677" s="2" t="inlineStr">
        <is>
          <t>Box</t>
        </is>
      </c>
      <c r="G677" s="2" t="inlineStr">
        <is>
          <t>S4: Amazing Volt Tackle</t>
        </is>
      </c>
      <c r="H677" s="3" t="n"/>
      <c r="I677" s="3" t="n">
        <v>169.88</v>
      </c>
      <c r="J677" s="3" t="n"/>
      <c r="K677" s="3" t="n">
        <v>250</v>
      </c>
      <c r="L677" s="2" t="inlineStr">
        <is>
          <t>TCGplayer</t>
        </is>
      </c>
      <c r="N677" s="4" t="inlineStr">
        <is>
          <t>https://www.tcgplayer.com/product/565373</t>
        </is>
      </c>
    </row>
    <row r="678">
      <c r="A678" s="2" t="inlineStr">
        <is>
          <t>Shiny Star V Booster Box</t>
        </is>
      </c>
      <c r="B678" s="3">
        <f>IF(H678&lt;&gt;"",H678,IF(I678&lt;&gt;"",I678,IF(J678&lt;&gt;"",J678,K678)))</f>
        <v>168.17</v>
      </c>
      <c r="C678" s="3">
        <f>MEDIAN(H678:K678)</f>
        <v>166.485</v>
      </c>
      <c r="D678" s="3">
        <f>ROUND(C678*(1-Settings!$B$2),2)</f>
        <v>116.54</v>
      </c>
      <c r="E678" s="2" t="inlineStr">
        <is>
          <t>Pokemon</t>
        </is>
      </c>
      <c r="F678" s="2" t="inlineStr">
        <is>
          <t>Box</t>
        </is>
      </c>
      <c r="G678" s="2" t="inlineStr">
        <is>
          <t>S4a: Shiny Star V</t>
        </is>
      </c>
      <c r="H678" s="3" t="n"/>
      <c r="I678" s="3" t="n">
        <v>168.17</v>
      </c>
      <c r="J678" s="3" t="n"/>
      <c r="K678" s="3" t="n">
        <v>164.8</v>
      </c>
      <c r="L678" s="2" t="inlineStr">
        <is>
          <t>TCGplayer</t>
        </is>
      </c>
      <c r="N678" s="4" t="inlineStr">
        <is>
          <t>https://www.tcgplayer.com/product/565369</t>
        </is>
      </c>
    </row>
    <row r="679">
      <c r="A679" s="2" t="inlineStr">
        <is>
          <t>Peerless Fighters Master Booster Box</t>
        </is>
      </c>
      <c r="B679" s="3">
        <f>IF(H679&lt;&gt;"",H679,IF(I679&lt;&gt;"",I679,IF(J679&lt;&gt;"",J679,K679)))</f>
        <v>170.55</v>
      </c>
      <c r="C679" s="3">
        <f>MEDIAN(H679:K679)</f>
        <v>184.275</v>
      </c>
      <c r="D679" s="3">
        <f>ROUND(C679*(1-Settings!$B$2),2)</f>
        <v>128.99</v>
      </c>
      <c r="E679" s="2" t="inlineStr">
        <is>
          <t>Pokemon</t>
        </is>
      </c>
      <c r="F679" s="2" t="inlineStr">
        <is>
          <t>Box</t>
        </is>
      </c>
      <c r="G679" s="2" t="inlineStr">
        <is>
          <t>S5a: Peerless Fighters</t>
        </is>
      </c>
      <c r="H679" s="3" t="n"/>
      <c r="I679" s="3" t="n">
        <v>170.55</v>
      </c>
      <c r="J679" s="3" t="n"/>
      <c r="K679" s="3" t="n">
        <v>198</v>
      </c>
      <c r="L679" s="2" t="inlineStr">
        <is>
          <t>TCGplayer</t>
        </is>
      </c>
      <c r="N679" s="4" t="inlineStr">
        <is>
          <t>https://www.tcgplayer.com/product/565362</t>
        </is>
      </c>
    </row>
    <row r="680">
      <c r="A680" s="2" t="inlineStr">
        <is>
          <t>Single Strike Master Booster Box</t>
        </is>
      </c>
      <c r="B680" s="3">
        <f>IF(H680&lt;&gt;"",H680,IF(I680&lt;&gt;"",I680,IF(J680&lt;&gt;"",J680,K680)))</f>
        <v>174.36</v>
      </c>
      <c r="C680" s="3">
        <f>MEDIAN(H680:K680)</f>
        <v>200.175</v>
      </c>
      <c r="D680" s="3">
        <f>ROUND(C680*(1-Settings!$B$2),2)</f>
        <v>140.12</v>
      </c>
      <c r="E680" s="2" t="inlineStr">
        <is>
          <t>Pokemon</t>
        </is>
      </c>
      <c r="F680" s="2" t="inlineStr">
        <is>
          <t>Box</t>
        </is>
      </c>
      <c r="G680" s="2" t="inlineStr">
        <is>
          <t>S5I: Single Strike Master</t>
        </is>
      </c>
      <c r="H680" s="3" t="n"/>
      <c r="I680" s="3" t="n">
        <v>174.36</v>
      </c>
      <c r="J680" s="3" t="n"/>
      <c r="K680" s="3" t="n">
        <v>225.99</v>
      </c>
      <c r="L680" s="2" t="inlineStr">
        <is>
          <t>TCGplayer</t>
        </is>
      </c>
      <c r="N680" s="4" t="inlineStr">
        <is>
          <t>https://www.tcgplayer.com/product/565361</t>
        </is>
      </c>
    </row>
    <row r="681">
      <c r="A681" s="2" t="inlineStr">
        <is>
          <t>Rapid Strike Master Booster Box</t>
        </is>
      </c>
      <c r="B681" s="3">
        <f>IF(H681&lt;&gt;"",H681,IF(I681&lt;&gt;"",I681,IF(J681&lt;&gt;"",J681,K681)))</f>
        <v>169.07</v>
      </c>
      <c r="C681" s="3">
        <f>MEDIAN(H681:K681)</f>
        <v>197.53</v>
      </c>
      <c r="D681" s="3">
        <f>ROUND(C681*(1-Settings!$B$2),2)</f>
        <v>138.27</v>
      </c>
      <c r="E681" s="2" t="inlineStr">
        <is>
          <t>Pokemon</t>
        </is>
      </c>
      <c r="F681" s="2" t="inlineStr">
        <is>
          <t>Box</t>
        </is>
      </c>
      <c r="G681" s="2" t="inlineStr">
        <is>
          <t>S5R: Rapid Strike Master</t>
        </is>
      </c>
      <c r="H681" s="3" t="n"/>
      <c r="I681" s="3" t="n">
        <v>169.07</v>
      </c>
      <c r="J681" s="3" t="n"/>
      <c r="K681" s="3" t="n">
        <v>225.99</v>
      </c>
      <c r="L681" s="2" t="inlineStr">
        <is>
          <t>TCGplayer</t>
        </is>
      </c>
      <c r="N681" s="4" t="inlineStr">
        <is>
          <t>https://www.tcgplayer.com/product/565358</t>
        </is>
      </c>
    </row>
    <row r="682">
      <c r="A682" s="2" t="inlineStr">
        <is>
          <t>Eevee Heroes Booster Box</t>
        </is>
      </c>
      <c r="B682" s="3">
        <f>IF(H682&lt;&gt;"",H682,IF(I682&lt;&gt;"",I682,IF(J682&lt;&gt;"",J682,K682)))</f>
        <v>841.16</v>
      </c>
      <c r="C682" s="3">
        <f>MEDIAN(H682:K682)</f>
        <v>529.5799999999999</v>
      </c>
      <c r="D682" s="3">
        <f>ROUND(C682*(1-Settings!$B$2),2)</f>
        <v>370.71</v>
      </c>
      <c r="E682" s="2" t="inlineStr">
        <is>
          <t>Pokemon</t>
        </is>
      </c>
      <c r="F682" s="2" t="inlineStr">
        <is>
          <t>Box</t>
        </is>
      </c>
      <c r="G682" s="2" t="inlineStr">
        <is>
          <t>S6a: Eevee Heroes</t>
        </is>
      </c>
      <c r="H682" s="3" t="n"/>
      <c r="I682" s="3" t="n">
        <v>841.16</v>
      </c>
      <c r="J682" s="3" t="n"/>
      <c r="K682" s="3" t="n">
        <v>218</v>
      </c>
      <c r="L682" s="2" t="inlineStr">
        <is>
          <t>TCGplayer</t>
        </is>
      </c>
      <c r="N682" s="4" t="inlineStr">
        <is>
          <t>https://www.tcgplayer.com/product/565351</t>
        </is>
      </c>
    </row>
    <row r="683">
      <c r="A683" s="2" t="inlineStr">
        <is>
          <t>Silver Lance Booster Box</t>
        </is>
      </c>
      <c r="B683" s="3">
        <f>IF(H683&lt;&gt;"",H683,IF(I683&lt;&gt;"",I683,IF(J683&lt;&gt;"",J683,K683)))</f>
        <v>95.56</v>
      </c>
      <c r="C683" s="3">
        <f>MEDIAN(H683:K683)</f>
        <v>85.28</v>
      </c>
      <c r="D683" s="3">
        <f>ROUND(C683*(1-Settings!$B$2),2)</f>
        <v>59.7</v>
      </c>
      <c r="E683" s="2" t="inlineStr">
        <is>
          <t>Pokemon</t>
        </is>
      </c>
      <c r="F683" s="2" t="inlineStr">
        <is>
          <t>Box</t>
        </is>
      </c>
      <c r="G683" s="2" t="inlineStr">
        <is>
          <t>S6H: Silver Lance</t>
        </is>
      </c>
      <c r="H683" s="3" t="n"/>
      <c r="I683" s="3" t="n">
        <v>95.56</v>
      </c>
      <c r="J683" s="3" t="n"/>
      <c r="K683" s="3" t="n">
        <v>75</v>
      </c>
      <c r="L683" s="2" t="inlineStr">
        <is>
          <t>TCGplayer</t>
        </is>
      </c>
      <c r="N683" s="4" t="inlineStr">
        <is>
          <t>https://www.tcgplayer.com/product/565348</t>
        </is>
      </c>
    </row>
    <row r="684">
      <c r="A684" s="2" t="inlineStr">
        <is>
          <t>Jet-Black Spirit Booster Box</t>
        </is>
      </c>
      <c r="B684" s="3">
        <f>IF(H684&lt;&gt;"",H684,IF(I684&lt;&gt;"",I684,IF(J684&lt;&gt;"",J684,K684)))</f>
        <v>108.33</v>
      </c>
      <c r="C684" s="3">
        <f>MEDIAN(H684:K684)</f>
        <v>91.66499999999999</v>
      </c>
      <c r="D684" s="3">
        <f>ROUND(C684*(1-Settings!$B$2),2)</f>
        <v>64.17</v>
      </c>
      <c r="E684" s="2" t="inlineStr">
        <is>
          <t>Pokemon</t>
        </is>
      </c>
      <c r="F684" s="2" t="inlineStr">
        <is>
          <t>Box</t>
        </is>
      </c>
      <c r="G684" s="2" t="inlineStr">
        <is>
          <t>S6K: Jet-Black Spirit</t>
        </is>
      </c>
      <c r="H684" s="3" t="n"/>
      <c r="I684" s="3" t="n">
        <v>108.33</v>
      </c>
      <c r="J684" s="3" t="n"/>
      <c r="K684" s="3" t="n">
        <v>75</v>
      </c>
      <c r="L684" s="2" t="inlineStr">
        <is>
          <t>TCGplayer</t>
        </is>
      </c>
      <c r="N684" s="4" t="inlineStr">
        <is>
          <t>https://www.tcgplayer.com/product/565347</t>
        </is>
      </c>
    </row>
    <row r="685">
      <c r="A685" s="2" t="inlineStr">
        <is>
          <t>Skyscraping Perfection Booster Box</t>
        </is>
      </c>
      <c r="B685" s="3">
        <f>IF(H685&lt;&gt;"",H685,IF(I685&lt;&gt;"",I685,IF(J685&lt;&gt;"",J685,K685)))</f>
        <v>129.26</v>
      </c>
      <c r="C685" s="3">
        <f>MEDIAN(H685:K685)</f>
        <v>131.03</v>
      </c>
      <c r="D685" s="3">
        <f>ROUND(C685*(1-Settings!$B$2),2)</f>
        <v>91.72</v>
      </c>
      <c r="E685" s="2" t="inlineStr">
        <is>
          <t>Pokemon</t>
        </is>
      </c>
      <c r="F685" s="2" t="inlineStr">
        <is>
          <t>Box</t>
        </is>
      </c>
      <c r="G685" s="2" t="inlineStr">
        <is>
          <t>S7D: Skyscraping Perfection</t>
        </is>
      </c>
      <c r="H685" s="3" t="n"/>
      <c r="I685" s="3" t="n">
        <v>129.26</v>
      </c>
      <c r="J685" s="3" t="n"/>
      <c r="K685" s="3" t="n">
        <v>132.8</v>
      </c>
      <c r="L685" s="2" t="inlineStr">
        <is>
          <t>TCGplayer</t>
        </is>
      </c>
      <c r="N685" s="4" t="inlineStr">
        <is>
          <t>https://www.tcgplayer.com/product/565344</t>
        </is>
      </c>
    </row>
    <row r="686">
      <c r="A686" s="2" t="inlineStr">
        <is>
          <t>Blue Sky Stream Booster Box</t>
        </is>
      </c>
      <c r="B686" s="3">
        <f>IF(H686&lt;&gt;"",H686,IF(I686&lt;&gt;"",I686,IF(J686&lt;&gt;"",J686,K686)))</f>
        <v>1371.01</v>
      </c>
      <c r="C686" s="3">
        <f>MEDIAN(H686:K686)</f>
        <v>773.0</v>
      </c>
      <c r="D686" s="3">
        <f>ROUND(C686*(1-Settings!$B$2),2)</f>
        <v>541.1</v>
      </c>
      <c r="E686" s="2" t="inlineStr">
        <is>
          <t>Pokemon</t>
        </is>
      </c>
      <c r="F686" s="2" t="inlineStr">
        <is>
          <t>Box</t>
        </is>
      </c>
      <c r="G686" s="2" t="inlineStr">
        <is>
          <t>S7R: Blue Sky Stream</t>
        </is>
      </c>
      <c r="H686" s="3" t="n"/>
      <c r="I686" s="3" t="n">
        <v>1371.01</v>
      </c>
      <c r="J686" s="3" t="n"/>
      <c r="K686" s="3" t="n">
        <v>174.99</v>
      </c>
      <c r="L686" s="2" t="inlineStr">
        <is>
          <t>TCGplayer</t>
        </is>
      </c>
      <c r="N686" s="4" t="inlineStr">
        <is>
          <t>https://www.tcgplayer.com/product/565343</t>
        </is>
      </c>
    </row>
    <row r="687">
      <c r="A687" s="2" t="inlineStr">
        <is>
          <t>Fusion Arts Booster Box</t>
        </is>
      </c>
      <c r="B687" s="3">
        <f>IF(H687&lt;&gt;"",H687,IF(I687&lt;&gt;"",I687,IF(J687&lt;&gt;"",J687,K687)))</f>
        <v>302.32</v>
      </c>
      <c r="C687" s="3">
        <f>MEDIAN(H687:K687)</f>
        <v>210.66</v>
      </c>
      <c r="D687" s="3">
        <f>ROUND(C687*(1-Settings!$B$2),2)</f>
        <v>147.46</v>
      </c>
      <c r="E687" s="2" t="inlineStr">
        <is>
          <t>Pokemon</t>
        </is>
      </c>
      <c r="F687" s="2" t="inlineStr">
        <is>
          <t>Box</t>
        </is>
      </c>
      <c r="G687" s="2" t="inlineStr">
        <is>
          <t>S8: Fusion Arts</t>
        </is>
      </c>
      <c r="H687" s="3" t="n"/>
      <c r="I687" s="3" t="n">
        <v>302.32</v>
      </c>
      <c r="J687" s="3" t="n"/>
      <c r="K687" s="3" t="n">
        <v>119</v>
      </c>
      <c r="L687" s="2" t="inlineStr">
        <is>
          <t>TCGplayer</t>
        </is>
      </c>
      <c r="N687" s="4" t="inlineStr">
        <is>
          <t>https://www.tcgplayer.com/product/565262</t>
        </is>
      </c>
    </row>
    <row r="688">
      <c r="A688" s="2" t="inlineStr">
        <is>
          <t>25th Anniversary Collection Booster Box</t>
        </is>
      </c>
      <c r="B688" s="3">
        <f>IF(H688&lt;&gt;"",H688,IF(I688&lt;&gt;"",I688,IF(J688&lt;&gt;"",J688,K688)))</f>
        <v>381.31</v>
      </c>
      <c r="C688" s="3">
        <f>MEDIAN(H688:K688)</f>
        <v>381.31</v>
      </c>
      <c r="D688" s="3">
        <f>ROUND(C688*(1-Settings!$B$2),2)</f>
        <v>266.92</v>
      </c>
      <c r="E688" s="2" t="inlineStr">
        <is>
          <t>Pokemon</t>
        </is>
      </c>
      <c r="F688" s="2" t="inlineStr">
        <is>
          <t>Box</t>
        </is>
      </c>
      <c r="G688" s="2" t="inlineStr">
        <is>
          <t>S8a: 25th Anniversary Collection</t>
        </is>
      </c>
      <c r="H688" s="3" t="n"/>
      <c r="I688" s="3" t="n">
        <v>381.31</v>
      </c>
      <c r="J688" s="3" t="n"/>
      <c r="K688" s="3" t="n"/>
      <c r="L688" s="2" t="inlineStr">
        <is>
          <t>TCGplayer</t>
        </is>
      </c>
      <c r="N688" s="4" t="inlineStr">
        <is>
          <t>https://www.tcgplayer.com/product/565260</t>
        </is>
      </c>
    </row>
    <row r="689">
      <c r="A689" s="2" t="inlineStr">
        <is>
          <t>VMAX Climax Booster Box</t>
        </is>
      </c>
      <c r="B689" s="3">
        <f>IF(H689&lt;&gt;"",H689,IF(I689&lt;&gt;"",I689,IF(J689&lt;&gt;"",J689,K689)))</f>
        <v>233.31</v>
      </c>
      <c r="C689" s="3">
        <f>MEDIAN(H689:K689)</f>
        <v>196.655</v>
      </c>
      <c r="D689" s="3">
        <f>ROUND(C689*(1-Settings!$B$2),2)</f>
        <v>137.66</v>
      </c>
      <c r="E689" s="2" t="inlineStr">
        <is>
          <t>Pokemon</t>
        </is>
      </c>
      <c r="F689" s="2" t="inlineStr">
        <is>
          <t>Box</t>
        </is>
      </c>
      <c r="G689" s="2" t="inlineStr">
        <is>
          <t>S8b: VMAX Climax</t>
        </is>
      </c>
      <c r="H689" s="3" t="n"/>
      <c r="I689" s="3" t="n">
        <v>233.31</v>
      </c>
      <c r="J689" s="3" t="n"/>
      <c r="K689" s="3" t="n">
        <v>160</v>
      </c>
      <c r="L689" s="2" t="inlineStr">
        <is>
          <t>TCGplayer</t>
        </is>
      </c>
      <c r="N689" s="4" t="inlineStr">
        <is>
          <t>https://www.tcgplayer.com/product/565259</t>
        </is>
      </c>
    </row>
    <row r="690">
      <c r="A690" s="2" t="inlineStr">
        <is>
          <t>Star Birth Booster Box</t>
        </is>
      </c>
      <c r="B690" s="3">
        <f>IF(H690&lt;&gt;"",H690,IF(I690&lt;&gt;"",I690,IF(J690&lt;&gt;"",J690,K690)))</f>
        <v>171.4</v>
      </c>
      <c r="C690" s="3">
        <f>MEDIAN(H690:K690)</f>
        <v>123.2</v>
      </c>
      <c r="D690" s="3">
        <f>ROUND(C690*(1-Settings!$B$2),2)</f>
        <v>86.24</v>
      </c>
      <c r="E690" s="2" t="inlineStr">
        <is>
          <t>Pokemon</t>
        </is>
      </c>
      <c r="F690" s="2" t="inlineStr">
        <is>
          <t>Box</t>
        </is>
      </c>
      <c r="G690" s="2" t="inlineStr">
        <is>
          <t>S9: Star Birth</t>
        </is>
      </c>
      <c r="H690" s="3" t="n"/>
      <c r="I690" s="3" t="n">
        <v>171.4</v>
      </c>
      <c r="J690" s="3" t="n"/>
      <c r="K690" s="3" t="n">
        <v>75</v>
      </c>
      <c r="L690" s="2" t="inlineStr">
        <is>
          <t>TCGplayer</t>
        </is>
      </c>
      <c r="N690" s="4" t="inlineStr">
        <is>
          <t>https://www.tcgplayer.com/product/565256</t>
        </is>
      </c>
    </row>
    <row r="691">
      <c r="A691" s="2" t="inlineStr">
        <is>
          <t>Battle Region Booster Box</t>
        </is>
      </c>
      <c r="B691" s="3">
        <f>IF(H691&lt;&gt;"",H691,IF(I691&lt;&gt;"",I691,IF(J691&lt;&gt;"",J691,K691)))</f>
        <v>93.89</v>
      </c>
      <c r="C691" s="3">
        <f>MEDIAN(H691:K691)</f>
        <v>93.89</v>
      </c>
      <c r="D691" s="3">
        <f>ROUND(C691*(1-Settings!$B$2),2)</f>
        <v>65.72</v>
      </c>
      <c r="E691" s="2" t="inlineStr">
        <is>
          <t>Pokemon</t>
        </is>
      </c>
      <c r="F691" s="2" t="inlineStr">
        <is>
          <t>Box</t>
        </is>
      </c>
      <c r="G691" s="2" t="inlineStr">
        <is>
          <t>S9a: Battle Region</t>
        </is>
      </c>
      <c r="H691" s="3" t="n"/>
      <c r="I691" s="3" t="n">
        <v>93.89</v>
      </c>
      <c r="J691" s="3" t="n"/>
      <c r="K691" s="3" t="n">
        <v>93.89</v>
      </c>
      <c r="L691" s="2" t="inlineStr">
        <is>
          <t>TCGplayer</t>
        </is>
      </c>
      <c r="N691" s="4" t="inlineStr">
        <is>
          <t>https://www.tcgplayer.com/product/565255</t>
        </is>
      </c>
    </row>
    <row r="692">
      <c r="A692" s="2" t="inlineStr">
        <is>
          <t>Secret Wonders Booster Box</t>
        </is>
      </c>
      <c r="B692" s="3">
        <f>IF(H692&lt;&gt;"",H692,IF(I692&lt;&gt;"",I692,IF(J692&lt;&gt;"",J692,K692)))</f>
        <v>11400.0</v>
      </c>
      <c r="C692" s="3">
        <f>MEDIAN(H692:K692)</f>
        <v>11400.0</v>
      </c>
      <c r="D692" s="3">
        <f>ROUND(C692*(1-Settings!$B$2),2)</f>
        <v>7980.0</v>
      </c>
      <c r="E692" s="2" t="inlineStr">
        <is>
          <t>Pokemon</t>
        </is>
      </c>
      <c r="F692" s="2" t="inlineStr">
        <is>
          <t>Box</t>
        </is>
      </c>
      <c r="G692" s="2" t="inlineStr">
        <is>
          <t>Secret Wonders</t>
        </is>
      </c>
      <c r="H692" s="3" t="n">
        <v>11400</v>
      </c>
      <c r="I692" s="3" t="n"/>
      <c r="J692" s="3" t="n"/>
      <c r="K692" s="3" t="n"/>
      <c r="L692" s="2" t="inlineStr">
        <is>
          <t>PriceCharting + TCGplayer</t>
        </is>
      </c>
      <c r="M692" s="4" t="inlineStr">
        <is>
          <t>https://www.pricecharting.com/game/pokemon-secret-wonders/booster-box</t>
        </is>
      </c>
      <c r="N692" s="4" t="inlineStr">
        <is>
          <t>https://www.tcgplayer.com/product/98568</t>
        </is>
      </c>
    </row>
    <row r="693">
      <c r="A693" s="2" t="inlineStr">
        <is>
          <t>Shining Fates Mini Tins Display Box</t>
        </is>
      </c>
      <c r="B693" s="3">
        <f>IF(H693&lt;&gt;"",H693,IF(I693&lt;&gt;"",I693,IF(J693&lt;&gt;"",J693,K693)))</f>
        <v>269.24</v>
      </c>
      <c r="C693" s="3">
        <f>MEDIAN(H693:K693)</f>
        <v>269.24</v>
      </c>
      <c r="D693" s="3">
        <f>ROUND(C693*(1-Settings!$B$2),2)</f>
        <v>188.47</v>
      </c>
      <c r="E693" s="2" t="inlineStr">
        <is>
          <t>Pokemon</t>
        </is>
      </c>
      <c r="F693" s="2" t="inlineStr">
        <is>
          <t>Box</t>
        </is>
      </c>
      <c r="G693" s="2" t="inlineStr">
        <is>
          <t>Shining Fates</t>
        </is>
      </c>
      <c r="H693" s="3" t="n">
        <v>269.24</v>
      </c>
      <c r="I693" s="3" t="n"/>
      <c r="J693" s="3" t="n"/>
      <c r="K693" s="3" t="n"/>
      <c r="L693" s="2" t="inlineStr">
        <is>
          <t>PriceCharting</t>
        </is>
      </c>
      <c r="M693" s="4" t="inlineStr">
        <is>
          <t>https://www.pricecharting.com/game/pokemon-shining-fates/mini-tins-display-box</t>
        </is>
      </c>
    </row>
    <row r="694">
      <c r="A694" s="2" t="inlineStr">
        <is>
          <t>Shrouded Fable Booster Bundle Display Box</t>
        </is>
      </c>
      <c r="B694" s="3">
        <f>IF(H694&lt;&gt;"",H694,IF(I694&lt;&gt;"",I694,IF(J694&lt;&gt;"",J694,K694)))</f>
        <v>556.25</v>
      </c>
      <c r="C694" s="3">
        <f>MEDIAN(H694:K694)</f>
        <v>556.25</v>
      </c>
      <c r="D694" s="3">
        <f>ROUND(C694*(1-Settings!$B$2),2)</f>
        <v>389.38</v>
      </c>
      <c r="E694" s="2" t="inlineStr">
        <is>
          <t>Pokemon</t>
        </is>
      </c>
      <c r="F694" s="2" t="inlineStr">
        <is>
          <t>Box</t>
        </is>
      </c>
      <c r="G694" s="2" t="inlineStr">
        <is>
          <t>Shrouded Fable</t>
        </is>
      </c>
      <c r="H694" s="3" t="n">
        <v>556.25</v>
      </c>
      <c r="I694" s="3" t="n"/>
      <c r="J694" s="3" t="n"/>
      <c r="K694" s="3" t="n"/>
      <c r="L694" s="2" t="inlineStr">
        <is>
          <t>PriceCharting</t>
        </is>
      </c>
      <c r="M694" s="4" t="inlineStr">
        <is>
          <t>https://www.pricecharting.com/game/pokemon-shrouded-fable/booster-bundle-display-box</t>
        </is>
      </c>
    </row>
    <row r="695">
      <c r="A695" s="2" t="inlineStr">
        <is>
          <t>Silver Tempest Half Booster Box</t>
        </is>
      </c>
      <c r="B695" s="3">
        <f>IF(H695&lt;&gt;"",H695,IF(I695&lt;&gt;"",I695,IF(J695&lt;&gt;"",J695,K695)))</f>
        <v>263.87</v>
      </c>
      <c r="C695" s="3">
        <f>MEDIAN(H695:K695)</f>
        <v>263.87</v>
      </c>
      <c r="D695" s="3">
        <f>ROUND(C695*(1-Settings!$B$2),2)</f>
        <v>184.71</v>
      </c>
      <c r="E695" s="2" t="inlineStr">
        <is>
          <t>Pokemon</t>
        </is>
      </c>
      <c r="F695" s="2" t="inlineStr">
        <is>
          <t>Box</t>
        </is>
      </c>
      <c r="G695" s="2" t="inlineStr">
        <is>
          <t>Silver Tempest</t>
        </is>
      </c>
      <c r="H695" s="3" t="n">
        <v>263.87</v>
      </c>
      <c r="I695" s="3" t="n"/>
      <c r="J695" s="3" t="n"/>
      <c r="K695" s="3" t="n"/>
      <c r="L695" s="2" t="inlineStr">
        <is>
          <t>PriceCharting</t>
        </is>
      </c>
      <c r="M695" s="4" t="inlineStr">
        <is>
          <t>https://www.pricecharting.com/game/pokemon-silver-tempest/half-booster-box</t>
        </is>
      </c>
    </row>
    <row r="696">
      <c r="A696" s="2" t="inlineStr">
        <is>
          <t>Skyridge Booster Box</t>
        </is>
      </c>
      <c r="B696" s="3">
        <f>IF(H696&lt;&gt;"",H696,IF(I696&lt;&gt;"",I696,IF(J696&lt;&gt;"",J696,K696)))</f>
        <v>206250.0</v>
      </c>
      <c r="C696" s="3">
        <f>MEDIAN(H696:K696)</f>
        <v>206250.0</v>
      </c>
      <c r="D696" s="3">
        <f>ROUND(C696*(1-Settings!$B$2),2)</f>
        <v>144375.0</v>
      </c>
      <c r="E696" s="2" t="inlineStr">
        <is>
          <t>Pokemon</t>
        </is>
      </c>
      <c r="F696" s="2" t="inlineStr">
        <is>
          <t>Box</t>
        </is>
      </c>
      <c r="G696" s="2" t="inlineStr">
        <is>
          <t>Skyridge</t>
        </is>
      </c>
      <c r="H696" s="3" t="n">
        <v>206250</v>
      </c>
      <c r="I696" s="3" t="n"/>
      <c r="J696" s="3" t="n"/>
      <c r="K696" s="3" t="n"/>
      <c r="L696" s="2" t="inlineStr">
        <is>
          <t>PriceCharting</t>
        </is>
      </c>
      <c r="M696" s="4" t="inlineStr">
        <is>
          <t>https://www.pricecharting.com/game/pokemon-skyridge/booster-box</t>
        </is>
      </c>
    </row>
    <row r="697">
      <c r="A697" s="2" t="inlineStr">
        <is>
          <t>Burning Shadows Booster Box</t>
        </is>
      </c>
      <c r="B697" s="3">
        <f>IF(H697&lt;&gt;"",H697,IF(I697&lt;&gt;"",I697,IF(J697&lt;&gt;"",J697,K697)))</f>
        <v>1122.5</v>
      </c>
      <c r="C697" s="3">
        <f>MEDIAN(H697:K697)</f>
        <v>1221.55</v>
      </c>
      <c r="D697" s="3">
        <f>ROUND(C697*(1-Settings!$B$2),2)</f>
        <v>855.09</v>
      </c>
      <c r="E697" s="2" t="inlineStr">
        <is>
          <t>Pokemon</t>
        </is>
      </c>
      <c r="F697" s="2" t="inlineStr">
        <is>
          <t>Box</t>
        </is>
      </c>
      <c r="G697" s="2" t="inlineStr">
        <is>
          <t>SM - Burning Shadows</t>
        </is>
      </c>
      <c r="H697" s="3" t="n">
        <v>1122.5</v>
      </c>
      <c r="I697" s="3" t="n">
        <v>1243.1</v>
      </c>
      <c r="J697" s="3" t="n">
        <v>2499.97</v>
      </c>
      <c r="K697" s="3" t="n">
        <v>1200</v>
      </c>
      <c r="L697" s="2" t="inlineStr">
        <is>
          <t>PriceCharting + TCGplayer</t>
        </is>
      </c>
      <c r="M697" s="4" t="inlineStr">
        <is>
          <t>https://www.pricecharting.com/game/pokemon-burning-shadows/booster-box</t>
        </is>
      </c>
      <c r="N697" s="4" t="inlineStr">
        <is>
          <t>https://www.tcgplayer.com/product/133773</t>
        </is>
      </c>
    </row>
    <row r="698">
      <c r="A698" s="2" t="inlineStr">
        <is>
          <t>Celestial Storm Booster Box</t>
        </is>
      </c>
      <c r="B698" s="3">
        <f>IF(H698&lt;&gt;"",H698,IF(I698&lt;&gt;"",I698,IF(J698&lt;&gt;"",J698,K698)))</f>
        <v>2412.5</v>
      </c>
      <c r="C698" s="3">
        <f>MEDIAN(H698:K698)</f>
        <v>2742.91</v>
      </c>
      <c r="D698" s="3">
        <f>ROUND(C698*(1-Settings!$B$2),2)</f>
        <v>1920.04</v>
      </c>
      <c r="E698" s="2" t="inlineStr">
        <is>
          <t>Pokemon</t>
        </is>
      </c>
      <c r="F698" s="2" t="inlineStr">
        <is>
          <t>Box</t>
        </is>
      </c>
      <c r="G698" s="2" t="inlineStr">
        <is>
          <t>SM - Celestial Storm</t>
        </is>
      </c>
      <c r="H698" s="3" t="n">
        <v>2412.5</v>
      </c>
      <c r="I698" s="3" t="n">
        <v>2485.83</v>
      </c>
      <c r="J698" s="3" t="n">
        <v>3324.99</v>
      </c>
      <c r="K698" s="3" t="n">
        <v>2999.99</v>
      </c>
      <c r="L698" s="2" t="inlineStr">
        <is>
          <t>PriceCharting + TCGplayer</t>
        </is>
      </c>
      <c r="M698" s="4" t="inlineStr">
        <is>
          <t>https://www.pricecharting.com/game/pokemon-celestial-storm/booster-box</t>
        </is>
      </c>
      <c r="N698" s="4" t="inlineStr">
        <is>
          <t>https://www.tcgplayer.com/product/170273</t>
        </is>
      </c>
    </row>
    <row r="699">
      <c r="A699" s="2" t="inlineStr">
        <is>
          <t>Crimson Invasion Booster Box</t>
        </is>
      </c>
      <c r="B699" s="3">
        <f>IF(H699&lt;&gt;"",H699,IF(I699&lt;&gt;"",I699,IF(J699&lt;&gt;"",J699,K699)))</f>
        <v>636.04</v>
      </c>
      <c r="C699" s="3">
        <f>MEDIAN(H699:K699)</f>
        <v>663.9449999999999</v>
      </c>
      <c r="D699" s="3">
        <f>ROUND(C699*(1-Settings!$B$2),2)</f>
        <v>464.76</v>
      </c>
      <c r="E699" s="2" t="inlineStr">
        <is>
          <t>Pokemon</t>
        </is>
      </c>
      <c r="F699" s="2" t="inlineStr">
        <is>
          <t>Box</t>
        </is>
      </c>
      <c r="G699" s="2" t="inlineStr">
        <is>
          <t>SM - Crimson Invasion</t>
        </is>
      </c>
      <c r="H699" s="3" t="n">
        <v>636.04</v>
      </c>
      <c r="I699" s="3" t="n">
        <v>677.89</v>
      </c>
      <c r="J699" s="3" t="n">
        <v>709.9</v>
      </c>
      <c r="K699" s="3" t="n">
        <v>650</v>
      </c>
      <c r="L699" s="2" t="inlineStr">
        <is>
          <t>PriceCharting + TCGplayer</t>
        </is>
      </c>
      <c r="M699" s="4" t="inlineStr">
        <is>
          <t>https://www.pricecharting.com/game/pokemon-crimson-invasion/booster-box</t>
        </is>
      </c>
      <c r="N699" s="4" t="inlineStr">
        <is>
          <t>https://www.tcgplayer.com/product/146995</t>
        </is>
      </c>
    </row>
    <row r="700">
      <c r="A700" s="2" t="inlineStr">
        <is>
          <t>Lost Thunder Booster Box</t>
        </is>
      </c>
      <c r="B700" s="3">
        <f>IF(H700&lt;&gt;"",H700,IF(I700&lt;&gt;"",I700,IF(J700&lt;&gt;"",J700,K700)))</f>
        <v>1762.5</v>
      </c>
      <c r="C700" s="3">
        <f>MEDIAN(H700:K700)</f>
        <v>1665.415</v>
      </c>
      <c r="D700" s="3">
        <f>ROUND(C700*(1-Settings!$B$2),2)</f>
        <v>1165.79</v>
      </c>
      <c r="E700" s="2" t="inlineStr">
        <is>
          <t>Pokemon</t>
        </is>
      </c>
      <c r="F700" s="2" t="inlineStr">
        <is>
          <t>Box</t>
        </is>
      </c>
      <c r="G700" s="2" t="inlineStr">
        <is>
          <t>SM - Lost Thunder</t>
        </is>
      </c>
      <c r="H700" s="3" t="n">
        <v>1762.5</v>
      </c>
      <c r="I700" s="3" t="n">
        <v>1568.33</v>
      </c>
      <c r="J700" s="3" t="n">
        <v>2199.99</v>
      </c>
      <c r="K700" s="3" t="n">
        <v>999</v>
      </c>
      <c r="L700" s="2" t="inlineStr">
        <is>
          <t>PriceCharting + TCGplayer</t>
        </is>
      </c>
      <c r="M700" s="4" t="inlineStr">
        <is>
          <t>https://www.pricecharting.com/game/pokemon-lost-thunder/booster-box</t>
        </is>
      </c>
      <c r="N700" s="4" t="inlineStr">
        <is>
          <t>https://www.tcgplayer.com/product/175509</t>
        </is>
      </c>
    </row>
    <row r="701">
      <c r="A701" s="2" t="inlineStr">
        <is>
          <t>Team Up Booster Box</t>
        </is>
      </c>
      <c r="B701" s="3">
        <f>IF(H701&lt;&gt;"",H701,IF(I701&lt;&gt;"",I701,IF(J701&lt;&gt;"",J701,K701)))</f>
        <v>12500.0</v>
      </c>
      <c r="C701" s="3">
        <f>MEDIAN(H701:K701)</f>
        <v>12725.0</v>
      </c>
      <c r="D701" s="3">
        <f>ROUND(C701*(1-Settings!$B$2),2)</f>
        <v>8907.5</v>
      </c>
      <c r="E701" s="2" t="inlineStr">
        <is>
          <t>Pokemon</t>
        </is>
      </c>
      <c r="F701" s="2" t="inlineStr">
        <is>
          <t>Box</t>
        </is>
      </c>
      <c r="G701" s="2" t="inlineStr">
        <is>
          <t>SM - Team Up</t>
        </is>
      </c>
      <c r="H701" s="3" t="n">
        <v>12500</v>
      </c>
      <c r="I701" s="3" t="n">
        <v>11725</v>
      </c>
      <c r="J701" s="3" t="n">
        <v>19999.84</v>
      </c>
      <c r="K701" s="3" t="n">
        <v>12950</v>
      </c>
      <c r="L701" s="2" t="inlineStr">
        <is>
          <t>PriceCharting + TCGplayer</t>
        </is>
      </c>
      <c r="M701" s="4" t="inlineStr">
        <is>
          <t>https://www.pricecharting.com/game/pokemon-team-up/booster-box</t>
        </is>
      </c>
      <c r="N701" s="4" t="inlineStr">
        <is>
          <t>https://www.tcgplayer.com/product/181698</t>
        </is>
      </c>
    </row>
    <row r="702">
      <c r="A702" s="2" t="inlineStr">
        <is>
          <t>Unbroken Bonds Booster Box</t>
        </is>
      </c>
      <c r="B702" s="3">
        <f>IF(H702&lt;&gt;"",H702,IF(I702&lt;&gt;"",I702,IF(J702&lt;&gt;"",J702,K702)))</f>
        <v>2500.0</v>
      </c>
      <c r="C702" s="3">
        <f>MEDIAN(H702:K702)</f>
        <v>2666.25</v>
      </c>
      <c r="D702" s="3">
        <f>ROUND(C702*(1-Settings!$B$2),2)</f>
        <v>1866.38</v>
      </c>
      <c r="E702" s="2" t="inlineStr">
        <is>
          <t>Pokemon</t>
        </is>
      </c>
      <c r="F702" s="2" t="inlineStr">
        <is>
          <t>Box</t>
        </is>
      </c>
      <c r="G702" s="2" t="inlineStr">
        <is>
          <t>SM - Unbroken Bonds</t>
        </is>
      </c>
      <c r="H702" s="3" t="n">
        <v>2500</v>
      </c>
      <c r="I702" s="3" t="n">
        <v>2560.51</v>
      </c>
      <c r="J702" s="3" t="n">
        <v>3605.49</v>
      </c>
      <c r="K702" s="3" t="n">
        <v>2771.99</v>
      </c>
      <c r="L702" s="2" t="inlineStr">
        <is>
          <t>PriceCharting + TCGplayer</t>
        </is>
      </c>
      <c r="M702" s="4" t="inlineStr">
        <is>
          <t>https://www.pricecharting.com/game/pokemon-unbroken-bonds/booster-box</t>
        </is>
      </c>
      <c r="N702" s="4" t="inlineStr">
        <is>
          <t>https://www.tcgplayer.com/product/185717</t>
        </is>
      </c>
    </row>
    <row r="703">
      <c r="A703" s="2" t="inlineStr">
        <is>
          <t>Unified Minds Booster Box</t>
        </is>
      </c>
      <c r="B703" s="3">
        <f>IF(H703&lt;&gt;"",H703,IF(I703&lt;&gt;"",I703,IF(J703&lt;&gt;"",J703,K703)))</f>
        <v>2925.0</v>
      </c>
      <c r="C703" s="3">
        <f>MEDIAN(H703:K703)</f>
        <v>3364.59</v>
      </c>
      <c r="D703" s="3">
        <f>ROUND(C703*(1-Settings!$B$2),2)</f>
        <v>2355.21</v>
      </c>
      <c r="E703" s="2" t="inlineStr">
        <is>
          <t>Pokemon</t>
        </is>
      </c>
      <c r="F703" s="2" t="inlineStr">
        <is>
          <t>Box</t>
        </is>
      </c>
      <c r="G703" s="2" t="inlineStr">
        <is>
          <t>SM - Unified Minds</t>
        </is>
      </c>
      <c r="H703" s="3" t="n">
        <v>2925</v>
      </c>
      <c r="I703" s="3" t="n">
        <v>3240.3</v>
      </c>
      <c r="J703" s="3" t="n">
        <v>4400</v>
      </c>
      <c r="K703" s="3" t="n">
        <v>3488.88</v>
      </c>
      <c r="L703" s="2" t="inlineStr">
        <is>
          <t>PriceCharting + TCGplayer</t>
        </is>
      </c>
      <c r="M703" s="4" t="inlineStr">
        <is>
          <t>https://www.pricecharting.com/game/pokemon-unified-minds/booster-box</t>
        </is>
      </c>
      <c r="N703" s="4" t="inlineStr">
        <is>
          <t>https://www.tcgplayer.com/product/191882</t>
        </is>
      </c>
    </row>
    <row r="704">
      <c r="A704" s="2" t="inlineStr">
        <is>
          <t>Sun &amp; Moon Booster Box</t>
        </is>
      </c>
      <c r="B704" s="3">
        <f>IF(H704&lt;&gt;"",H704,IF(I704&lt;&gt;"",I704,IF(J704&lt;&gt;"",J704,K704)))</f>
        <v>995.35</v>
      </c>
      <c r="C704" s="3">
        <f>MEDIAN(H704:K704)</f>
        <v>1040.0</v>
      </c>
      <c r="D704" s="3">
        <f>ROUND(C704*(1-Settings!$B$2),2)</f>
        <v>728.0</v>
      </c>
      <c r="E704" s="2" t="inlineStr">
        <is>
          <t>Pokemon</t>
        </is>
      </c>
      <c r="F704" s="2" t="inlineStr">
        <is>
          <t>Box</t>
        </is>
      </c>
      <c r="G704" s="2" t="inlineStr">
        <is>
          <t>SM Base Set</t>
        </is>
      </c>
      <c r="H704" s="3" t="n"/>
      <c r="I704" s="3" t="n">
        <v>995.35</v>
      </c>
      <c r="J704" s="3" t="n">
        <v>1099.99</v>
      </c>
      <c r="K704" s="3" t="n">
        <v>1040</v>
      </c>
      <c r="L704" s="2" t="inlineStr">
        <is>
          <t>TCGplayer</t>
        </is>
      </c>
      <c r="N704" s="4" t="inlineStr">
        <is>
          <t>https://www.tcgplayer.com/product/126048</t>
        </is>
      </c>
    </row>
    <row r="705">
      <c r="A705" s="2" t="inlineStr">
        <is>
          <t>Double Blaze Booster Box</t>
        </is>
      </c>
      <c r="B705" s="3">
        <f>IF(H705&lt;&gt;"",H705,IF(I705&lt;&gt;"",I705,IF(J705&lt;&gt;"",J705,K705)))</f>
        <v>549.99</v>
      </c>
      <c r="C705" s="3">
        <f>MEDIAN(H705:K705)</f>
        <v>699.99</v>
      </c>
      <c r="D705" s="3">
        <f>ROUND(C705*(1-Settings!$B$2),2)</f>
        <v>489.99</v>
      </c>
      <c r="E705" s="2" t="inlineStr">
        <is>
          <t>Pokemon</t>
        </is>
      </c>
      <c r="F705" s="2" t="inlineStr">
        <is>
          <t>Box</t>
        </is>
      </c>
      <c r="G705" s="2" t="inlineStr">
        <is>
          <t>SM10: Double Blaze</t>
        </is>
      </c>
      <c r="H705" s="3" t="n"/>
      <c r="I705" s="3" t="n">
        <v>549.99</v>
      </c>
      <c r="J705" s="3" t="n"/>
      <c r="K705" s="3" t="n">
        <v>849.99</v>
      </c>
      <c r="L705" s="2" t="inlineStr">
        <is>
          <t>TCGplayer</t>
        </is>
      </c>
      <c r="N705" s="4" t="inlineStr">
        <is>
          <t>https://www.tcgplayer.com/product/576914</t>
        </is>
      </c>
    </row>
    <row r="706">
      <c r="A706" s="2" t="inlineStr">
        <is>
          <t>GG End Booster Box</t>
        </is>
      </c>
      <c r="B706" s="3">
        <f>IF(H706&lt;&gt;"",H706,IF(I706&lt;&gt;"",I706,IF(J706&lt;&gt;"",J706,K706)))</f>
        <v>595.0</v>
      </c>
      <c r="C706" s="3">
        <f>MEDIAN(H706:K706)</f>
        <v>1194.995</v>
      </c>
      <c r="D706" s="3">
        <f>ROUND(C706*(1-Settings!$B$2),2)</f>
        <v>836.5</v>
      </c>
      <c r="E706" s="2" t="inlineStr">
        <is>
          <t>Pokemon</t>
        </is>
      </c>
      <c r="F706" s="2" t="inlineStr">
        <is>
          <t>Box</t>
        </is>
      </c>
      <c r="G706" s="2" t="inlineStr">
        <is>
          <t>SM10a: GG End</t>
        </is>
      </c>
      <c r="H706" s="3" t="n"/>
      <c r="I706" s="3" t="n">
        <v>595</v>
      </c>
      <c r="J706" s="3" t="n"/>
      <c r="K706" s="3" t="n">
        <v>1794.99</v>
      </c>
      <c r="L706" s="2" t="inlineStr">
        <is>
          <t>TCGplayer</t>
        </is>
      </c>
      <c r="N706" s="4" t="inlineStr">
        <is>
          <t>https://www.tcgplayer.com/product/576951</t>
        </is>
      </c>
    </row>
    <row r="707">
      <c r="A707" s="2" t="inlineStr">
        <is>
          <t>Sky Legend Booster Box</t>
        </is>
      </c>
      <c r="B707" s="3">
        <f>IF(H707&lt;&gt;"",H707,IF(I707&lt;&gt;"",I707,IF(J707&lt;&gt;"",J707,K707)))</f>
        <v>615.0</v>
      </c>
      <c r="C707" s="3">
        <f>MEDIAN(H707:K707)</f>
        <v>731.995</v>
      </c>
      <c r="D707" s="3">
        <f>ROUND(C707*(1-Settings!$B$2),2)</f>
        <v>512.4</v>
      </c>
      <c r="E707" s="2" t="inlineStr">
        <is>
          <t>Pokemon</t>
        </is>
      </c>
      <c r="F707" s="2" t="inlineStr">
        <is>
          <t>Box</t>
        </is>
      </c>
      <c r="G707" s="2" t="inlineStr">
        <is>
          <t>SM10b: Sky Legend</t>
        </is>
      </c>
      <c r="H707" s="3" t="n"/>
      <c r="I707" s="3" t="n">
        <v>615</v>
      </c>
      <c r="J707" s="3" t="n"/>
      <c r="K707" s="3" t="n">
        <v>848.99</v>
      </c>
      <c r="L707" s="2" t="inlineStr">
        <is>
          <t>TCGplayer</t>
        </is>
      </c>
      <c r="N707" s="4" t="inlineStr">
        <is>
          <t>https://www.tcgplayer.com/product/576953</t>
        </is>
      </c>
    </row>
    <row r="708">
      <c r="A708" s="2" t="inlineStr">
        <is>
          <t>Miracle Twin Booster Box</t>
        </is>
      </c>
      <c r="B708" s="3">
        <f>IF(H708&lt;&gt;"",H708,IF(I708&lt;&gt;"",I708,IF(J708&lt;&gt;"",J708,K708)))</f>
        <v>1099.9</v>
      </c>
      <c r="C708" s="3">
        <f>MEDIAN(H708:K708)</f>
        <v>1099.9</v>
      </c>
      <c r="D708" s="3">
        <f>ROUND(C708*(1-Settings!$B$2),2)</f>
        <v>769.93</v>
      </c>
      <c r="E708" s="2" t="inlineStr">
        <is>
          <t>Pokemon</t>
        </is>
      </c>
      <c r="F708" s="2" t="inlineStr">
        <is>
          <t>Box</t>
        </is>
      </c>
      <c r="G708" s="2" t="inlineStr">
        <is>
          <t>SM11: Miracle Twin</t>
        </is>
      </c>
      <c r="H708" s="3" t="n"/>
      <c r="I708" s="3" t="n"/>
      <c r="J708" s="3" t="n"/>
      <c r="K708" s="3" t="n">
        <v>1099.9</v>
      </c>
      <c r="L708" s="2" t="inlineStr">
        <is>
          <t>TCGplayer</t>
        </is>
      </c>
      <c r="N708" s="4" t="inlineStr">
        <is>
          <t>https://www.tcgplayer.com/product/576917</t>
        </is>
      </c>
    </row>
    <row r="709">
      <c r="A709" s="2" t="inlineStr">
        <is>
          <t>Remix Bout Booster Box</t>
        </is>
      </c>
      <c r="B709" s="3">
        <f>IF(H709&lt;&gt;"",H709,IF(I709&lt;&gt;"",I709,IF(J709&lt;&gt;"",J709,K709)))</f>
        <v>648.99</v>
      </c>
      <c r="C709" s="3">
        <f>MEDIAN(H709:K709)</f>
        <v>924.49</v>
      </c>
      <c r="D709" s="3">
        <f>ROUND(C709*(1-Settings!$B$2),2)</f>
        <v>647.14</v>
      </c>
      <c r="E709" s="2" t="inlineStr">
        <is>
          <t>Pokemon</t>
        </is>
      </c>
      <c r="F709" s="2" t="inlineStr">
        <is>
          <t>Box</t>
        </is>
      </c>
      <c r="G709" s="2" t="inlineStr">
        <is>
          <t>SM11a: Remix Bout</t>
        </is>
      </c>
      <c r="H709" s="3" t="n"/>
      <c r="I709" s="3" t="n">
        <v>648.99</v>
      </c>
      <c r="J709" s="3" t="n"/>
      <c r="K709" s="3" t="n">
        <v>1199.99</v>
      </c>
      <c r="L709" s="2" t="inlineStr">
        <is>
          <t>TCGplayer</t>
        </is>
      </c>
      <c r="N709" s="4" t="inlineStr">
        <is>
          <t>https://www.tcgplayer.com/product/576955</t>
        </is>
      </c>
    </row>
    <row r="710">
      <c r="A710" s="2" t="inlineStr">
        <is>
          <t>Dream League Booster Box</t>
        </is>
      </c>
      <c r="B710" s="3">
        <f>IF(H710&lt;&gt;"",H710,IF(I710&lt;&gt;"",I710,IF(J710&lt;&gt;"",J710,K710)))</f>
        <v>770.0</v>
      </c>
      <c r="C710" s="3">
        <f>MEDIAN(H710:K710)</f>
        <v>834.995</v>
      </c>
      <c r="D710" s="3">
        <f>ROUND(C710*(1-Settings!$B$2),2)</f>
        <v>584.5</v>
      </c>
      <c r="E710" s="2" t="inlineStr">
        <is>
          <t>Pokemon</t>
        </is>
      </c>
      <c r="F710" s="2" t="inlineStr">
        <is>
          <t>Box</t>
        </is>
      </c>
      <c r="G710" s="2" t="inlineStr">
        <is>
          <t>SM11b: Dream League</t>
        </is>
      </c>
      <c r="H710" s="3" t="n"/>
      <c r="I710" s="3" t="n">
        <v>770</v>
      </c>
      <c r="J710" s="3" t="n"/>
      <c r="K710" s="3" t="n">
        <v>899.99</v>
      </c>
      <c r="L710" s="2" t="inlineStr">
        <is>
          <t>TCGplayer</t>
        </is>
      </c>
      <c r="N710" s="4" t="inlineStr">
        <is>
          <t>https://www.tcgplayer.com/product/576957</t>
        </is>
      </c>
    </row>
    <row r="711">
      <c r="A711" s="2" t="inlineStr">
        <is>
          <t>Alter Genesis Booster Box</t>
        </is>
      </c>
      <c r="B711" s="3">
        <f>IF(H711&lt;&gt;"",H711,IF(I711&lt;&gt;"",I711,IF(J711&lt;&gt;"",J711,K711)))</f>
        <v>599.0</v>
      </c>
      <c r="C711" s="3">
        <f>MEDIAN(H711:K711)</f>
        <v>669.475</v>
      </c>
      <c r="D711" s="3">
        <f>ROUND(C711*(1-Settings!$B$2),2)</f>
        <v>468.63</v>
      </c>
      <c r="E711" s="2" t="inlineStr">
        <is>
          <t>Pokemon</t>
        </is>
      </c>
      <c r="F711" s="2" t="inlineStr">
        <is>
          <t>Box</t>
        </is>
      </c>
      <c r="G711" s="2" t="inlineStr">
        <is>
          <t>SM12: Alter Genesis</t>
        </is>
      </c>
      <c r="H711" s="3" t="n"/>
      <c r="I711" s="3" t="n">
        <v>599</v>
      </c>
      <c r="J711" s="3" t="n"/>
      <c r="K711" s="3" t="n">
        <v>739.95</v>
      </c>
      <c r="L711" s="2" t="inlineStr">
        <is>
          <t>TCGplayer</t>
        </is>
      </c>
      <c r="N711" s="4" t="inlineStr">
        <is>
          <t>https://www.tcgplayer.com/product/576919</t>
        </is>
      </c>
    </row>
    <row r="712">
      <c r="A712" s="2" t="inlineStr">
        <is>
          <t>TAG TEAM GX: Tag All Stars Booster Box</t>
        </is>
      </c>
      <c r="B712" s="3">
        <f>IF(H712&lt;&gt;"",H712,IF(I712&lt;&gt;"",I712,IF(J712&lt;&gt;"",J712,K712)))</f>
        <v>963.37</v>
      </c>
      <c r="C712" s="3">
        <f>MEDIAN(H712:K712)</f>
        <v>1131.685</v>
      </c>
      <c r="D712" s="3">
        <f>ROUND(C712*(1-Settings!$B$2),2)</f>
        <v>792.18</v>
      </c>
      <c r="E712" s="2" t="inlineStr">
        <is>
          <t>Pokemon</t>
        </is>
      </c>
      <c r="F712" s="2" t="inlineStr">
        <is>
          <t>Box</t>
        </is>
      </c>
      <c r="G712" s="2" t="inlineStr">
        <is>
          <t>SM12a: TAG TEAM GX: Tag All Stars</t>
        </is>
      </c>
      <c r="H712" s="3" t="n"/>
      <c r="I712" s="3" t="n">
        <v>963.37</v>
      </c>
      <c r="J712" s="3" t="n"/>
      <c r="K712" s="3" t="n">
        <v>1300</v>
      </c>
      <c r="L712" s="2" t="inlineStr">
        <is>
          <t>TCGplayer</t>
        </is>
      </c>
      <c r="N712" s="4" t="inlineStr">
        <is>
          <t>https://www.tcgplayer.com/product/576964</t>
        </is>
      </c>
    </row>
    <row r="713">
      <c r="A713" s="2" t="inlineStr">
        <is>
          <t>Ultra Force Booster Box</t>
        </is>
      </c>
      <c r="B713" s="3">
        <f>IF(H713&lt;&gt;"",H713,IF(I713&lt;&gt;"",I713,IF(J713&lt;&gt;"",J713,K713)))</f>
        <v>235.0</v>
      </c>
      <c r="C713" s="3">
        <f>MEDIAN(H713:K713)</f>
        <v>467.5</v>
      </c>
      <c r="D713" s="3">
        <f>ROUND(C713*(1-Settings!$B$2),2)</f>
        <v>327.25</v>
      </c>
      <c r="E713" s="2" t="inlineStr">
        <is>
          <t>Pokemon</t>
        </is>
      </c>
      <c r="F713" s="2" t="inlineStr">
        <is>
          <t>Box</t>
        </is>
      </c>
      <c r="G713" s="2" t="inlineStr">
        <is>
          <t>SM5+: Ultra Force</t>
        </is>
      </c>
      <c r="H713" s="3" t="n"/>
      <c r="I713" s="3" t="n">
        <v>235</v>
      </c>
      <c r="J713" s="3" t="n"/>
      <c r="K713" s="3" t="n">
        <v>700</v>
      </c>
      <c r="L713" s="2" t="inlineStr">
        <is>
          <t>TCGplayer</t>
        </is>
      </c>
      <c r="N713" s="4" t="inlineStr">
        <is>
          <t>https://www.tcgplayer.com/product/576927</t>
        </is>
      </c>
    </row>
    <row r="714">
      <c r="A714" s="2" t="inlineStr">
        <is>
          <t>Ultra Sun Booster Box</t>
        </is>
      </c>
      <c r="B714" s="3">
        <f>IF(H714&lt;&gt;"",H714,IF(I714&lt;&gt;"",I714,IF(J714&lt;&gt;"",J714,K714)))</f>
        <v>500.0</v>
      </c>
      <c r="C714" s="3">
        <f>MEDIAN(H714:K714)</f>
        <v>500.0</v>
      </c>
      <c r="D714" s="3">
        <f>ROUND(C714*(1-Settings!$B$2),2)</f>
        <v>350.0</v>
      </c>
      <c r="E714" s="2" t="inlineStr">
        <is>
          <t>Pokemon</t>
        </is>
      </c>
      <c r="F714" s="2" t="inlineStr">
        <is>
          <t>Box</t>
        </is>
      </c>
      <c r="G714" s="2" t="inlineStr">
        <is>
          <t>SM5S: Ultra Sun</t>
        </is>
      </c>
      <c r="H714" s="3" t="n"/>
      <c r="I714" s="3" t="n">
        <v>500</v>
      </c>
      <c r="J714" s="3" t="n"/>
      <c r="K714" s="3" t="n"/>
      <c r="L714" s="2" t="inlineStr">
        <is>
          <t>TCGplayer</t>
        </is>
      </c>
      <c r="N714" s="4" t="inlineStr">
        <is>
          <t>https://www.tcgplayer.com/product/576902</t>
        </is>
      </c>
    </row>
    <row r="715">
      <c r="A715" s="2" t="inlineStr">
        <is>
          <t>Dragon Storm Booster Box</t>
        </is>
      </c>
      <c r="B715" s="3">
        <f>IF(H715&lt;&gt;"",H715,IF(I715&lt;&gt;"",I715,IF(J715&lt;&gt;"",J715,K715)))</f>
        <v>449.99</v>
      </c>
      <c r="C715" s="3">
        <f>MEDIAN(H715:K715)</f>
        <v>449.99</v>
      </c>
      <c r="D715" s="3">
        <f>ROUND(C715*(1-Settings!$B$2),2)</f>
        <v>314.99</v>
      </c>
      <c r="E715" s="2" t="inlineStr">
        <is>
          <t>Pokemon</t>
        </is>
      </c>
      <c r="F715" s="2" t="inlineStr">
        <is>
          <t>Box</t>
        </is>
      </c>
      <c r="G715" s="2" t="inlineStr">
        <is>
          <t>SM6a: Dragon Storm</t>
        </is>
      </c>
      <c r="H715" s="3" t="n"/>
      <c r="I715" s="3" t="n">
        <v>449.99</v>
      </c>
      <c r="J715" s="3" t="n"/>
      <c r="K715" s="3" t="n"/>
      <c r="L715" s="2" t="inlineStr">
        <is>
          <t>TCGplayer</t>
        </is>
      </c>
      <c r="N715" s="4" t="inlineStr">
        <is>
          <t>https://www.tcgplayer.com/product/576929</t>
        </is>
      </c>
    </row>
    <row r="716">
      <c r="A716" s="2" t="inlineStr">
        <is>
          <t>Champion Road Booster Box</t>
        </is>
      </c>
      <c r="B716" s="3">
        <f>IF(H716&lt;&gt;"",H716,IF(I716&lt;&gt;"",I716,IF(J716&lt;&gt;"",J716,K716)))</f>
        <v>820.0</v>
      </c>
      <c r="C716" s="3">
        <f>MEDIAN(H716:K716)</f>
        <v>820.0</v>
      </c>
      <c r="D716" s="3">
        <f>ROUND(C716*(1-Settings!$B$2),2)</f>
        <v>574.0</v>
      </c>
      <c r="E716" s="2" t="inlineStr">
        <is>
          <t>Pokemon</t>
        </is>
      </c>
      <c r="F716" s="2" t="inlineStr">
        <is>
          <t>Box</t>
        </is>
      </c>
      <c r="G716" s="2" t="inlineStr">
        <is>
          <t>SM6b: Champion Road</t>
        </is>
      </c>
      <c r="H716" s="3" t="n"/>
      <c r="I716" s="3" t="n"/>
      <c r="J716" s="3" t="n"/>
      <c r="K716" s="3" t="n">
        <v>820</v>
      </c>
      <c r="L716" s="2" t="inlineStr">
        <is>
          <t>TCGplayer</t>
        </is>
      </c>
      <c r="N716" s="4" t="inlineStr">
        <is>
          <t>https://www.tcgplayer.com/product/576931</t>
        </is>
      </c>
    </row>
    <row r="717">
      <c r="A717" s="2" t="inlineStr">
        <is>
          <t>Sky-Splitting Charisma Booster Box</t>
        </is>
      </c>
      <c r="B717" s="3">
        <f>IF(H717&lt;&gt;"",H717,IF(I717&lt;&gt;"",I717,IF(J717&lt;&gt;"",J717,K717)))</f>
        <v>1999.99</v>
      </c>
      <c r="C717" s="3">
        <f>MEDIAN(H717:K717)</f>
        <v>1999.99</v>
      </c>
      <c r="D717" s="3">
        <f>ROUND(C717*(1-Settings!$B$2),2)</f>
        <v>1399.99</v>
      </c>
      <c r="E717" s="2" t="inlineStr">
        <is>
          <t>Pokemon</t>
        </is>
      </c>
      <c r="F717" s="2" t="inlineStr">
        <is>
          <t>Box</t>
        </is>
      </c>
      <c r="G717" s="2" t="inlineStr">
        <is>
          <t>SM7: Sky-Splitting Charisma</t>
        </is>
      </c>
      <c r="H717" s="3" t="n"/>
      <c r="I717" s="3" t="n">
        <v>1999.99</v>
      </c>
      <c r="J717" s="3" t="n"/>
      <c r="K717" s="3" t="n"/>
      <c r="L717" s="2" t="inlineStr">
        <is>
          <t>TCGplayer</t>
        </is>
      </c>
      <c r="N717" s="4" t="inlineStr">
        <is>
          <t>https://www.tcgplayer.com/product/576908</t>
        </is>
      </c>
    </row>
    <row r="718">
      <c r="A718" s="2" t="inlineStr">
        <is>
          <t>Thunderclap Spark Booster Box</t>
        </is>
      </c>
      <c r="B718" s="3">
        <f>IF(H718&lt;&gt;"",H718,IF(I718&lt;&gt;"",I718,IF(J718&lt;&gt;"",J718,K718)))</f>
        <v>340.0</v>
      </c>
      <c r="C718" s="3">
        <f>MEDIAN(H718:K718)</f>
        <v>340.0</v>
      </c>
      <c r="D718" s="3">
        <f>ROUND(C718*(1-Settings!$B$2),2)</f>
        <v>238.0</v>
      </c>
      <c r="E718" s="2" t="inlineStr">
        <is>
          <t>Pokemon</t>
        </is>
      </c>
      <c r="F718" s="2" t="inlineStr">
        <is>
          <t>Box</t>
        </is>
      </c>
      <c r="G718" s="2" t="inlineStr">
        <is>
          <t>SM7a: Thunderclap Spark</t>
        </is>
      </c>
      <c r="H718" s="3" t="n"/>
      <c r="I718" s="3" t="n">
        <v>340</v>
      </c>
      <c r="J718" s="3" t="n"/>
      <c r="K718" s="3" t="n"/>
      <c r="L718" s="2" t="inlineStr">
        <is>
          <t>TCGplayer</t>
        </is>
      </c>
      <c r="N718" s="4" t="inlineStr">
        <is>
          <t>https://www.tcgplayer.com/product/576940</t>
        </is>
      </c>
    </row>
    <row r="719">
      <c r="A719" s="2" t="inlineStr">
        <is>
          <t>Fairy Rise Booster Box</t>
        </is>
      </c>
      <c r="B719" s="3">
        <f>IF(H719&lt;&gt;"",H719,IF(I719&lt;&gt;"",I719,IF(J719&lt;&gt;"",J719,K719)))</f>
        <v>309.99</v>
      </c>
      <c r="C719" s="3">
        <f>MEDIAN(H719:K719)</f>
        <v>394.995</v>
      </c>
      <c r="D719" s="3">
        <f>ROUND(C719*(1-Settings!$B$2),2)</f>
        <v>276.5</v>
      </c>
      <c r="E719" s="2" t="inlineStr">
        <is>
          <t>Pokemon</t>
        </is>
      </c>
      <c r="F719" s="2" t="inlineStr">
        <is>
          <t>Box</t>
        </is>
      </c>
      <c r="G719" s="2" t="inlineStr">
        <is>
          <t>SM7b: Fairy Rise</t>
        </is>
      </c>
      <c r="H719" s="3" t="n"/>
      <c r="I719" s="3" t="n">
        <v>309.99</v>
      </c>
      <c r="J719" s="3" t="n"/>
      <c r="K719" s="3" t="n">
        <v>480</v>
      </c>
      <c r="L719" s="2" t="inlineStr">
        <is>
          <t>TCGplayer</t>
        </is>
      </c>
      <c r="N719" s="4" t="inlineStr">
        <is>
          <t>https://www.tcgplayer.com/product/576942</t>
        </is>
      </c>
    </row>
    <row r="720">
      <c r="A720" s="2" t="inlineStr">
        <is>
          <t>Super-Burst Impact Booster Box</t>
        </is>
      </c>
      <c r="B720" s="3">
        <f>IF(H720&lt;&gt;"",H720,IF(I720&lt;&gt;"",I720,IF(J720&lt;&gt;"",J720,K720)))</f>
        <v>1200.0</v>
      </c>
      <c r="C720" s="3">
        <f>MEDIAN(H720:K720)</f>
        <v>1200.0</v>
      </c>
      <c r="D720" s="3">
        <f>ROUND(C720*(1-Settings!$B$2),2)</f>
        <v>840.0</v>
      </c>
      <c r="E720" s="2" t="inlineStr">
        <is>
          <t>Pokemon</t>
        </is>
      </c>
      <c r="F720" s="2" t="inlineStr">
        <is>
          <t>Box</t>
        </is>
      </c>
      <c r="G720" s="2" t="inlineStr">
        <is>
          <t>SM8: Super-Burst Impact</t>
        </is>
      </c>
      <c r="H720" s="3" t="n"/>
      <c r="I720" s="3" t="n"/>
      <c r="J720" s="3" t="n"/>
      <c r="K720" s="3" t="n">
        <v>1200</v>
      </c>
      <c r="L720" s="2" t="inlineStr">
        <is>
          <t>TCGplayer</t>
        </is>
      </c>
      <c r="N720" s="4" t="inlineStr">
        <is>
          <t>https://www.tcgplayer.com/product/576910</t>
        </is>
      </c>
    </row>
    <row r="721">
      <c r="A721" s="2" t="inlineStr">
        <is>
          <t>Dark Order Booster Box</t>
        </is>
      </c>
      <c r="B721" s="3">
        <f>IF(H721&lt;&gt;"",H721,IF(I721&lt;&gt;"",I721,IF(J721&lt;&gt;"",J721,K721)))</f>
        <v>354.96</v>
      </c>
      <c r="C721" s="3">
        <f>MEDIAN(H721:K721)</f>
        <v>354.96</v>
      </c>
      <c r="D721" s="3">
        <f>ROUND(C721*(1-Settings!$B$2),2)</f>
        <v>248.47</v>
      </c>
      <c r="E721" s="2" t="inlineStr">
        <is>
          <t>Pokemon</t>
        </is>
      </c>
      <c r="F721" s="2" t="inlineStr">
        <is>
          <t>Box</t>
        </is>
      </c>
      <c r="G721" s="2" t="inlineStr">
        <is>
          <t>SM8a: Dark Order</t>
        </is>
      </c>
      <c r="H721" s="3" t="n"/>
      <c r="I721" s="3" t="n">
        <v>354.96</v>
      </c>
      <c r="J721" s="3" t="n"/>
      <c r="K721" s="3" t="n">
        <v>354.96</v>
      </c>
      <c r="L721" s="2" t="inlineStr">
        <is>
          <t>TCGplayer</t>
        </is>
      </c>
      <c r="N721" s="4" t="inlineStr">
        <is>
          <t>https://www.tcgplayer.com/product/576944</t>
        </is>
      </c>
    </row>
    <row r="722">
      <c r="A722" s="2" t="inlineStr">
        <is>
          <t>Tag Bolt Booster Box</t>
        </is>
      </c>
      <c r="B722" s="3">
        <f>IF(H722&lt;&gt;"",H722,IF(I722&lt;&gt;"",I722,IF(J722&lt;&gt;"",J722,K722)))</f>
        <v>2999.99</v>
      </c>
      <c r="C722" s="3">
        <f>MEDIAN(H722:K722)</f>
        <v>2999.99</v>
      </c>
      <c r="D722" s="3">
        <f>ROUND(C722*(1-Settings!$B$2),2)</f>
        <v>2099.99</v>
      </c>
      <c r="E722" s="2" t="inlineStr">
        <is>
          <t>Pokemon</t>
        </is>
      </c>
      <c r="F722" s="2" t="inlineStr">
        <is>
          <t>Box</t>
        </is>
      </c>
      <c r="G722" s="2" t="inlineStr">
        <is>
          <t>SM9: Tag Bolt</t>
        </is>
      </c>
      <c r="H722" s="3" t="n"/>
      <c r="I722" s="3" t="n"/>
      <c r="J722" s="3" t="n"/>
      <c r="K722" s="3" t="n">
        <v>2999.99</v>
      </c>
      <c r="L722" s="2" t="inlineStr">
        <is>
          <t>TCGplayer</t>
        </is>
      </c>
      <c r="N722" s="4" t="inlineStr">
        <is>
          <t>https://www.tcgplayer.com/product/576912</t>
        </is>
      </c>
    </row>
    <row r="723">
      <c r="A723" s="2" t="inlineStr">
        <is>
          <t>Full Metal Wall Booster Box</t>
        </is>
      </c>
      <c r="B723" s="3">
        <f>IF(H723&lt;&gt;"",H723,IF(I723&lt;&gt;"",I723,IF(J723&lt;&gt;"",J723,K723)))</f>
        <v>425.0</v>
      </c>
      <c r="C723" s="3">
        <f>MEDIAN(H723:K723)</f>
        <v>425.0</v>
      </c>
      <c r="D723" s="3">
        <f>ROUND(C723*(1-Settings!$B$2),2)</f>
        <v>297.5</v>
      </c>
      <c r="E723" s="2" t="inlineStr">
        <is>
          <t>Pokemon</t>
        </is>
      </c>
      <c r="F723" s="2" t="inlineStr">
        <is>
          <t>Box</t>
        </is>
      </c>
      <c r="G723" s="2" t="inlineStr">
        <is>
          <t>SM9b: Full Metal Wall</t>
        </is>
      </c>
      <c r="H723" s="3" t="n"/>
      <c r="I723" s="3" t="n"/>
      <c r="J723" s="3" t="n"/>
      <c r="K723" s="3" t="n">
        <v>425</v>
      </c>
      <c r="L723" s="2" t="inlineStr">
        <is>
          <t>TCGplayer</t>
        </is>
      </c>
      <c r="N723" s="4" t="inlineStr">
        <is>
          <t>https://www.tcgplayer.com/product/576948</t>
        </is>
      </c>
    </row>
    <row r="724">
      <c r="A724" s="2" t="inlineStr">
        <is>
          <t>Great Detective Pikachu Booster Box</t>
        </is>
      </c>
      <c r="B724" s="3">
        <f>IF(H724&lt;&gt;"",H724,IF(I724&lt;&gt;"",I724,IF(J724&lt;&gt;"",J724,K724)))</f>
        <v>500.0</v>
      </c>
      <c r="C724" s="3">
        <f>MEDIAN(H724:K724)</f>
        <v>500.0</v>
      </c>
      <c r="D724" s="3">
        <f>ROUND(C724*(1-Settings!$B$2),2)</f>
        <v>350.0</v>
      </c>
      <c r="E724" s="2" t="inlineStr">
        <is>
          <t>Pokemon</t>
        </is>
      </c>
      <c r="F724" s="2" t="inlineStr">
        <is>
          <t>Box</t>
        </is>
      </c>
      <c r="G724" s="2" t="inlineStr">
        <is>
          <t>smP2: Great Detective Pikachu</t>
        </is>
      </c>
      <c r="H724" s="3" t="n"/>
      <c r="I724" s="3" t="n"/>
      <c r="J724" s="3" t="n"/>
      <c r="K724" s="3" t="n">
        <v>500</v>
      </c>
      <c r="L724" s="2" t="inlineStr">
        <is>
          <t>TCGplayer</t>
        </is>
      </c>
      <c r="N724" s="4" t="inlineStr">
        <is>
          <t>https://www.tcgplayer.com/product/656901</t>
        </is>
      </c>
    </row>
    <row r="725">
      <c r="A725" s="2" t="inlineStr">
        <is>
          <t>Steam Siege Booster Box</t>
        </is>
      </c>
      <c r="B725" s="3">
        <f>IF(H725&lt;&gt;"",H725,IF(I725&lt;&gt;"",I725,IF(J725&lt;&gt;"",J725,K725)))</f>
        <v>1194.0</v>
      </c>
      <c r="C725" s="3">
        <f>MEDIAN(H725:K725)</f>
        <v>1194.0</v>
      </c>
      <c r="D725" s="3">
        <f>ROUND(C725*(1-Settings!$B$2),2)</f>
        <v>835.8</v>
      </c>
      <c r="E725" s="2" t="inlineStr">
        <is>
          <t>Pokemon</t>
        </is>
      </c>
      <c r="F725" s="2" t="inlineStr">
        <is>
          <t>Box</t>
        </is>
      </c>
      <c r="G725" s="2" t="inlineStr">
        <is>
          <t>Steam Siege</t>
        </is>
      </c>
      <c r="H725" s="3" t="n">
        <v>1194</v>
      </c>
      <c r="I725" s="3" t="n"/>
      <c r="J725" s="3" t="n"/>
      <c r="K725" s="3" t="n"/>
      <c r="L725" s="2" t="inlineStr">
        <is>
          <t>PriceCharting</t>
        </is>
      </c>
      <c r="M725" s="4" t="inlineStr">
        <is>
          <t>https://www.pricecharting.com/game/pokemon-steam-siege/booster-box</t>
        </is>
      </c>
    </row>
    <row r="726">
      <c r="A726" s="2" t="inlineStr">
        <is>
          <t>Stellar Crown Booster Box</t>
        </is>
      </c>
      <c r="B726" s="3">
        <f>IF(H726&lt;&gt;"",H726,IF(I726&lt;&gt;"",I726,IF(J726&lt;&gt;"",J726,K726)))</f>
        <v>309.91</v>
      </c>
      <c r="C726" s="3">
        <f>MEDIAN(H726:K726)</f>
        <v>309.91</v>
      </c>
      <c r="D726" s="3">
        <f>ROUND(C726*(1-Settings!$B$2),2)</f>
        <v>216.94</v>
      </c>
      <c r="E726" s="2" t="inlineStr">
        <is>
          <t>Pokemon</t>
        </is>
      </c>
      <c r="F726" s="2" t="inlineStr">
        <is>
          <t>Box</t>
        </is>
      </c>
      <c r="G726" s="2" t="inlineStr">
        <is>
          <t>Stellar Crown</t>
        </is>
      </c>
      <c r="H726" s="3" t="n">
        <v>309.91</v>
      </c>
      <c r="I726" s="3" t="n"/>
      <c r="J726" s="3" t="n"/>
      <c r="K726" s="3" t="n"/>
      <c r="L726" s="2" t="inlineStr">
        <is>
          <t>PriceCharting</t>
        </is>
      </c>
      <c r="M726" s="4" t="inlineStr">
        <is>
          <t>https://www.pricecharting.com/game/pokemon-stellar-crown/booster-box</t>
        </is>
      </c>
    </row>
    <row r="727">
      <c r="A727" s="2" t="inlineStr">
        <is>
          <t>Stellar Crown Build &amp; Battle Display Box</t>
        </is>
      </c>
      <c r="B727" s="3">
        <f>IF(H727&lt;&gt;"",H727,IF(I727&lt;&gt;"",I727,IF(J727&lt;&gt;"",J727,K727)))</f>
        <v>355.0</v>
      </c>
      <c r="C727" s="3">
        <f>MEDIAN(H727:K727)</f>
        <v>355.0</v>
      </c>
      <c r="D727" s="3">
        <f>ROUND(C727*(1-Settings!$B$2),2)</f>
        <v>248.5</v>
      </c>
      <c r="E727" s="2" t="inlineStr">
        <is>
          <t>Pokemon</t>
        </is>
      </c>
      <c r="F727" s="2" t="inlineStr">
        <is>
          <t>Box</t>
        </is>
      </c>
      <c r="G727" s="2" t="inlineStr">
        <is>
          <t>Stellar Crown</t>
        </is>
      </c>
      <c r="H727" s="3" t="n">
        <v>355</v>
      </c>
      <c r="I727" s="3" t="n"/>
      <c r="J727" s="3" t="n"/>
      <c r="K727" s="3" t="n"/>
      <c r="L727" s="2" t="inlineStr">
        <is>
          <t>PriceCharting</t>
        </is>
      </c>
      <c r="M727" s="4" t="inlineStr">
        <is>
          <t>https://www.pricecharting.com/game/pokemon-stellar-crown/build-&amp;-battle-display-box</t>
        </is>
      </c>
    </row>
    <row r="728">
      <c r="A728" s="2" t="inlineStr">
        <is>
          <t>Stellar Crown Half Booster Box</t>
        </is>
      </c>
      <c r="B728" s="3">
        <f>IF(H728&lt;&gt;"",H728,IF(I728&lt;&gt;"",I728,IF(J728&lt;&gt;"",J728,K728)))</f>
        <v>166.87</v>
      </c>
      <c r="C728" s="3">
        <f>MEDIAN(H728:K728)</f>
        <v>166.87</v>
      </c>
      <c r="D728" s="3">
        <f>ROUND(C728*(1-Settings!$B$2),2)</f>
        <v>116.81</v>
      </c>
      <c r="E728" s="2" t="inlineStr">
        <is>
          <t>Pokemon</t>
        </is>
      </c>
      <c r="F728" s="2" t="inlineStr">
        <is>
          <t>Box</t>
        </is>
      </c>
      <c r="G728" s="2" t="inlineStr">
        <is>
          <t>Stellar Crown</t>
        </is>
      </c>
      <c r="H728" s="3" t="n">
        <v>166.87</v>
      </c>
      <c r="I728" s="3" t="n"/>
      <c r="J728" s="3" t="n"/>
      <c r="K728" s="3" t="n"/>
      <c r="L728" s="2" t="inlineStr">
        <is>
          <t>PriceCharting</t>
        </is>
      </c>
      <c r="M728" s="4" t="inlineStr">
        <is>
          <t>https://www.pricecharting.com/game/pokemon-stellar-crown/half-booster-box</t>
        </is>
      </c>
    </row>
    <row r="729">
      <c r="A729" s="2" t="inlineStr">
        <is>
          <t>Stormfront Booster Box</t>
        </is>
      </c>
      <c r="B729" s="3">
        <f>IF(H729&lt;&gt;"",H729,IF(I729&lt;&gt;"",I729,IF(J729&lt;&gt;"",J729,K729)))</f>
        <v>8555.88</v>
      </c>
      <c r="C729" s="3">
        <f>MEDIAN(H729:K729)</f>
        <v>8555.88</v>
      </c>
      <c r="D729" s="3">
        <f>ROUND(C729*(1-Settings!$B$2),2)</f>
        <v>5989.12</v>
      </c>
      <c r="E729" s="2" t="inlineStr">
        <is>
          <t>Pokemon</t>
        </is>
      </c>
      <c r="F729" s="2" t="inlineStr">
        <is>
          <t>Box</t>
        </is>
      </c>
      <c r="G729" s="2" t="inlineStr">
        <is>
          <t>Stormfront</t>
        </is>
      </c>
      <c r="H729" s="3" t="n">
        <v>8555.879999999999</v>
      </c>
      <c r="I729" s="3" t="n"/>
      <c r="J729" s="3" t="n"/>
      <c r="K729" s="3" t="n"/>
      <c r="L729" s="2" t="inlineStr">
        <is>
          <t>PriceCharting</t>
        </is>
      </c>
      <c r="M729" s="4" t="inlineStr">
        <is>
          <t>https://www.pricecharting.com/game/pokemon-stormfront/booster-box</t>
        </is>
      </c>
    </row>
    <row r="730">
      <c r="A730" s="2" t="inlineStr">
        <is>
          <t>Supreme Victors Booster Box</t>
        </is>
      </c>
      <c r="B730" s="3">
        <f>IF(H730&lt;&gt;"",H730,IF(I730&lt;&gt;"",I730,IF(J730&lt;&gt;"",J730,K730)))</f>
        <v>14201.33</v>
      </c>
      <c r="C730" s="3">
        <f>MEDIAN(H730:K730)</f>
        <v>14201.33</v>
      </c>
      <c r="D730" s="3">
        <f>ROUND(C730*(1-Settings!$B$2),2)</f>
        <v>9940.93</v>
      </c>
      <c r="E730" s="2" t="inlineStr">
        <is>
          <t>Pokemon</t>
        </is>
      </c>
      <c r="F730" s="2" t="inlineStr">
        <is>
          <t>Box</t>
        </is>
      </c>
      <c r="G730" s="2" t="inlineStr">
        <is>
          <t>Supreme Victors</t>
        </is>
      </c>
      <c r="H730" s="3" t="n">
        <v>14201.33</v>
      </c>
      <c r="I730" s="3" t="n"/>
      <c r="J730" s="3" t="n"/>
      <c r="K730" s="3" t="n"/>
      <c r="L730" s="2" t="inlineStr">
        <is>
          <t>PriceCharting + TCGplayer</t>
        </is>
      </c>
      <c r="M730" s="4" t="inlineStr">
        <is>
          <t>https://www.pricecharting.com/game/pokemon-supreme-victors/booster-box</t>
        </is>
      </c>
      <c r="N730" s="4" t="inlineStr">
        <is>
          <t>https://www.tcgplayer.com/product/98575</t>
        </is>
      </c>
    </row>
    <row r="731">
      <c r="A731" s="2" t="inlineStr">
        <is>
          <t>Surging Sparks Build &amp; Battle Display Box</t>
        </is>
      </c>
      <c r="B731" s="3">
        <f>IF(H731&lt;&gt;"",H731,IF(I731&lt;&gt;"",I731,IF(J731&lt;&gt;"",J731,K731)))</f>
        <v>327.5</v>
      </c>
      <c r="C731" s="3">
        <f>MEDIAN(H731:K731)</f>
        <v>327.5</v>
      </c>
      <c r="D731" s="3">
        <f>ROUND(C731*(1-Settings!$B$2),2)</f>
        <v>229.25</v>
      </c>
      <c r="E731" s="2" t="inlineStr">
        <is>
          <t>Pokemon</t>
        </is>
      </c>
      <c r="F731" s="2" t="inlineStr">
        <is>
          <t>Box</t>
        </is>
      </c>
      <c r="G731" s="2" t="inlineStr">
        <is>
          <t>Surging Sparks</t>
        </is>
      </c>
      <c r="H731" s="3" t="n">
        <v>327.5</v>
      </c>
      <c r="I731" s="3" t="n"/>
      <c r="J731" s="3" t="n"/>
      <c r="K731" s="3" t="n"/>
      <c r="L731" s="2" t="inlineStr">
        <is>
          <t>PriceCharting</t>
        </is>
      </c>
      <c r="M731" s="4" t="inlineStr">
        <is>
          <t>https://www.pricecharting.com/game/pokemon-surging-sparks/build-&amp;-battle-display-box</t>
        </is>
      </c>
    </row>
    <row r="732">
      <c r="A732" s="2" t="inlineStr">
        <is>
          <t>Scarlet &amp; Violet Booster Box</t>
        </is>
      </c>
      <c r="B732" s="3">
        <f>IF(H732&lt;&gt;"",H732,IF(I732&lt;&gt;"",I732,IF(J732&lt;&gt;"",J732,K732)))</f>
        <v>296.19</v>
      </c>
      <c r="C732" s="3">
        <f>MEDIAN(H732:K732)</f>
        <v>296.19</v>
      </c>
      <c r="D732" s="3">
        <f>ROUND(C732*(1-Settings!$B$2),2)</f>
        <v>207.33</v>
      </c>
      <c r="E732" s="2" t="inlineStr">
        <is>
          <t>Pokemon</t>
        </is>
      </c>
      <c r="F732" s="2" t="inlineStr">
        <is>
          <t>Box</t>
        </is>
      </c>
      <c r="G732" s="2" t="inlineStr">
        <is>
          <t>SV01: Scarlet &amp; Violet Base Set</t>
        </is>
      </c>
      <c r="H732" s="3" t="n"/>
      <c r="I732" s="3" t="n">
        <v>296.19</v>
      </c>
      <c r="J732" s="3" t="n">
        <v>340</v>
      </c>
      <c r="K732" s="3" t="n">
        <v>287.01</v>
      </c>
      <c r="L732" s="2" t="inlineStr">
        <is>
          <t>TCGplayer</t>
        </is>
      </c>
      <c r="N732" s="4" t="inlineStr">
        <is>
          <t>https://www.tcgplayer.com/product/476452</t>
        </is>
      </c>
    </row>
    <row r="733">
      <c r="A733" s="2" t="inlineStr">
        <is>
          <t>Paldea Evolved Booster Box</t>
        </is>
      </c>
      <c r="B733" s="3">
        <f>IF(H733&lt;&gt;"",H733,IF(I733&lt;&gt;"",I733,IF(J733&lt;&gt;"",J733,K733)))</f>
        <v>471.35</v>
      </c>
      <c r="C733" s="3">
        <f>MEDIAN(H733:K733)</f>
        <v>471.86</v>
      </c>
      <c r="D733" s="3">
        <f>ROUND(C733*(1-Settings!$B$2),2)</f>
        <v>330.3</v>
      </c>
      <c r="E733" s="2" t="inlineStr">
        <is>
          <t>Pokemon</t>
        </is>
      </c>
      <c r="F733" s="2" t="inlineStr">
        <is>
          <t>Box</t>
        </is>
      </c>
      <c r="G733" s="2" t="inlineStr">
        <is>
          <t>SV02: Paldea Evolved</t>
        </is>
      </c>
      <c r="H733" s="3" t="n">
        <v>471.35</v>
      </c>
      <c r="I733" s="3" t="n">
        <v>472.37</v>
      </c>
      <c r="J733" s="3" t="n">
        <v>550</v>
      </c>
      <c r="K733" s="3" t="n">
        <v>462</v>
      </c>
      <c r="L733" s="2" t="inlineStr">
        <is>
          <t>PriceCharting + TCGplayer</t>
        </is>
      </c>
      <c r="M733" s="4" t="inlineStr">
        <is>
          <t>https://www.pricecharting.com/game/pokemon-paldea-evolved/booster-box</t>
        </is>
      </c>
      <c r="N733" s="4" t="inlineStr">
        <is>
          <t>https://www.tcgplayer.com/product/493975</t>
        </is>
      </c>
    </row>
    <row r="734">
      <c r="A734" s="2" t="inlineStr">
        <is>
          <t>Paldea Evolved Half Booster Box</t>
        </is>
      </c>
      <c r="B734" s="3">
        <f>IF(H734&lt;&gt;"",H734,IF(I734&lt;&gt;"",I734,IF(J734&lt;&gt;"",J734,K734)))</f>
        <v>217.09</v>
      </c>
      <c r="C734" s="3">
        <f>MEDIAN(H734:K734)</f>
        <v>253.33</v>
      </c>
      <c r="D734" s="3">
        <f>ROUND(C734*(1-Settings!$B$2),2)</f>
        <v>177.33</v>
      </c>
      <c r="E734" s="2" t="inlineStr">
        <is>
          <t>Pokemon</t>
        </is>
      </c>
      <c r="F734" s="2" t="inlineStr">
        <is>
          <t>Box</t>
        </is>
      </c>
      <c r="G734" s="2" t="inlineStr">
        <is>
          <t>SV02: Paldea Evolved</t>
        </is>
      </c>
      <c r="H734" s="3" t="n">
        <v>217.09</v>
      </c>
      <c r="I734" s="3" t="n">
        <v>253.33</v>
      </c>
      <c r="J734" s="3" t="n"/>
      <c r="K734" s="3" t="n">
        <v>260</v>
      </c>
      <c r="L734" s="2" t="inlineStr">
        <is>
          <t>PriceCharting + TCGplayer</t>
        </is>
      </c>
      <c r="M734" s="4" t="inlineStr">
        <is>
          <t>https://www.pricecharting.com/game/pokemon-paldea-evolved/half-booster-box</t>
        </is>
      </c>
      <c r="N734" s="4" t="inlineStr">
        <is>
          <t>https://www.tcgplayer.com/product/649413</t>
        </is>
      </c>
    </row>
    <row r="735">
      <c r="A735" s="2" t="inlineStr">
        <is>
          <t>Obsidian Flames Booster Box</t>
        </is>
      </c>
      <c r="B735" s="3">
        <f>IF(H735&lt;&gt;"",H735,IF(I735&lt;&gt;"",I735,IF(J735&lt;&gt;"",J735,K735)))</f>
        <v>364.98</v>
      </c>
      <c r="C735" s="3">
        <f>MEDIAN(H735:K735)</f>
        <v>370.38</v>
      </c>
      <c r="D735" s="3">
        <f>ROUND(C735*(1-Settings!$B$2),2)</f>
        <v>259.27</v>
      </c>
      <c r="E735" s="2" t="inlineStr">
        <is>
          <t>Pokemon</t>
        </is>
      </c>
      <c r="F735" s="2" t="inlineStr">
        <is>
          <t>Box</t>
        </is>
      </c>
      <c r="G735" s="2" t="inlineStr">
        <is>
          <t>SV03: Obsidian Flames</t>
        </is>
      </c>
      <c r="H735" s="3" t="n">
        <v>364.98</v>
      </c>
      <c r="I735" s="3" t="n">
        <v>375.78</v>
      </c>
      <c r="J735" s="3" t="n">
        <v>420</v>
      </c>
      <c r="K735" s="3" t="n">
        <v>350</v>
      </c>
      <c r="L735" s="2" t="inlineStr">
        <is>
          <t>PriceCharting + TCGplayer</t>
        </is>
      </c>
      <c r="M735" s="4" t="inlineStr">
        <is>
          <t>https://www.pricecharting.com/game/pokemon-obsidian-flames/booster-box</t>
        </is>
      </c>
      <c r="N735" s="4" t="inlineStr">
        <is>
          <t>https://www.tcgplayer.com/product/501257</t>
        </is>
      </c>
    </row>
    <row r="736">
      <c r="A736" s="2" t="inlineStr">
        <is>
          <t>Paradox Rift Booster Box</t>
        </is>
      </c>
      <c r="B736" s="3">
        <f>IF(H736&lt;&gt;"",H736,IF(I736&lt;&gt;"",I736,IF(J736&lt;&gt;"",J736,K736)))</f>
        <v>282.0</v>
      </c>
      <c r="C736" s="3">
        <f>MEDIAN(H736:K736)</f>
        <v>281.88</v>
      </c>
      <c r="D736" s="3">
        <f>ROUND(C736*(1-Settings!$B$2),2)</f>
        <v>197.32</v>
      </c>
      <c r="E736" s="2" t="inlineStr">
        <is>
          <t>Pokemon</t>
        </is>
      </c>
      <c r="F736" s="2" t="inlineStr">
        <is>
          <t>Box</t>
        </is>
      </c>
      <c r="G736" s="2" t="inlineStr">
        <is>
          <t>SV04: Paradox Rift</t>
        </is>
      </c>
      <c r="H736" s="3" t="n">
        <v>282</v>
      </c>
      <c r="I736" s="3" t="n">
        <v>281.76</v>
      </c>
      <c r="J736" s="3" t="n">
        <v>329.97</v>
      </c>
      <c r="K736" s="3" t="n">
        <v>281</v>
      </c>
      <c r="L736" s="2" t="inlineStr">
        <is>
          <t>PriceCharting + TCGplayer</t>
        </is>
      </c>
      <c r="M736" s="4" t="inlineStr">
        <is>
          <t>https://www.pricecharting.com/game/pokemon-paradox-rift/booster-box</t>
        </is>
      </c>
      <c r="N736" s="4" t="inlineStr">
        <is>
          <t>https://www.tcgplayer.com/product/512821</t>
        </is>
      </c>
    </row>
    <row r="737">
      <c r="A737" s="2" t="inlineStr">
        <is>
          <t>Paradox Rift Half Booster Box</t>
        </is>
      </c>
      <c r="B737" s="3">
        <f>IF(H737&lt;&gt;"",H737,IF(I737&lt;&gt;"",I737,IF(J737&lt;&gt;"",J737,K737)))</f>
        <v>151.93</v>
      </c>
      <c r="C737" s="3">
        <f>MEDIAN(H737:K737)</f>
        <v>173.465</v>
      </c>
      <c r="D737" s="3">
        <f>ROUND(C737*(1-Settings!$B$2),2)</f>
        <v>121.43</v>
      </c>
      <c r="E737" s="2" t="inlineStr">
        <is>
          <t>Pokemon</t>
        </is>
      </c>
      <c r="F737" s="2" t="inlineStr">
        <is>
          <t>Box</t>
        </is>
      </c>
      <c r="G737" s="2" t="inlineStr">
        <is>
          <t>SV04: Paradox Rift</t>
        </is>
      </c>
      <c r="H737" s="3" t="n">
        <v>151.93</v>
      </c>
      <c r="I737" s="3" t="n"/>
      <c r="J737" s="3" t="n"/>
      <c r="K737" s="3" t="n">
        <v>195</v>
      </c>
      <c r="L737" s="2" t="inlineStr">
        <is>
          <t>PriceCharting + TCGplayer</t>
        </is>
      </c>
      <c r="M737" s="4" t="inlineStr">
        <is>
          <t>https://www.pricecharting.com/game/pokemon-paradox-rift/half-booster-box</t>
        </is>
      </c>
      <c r="N737" s="4" t="inlineStr">
        <is>
          <t>https://www.tcgplayer.com/product/649417</t>
        </is>
      </c>
    </row>
    <row r="738">
      <c r="A738" s="2" t="inlineStr">
        <is>
          <t>Temporal Forces Booster Box</t>
        </is>
      </c>
      <c r="B738" s="3">
        <f>IF(H738&lt;&gt;"",H738,IF(I738&lt;&gt;"",I738,IF(J738&lt;&gt;"",J738,K738)))</f>
        <v>310.98</v>
      </c>
      <c r="C738" s="3">
        <f>MEDIAN(H738:K738)</f>
        <v>311.34000000000003</v>
      </c>
      <c r="D738" s="3">
        <f>ROUND(C738*(1-Settings!$B$2),2)</f>
        <v>217.94</v>
      </c>
      <c r="E738" s="2" t="inlineStr">
        <is>
          <t>Pokemon</t>
        </is>
      </c>
      <c r="F738" s="2" t="inlineStr">
        <is>
          <t>Box</t>
        </is>
      </c>
      <c r="G738" s="2" t="inlineStr">
        <is>
          <t>SV05: Temporal Forces</t>
        </is>
      </c>
      <c r="H738" s="3" t="n">
        <v>310.98</v>
      </c>
      <c r="I738" s="3" t="n">
        <v>311.7</v>
      </c>
      <c r="J738" s="3" t="n">
        <v>324.99</v>
      </c>
      <c r="K738" s="3" t="n">
        <v>34.99</v>
      </c>
      <c r="L738" s="2" t="inlineStr">
        <is>
          <t>PriceCharting + TCGplayer</t>
        </is>
      </c>
      <c r="M738" s="4" t="inlineStr">
        <is>
          <t>https://www.pricecharting.com/game/pokemon-temporal-forces/booster-box</t>
        </is>
      </c>
      <c r="N738" s="4" t="inlineStr">
        <is>
          <t>https://www.tcgplayer.com/product/536225</t>
        </is>
      </c>
    </row>
    <row r="739">
      <c r="A739" s="2" t="inlineStr">
        <is>
          <t>Temporal Forces Half Booster Box</t>
        </is>
      </c>
      <c r="B739" s="3">
        <f>IF(H739&lt;&gt;"",H739,IF(I739&lt;&gt;"",I739,IF(J739&lt;&gt;"",J739,K739)))</f>
        <v>169.0</v>
      </c>
      <c r="C739" s="3">
        <f>MEDIAN(H739:K739)</f>
        <v>179.35500000000002</v>
      </c>
      <c r="D739" s="3">
        <f>ROUND(C739*(1-Settings!$B$2),2)</f>
        <v>125.55</v>
      </c>
      <c r="E739" s="2" t="inlineStr">
        <is>
          <t>Pokemon</t>
        </is>
      </c>
      <c r="F739" s="2" t="inlineStr">
        <is>
          <t>Box</t>
        </is>
      </c>
      <c r="G739" s="2" t="inlineStr">
        <is>
          <t>SV05: Temporal Forces</t>
        </is>
      </c>
      <c r="H739" s="3" t="n">
        <v>169</v>
      </c>
      <c r="I739" s="3" t="n">
        <v>189.71</v>
      </c>
      <c r="J739" s="3" t="n"/>
      <c r="K739" s="3" t="n"/>
      <c r="L739" s="2" t="inlineStr">
        <is>
          <t>PriceCharting + TCGplayer</t>
        </is>
      </c>
      <c r="M739" s="4" t="inlineStr">
        <is>
          <t>https://www.pricecharting.com/game/pokemon-temporal-forces/half-booster-box</t>
        </is>
      </c>
      <c r="N739" s="4" t="inlineStr">
        <is>
          <t>https://www.tcgplayer.com/product/649416</t>
        </is>
      </c>
    </row>
    <row r="740">
      <c r="A740" s="2" t="inlineStr">
        <is>
          <t>Twilight Masqueade Half Booster Box</t>
        </is>
      </c>
      <c r="B740" s="3">
        <f>IF(H740&lt;&gt;"",H740,IF(I740&lt;&gt;"",I740,IF(J740&lt;&gt;"",J740,K740)))</f>
        <v>196.88</v>
      </c>
      <c r="C740" s="3">
        <f>MEDIAN(H740:K740)</f>
        <v>206.88</v>
      </c>
      <c r="D740" s="3">
        <f>ROUND(C740*(1-Settings!$B$2),2)</f>
        <v>144.82</v>
      </c>
      <c r="E740" s="2" t="inlineStr">
        <is>
          <t>Pokemon</t>
        </is>
      </c>
      <c r="F740" s="2" t="inlineStr">
        <is>
          <t>Box</t>
        </is>
      </c>
      <c r="G740" s="2" t="inlineStr">
        <is>
          <t>SV06: Twilight Masquerade</t>
        </is>
      </c>
      <c r="H740" s="3" t="n"/>
      <c r="I740" s="3" t="n">
        <v>196.88</v>
      </c>
      <c r="J740" s="3" t="n">
        <v>206.88</v>
      </c>
      <c r="K740" s="3" t="n">
        <v>206.88</v>
      </c>
      <c r="L740" s="2" t="inlineStr">
        <is>
          <t>TCGplayer</t>
        </is>
      </c>
      <c r="N740" s="4" t="inlineStr">
        <is>
          <t>https://www.tcgplayer.com/product/649421</t>
        </is>
      </c>
    </row>
    <row r="741">
      <c r="A741" s="2" t="inlineStr">
        <is>
          <t>Twilight Masquerade Booster Box</t>
        </is>
      </c>
      <c r="B741" s="3">
        <f>IF(H741&lt;&gt;"",H741,IF(I741&lt;&gt;"",I741,IF(J741&lt;&gt;"",J741,K741)))</f>
        <v>349.98</v>
      </c>
      <c r="C741" s="3">
        <f>MEDIAN(H741:K741)</f>
        <v>350.645</v>
      </c>
      <c r="D741" s="3">
        <f>ROUND(C741*(1-Settings!$B$2),2)</f>
        <v>245.45</v>
      </c>
      <c r="E741" s="2" t="inlineStr">
        <is>
          <t>Pokemon</t>
        </is>
      </c>
      <c r="F741" s="2" t="inlineStr">
        <is>
          <t>Box</t>
        </is>
      </c>
      <c r="G741" s="2" t="inlineStr">
        <is>
          <t>SV06: Twilight Masquerade</t>
        </is>
      </c>
      <c r="H741" s="3" t="n">
        <v>349.98</v>
      </c>
      <c r="I741" s="3" t="n">
        <v>351.31</v>
      </c>
      <c r="J741" s="3" t="n">
        <v>384.99</v>
      </c>
      <c r="K741" s="3" t="n">
        <v>34.99</v>
      </c>
      <c r="L741" s="2" t="inlineStr">
        <is>
          <t>PriceCharting + TCGplayer</t>
        </is>
      </c>
      <c r="M741" s="4" t="inlineStr">
        <is>
          <t>https://www.pricecharting.com/game/pokemon-twilight-masquerade/booster-box</t>
        </is>
      </c>
      <c r="N741" s="4" t="inlineStr">
        <is>
          <t>https://www.tcgplayer.com/product/543846</t>
        </is>
      </c>
    </row>
    <row r="742">
      <c r="A742" s="2" t="inlineStr">
        <is>
          <t>Stellar Crown Booster Box</t>
        </is>
      </c>
      <c r="B742" s="3">
        <f>IF(H742&lt;&gt;"",H742,IF(I742&lt;&gt;"",I742,IF(J742&lt;&gt;"",J742,K742)))</f>
        <v>308.92</v>
      </c>
      <c r="C742" s="3">
        <f>MEDIAN(H742:K742)</f>
        <v>308.92</v>
      </c>
      <c r="D742" s="3">
        <f>ROUND(C742*(1-Settings!$B$2),2)</f>
        <v>216.24</v>
      </c>
      <c r="E742" s="2" t="inlineStr">
        <is>
          <t>Pokemon</t>
        </is>
      </c>
      <c r="F742" s="2" t="inlineStr">
        <is>
          <t>Box</t>
        </is>
      </c>
      <c r="G742" s="2" t="inlineStr">
        <is>
          <t>SV07: Stellar Crown</t>
        </is>
      </c>
      <c r="H742" s="3" t="n"/>
      <c r="I742" s="3" t="n">
        <v>308.92</v>
      </c>
      <c r="J742" s="3" t="n">
        <v>350</v>
      </c>
      <c r="K742" s="3" t="n">
        <v>34.99</v>
      </c>
      <c r="L742" s="2" t="inlineStr">
        <is>
          <t>TCGplayer</t>
        </is>
      </c>
      <c r="N742" s="4" t="inlineStr">
        <is>
          <t>https://www.tcgplayer.com/product/557354</t>
        </is>
      </c>
    </row>
    <row r="743">
      <c r="A743" s="2" t="inlineStr">
        <is>
          <t>Stellar Crown Half Booster Box</t>
        </is>
      </c>
      <c r="B743" s="3">
        <f>IF(H743&lt;&gt;"",H743,IF(I743&lt;&gt;"",I743,IF(J743&lt;&gt;"",J743,K743)))</f>
        <v>246.17</v>
      </c>
      <c r="C743" s="3">
        <f>MEDIAN(H743:K743)</f>
        <v>246.17</v>
      </c>
      <c r="D743" s="3">
        <f>ROUND(C743*(1-Settings!$B$2),2)</f>
        <v>172.32</v>
      </c>
      <c r="E743" s="2" t="inlineStr">
        <is>
          <t>Pokemon</t>
        </is>
      </c>
      <c r="F743" s="2" t="inlineStr">
        <is>
          <t>Box</t>
        </is>
      </c>
      <c r="G743" s="2" t="inlineStr">
        <is>
          <t>SV07: Stellar Crown</t>
        </is>
      </c>
      <c r="H743" s="3" t="n"/>
      <c r="I743" s="3" t="n">
        <v>246.17</v>
      </c>
      <c r="J743" s="3" t="n">
        <v>277.93</v>
      </c>
      <c r="K743" s="3" t="n">
        <v>242.69</v>
      </c>
      <c r="L743" s="2" t="inlineStr">
        <is>
          <t>TCGplayer</t>
        </is>
      </c>
      <c r="N743" s="4" t="inlineStr">
        <is>
          <t>https://www.tcgplayer.com/product/649420</t>
        </is>
      </c>
    </row>
    <row r="744">
      <c r="A744" s="2" t="inlineStr">
        <is>
          <t>Surging Sparks Booster Box</t>
        </is>
      </c>
      <c r="B744" s="3">
        <f>IF(H744&lt;&gt;"",H744,IF(I744&lt;&gt;"",I744,IF(J744&lt;&gt;"",J744,K744)))</f>
        <v>297.37</v>
      </c>
      <c r="C744" s="3">
        <f>MEDIAN(H744:K744)</f>
        <v>299.635</v>
      </c>
      <c r="D744" s="3">
        <f>ROUND(C744*(1-Settings!$B$2),2)</f>
        <v>209.74</v>
      </c>
      <c r="E744" s="2" t="inlineStr">
        <is>
          <t>Pokemon</t>
        </is>
      </c>
      <c r="F744" s="2" t="inlineStr">
        <is>
          <t>Box</t>
        </is>
      </c>
      <c r="G744" s="2" t="inlineStr">
        <is>
          <t>SV08: Surging Sparks</t>
        </is>
      </c>
      <c r="H744" s="3" t="n">
        <v>297.37</v>
      </c>
      <c r="I744" s="3" t="n">
        <v>301.9</v>
      </c>
      <c r="J744" s="3" t="n">
        <v>349.99</v>
      </c>
      <c r="K744" s="3" t="n">
        <v>43.37</v>
      </c>
      <c r="L744" s="2" t="inlineStr">
        <is>
          <t>PriceCharting + TCGplayer</t>
        </is>
      </c>
      <c r="M744" s="4" t="inlineStr">
        <is>
          <t>https://www.pricecharting.com/game/pokemon-surging-sparks/booster-box</t>
        </is>
      </c>
      <c r="N744" s="4" t="inlineStr">
        <is>
          <t>https://www.tcgplayer.com/product/565606</t>
        </is>
      </c>
    </row>
    <row r="745">
      <c r="A745" s="2" t="inlineStr">
        <is>
          <t>Surging Sparks Half Booster Box</t>
        </is>
      </c>
      <c r="B745" s="3">
        <f>IF(H745&lt;&gt;"",H745,IF(I745&lt;&gt;"",I745,IF(J745&lt;&gt;"",J745,K745)))</f>
        <v>162.19</v>
      </c>
      <c r="C745" s="3">
        <f>MEDIAN(H745:K745)</f>
        <v>190.495</v>
      </c>
      <c r="D745" s="3">
        <f>ROUND(C745*(1-Settings!$B$2),2)</f>
        <v>133.35</v>
      </c>
      <c r="E745" s="2" t="inlineStr">
        <is>
          <t>Pokemon</t>
        </is>
      </c>
      <c r="F745" s="2" t="inlineStr">
        <is>
          <t>Box</t>
        </is>
      </c>
      <c r="G745" s="2" t="inlineStr">
        <is>
          <t>SV08: Surging Sparks</t>
        </is>
      </c>
      <c r="H745" s="3" t="n">
        <v>162.19</v>
      </c>
      <c r="I745" s="3" t="n">
        <v>196.13</v>
      </c>
      <c r="J745" s="3" t="n">
        <v>194</v>
      </c>
      <c r="K745" s="3" t="n">
        <v>186.99</v>
      </c>
      <c r="L745" s="2" t="inlineStr">
        <is>
          <t>PriceCharting + TCGplayer</t>
        </is>
      </c>
      <c r="M745" s="4" t="inlineStr">
        <is>
          <t>https://www.pricecharting.com/game/pokemon-surging-sparks/half-booster-box</t>
        </is>
      </c>
      <c r="N745" s="4" t="inlineStr">
        <is>
          <t>https://www.tcgplayer.com/product/646039</t>
        </is>
      </c>
    </row>
    <row r="746">
      <c r="A746" s="2" t="inlineStr">
        <is>
          <t>Journey Together Booster Box</t>
        </is>
      </c>
      <c r="B746" s="3">
        <f>IF(H746&lt;&gt;"",H746,IF(I746&lt;&gt;"",I746,IF(J746&lt;&gt;"",J746,K746)))</f>
        <v>242.8</v>
      </c>
      <c r="C746" s="3">
        <f>MEDIAN(H746:K746)</f>
        <v>221.035</v>
      </c>
      <c r="D746" s="3">
        <f>ROUND(C746*(1-Settings!$B$2),2)</f>
        <v>154.72</v>
      </c>
      <c r="E746" s="2" t="inlineStr">
        <is>
          <t>Pokemon</t>
        </is>
      </c>
      <c r="F746" s="2" t="inlineStr">
        <is>
          <t>Box</t>
        </is>
      </c>
      <c r="G746" s="2" t="inlineStr">
        <is>
          <t>SV09: Journey Together</t>
        </is>
      </c>
      <c r="H746" s="3" t="n">
        <v>242.8</v>
      </c>
      <c r="I746" s="3" t="n">
        <v>205.22</v>
      </c>
      <c r="J746" s="3" t="n">
        <v>236.85</v>
      </c>
      <c r="K746" s="3" t="n">
        <v>195</v>
      </c>
      <c r="L746" s="2" t="inlineStr">
        <is>
          <t>PriceCharting + TCGplayer</t>
        </is>
      </c>
      <c r="M746" s="4" t="inlineStr">
        <is>
          <t>https://www.pricecharting.com/game/pokemon-journey-together/booster-box</t>
        </is>
      </c>
      <c r="N746" s="4" t="inlineStr">
        <is>
          <t>https://www.tcgplayer.com/product/610931</t>
        </is>
      </c>
    </row>
    <row r="747">
      <c r="A747" s="2" t="inlineStr">
        <is>
          <t>Journey Together Enhanced Booster Box</t>
        </is>
      </c>
      <c r="B747" s="3">
        <f>IF(H747&lt;&gt;"",H747,IF(I747&lt;&gt;"",I747,IF(J747&lt;&gt;"",J747,K747)))</f>
        <v>252.26</v>
      </c>
      <c r="C747" s="3">
        <f>MEDIAN(H747:K747)</f>
        <v>252.26</v>
      </c>
      <c r="D747" s="3">
        <f>ROUND(C747*(1-Settings!$B$2),2)</f>
        <v>176.58</v>
      </c>
      <c r="E747" s="2" t="inlineStr">
        <is>
          <t>Pokemon</t>
        </is>
      </c>
      <c r="F747" s="2" t="inlineStr">
        <is>
          <t>Box</t>
        </is>
      </c>
      <c r="G747" s="2" t="inlineStr">
        <is>
          <t>SV09: Journey Together</t>
        </is>
      </c>
      <c r="H747" s="3" t="n"/>
      <c r="I747" s="3" t="n">
        <v>252.26</v>
      </c>
      <c r="J747" s="3" t="n">
        <v>299.82</v>
      </c>
      <c r="K747" s="3" t="n">
        <v>67.92</v>
      </c>
      <c r="L747" s="2" t="inlineStr">
        <is>
          <t>TCGplayer</t>
        </is>
      </c>
      <c r="N747" s="4" t="inlineStr">
        <is>
          <t>https://www.tcgplayer.com/product/623628</t>
        </is>
      </c>
    </row>
    <row r="748">
      <c r="A748" s="2" t="inlineStr">
        <is>
          <t>Journey Together Half Booster Box</t>
        </is>
      </c>
      <c r="B748" s="3">
        <f>IF(H748&lt;&gt;"",H748,IF(I748&lt;&gt;"",I748,IF(J748&lt;&gt;"",J748,K748)))</f>
        <v>141.69</v>
      </c>
      <c r="C748" s="3">
        <f>MEDIAN(H748:K748)</f>
        <v>237.51</v>
      </c>
      <c r="D748" s="3">
        <f>ROUND(C748*(1-Settings!$B$2),2)</f>
        <v>166.26</v>
      </c>
      <c r="E748" s="2" t="inlineStr">
        <is>
          <t>Pokemon</t>
        </is>
      </c>
      <c r="F748" s="2" t="inlineStr">
        <is>
          <t>Box</t>
        </is>
      </c>
      <c r="G748" s="2" t="inlineStr">
        <is>
          <t>SV09: Journey Together</t>
        </is>
      </c>
      <c r="H748" s="3" t="n">
        <v>141.69</v>
      </c>
      <c r="I748" s="3" t="n">
        <v>333.33</v>
      </c>
      <c r="J748" s="3" t="n"/>
      <c r="K748" s="3" t="n"/>
      <c r="L748" s="2" t="inlineStr">
        <is>
          <t>PriceCharting + TCGplayer</t>
        </is>
      </c>
      <c r="M748" s="4" t="inlineStr">
        <is>
          <t>https://www.pricecharting.com/game/pokemon-journey-together/half-booster-box</t>
        </is>
      </c>
      <c r="N748" s="4" t="inlineStr">
        <is>
          <t>https://www.tcgplayer.com/product/649492</t>
        </is>
      </c>
    </row>
    <row r="749">
      <c r="A749" s="2" t="inlineStr">
        <is>
          <t>Destined Rivals Booster Box</t>
        </is>
      </c>
      <c r="B749" s="3">
        <f>IF(H749&lt;&gt;"",H749,IF(I749&lt;&gt;"",I749,IF(J749&lt;&gt;"",J749,K749)))</f>
        <v>417.93</v>
      </c>
      <c r="C749" s="3">
        <f>MEDIAN(H749:K749)</f>
        <v>415.805</v>
      </c>
      <c r="D749" s="3">
        <f>ROUND(C749*(1-Settings!$B$2),2)</f>
        <v>291.06</v>
      </c>
      <c r="E749" s="2" t="inlineStr">
        <is>
          <t>Pokemon</t>
        </is>
      </c>
      <c r="F749" s="2" t="inlineStr">
        <is>
          <t>Box</t>
        </is>
      </c>
      <c r="G749" s="2" t="inlineStr">
        <is>
          <t>SV10: Destined Rivals</t>
        </is>
      </c>
      <c r="H749" s="3" t="n">
        <v>417.93</v>
      </c>
      <c r="I749" s="3" t="n">
        <v>413.68</v>
      </c>
      <c r="J749" s="3" t="n">
        <v>587.5</v>
      </c>
      <c r="K749" s="3" t="n">
        <v>41.84</v>
      </c>
      <c r="L749" s="2" t="inlineStr">
        <is>
          <t>PriceCharting + TCGplayer</t>
        </is>
      </c>
      <c r="M749" s="4" t="inlineStr">
        <is>
          <t>https://www.pricecharting.com/game/pokemon-destined-rivals/booster-box</t>
        </is>
      </c>
      <c r="N749" s="4" t="inlineStr">
        <is>
          <t>https://www.tcgplayer.com/product/624679</t>
        </is>
      </c>
    </row>
    <row r="750">
      <c r="A750" s="2" t="inlineStr">
        <is>
          <t>Destined Rivals Half Booster Box</t>
        </is>
      </c>
      <c r="B750" s="3">
        <f>IF(H750&lt;&gt;"",H750,IF(I750&lt;&gt;"",I750,IF(J750&lt;&gt;"",J750,K750)))</f>
        <v>190.07</v>
      </c>
      <c r="C750" s="3">
        <f>MEDIAN(H750:K750)</f>
        <v>353.075</v>
      </c>
      <c r="D750" s="3">
        <f>ROUND(C750*(1-Settings!$B$2),2)</f>
        <v>247.15</v>
      </c>
      <c r="E750" s="2" t="inlineStr">
        <is>
          <t>Pokemon</t>
        </is>
      </c>
      <c r="F750" s="2" t="inlineStr">
        <is>
          <t>Box</t>
        </is>
      </c>
      <c r="G750" s="2" t="inlineStr">
        <is>
          <t>SV10: Destined Rivals</t>
        </is>
      </c>
      <c r="H750" s="3" t="n">
        <v>190.07</v>
      </c>
      <c r="I750" s="3" t="n">
        <v>316.15</v>
      </c>
      <c r="J750" s="3" t="n">
        <v>395</v>
      </c>
      <c r="K750" s="3" t="n">
        <v>390</v>
      </c>
      <c r="L750" s="2" t="inlineStr">
        <is>
          <t>PriceCharting + TCGplayer</t>
        </is>
      </c>
      <c r="M750" s="4" t="inlineStr">
        <is>
          <t>https://www.pricecharting.com/game/pokemon-destined-rivals/half-booster-box</t>
        </is>
      </c>
      <c r="N750" s="4" t="inlineStr">
        <is>
          <t>https://www.tcgplayer.com/product/624681</t>
        </is>
      </c>
    </row>
    <row r="751">
      <c r="A751" s="2" t="inlineStr">
        <is>
          <t>Glory of Team Rocket Booster Box</t>
        </is>
      </c>
      <c r="B751" s="3">
        <f>IF(H751&lt;&gt;"",H751,IF(I751&lt;&gt;"",I751,IF(J751&lt;&gt;"",J751,K751)))</f>
        <v>170.76</v>
      </c>
      <c r="C751" s="3">
        <f>MEDIAN(H751:K751)</f>
        <v>105.335</v>
      </c>
      <c r="D751" s="3">
        <f>ROUND(C751*(1-Settings!$B$2),2)</f>
        <v>73.73</v>
      </c>
      <c r="E751" s="2" t="inlineStr">
        <is>
          <t>Pokemon</t>
        </is>
      </c>
      <c r="F751" s="2" t="inlineStr">
        <is>
          <t>Box</t>
        </is>
      </c>
      <c r="G751" s="2" t="inlineStr">
        <is>
          <t>SV10: The Glory of Team Rocket</t>
        </is>
      </c>
      <c r="H751" s="3" t="n"/>
      <c r="I751" s="3" t="n">
        <v>170.76</v>
      </c>
      <c r="J751" s="3" t="n"/>
      <c r="K751" s="3" t="n">
        <v>39.91</v>
      </c>
      <c r="L751" s="2" t="inlineStr">
        <is>
          <t>TCGplayer</t>
        </is>
      </c>
      <c r="N751" s="4" t="inlineStr">
        <is>
          <t>https://www.tcgplayer.com/product/629197</t>
        </is>
      </c>
    </row>
    <row r="752">
      <c r="A752" s="2" t="inlineStr">
        <is>
          <t>Black Bolt Booster Box</t>
        </is>
      </c>
      <c r="B752" s="3">
        <f>IF(H752&lt;&gt;"",H752,IF(I752&lt;&gt;"",I752,IF(J752&lt;&gt;"",J752,K752)))</f>
        <v>154.49</v>
      </c>
      <c r="C752" s="3">
        <f>MEDIAN(H752:K752)</f>
        <v>117.245</v>
      </c>
      <c r="D752" s="3">
        <f>ROUND(C752*(1-Settings!$B$2),2)</f>
        <v>82.07</v>
      </c>
      <c r="E752" s="2" t="inlineStr">
        <is>
          <t>Pokemon</t>
        </is>
      </c>
      <c r="F752" s="2" t="inlineStr">
        <is>
          <t>Box</t>
        </is>
      </c>
      <c r="G752" s="2" t="inlineStr">
        <is>
          <t>SV11B: Black Bolt</t>
        </is>
      </c>
      <c r="H752" s="3" t="n"/>
      <c r="I752" s="3" t="n">
        <v>154.49</v>
      </c>
      <c r="J752" s="3" t="n"/>
      <c r="K752" s="3" t="n">
        <v>80</v>
      </c>
      <c r="L752" s="2" t="inlineStr">
        <is>
          <t>TCGplayer</t>
        </is>
      </c>
      <c r="N752" s="4" t="inlineStr">
        <is>
          <t>https://www.tcgplayer.com/product/637384</t>
        </is>
      </c>
    </row>
    <row r="753">
      <c r="A753" s="2" t="inlineStr">
        <is>
          <t>Black Bolt Deluxe Booster Box</t>
        </is>
      </c>
      <c r="B753" s="3">
        <f>IF(H753&lt;&gt;"",H753,IF(I753&lt;&gt;"",I753,IF(J753&lt;&gt;"",J753,K753)))</f>
        <v>208.0</v>
      </c>
      <c r="C753" s="3">
        <f>MEDIAN(H753:K753)</f>
        <v>193.995</v>
      </c>
      <c r="D753" s="3">
        <f>ROUND(C753*(1-Settings!$B$2),2)</f>
        <v>135.8</v>
      </c>
      <c r="E753" s="2" t="inlineStr">
        <is>
          <t>Pokemon</t>
        </is>
      </c>
      <c r="F753" s="2" t="inlineStr">
        <is>
          <t>Box</t>
        </is>
      </c>
      <c r="G753" s="2" t="inlineStr">
        <is>
          <t>SV11B: Black Bolt</t>
        </is>
      </c>
      <c r="H753" s="3" t="n"/>
      <c r="I753" s="3" t="n">
        <v>208</v>
      </c>
      <c r="J753" s="3" t="n"/>
      <c r="K753" s="3" t="n">
        <v>179.99</v>
      </c>
      <c r="L753" s="2" t="inlineStr">
        <is>
          <t>TCGplayer</t>
        </is>
      </c>
      <c r="N753" s="4" t="inlineStr">
        <is>
          <t>https://www.tcgplayer.com/product/637491</t>
        </is>
      </c>
    </row>
    <row r="754">
      <c r="A754" s="2" t="inlineStr">
        <is>
          <t>White Flare Booster Box</t>
        </is>
      </c>
      <c r="B754" s="3">
        <f>IF(H754&lt;&gt;"",H754,IF(I754&lt;&gt;"",I754,IF(J754&lt;&gt;"",J754,K754)))</f>
        <v>124.42</v>
      </c>
      <c r="C754" s="3">
        <f>MEDIAN(H754:K754)</f>
        <v>102.21000000000001</v>
      </c>
      <c r="D754" s="3">
        <f>ROUND(C754*(1-Settings!$B$2),2)</f>
        <v>71.55</v>
      </c>
      <c r="E754" s="2" t="inlineStr">
        <is>
          <t>Pokemon</t>
        </is>
      </c>
      <c r="F754" s="2" t="inlineStr">
        <is>
          <t>Box</t>
        </is>
      </c>
      <c r="G754" s="2" t="inlineStr">
        <is>
          <t>SV11W: White Flare</t>
        </is>
      </c>
      <c r="H754" s="3" t="n"/>
      <c r="I754" s="3" t="n">
        <v>124.42</v>
      </c>
      <c r="J754" s="3" t="n"/>
      <c r="K754" s="3" t="n">
        <v>80</v>
      </c>
      <c r="L754" s="2" t="inlineStr">
        <is>
          <t>TCGplayer</t>
        </is>
      </c>
      <c r="N754" s="4" t="inlineStr">
        <is>
          <t>https://www.tcgplayer.com/product/637386</t>
        </is>
      </c>
    </row>
    <row r="755">
      <c r="A755" s="2" t="inlineStr">
        <is>
          <t>White Flare Deluxe Booster Box</t>
        </is>
      </c>
      <c r="B755" s="3">
        <f>IF(H755&lt;&gt;"",H755,IF(I755&lt;&gt;"",I755,IF(J755&lt;&gt;"",J755,K755)))</f>
        <v>138.68</v>
      </c>
      <c r="C755" s="3">
        <f>MEDIAN(H755:K755)</f>
        <v>155.74</v>
      </c>
      <c r="D755" s="3">
        <f>ROUND(C755*(1-Settings!$B$2),2)</f>
        <v>109.02</v>
      </c>
      <c r="E755" s="2" t="inlineStr">
        <is>
          <t>Pokemon</t>
        </is>
      </c>
      <c r="F755" s="2" t="inlineStr">
        <is>
          <t>Box</t>
        </is>
      </c>
      <c r="G755" s="2" t="inlineStr">
        <is>
          <t>SV11W: White Flare</t>
        </is>
      </c>
      <c r="H755" s="3" t="n"/>
      <c r="I755" s="3" t="n">
        <v>138.68</v>
      </c>
      <c r="J755" s="3" t="n"/>
      <c r="K755" s="3" t="n">
        <v>172.8</v>
      </c>
      <c r="L755" s="2" t="inlineStr">
        <is>
          <t>TCGplayer</t>
        </is>
      </c>
      <c r="N755" s="4" t="inlineStr">
        <is>
          <t>https://www.tcgplayer.com/product/637492</t>
        </is>
      </c>
    </row>
    <row r="756">
      <c r="A756" s="2" t="inlineStr">
        <is>
          <t>Triple Beat Booster Box</t>
        </is>
      </c>
      <c r="B756" s="3">
        <f>IF(H756&lt;&gt;"",H756,IF(I756&lt;&gt;"",I756,IF(J756&lt;&gt;"",J756,K756)))</f>
        <v>152.49</v>
      </c>
      <c r="C756" s="3">
        <f>MEDIAN(H756:K756)</f>
        <v>120.69</v>
      </c>
      <c r="D756" s="3">
        <f>ROUND(C756*(1-Settings!$B$2),2)</f>
        <v>84.48</v>
      </c>
      <c r="E756" s="2" t="inlineStr">
        <is>
          <t>Pokemon</t>
        </is>
      </c>
      <c r="F756" s="2" t="inlineStr">
        <is>
          <t>Box</t>
        </is>
      </c>
      <c r="G756" s="2" t="inlineStr">
        <is>
          <t>SV1a: Triplet Beat</t>
        </is>
      </c>
      <c r="H756" s="3" t="n"/>
      <c r="I756" s="3" t="n">
        <v>152.49</v>
      </c>
      <c r="J756" s="3" t="n"/>
      <c r="K756" s="3" t="n">
        <v>88.89</v>
      </c>
      <c r="L756" s="2" t="inlineStr">
        <is>
          <t>TCGplayer</t>
        </is>
      </c>
      <c r="N756" s="4" t="inlineStr">
        <is>
          <t>https://www.tcgplayer.com/product/565248</t>
        </is>
      </c>
    </row>
    <row r="757">
      <c r="A757" s="2" t="inlineStr">
        <is>
          <t>Scarlet ex Booster Box</t>
        </is>
      </c>
      <c r="B757" s="3">
        <f>IF(H757&lt;&gt;"",H757,IF(I757&lt;&gt;"",I757,IF(J757&lt;&gt;"",J757,K757)))</f>
        <v>99.31</v>
      </c>
      <c r="C757" s="3">
        <f>MEDIAN(H757:K757)</f>
        <v>84.655</v>
      </c>
      <c r="D757" s="3">
        <f>ROUND(C757*(1-Settings!$B$2),2)</f>
        <v>59.26</v>
      </c>
      <c r="E757" s="2" t="inlineStr">
        <is>
          <t>Pokemon</t>
        </is>
      </c>
      <c r="F757" s="2" t="inlineStr">
        <is>
          <t>Box</t>
        </is>
      </c>
      <c r="G757" s="2" t="inlineStr">
        <is>
          <t>SV1S: Scarlet ex</t>
        </is>
      </c>
      <c r="H757" s="3" t="n"/>
      <c r="I757" s="3" t="n">
        <v>99.31</v>
      </c>
      <c r="J757" s="3" t="n"/>
      <c r="K757" s="3" t="n">
        <v>70</v>
      </c>
      <c r="L757" s="2" t="inlineStr">
        <is>
          <t>TCGplayer</t>
        </is>
      </c>
      <c r="N757" s="4" t="inlineStr">
        <is>
          <t>https://www.tcgplayer.com/product/565247</t>
        </is>
      </c>
    </row>
    <row r="758">
      <c r="A758" s="2" t="inlineStr">
        <is>
          <t>Violet ex Booster Box</t>
        </is>
      </c>
      <c r="B758" s="3">
        <f>IF(H758&lt;&gt;"",H758,IF(I758&lt;&gt;"",I758,IF(J758&lt;&gt;"",J758,K758)))</f>
        <v>87.36</v>
      </c>
      <c r="C758" s="3">
        <f>MEDIAN(H758:K758)</f>
        <v>81.18</v>
      </c>
      <c r="D758" s="3">
        <f>ROUND(C758*(1-Settings!$B$2),2)</f>
        <v>56.83</v>
      </c>
      <c r="E758" s="2" t="inlineStr">
        <is>
          <t>Pokemon</t>
        </is>
      </c>
      <c r="F758" s="2" t="inlineStr">
        <is>
          <t>Box</t>
        </is>
      </c>
      <c r="G758" s="2" t="inlineStr">
        <is>
          <t>SV1V: Violet ex</t>
        </is>
      </c>
      <c r="H758" s="3" t="n"/>
      <c r="I758" s="3" t="n">
        <v>87.36</v>
      </c>
      <c r="J758" s="3" t="n"/>
      <c r="K758" s="3" t="n">
        <v>75</v>
      </c>
      <c r="L758" s="2" t="inlineStr">
        <is>
          <t>TCGplayer</t>
        </is>
      </c>
      <c r="N758" s="4" t="inlineStr">
        <is>
          <t>https://www.tcgplayer.com/product/565244</t>
        </is>
      </c>
    </row>
    <row r="759">
      <c r="A759" s="2" t="inlineStr">
        <is>
          <t>Pokemon Card 151 Booster Box</t>
        </is>
      </c>
      <c r="B759" s="3">
        <f>IF(H759&lt;&gt;"",H759,IF(I759&lt;&gt;"",I759,IF(J759&lt;&gt;"",J759,K759)))</f>
        <v>297.02</v>
      </c>
      <c r="C759" s="3">
        <f>MEDIAN(H759:K759)</f>
        <v>297.02</v>
      </c>
      <c r="D759" s="3">
        <f>ROUND(C759*(1-Settings!$B$2),2)</f>
        <v>207.91</v>
      </c>
      <c r="E759" s="2" t="inlineStr">
        <is>
          <t>Pokemon</t>
        </is>
      </c>
      <c r="F759" s="2" t="inlineStr">
        <is>
          <t>Box</t>
        </is>
      </c>
      <c r="G759" s="2" t="inlineStr">
        <is>
          <t>SV2a: Pokemon Card 151</t>
        </is>
      </c>
      <c r="H759" s="3" t="n"/>
      <c r="I759" s="3" t="n">
        <v>297.02</v>
      </c>
      <c r="J759" s="3" t="n"/>
      <c r="K759" s="3" t="n"/>
      <c r="L759" s="2" t="inlineStr">
        <is>
          <t>TCGplayer</t>
        </is>
      </c>
      <c r="N759" s="4" t="inlineStr">
        <is>
          <t>https://www.tcgplayer.com/product/565243</t>
        </is>
      </c>
    </row>
    <row r="760">
      <c r="A760" s="2" t="inlineStr">
        <is>
          <t>Clay Burst Booster Box</t>
        </is>
      </c>
      <c r="B760" s="3">
        <f>IF(H760&lt;&gt;"",H760,IF(I760&lt;&gt;"",I760,IF(J760&lt;&gt;"",J760,K760)))</f>
        <v>106.69</v>
      </c>
      <c r="C760" s="3">
        <f>MEDIAN(H760:K760)</f>
        <v>95.845</v>
      </c>
      <c r="D760" s="3">
        <f>ROUND(C760*(1-Settings!$B$2),2)</f>
        <v>67.09</v>
      </c>
      <c r="E760" s="2" t="inlineStr">
        <is>
          <t>Pokemon</t>
        </is>
      </c>
      <c r="F760" s="2" t="inlineStr">
        <is>
          <t>Box</t>
        </is>
      </c>
      <c r="G760" s="2" t="inlineStr">
        <is>
          <t>SV2D: Clay Burst</t>
        </is>
      </c>
      <c r="H760" s="3" t="n"/>
      <c r="I760" s="3" t="n">
        <v>106.69</v>
      </c>
      <c r="J760" s="3" t="n"/>
      <c r="K760" s="3" t="n">
        <v>85</v>
      </c>
      <c r="L760" s="2" t="inlineStr">
        <is>
          <t>TCGplayer</t>
        </is>
      </c>
      <c r="N760" s="4" t="inlineStr">
        <is>
          <t>https://www.tcgplayer.com/product/565240</t>
        </is>
      </c>
    </row>
    <row r="761">
      <c r="A761" s="2" t="inlineStr">
        <is>
          <t>Snow Hazard Booster Box</t>
        </is>
      </c>
      <c r="B761" s="3">
        <f>IF(H761&lt;&gt;"",H761,IF(I761&lt;&gt;"",I761,IF(J761&lt;&gt;"",J761,K761)))</f>
        <v>103.58</v>
      </c>
      <c r="C761" s="3">
        <f>MEDIAN(H761:K761)</f>
        <v>96.785</v>
      </c>
      <c r="D761" s="3">
        <f>ROUND(C761*(1-Settings!$B$2),2)</f>
        <v>67.75</v>
      </c>
      <c r="E761" s="2" t="inlineStr">
        <is>
          <t>Pokemon</t>
        </is>
      </c>
      <c r="F761" s="2" t="inlineStr">
        <is>
          <t>Box</t>
        </is>
      </c>
      <c r="G761" s="2" t="inlineStr">
        <is>
          <t>SV2P: Snow Hazard</t>
        </is>
      </c>
      <c r="H761" s="3" t="n"/>
      <c r="I761" s="3" t="n">
        <v>103.58</v>
      </c>
      <c r="J761" s="3" t="n"/>
      <c r="K761" s="3" t="n">
        <v>89.98999999999999</v>
      </c>
      <c r="L761" s="2" t="inlineStr">
        <is>
          <t>TCGplayer</t>
        </is>
      </c>
      <c r="N761" s="4" t="inlineStr">
        <is>
          <t>https://www.tcgplayer.com/product/565239</t>
        </is>
      </c>
    </row>
    <row r="762">
      <c r="A762" s="2" t="inlineStr">
        <is>
          <t>Ruler of the Black Flame Booster Box</t>
        </is>
      </c>
      <c r="B762" s="3">
        <f>IF(H762&lt;&gt;"",H762,IF(I762&lt;&gt;"",I762,IF(J762&lt;&gt;"",J762,K762)))</f>
        <v>153.28</v>
      </c>
      <c r="C762" s="3">
        <f>MEDIAN(H762:K762)</f>
        <v>95.59</v>
      </c>
      <c r="D762" s="3">
        <f>ROUND(C762*(1-Settings!$B$2),2)</f>
        <v>66.91</v>
      </c>
      <c r="E762" s="2" t="inlineStr">
        <is>
          <t>Pokemon</t>
        </is>
      </c>
      <c r="F762" s="2" t="inlineStr">
        <is>
          <t>Box</t>
        </is>
      </c>
      <c r="G762" s="2" t="inlineStr">
        <is>
          <t>SV3: Ruler of the Black Flame</t>
        </is>
      </c>
      <c r="H762" s="3" t="n"/>
      <c r="I762" s="3" t="n">
        <v>153.28</v>
      </c>
      <c r="J762" s="3" t="n"/>
      <c r="K762" s="3" t="n">
        <v>37.9</v>
      </c>
      <c r="L762" s="2" t="inlineStr">
        <is>
          <t>TCGplayer</t>
        </is>
      </c>
      <c r="N762" s="4" t="inlineStr">
        <is>
          <t>https://www.tcgplayer.com/product/565236</t>
        </is>
      </c>
    </row>
    <row r="763">
      <c r="A763" s="2" t="inlineStr">
        <is>
          <t>Raging Surf Booster Box</t>
        </is>
      </c>
      <c r="B763" s="3">
        <f>IF(H763&lt;&gt;"",H763,IF(I763&lt;&gt;"",I763,IF(J763&lt;&gt;"",J763,K763)))</f>
        <v>112.65</v>
      </c>
      <c r="C763" s="3">
        <f>MEDIAN(H763:K763)</f>
        <v>76.32000000000001</v>
      </c>
      <c r="D763" s="3">
        <f>ROUND(C763*(1-Settings!$B$2),2)</f>
        <v>53.42</v>
      </c>
      <c r="E763" s="2" t="inlineStr">
        <is>
          <t>Pokemon</t>
        </is>
      </c>
      <c r="F763" s="2" t="inlineStr">
        <is>
          <t>Box</t>
        </is>
      </c>
      <c r="G763" s="2" t="inlineStr">
        <is>
          <t>SV3a: Raging Surf</t>
        </is>
      </c>
      <c r="H763" s="3" t="n"/>
      <c r="I763" s="3" t="n">
        <v>112.65</v>
      </c>
      <c r="J763" s="3" t="n"/>
      <c r="K763" s="3" t="n">
        <v>39.99</v>
      </c>
      <c r="L763" s="2" t="inlineStr">
        <is>
          <t>TCGplayer</t>
        </is>
      </c>
      <c r="N763" s="4" t="inlineStr">
        <is>
          <t>https://www.tcgplayer.com/product/565235</t>
        </is>
      </c>
    </row>
    <row r="764">
      <c r="A764" s="2" t="inlineStr">
        <is>
          <t>Shiny Treasure ex High Class Booster Box</t>
        </is>
      </c>
      <c r="B764" s="3">
        <f>IF(H764&lt;&gt;"",H764,IF(I764&lt;&gt;"",I764,IF(J764&lt;&gt;"",J764,K764)))</f>
        <v>117.73</v>
      </c>
      <c r="C764" s="3">
        <f>MEDIAN(H764:K764)</f>
        <v>113.86500000000001</v>
      </c>
      <c r="D764" s="3">
        <f>ROUND(C764*(1-Settings!$B$2),2)</f>
        <v>79.71</v>
      </c>
      <c r="E764" s="2" t="inlineStr">
        <is>
          <t>Pokemon</t>
        </is>
      </c>
      <c r="F764" s="2" t="inlineStr">
        <is>
          <t>Box</t>
        </is>
      </c>
      <c r="G764" s="2" t="inlineStr">
        <is>
          <t>SV4a: Shiny Treasure ex</t>
        </is>
      </c>
      <c r="H764" s="3" t="n"/>
      <c r="I764" s="3" t="n">
        <v>117.73</v>
      </c>
      <c r="J764" s="3" t="n"/>
      <c r="K764" s="3" t="n">
        <v>110</v>
      </c>
      <c r="L764" s="2" t="inlineStr">
        <is>
          <t>TCGplayer</t>
        </is>
      </c>
      <c r="N764" s="4" t="inlineStr">
        <is>
          <t>https://www.tcgplayer.com/product/565232</t>
        </is>
      </c>
    </row>
    <row r="765">
      <c r="A765" s="2" t="inlineStr">
        <is>
          <t>Ancient Roar Booster Box</t>
        </is>
      </c>
      <c r="B765" s="3">
        <f>IF(H765&lt;&gt;"",H765,IF(I765&lt;&gt;"",I765,IF(J765&lt;&gt;"",J765,K765)))</f>
        <v>99.4</v>
      </c>
      <c r="C765" s="3">
        <f>MEDIAN(H765:K765)</f>
        <v>67.19500000000001</v>
      </c>
      <c r="D765" s="3">
        <f>ROUND(C765*(1-Settings!$B$2),2)</f>
        <v>47.04</v>
      </c>
      <c r="E765" s="2" t="inlineStr">
        <is>
          <t>Pokemon</t>
        </is>
      </c>
      <c r="F765" s="2" t="inlineStr">
        <is>
          <t>Box</t>
        </is>
      </c>
      <c r="G765" s="2" t="inlineStr">
        <is>
          <t>SV4K: Ancient Roar</t>
        </is>
      </c>
      <c r="H765" s="3" t="n"/>
      <c r="I765" s="3" t="n">
        <v>99.40000000000001</v>
      </c>
      <c r="J765" s="3" t="n"/>
      <c r="K765" s="3" t="n">
        <v>34.99</v>
      </c>
      <c r="L765" s="2" t="inlineStr">
        <is>
          <t>TCGplayer</t>
        </is>
      </c>
      <c r="N765" s="4" t="inlineStr">
        <is>
          <t>https://www.tcgplayer.com/product/565231</t>
        </is>
      </c>
    </row>
    <row r="766">
      <c r="A766" s="2" t="inlineStr">
        <is>
          <t>Future Flash Booster Box</t>
        </is>
      </c>
      <c r="B766" s="3">
        <f>IF(H766&lt;&gt;"",H766,IF(I766&lt;&gt;"",I766,IF(J766&lt;&gt;"",J766,K766)))</f>
        <v>88.66</v>
      </c>
      <c r="C766" s="3">
        <f>MEDIAN(H766:K766)</f>
        <v>61.825</v>
      </c>
      <c r="D766" s="3">
        <f>ROUND(C766*(1-Settings!$B$2),2)</f>
        <v>43.28</v>
      </c>
      <c r="E766" s="2" t="inlineStr">
        <is>
          <t>Pokemon</t>
        </is>
      </c>
      <c r="F766" s="2" t="inlineStr">
        <is>
          <t>Box</t>
        </is>
      </c>
      <c r="G766" s="2" t="inlineStr">
        <is>
          <t>SV4M: Future Flash</t>
        </is>
      </c>
      <c r="H766" s="3" t="n"/>
      <c r="I766" s="3" t="n">
        <v>88.66</v>
      </c>
      <c r="J766" s="3" t="n"/>
      <c r="K766" s="3" t="n">
        <v>34.99</v>
      </c>
      <c r="L766" s="2" t="inlineStr">
        <is>
          <t>TCGplayer</t>
        </is>
      </c>
      <c r="N766" s="4" t="inlineStr">
        <is>
          <t>https://www.tcgplayer.com/product/565228</t>
        </is>
      </c>
    </row>
    <row r="767">
      <c r="A767" s="2" t="inlineStr">
        <is>
          <t>Crimson Haze Booster Box</t>
        </is>
      </c>
      <c r="B767" s="3">
        <f>IF(H767&lt;&gt;"",H767,IF(I767&lt;&gt;"",I767,IF(J767&lt;&gt;"",J767,K767)))</f>
        <v>121.91</v>
      </c>
      <c r="C767" s="3">
        <f>MEDIAN(H767:K767)</f>
        <v>78.45</v>
      </c>
      <c r="D767" s="3">
        <f>ROUND(C767*(1-Settings!$B$2),2)</f>
        <v>54.92</v>
      </c>
      <c r="E767" s="2" t="inlineStr">
        <is>
          <t>Pokemon</t>
        </is>
      </c>
      <c r="F767" s="2" t="inlineStr">
        <is>
          <t>Box</t>
        </is>
      </c>
      <c r="G767" s="2" t="inlineStr">
        <is>
          <t>SV5a: Crimson Haze</t>
        </is>
      </c>
      <c r="H767" s="3" t="n"/>
      <c r="I767" s="3" t="n">
        <v>121.91</v>
      </c>
      <c r="J767" s="3" t="n"/>
      <c r="K767" s="3" t="n">
        <v>34.99</v>
      </c>
      <c r="L767" s="2" t="inlineStr">
        <is>
          <t>TCGplayer</t>
        </is>
      </c>
      <c r="N767" s="4" t="inlineStr">
        <is>
          <t>https://www.tcgplayer.com/product/565226</t>
        </is>
      </c>
    </row>
    <row r="768">
      <c r="A768" s="2" t="inlineStr">
        <is>
          <t>Wild Force Booster Box</t>
        </is>
      </c>
      <c r="B768" s="3">
        <f>IF(H768&lt;&gt;"",H768,IF(I768&lt;&gt;"",I768,IF(J768&lt;&gt;"",J768,K768)))</f>
        <v>103.11</v>
      </c>
      <c r="C768" s="3">
        <f>MEDIAN(H768:K768)</f>
        <v>69.05</v>
      </c>
      <c r="D768" s="3">
        <f>ROUND(C768*(1-Settings!$B$2),2)</f>
        <v>48.34</v>
      </c>
      <c r="E768" s="2" t="inlineStr">
        <is>
          <t>Pokemon</t>
        </is>
      </c>
      <c r="F768" s="2" t="inlineStr">
        <is>
          <t>Box</t>
        </is>
      </c>
      <c r="G768" s="2" t="inlineStr">
        <is>
          <t>SV5K: Wild Force</t>
        </is>
      </c>
      <c r="H768" s="3" t="n"/>
      <c r="I768" s="3" t="n">
        <v>103.11</v>
      </c>
      <c r="J768" s="3" t="n"/>
      <c r="K768" s="3" t="n">
        <v>34.99</v>
      </c>
      <c r="L768" s="2" t="inlineStr">
        <is>
          <t>TCGplayer</t>
        </is>
      </c>
      <c r="N768" s="4" t="inlineStr">
        <is>
          <t>https://www.tcgplayer.com/product/565225</t>
        </is>
      </c>
    </row>
    <row r="769">
      <c r="A769" s="2" t="inlineStr">
        <is>
          <t>Cyber Judge Booster Box</t>
        </is>
      </c>
      <c r="B769" s="3">
        <f>IF(H769&lt;&gt;"",H769,IF(I769&lt;&gt;"",I769,IF(J769&lt;&gt;"",J769,K769)))</f>
        <v>85.95</v>
      </c>
      <c r="C769" s="3">
        <f>MEDIAN(H769:K769)</f>
        <v>60.385000000000005</v>
      </c>
      <c r="D769" s="3">
        <f>ROUND(C769*(1-Settings!$B$2),2)</f>
        <v>42.27</v>
      </c>
      <c r="E769" s="2" t="inlineStr">
        <is>
          <t>Pokemon</t>
        </is>
      </c>
      <c r="F769" s="2" t="inlineStr">
        <is>
          <t>Box</t>
        </is>
      </c>
      <c r="G769" s="2" t="inlineStr">
        <is>
          <t>SV5M: Cyber Judge</t>
        </is>
      </c>
      <c r="H769" s="3" t="n"/>
      <c r="I769" s="3" t="n">
        <v>85.95</v>
      </c>
      <c r="J769" s="3" t="n"/>
      <c r="K769" s="3" t="n">
        <v>34.82</v>
      </c>
      <c r="L769" s="2" t="inlineStr">
        <is>
          <t>TCGplayer</t>
        </is>
      </c>
      <c r="N769" s="4" t="inlineStr">
        <is>
          <t>https://www.tcgplayer.com/product/565222</t>
        </is>
      </c>
    </row>
    <row r="770">
      <c r="A770" s="2" t="inlineStr">
        <is>
          <t>Transformation Mask Booster Box</t>
        </is>
      </c>
      <c r="B770" s="3">
        <f>IF(H770&lt;&gt;"",H770,IF(I770&lt;&gt;"",I770,IF(J770&lt;&gt;"",J770,K770)))</f>
        <v>96.96</v>
      </c>
      <c r="C770" s="3">
        <f>MEDIAN(H770:K770)</f>
        <v>65.88</v>
      </c>
      <c r="D770" s="3">
        <f>ROUND(C770*(1-Settings!$B$2),2)</f>
        <v>46.12</v>
      </c>
      <c r="E770" s="2" t="inlineStr">
        <is>
          <t>Pokemon</t>
        </is>
      </c>
      <c r="F770" s="2" t="inlineStr">
        <is>
          <t>Box</t>
        </is>
      </c>
      <c r="G770" s="2" t="inlineStr">
        <is>
          <t>SV6: Transformation Mask</t>
        </is>
      </c>
      <c r="H770" s="3" t="n"/>
      <c r="I770" s="3" t="n">
        <v>96.95999999999999</v>
      </c>
      <c r="J770" s="3" t="n"/>
      <c r="K770" s="3" t="n">
        <v>34.8</v>
      </c>
      <c r="L770" s="2" t="inlineStr">
        <is>
          <t>TCGplayer</t>
        </is>
      </c>
      <c r="N770" s="4" t="inlineStr">
        <is>
          <t>https://www.tcgplayer.com/product/565221</t>
        </is>
      </c>
    </row>
    <row r="771">
      <c r="A771" s="2" t="inlineStr">
        <is>
          <t>Night Wanderer Booster Box</t>
        </is>
      </c>
      <c r="B771" s="3">
        <f>IF(H771&lt;&gt;"",H771,IF(I771&lt;&gt;"",I771,IF(J771&lt;&gt;"",J771,K771)))</f>
        <v>89.08</v>
      </c>
      <c r="C771" s="3">
        <f>MEDIAN(H771:K771)</f>
        <v>62.035</v>
      </c>
      <c r="D771" s="3">
        <f>ROUND(C771*(1-Settings!$B$2),2)</f>
        <v>43.42</v>
      </c>
      <c r="E771" s="2" t="inlineStr">
        <is>
          <t>Pokemon</t>
        </is>
      </c>
      <c r="F771" s="2" t="inlineStr">
        <is>
          <t>Box</t>
        </is>
      </c>
      <c r="G771" s="2" t="inlineStr">
        <is>
          <t>SV6a: Night Wanderer</t>
        </is>
      </c>
      <c r="H771" s="3" t="n"/>
      <c r="I771" s="3" t="n">
        <v>89.08</v>
      </c>
      <c r="J771" s="3" t="n"/>
      <c r="K771" s="3" t="n">
        <v>34.99</v>
      </c>
      <c r="L771" s="2" t="inlineStr">
        <is>
          <t>TCGplayer</t>
        </is>
      </c>
      <c r="N771" s="4" t="inlineStr">
        <is>
          <t>https://www.tcgplayer.com/product/565218</t>
        </is>
      </c>
    </row>
    <row r="772">
      <c r="A772" s="2" t="inlineStr">
        <is>
          <t>Stellar Miracle Booster Box</t>
        </is>
      </c>
      <c r="B772" s="3">
        <f>IF(H772&lt;&gt;"",H772,IF(I772&lt;&gt;"",I772,IF(J772&lt;&gt;"",J772,K772)))</f>
        <v>88.14</v>
      </c>
      <c r="C772" s="3">
        <f>MEDIAN(H772:K772)</f>
        <v>76.985</v>
      </c>
      <c r="D772" s="3">
        <f>ROUND(C772*(1-Settings!$B$2),2)</f>
        <v>53.89</v>
      </c>
      <c r="E772" s="2" t="inlineStr">
        <is>
          <t>Pokemon</t>
        </is>
      </c>
      <c r="F772" s="2" t="inlineStr">
        <is>
          <t>Box</t>
        </is>
      </c>
      <c r="G772" s="2" t="inlineStr">
        <is>
          <t>SV7: Stellar Miracle</t>
        </is>
      </c>
      <c r="H772" s="3" t="n"/>
      <c r="I772" s="3" t="n">
        <v>88.14</v>
      </c>
      <c r="J772" s="3" t="n"/>
      <c r="K772" s="3" t="n">
        <v>65.83</v>
      </c>
      <c r="L772" s="2" t="inlineStr">
        <is>
          <t>TCGplayer</t>
        </is>
      </c>
      <c r="N772" s="4" t="inlineStr">
        <is>
          <t>https://www.tcgplayer.com/product/565217</t>
        </is>
      </c>
    </row>
    <row r="773">
      <c r="A773" s="2" t="inlineStr">
        <is>
          <t>Paradise Dragona Booster Box</t>
        </is>
      </c>
      <c r="B773" s="3">
        <f>IF(H773&lt;&gt;"",H773,IF(I773&lt;&gt;"",I773,IF(J773&lt;&gt;"",J773,K773)))</f>
        <v>116.16</v>
      </c>
      <c r="C773" s="3">
        <f>MEDIAN(H773:K773)</f>
        <v>80.575</v>
      </c>
      <c r="D773" s="3">
        <f>ROUND(C773*(1-Settings!$B$2),2)</f>
        <v>56.4</v>
      </c>
      <c r="E773" s="2" t="inlineStr">
        <is>
          <t>Pokemon</t>
        </is>
      </c>
      <c r="F773" s="2" t="inlineStr">
        <is>
          <t>Box</t>
        </is>
      </c>
      <c r="G773" s="2" t="inlineStr">
        <is>
          <t>SV7a: Paradise Dragona</t>
        </is>
      </c>
      <c r="H773" s="3" t="n"/>
      <c r="I773" s="3" t="n">
        <v>116.16</v>
      </c>
      <c r="J773" s="3" t="n"/>
      <c r="K773" s="3" t="n">
        <v>44.99</v>
      </c>
      <c r="L773" s="2" t="inlineStr">
        <is>
          <t>TCGplayer</t>
        </is>
      </c>
      <c r="N773" s="4" t="inlineStr">
        <is>
          <t>https://www.tcgplayer.com/product/580709</t>
        </is>
      </c>
    </row>
    <row r="774">
      <c r="A774" s="2" t="inlineStr">
        <is>
          <t>Super Electric Breaker Booster Box</t>
        </is>
      </c>
      <c r="B774" s="3">
        <f>IF(H774&lt;&gt;"",H774,IF(I774&lt;&gt;"",I774,IF(J774&lt;&gt;"",J774,K774)))</f>
        <v>144.93</v>
      </c>
      <c r="C774" s="3">
        <f>MEDIAN(H774:K774)</f>
        <v>92.685</v>
      </c>
      <c r="D774" s="3">
        <f>ROUND(C774*(1-Settings!$B$2),2)</f>
        <v>64.88</v>
      </c>
      <c r="E774" s="2" t="inlineStr">
        <is>
          <t>Pokemon</t>
        </is>
      </c>
      <c r="F774" s="2" t="inlineStr">
        <is>
          <t>Box</t>
        </is>
      </c>
      <c r="G774" s="2" t="inlineStr">
        <is>
          <t>SV8: Super Electric Breaker</t>
        </is>
      </c>
      <c r="H774" s="3" t="n"/>
      <c r="I774" s="3" t="n">
        <v>144.93</v>
      </c>
      <c r="J774" s="3" t="n"/>
      <c r="K774" s="3" t="n">
        <v>40.44</v>
      </c>
      <c r="L774" s="2" t="inlineStr">
        <is>
          <t>TCGplayer</t>
        </is>
      </c>
      <c r="N774" s="4" t="inlineStr">
        <is>
          <t>https://www.tcgplayer.com/product/587728</t>
        </is>
      </c>
    </row>
    <row r="775">
      <c r="A775" s="2" t="inlineStr">
        <is>
          <t>Terastal Fest ex Booster Box</t>
        </is>
      </c>
      <c r="B775" s="3">
        <f>IF(H775&lt;&gt;"",H775,IF(I775&lt;&gt;"",I775,IF(J775&lt;&gt;"",J775,K775)))</f>
        <v>127.46</v>
      </c>
      <c r="C775" s="3">
        <f>MEDIAN(H775:K775)</f>
        <v>105.12</v>
      </c>
      <c r="D775" s="3">
        <f>ROUND(C775*(1-Settings!$B$2),2)</f>
        <v>73.58</v>
      </c>
      <c r="E775" s="2" t="inlineStr">
        <is>
          <t>Pokemon</t>
        </is>
      </c>
      <c r="F775" s="2" t="inlineStr">
        <is>
          <t>Box</t>
        </is>
      </c>
      <c r="G775" s="2" t="inlineStr">
        <is>
          <t>SV8a: Terastal Fest ex</t>
        </is>
      </c>
      <c r="H775" s="3" t="n"/>
      <c r="I775" s="3" t="n">
        <v>127.46</v>
      </c>
      <c r="J775" s="3" t="n"/>
      <c r="K775" s="3" t="n">
        <v>82.78</v>
      </c>
      <c r="L775" s="2" t="inlineStr">
        <is>
          <t>TCGplayer</t>
        </is>
      </c>
      <c r="N775" s="4" t="inlineStr">
        <is>
          <t>https://www.tcgplayer.com/product/603428</t>
        </is>
      </c>
    </row>
    <row r="776">
      <c r="A776" s="2" t="inlineStr">
        <is>
          <t>Battle Partners Booster Box</t>
        </is>
      </c>
      <c r="B776" s="3">
        <f>IF(H776&lt;&gt;"",H776,IF(I776&lt;&gt;"",I776,IF(J776&lt;&gt;"",J776,K776)))</f>
        <v>87.15</v>
      </c>
      <c r="C776" s="3">
        <f>MEDIAN(H776:K776)</f>
        <v>65.57000000000001</v>
      </c>
      <c r="D776" s="3">
        <f>ROUND(C776*(1-Settings!$B$2),2)</f>
        <v>45.9</v>
      </c>
      <c r="E776" s="2" t="inlineStr">
        <is>
          <t>Pokemon</t>
        </is>
      </c>
      <c r="F776" s="2" t="inlineStr">
        <is>
          <t>Box</t>
        </is>
      </c>
      <c r="G776" s="2" t="inlineStr">
        <is>
          <t>SV9: Battle Partners</t>
        </is>
      </c>
      <c r="H776" s="3" t="n"/>
      <c r="I776" s="3" t="n">
        <v>87.15000000000001</v>
      </c>
      <c r="J776" s="3" t="n"/>
      <c r="K776" s="3" t="n">
        <v>43.99</v>
      </c>
      <c r="L776" s="2" t="inlineStr">
        <is>
          <t>TCGplayer</t>
        </is>
      </c>
      <c r="N776" s="4" t="inlineStr">
        <is>
          <t>https://www.tcgplayer.com/product/614707</t>
        </is>
      </c>
    </row>
    <row r="777">
      <c r="A777" s="2" t="inlineStr">
        <is>
          <t>Heat Wave Arena Booster Box</t>
        </is>
      </c>
      <c r="B777" s="3">
        <f>IF(H777&lt;&gt;"",H777,IF(I777&lt;&gt;"",I777,IF(J777&lt;&gt;"",J777,K777)))</f>
        <v>128.12</v>
      </c>
      <c r="C777" s="3">
        <f>MEDIAN(H777:K777)</f>
        <v>86.515</v>
      </c>
      <c r="D777" s="3">
        <f>ROUND(C777*(1-Settings!$B$2),2)</f>
        <v>60.56</v>
      </c>
      <c r="E777" s="2" t="inlineStr">
        <is>
          <t>Pokemon</t>
        </is>
      </c>
      <c r="F777" s="2" t="inlineStr">
        <is>
          <t>Box</t>
        </is>
      </c>
      <c r="G777" s="2" t="inlineStr">
        <is>
          <t>SV9a: Heat Wave Arena</t>
        </is>
      </c>
      <c r="H777" s="3" t="n"/>
      <c r="I777" s="3" t="n">
        <v>128.12</v>
      </c>
      <c r="J777" s="3" t="n"/>
      <c r="K777" s="3" t="n">
        <v>44.91</v>
      </c>
      <c r="L777" s="2" t="inlineStr">
        <is>
          <t>TCGplayer</t>
        </is>
      </c>
      <c r="N777" s="4" t="inlineStr">
        <is>
          <t>https://www.tcgplayer.com/product/623310</t>
        </is>
      </c>
    </row>
    <row r="778">
      <c r="A778" s="2" t="inlineStr">
        <is>
          <t>Sword &amp; Shield Booster Box</t>
        </is>
      </c>
      <c r="B778" s="3">
        <f>IF(H778&lt;&gt;"",H778,IF(I778&lt;&gt;"",I778,IF(J778&lt;&gt;"",J778,K778)))</f>
        <v>688.99</v>
      </c>
      <c r="C778" s="3">
        <f>MEDIAN(H778:K778)</f>
        <v>688.99</v>
      </c>
      <c r="D778" s="3">
        <f>ROUND(C778*(1-Settings!$B$2),2)</f>
        <v>482.29</v>
      </c>
      <c r="E778" s="2" t="inlineStr">
        <is>
          <t>Pokemon</t>
        </is>
      </c>
      <c r="F778" s="2" t="inlineStr">
        <is>
          <t>Box</t>
        </is>
      </c>
      <c r="G778" s="2" t="inlineStr">
        <is>
          <t>SWSH01: Sword &amp; Shield Base Set</t>
        </is>
      </c>
      <c r="H778" s="3" t="n"/>
      <c r="I778" s="3" t="n">
        <v>688.99</v>
      </c>
      <c r="J778" s="3" t="n">
        <v>1200</v>
      </c>
      <c r="K778" s="3" t="n">
        <v>450</v>
      </c>
      <c r="L778" s="2" t="inlineStr">
        <is>
          <t>TCGplayer</t>
        </is>
      </c>
      <c r="N778" s="4" t="inlineStr">
        <is>
          <t>https://www.tcgplayer.com/product/206027</t>
        </is>
      </c>
    </row>
    <row r="779">
      <c r="A779" s="2" t="inlineStr">
        <is>
          <t>Rebel Clash Booster Box</t>
        </is>
      </c>
      <c r="B779" s="3">
        <f>IF(H779&lt;&gt;"",H779,IF(I779&lt;&gt;"",I779,IF(J779&lt;&gt;"",J779,K779)))</f>
        <v>425.88</v>
      </c>
      <c r="C779" s="3">
        <f>MEDIAN(H779:K779)</f>
        <v>479.305</v>
      </c>
      <c r="D779" s="3">
        <f>ROUND(C779*(1-Settings!$B$2),2)</f>
        <v>335.51</v>
      </c>
      <c r="E779" s="2" t="inlineStr">
        <is>
          <t>Pokemon</t>
        </is>
      </c>
      <c r="F779" s="2" t="inlineStr">
        <is>
          <t>Box</t>
        </is>
      </c>
      <c r="G779" s="2" t="inlineStr">
        <is>
          <t>SWSH02: Rebel Clash</t>
        </is>
      </c>
      <c r="H779" s="3" t="n">
        <v>425.88</v>
      </c>
      <c r="I779" s="3" t="n">
        <v>483.63</v>
      </c>
      <c r="J779" s="3" t="n">
        <v>549.99</v>
      </c>
      <c r="K779" s="3" t="n">
        <v>474.98</v>
      </c>
      <c r="L779" s="2" t="inlineStr">
        <is>
          <t>PriceCharting + TCGplayer</t>
        </is>
      </c>
      <c r="M779" s="4" t="inlineStr">
        <is>
          <t>https://www.pricecharting.com/game/pokemon-rebel-clash/booster-box</t>
        </is>
      </c>
      <c r="N779" s="4" t="inlineStr">
        <is>
          <t>https://www.tcgplayer.com/product/210561</t>
        </is>
      </c>
    </row>
    <row r="780">
      <c r="A780" s="2" t="inlineStr">
        <is>
          <t>Darkness Ablaze Booster Box</t>
        </is>
      </c>
      <c r="B780" s="3">
        <f>IF(H780&lt;&gt;"",H780,IF(I780&lt;&gt;"",I780,IF(J780&lt;&gt;"",J780,K780)))</f>
        <v>350.0</v>
      </c>
      <c r="C780" s="3">
        <f>MEDIAN(H780:K780)</f>
        <v>356.97</v>
      </c>
      <c r="D780" s="3">
        <f>ROUND(C780*(1-Settings!$B$2),2)</f>
        <v>249.88</v>
      </c>
      <c r="E780" s="2" t="inlineStr">
        <is>
          <t>Pokemon</t>
        </is>
      </c>
      <c r="F780" s="2" t="inlineStr">
        <is>
          <t>Box</t>
        </is>
      </c>
      <c r="G780" s="2" t="inlineStr">
        <is>
          <t>SWSH03: Darkness Ablaze</t>
        </is>
      </c>
      <c r="H780" s="3" t="n">
        <v>350</v>
      </c>
      <c r="I780" s="3" t="n">
        <v>363.94</v>
      </c>
      <c r="J780" s="3" t="n">
        <v>399.99</v>
      </c>
      <c r="K780" s="3" t="n">
        <v>306</v>
      </c>
      <c r="L780" s="2" t="inlineStr">
        <is>
          <t>PriceCharting + TCGplayer</t>
        </is>
      </c>
      <c r="M780" s="4" t="inlineStr">
        <is>
          <t>https://www.pricecharting.com/game/pokemon-darkness-ablaze/booster-box</t>
        </is>
      </c>
      <c r="N780" s="4" t="inlineStr">
        <is>
          <t>https://www.tcgplayer.com/product/216853</t>
        </is>
      </c>
    </row>
    <row r="781">
      <c r="A781" s="2" t="inlineStr">
        <is>
          <t>Vivid Voltage Booster Box</t>
        </is>
      </c>
      <c r="B781" s="3">
        <f>IF(H781&lt;&gt;"",H781,IF(I781&lt;&gt;"",I781,IF(J781&lt;&gt;"",J781,K781)))</f>
        <v>314.0</v>
      </c>
      <c r="C781" s="3">
        <f>MEDIAN(H781:K781)</f>
        <v>314.0</v>
      </c>
      <c r="D781" s="3">
        <f>ROUND(C781*(1-Settings!$B$2),2)</f>
        <v>219.8</v>
      </c>
      <c r="E781" s="2" t="inlineStr">
        <is>
          <t>Pokemon</t>
        </is>
      </c>
      <c r="F781" s="2" t="inlineStr">
        <is>
          <t>Box</t>
        </is>
      </c>
      <c r="G781" s="2" t="inlineStr">
        <is>
          <t>SWSH04: Vivid Voltage</t>
        </is>
      </c>
      <c r="H781" s="3" t="n">
        <v>314</v>
      </c>
      <c r="I781" s="3" t="n">
        <v>314</v>
      </c>
      <c r="J781" s="3" t="n">
        <v>362.5</v>
      </c>
      <c r="K781" s="3" t="n">
        <v>303.99</v>
      </c>
      <c r="L781" s="2" t="inlineStr">
        <is>
          <t>PriceCharting + TCGplayer</t>
        </is>
      </c>
      <c r="M781" s="4" t="inlineStr">
        <is>
          <t>https://www.pricecharting.com/game/pokemon-vivid-voltage/booster-box</t>
        </is>
      </c>
      <c r="N781" s="4" t="inlineStr">
        <is>
          <t>https://www.tcgplayer.com/product/221313</t>
        </is>
      </c>
    </row>
    <row r="782">
      <c r="A782" s="2" t="inlineStr">
        <is>
          <t>Battle Styles Booster Box</t>
        </is>
      </c>
      <c r="B782" s="3">
        <f>IF(H782&lt;&gt;"",H782,IF(I782&lt;&gt;"",I782,IF(J782&lt;&gt;"",J782,K782)))</f>
        <v>266.87</v>
      </c>
      <c r="C782" s="3">
        <f>MEDIAN(H782:K782)</f>
        <v>280.495</v>
      </c>
      <c r="D782" s="3">
        <f>ROUND(C782*(1-Settings!$B$2),2)</f>
        <v>196.35</v>
      </c>
      <c r="E782" s="2" t="inlineStr">
        <is>
          <t>Pokemon</t>
        </is>
      </c>
      <c r="F782" s="2" t="inlineStr">
        <is>
          <t>Box</t>
        </is>
      </c>
      <c r="G782" s="2" t="inlineStr">
        <is>
          <t>SWSH05: Battle Styles</t>
        </is>
      </c>
      <c r="H782" s="3" t="n">
        <v>266.87</v>
      </c>
      <c r="I782" s="3" t="n">
        <v>290.99</v>
      </c>
      <c r="J782" s="3" t="n">
        <v>327.48</v>
      </c>
      <c r="K782" s="3" t="n">
        <v>270</v>
      </c>
      <c r="L782" s="2" t="inlineStr">
        <is>
          <t>PriceCharting + TCGplayer</t>
        </is>
      </c>
      <c r="M782" s="4" t="inlineStr">
        <is>
          <t>https://www.pricecharting.com/game/pokemon-battle-styles/booster-box</t>
        </is>
      </c>
      <c r="N782" s="4" t="inlineStr">
        <is>
          <t>https://www.tcgplayer.com/product/229277</t>
        </is>
      </c>
    </row>
    <row r="783">
      <c r="A783" s="2" t="inlineStr">
        <is>
          <t>Chilling Reign Booster Box</t>
        </is>
      </c>
      <c r="B783" s="3">
        <f>IF(H783&lt;&gt;"",H783,IF(I783&lt;&gt;"",I783,IF(J783&lt;&gt;"",J783,K783)))</f>
        <v>459.58</v>
      </c>
      <c r="C783" s="3">
        <f>MEDIAN(H783:K783)</f>
        <v>468.265</v>
      </c>
      <c r="D783" s="3">
        <f>ROUND(C783*(1-Settings!$B$2),2)</f>
        <v>327.79</v>
      </c>
      <c r="E783" s="2" t="inlineStr">
        <is>
          <t>Pokemon</t>
        </is>
      </c>
      <c r="F783" s="2" t="inlineStr">
        <is>
          <t>Box</t>
        </is>
      </c>
      <c r="G783" s="2" t="inlineStr">
        <is>
          <t>SWSH06: Chilling Reign</t>
        </is>
      </c>
      <c r="H783" s="3" t="n">
        <v>459.58</v>
      </c>
      <c r="I783" s="3" t="n">
        <v>476.95</v>
      </c>
      <c r="J783" s="3" t="n">
        <v>520</v>
      </c>
      <c r="K783" s="3" t="n">
        <v>436</v>
      </c>
      <c r="L783" s="2" t="inlineStr">
        <is>
          <t>PriceCharting + TCGplayer</t>
        </is>
      </c>
      <c r="M783" s="4" t="inlineStr">
        <is>
          <t>https://www.pricecharting.com/game/pokemon-chilling-reign/booster-box</t>
        </is>
      </c>
      <c r="N783" s="4" t="inlineStr">
        <is>
          <t>https://www.tcgplayer.com/product/236258</t>
        </is>
      </c>
    </row>
    <row r="784">
      <c r="A784" s="2" t="inlineStr">
        <is>
          <t>Evolving Skies Booster Box</t>
        </is>
      </c>
      <c r="B784" s="3">
        <f>IF(H784&lt;&gt;"",H784,IF(I784&lt;&gt;"",I784,IF(J784&lt;&gt;"",J784,K784)))</f>
        <v>2293.73</v>
      </c>
      <c r="C784" s="3">
        <f>MEDIAN(H784:K784)</f>
        <v>2302.24</v>
      </c>
      <c r="D784" s="3">
        <f>ROUND(C784*(1-Settings!$B$2),2)</f>
        <v>1611.57</v>
      </c>
      <c r="E784" s="2" t="inlineStr">
        <is>
          <t>Pokemon</t>
        </is>
      </c>
      <c r="F784" s="2" t="inlineStr">
        <is>
          <t>Box</t>
        </is>
      </c>
      <c r="G784" s="2" t="inlineStr">
        <is>
          <t>SWSH07: Evolving Skies</t>
        </is>
      </c>
      <c r="H784" s="3" t="n">
        <v>2293.73</v>
      </c>
      <c r="I784" s="3" t="n">
        <v>2310.75</v>
      </c>
      <c r="J784" s="3" t="n">
        <v>2999</v>
      </c>
      <c r="K784" s="3" t="n">
        <v>2094</v>
      </c>
      <c r="L784" s="2" t="inlineStr">
        <is>
          <t>PriceCharting + TCGplayer</t>
        </is>
      </c>
      <c r="M784" s="4" t="inlineStr">
        <is>
          <t>https://www.pricecharting.com/game/pokemon-evolving-skies/booster-box</t>
        </is>
      </c>
      <c r="N784" s="4" t="inlineStr">
        <is>
          <t>https://www.tcgplayer.com/product/242436</t>
        </is>
      </c>
    </row>
    <row r="785">
      <c r="A785" s="2" t="inlineStr">
        <is>
          <t>Evolving Skies Half Booster Box</t>
        </is>
      </c>
      <c r="B785" s="3">
        <f>IF(H785&lt;&gt;"",H785,IF(I785&lt;&gt;"",I785,IF(J785&lt;&gt;"",J785,K785)))</f>
        <v>1038.21</v>
      </c>
      <c r="C785" s="3">
        <f>MEDIAN(H785:K785)</f>
        <v>2197.5</v>
      </c>
      <c r="D785" s="3">
        <f>ROUND(C785*(1-Settings!$B$2),2)</f>
        <v>1538.25</v>
      </c>
      <c r="E785" s="2" t="inlineStr">
        <is>
          <t>Pokemon</t>
        </is>
      </c>
      <c r="F785" s="2" t="inlineStr">
        <is>
          <t>Box</t>
        </is>
      </c>
      <c r="G785" s="2" t="inlineStr">
        <is>
          <t>SWSH07: Evolving Skies</t>
        </is>
      </c>
      <c r="H785" s="3" t="n">
        <v>1038.21</v>
      </c>
      <c r="I785" s="3" t="n">
        <v>1595</v>
      </c>
      <c r="J785" s="3" t="n">
        <v>2800</v>
      </c>
      <c r="K785" s="3" t="n">
        <v>2800</v>
      </c>
      <c r="L785" s="2" t="inlineStr">
        <is>
          <t>PriceCharting + TCGplayer</t>
        </is>
      </c>
      <c r="M785" s="4" t="inlineStr">
        <is>
          <t>https://www.pricecharting.com/game/pokemon-evolving-skies/half-booster-box</t>
        </is>
      </c>
      <c r="N785" s="4" t="inlineStr">
        <is>
          <t>https://www.tcgplayer.com/product/641794</t>
        </is>
      </c>
    </row>
    <row r="786">
      <c r="A786" s="2" t="inlineStr">
        <is>
          <t>Fusion Strike Booster Box</t>
        </is>
      </c>
      <c r="B786" s="3">
        <f>IF(H786&lt;&gt;"",H786,IF(I786&lt;&gt;"",I786,IF(J786&lt;&gt;"",J786,K786)))</f>
        <v>895.64</v>
      </c>
      <c r="C786" s="3">
        <f>MEDIAN(H786:K786)</f>
        <v>933.365</v>
      </c>
      <c r="D786" s="3">
        <f>ROUND(C786*(1-Settings!$B$2),2)</f>
        <v>653.36</v>
      </c>
      <c r="E786" s="2" t="inlineStr">
        <is>
          <t>Pokemon</t>
        </is>
      </c>
      <c r="F786" s="2" t="inlineStr">
        <is>
          <t>Box</t>
        </is>
      </c>
      <c r="G786" s="2" t="inlineStr">
        <is>
          <t>SWSH08: Fusion Strike</t>
        </is>
      </c>
      <c r="H786" s="3" t="n">
        <v>895.64</v>
      </c>
      <c r="I786" s="3" t="n">
        <v>971.09</v>
      </c>
      <c r="J786" s="3" t="n">
        <v>1234.56</v>
      </c>
      <c r="K786" s="3" t="n">
        <v>115</v>
      </c>
      <c r="L786" s="2" t="inlineStr">
        <is>
          <t>PriceCharting + TCGplayer</t>
        </is>
      </c>
      <c r="M786" s="4" t="inlineStr">
        <is>
          <t>https://www.pricecharting.com/game/pokemon-fusion-strike/booster-box</t>
        </is>
      </c>
      <c r="N786" s="4" t="inlineStr">
        <is>
          <t>https://www.tcgplayer.com/product/247654</t>
        </is>
      </c>
    </row>
    <row r="787">
      <c r="A787" s="2" t="inlineStr">
        <is>
          <t>Brilliant Stars Booster Box</t>
        </is>
      </c>
      <c r="B787" s="3">
        <f>IF(H787&lt;&gt;"",H787,IF(I787&lt;&gt;"",I787,IF(J787&lt;&gt;"",J787,K787)))</f>
        <v>564.37</v>
      </c>
      <c r="C787" s="3">
        <f>MEDIAN(H787:K787)</f>
        <v>568.53</v>
      </c>
      <c r="D787" s="3">
        <f>ROUND(C787*(1-Settings!$B$2),2)</f>
        <v>397.97</v>
      </c>
      <c r="E787" s="2" t="inlineStr">
        <is>
          <t>Pokemon</t>
        </is>
      </c>
      <c r="F787" s="2" t="inlineStr">
        <is>
          <t>Box</t>
        </is>
      </c>
      <c r="G787" s="2" t="inlineStr">
        <is>
          <t>SWSH09: Brilliant Stars</t>
        </is>
      </c>
      <c r="H787" s="3" t="n">
        <v>564.37</v>
      </c>
      <c r="I787" s="3" t="n">
        <v>572.6900000000001</v>
      </c>
      <c r="J787" s="3" t="n">
        <v>647</v>
      </c>
      <c r="K787" s="3" t="n">
        <v>442.01</v>
      </c>
      <c r="L787" s="2" t="inlineStr">
        <is>
          <t>PriceCharting + TCGplayer</t>
        </is>
      </c>
      <c r="M787" s="4" t="inlineStr">
        <is>
          <t>https://www.pricecharting.com/game/pokemon-brilliant-stars/booster-box</t>
        </is>
      </c>
      <c r="N787" s="4" t="inlineStr">
        <is>
          <t>https://www.tcgplayer.com/product/256141</t>
        </is>
      </c>
    </row>
    <row r="788">
      <c r="A788" s="2" t="inlineStr">
        <is>
          <t>Astral Radiance Booster Box</t>
        </is>
      </c>
      <c r="B788" s="3">
        <f>IF(H788&lt;&gt;"",H788,IF(I788&lt;&gt;"",I788,IF(J788&lt;&gt;"",J788,K788)))</f>
        <v>399.48</v>
      </c>
      <c r="C788" s="3">
        <f>MEDIAN(H788:K788)</f>
        <v>405.435</v>
      </c>
      <c r="D788" s="3">
        <f>ROUND(C788*(1-Settings!$B$2),2)</f>
        <v>283.8</v>
      </c>
      <c r="E788" s="2" t="inlineStr">
        <is>
          <t>Pokemon</t>
        </is>
      </c>
      <c r="F788" s="2" t="inlineStr">
        <is>
          <t>Box</t>
        </is>
      </c>
      <c r="G788" s="2" t="inlineStr">
        <is>
          <t>SWSH10: Astral Radiance</t>
        </is>
      </c>
      <c r="H788" s="3" t="n">
        <v>399.48</v>
      </c>
      <c r="I788" s="3" t="n">
        <v>411.39</v>
      </c>
      <c r="J788" s="3" t="n">
        <v>449.98</v>
      </c>
      <c r="K788" s="3" t="n">
        <v>75</v>
      </c>
      <c r="L788" s="2" t="inlineStr">
        <is>
          <t>PriceCharting + TCGplayer</t>
        </is>
      </c>
      <c r="M788" s="4" t="inlineStr">
        <is>
          <t>https://www.pricecharting.com/game/pokemon-astral-radiance/booster-box</t>
        </is>
      </c>
      <c r="N788" s="4" t="inlineStr">
        <is>
          <t>https://www.tcgplayer.com/product/265519</t>
        </is>
      </c>
    </row>
    <row r="789">
      <c r="A789" s="2" t="inlineStr">
        <is>
          <t>Astral Radiance Half Booster Box</t>
        </is>
      </c>
      <c r="B789" s="3">
        <f>IF(H789&lt;&gt;"",H789,IF(I789&lt;&gt;"",I789,IF(J789&lt;&gt;"",J789,K789)))</f>
        <v>249.99</v>
      </c>
      <c r="C789" s="3">
        <f>MEDIAN(H789:K789)</f>
        <v>249.99</v>
      </c>
      <c r="D789" s="3">
        <f>ROUND(C789*(1-Settings!$B$2),2)</f>
        <v>174.99</v>
      </c>
      <c r="E789" s="2" t="inlineStr">
        <is>
          <t>Pokemon</t>
        </is>
      </c>
      <c r="F789" s="2" t="inlineStr">
        <is>
          <t>Box</t>
        </is>
      </c>
      <c r="G789" s="2" t="inlineStr">
        <is>
          <t>SWSH10: Astral Radiance</t>
        </is>
      </c>
      <c r="H789" s="3" t="n"/>
      <c r="I789" s="3" t="n"/>
      <c r="J789" s="3" t="n">
        <v>249.99</v>
      </c>
      <c r="K789" s="3" t="n">
        <v>249.99</v>
      </c>
      <c r="L789" s="2" t="inlineStr">
        <is>
          <t>TCGplayer</t>
        </is>
      </c>
      <c r="N789" s="4" t="inlineStr">
        <is>
          <t>https://www.tcgplayer.com/product/704916</t>
        </is>
      </c>
    </row>
    <row r="790">
      <c r="A790" s="2" t="inlineStr">
        <is>
          <t>Lost Origin Booster Box</t>
        </is>
      </c>
      <c r="B790" s="3">
        <f>IF(H790&lt;&gt;"",H790,IF(I790&lt;&gt;"",I790,IF(J790&lt;&gt;"",J790,K790)))</f>
        <v>736.48</v>
      </c>
      <c r="C790" s="3">
        <f>MEDIAN(H790:K790)</f>
        <v>734.48</v>
      </c>
      <c r="D790" s="3">
        <f>ROUND(C790*(1-Settings!$B$2),2)</f>
        <v>514.14</v>
      </c>
      <c r="E790" s="2" t="inlineStr">
        <is>
          <t>Pokemon</t>
        </is>
      </c>
      <c r="F790" s="2" t="inlineStr">
        <is>
          <t>Box</t>
        </is>
      </c>
      <c r="G790" s="2" t="inlineStr">
        <is>
          <t>SWSH11: Lost Origin</t>
        </is>
      </c>
      <c r="H790" s="3" t="n">
        <v>736.48</v>
      </c>
      <c r="I790" s="3" t="n">
        <v>732.48</v>
      </c>
      <c r="J790" s="3" t="n">
        <v>907</v>
      </c>
      <c r="K790" s="3" t="n">
        <v>599.99</v>
      </c>
      <c r="L790" s="2" t="inlineStr">
        <is>
          <t>PriceCharting + TCGplayer</t>
        </is>
      </c>
      <c r="M790" s="4" t="inlineStr">
        <is>
          <t>https://www.pricecharting.com/game/pokemon-lost-origin/booster-box</t>
        </is>
      </c>
      <c r="N790" s="4" t="inlineStr">
        <is>
          <t>https://www.tcgplayer.com/product/277324</t>
        </is>
      </c>
    </row>
    <row r="791">
      <c r="A791" s="2" t="inlineStr">
        <is>
          <t>Silver Tempest Booster Box</t>
        </is>
      </c>
      <c r="B791" s="3">
        <f>IF(H791&lt;&gt;"",H791,IF(I791&lt;&gt;"",I791,IF(J791&lt;&gt;"",J791,K791)))</f>
        <v>525.0</v>
      </c>
      <c r="C791" s="3">
        <f>MEDIAN(H791:K791)</f>
        <v>523.8199999999999</v>
      </c>
      <c r="D791" s="3">
        <f>ROUND(C791*(1-Settings!$B$2),2)</f>
        <v>366.67</v>
      </c>
      <c r="E791" s="2" t="inlineStr">
        <is>
          <t>Pokemon</t>
        </is>
      </c>
      <c r="F791" s="2" t="inlineStr">
        <is>
          <t>Box</t>
        </is>
      </c>
      <c r="G791" s="2" t="inlineStr">
        <is>
          <t>SWSH12: Silver Tempest</t>
        </is>
      </c>
      <c r="H791" s="3" t="n">
        <v>525</v>
      </c>
      <c r="I791" s="3" t="n">
        <v>522.64</v>
      </c>
      <c r="J791" s="3" t="n">
        <v>575</v>
      </c>
      <c r="K791" s="3" t="n">
        <v>520.01</v>
      </c>
      <c r="L791" s="2" t="inlineStr">
        <is>
          <t>PriceCharting + TCGplayer</t>
        </is>
      </c>
      <c r="M791" s="4" t="inlineStr">
        <is>
          <t>https://www.pricecharting.com/game/pokemon-silver-tempest/booster-box</t>
        </is>
      </c>
      <c r="N791" s="4" t="inlineStr">
        <is>
          <t>https://www.tcgplayer.com/product/283389</t>
        </is>
      </c>
    </row>
    <row r="792">
      <c r="A792" s="2" t="inlineStr">
        <is>
          <t>Team Rocket Booster Box</t>
        </is>
      </c>
      <c r="B792" s="3">
        <f>IF(H792&lt;&gt;"",H792,IF(I792&lt;&gt;"",I792,IF(J792&lt;&gt;"",J792,K792)))</f>
        <v>13777.0</v>
      </c>
      <c r="C792" s="3">
        <f>MEDIAN(H792:K792)</f>
        <v>13777.0</v>
      </c>
      <c r="D792" s="3">
        <f>ROUND(C792*(1-Settings!$B$2),2)</f>
        <v>9643.9</v>
      </c>
      <c r="E792" s="2" t="inlineStr">
        <is>
          <t>Pokemon</t>
        </is>
      </c>
      <c r="F792" s="2" t="inlineStr">
        <is>
          <t>Box</t>
        </is>
      </c>
      <c r="G792" s="2" t="inlineStr">
        <is>
          <t>Team Rocket</t>
        </is>
      </c>
      <c r="H792" s="3" t="n">
        <v>13777</v>
      </c>
      <c r="I792" s="3" t="n"/>
      <c r="J792" s="3" t="n"/>
      <c r="K792" s="3" t="n"/>
      <c r="L792" s="2" t="inlineStr">
        <is>
          <t>PriceCharting</t>
        </is>
      </c>
      <c r="M792" s="4" t="inlineStr">
        <is>
          <t>https://www.pricecharting.com/game/pokemon-team-rocket/booster-box</t>
        </is>
      </c>
    </row>
    <row r="793">
      <c r="A793" s="2" t="inlineStr">
        <is>
          <t>Team Rocket Booster Box [1st Edition]</t>
        </is>
      </c>
      <c r="B793" s="3">
        <f>IF(H793&lt;&gt;"",H793,IF(I793&lt;&gt;"",I793,IF(J793&lt;&gt;"",J793,K793)))</f>
        <v>24567.91</v>
      </c>
      <c r="C793" s="3">
        <f>MEDIAN(H793:K793)</f>
        <v>24567.91</v>
      </c>
      <c r="D793" s="3">
        <f>ROUND(C793*(1-Settings!$B$2),2)</f>
        <v>17197.54</v>
      </c>
      <c r="E793" s="2" t="inlineStr">
        <is>
          <t>Pokemon</t>
        </is>
      </c>
      <c r="F793" s="2" t="inlineStr">
        <is>
          <t>Box</t>
        </is>
      </c>
      <c r="G793" s="2" t="inlineStr">
        <is>
          <t>Team Rocket</t>
        </is>
      </c>
      <c r="H793" s="3" t="n">
        <v>24567.91</v>
      </c>
      <c r="I793" s="3" t="n"/>
      <c r="J793" s="3" t="n"/>
      <c r="K793" s="3" t="n"/>
      <c r="L793" s="2" t="inlineStr">
        <is>
          <t>PriceCharting + TCGplayer</t>
        </is>
      </c>
      <c r="M793" s="4" t="inlineStr">
        <is>
          <t>https://www.pricecharting.com/game/pokemon-team-rocket/booster-box-1st-edition</t>
        </is>
      </c>
      <c r="N793" s="4" t="inlineStr">
        <is>
          <t>https://www.tcgplayer.com/product/209436</t>
        </is>
      </c>
    </row>
    <row r="794">
      <c r="A794" s="2" t="inlineStr">
        <is>
          <t>Team Rocket Booster Box [Unlimited Edition]</t>
        </is>
      </c>
      <c r="B794" s="3">
        <f>IF(H794&lt;&gt;"",H794,IF(I794&lt;&gt;"",I794,IF(J794&lt;&gt;"",J794,K794)))</f>
        <v>36000.0</v>
      </c>
      <c r="C794" s="3">
        <f>MEDIAN(H794:K794)</f>
        <v>36000.0</v>
      </c>
      <c r="D794" s="3">
        <f>ROUND(C794*(1-Settings!$B$2),2)</f>
        <v>25200.0</v>
      </c>
      <c r="E794" s="2" t="inlineStr">
        <is>
          <t>Pokemon</t>
        </is>
      </c>
      <c r="F794" s="2" t="inlineStr">
        <is>
          <t>Box</t>
        </is>
      </c>
      <c r="G794" s="2" t="inlineStr">
        <is>
          <t>Team Rocket</t>
        </is>
      </c>
      <c r="H794" s="3" t="n"/>
      <c r="I794" s="3" t="n"/>
      <c r="J794" s="3" t="n">
        <v>36000</v>
      </c>
      <c r="K794" s="3" t="n">
        <v>36000</v>
      </c>
      <c r="L794" s="2" t="inlineStr">
        <is>
          <t>TCGplayer</t>
        </is>
      </c>
      <c r="N794" s="4" t="inlineStr">
        <is>
          <t>https://www.tcgplayer.com/product/209437</t>
        </is>
      </c>
    </row>
    <row r="795">
      <c r="A795" s="2" t="inlineStr">
        <is>
          <t>Team Up Build &amp; Battle Display Box</t>
        </is>
      </c>
      <c r="B795" s="3">
        <f>IF(H795&lt;&gt;"",H795,IF(I795&lt;&gt;"",I795,IF(J795&lt;&gt;"",J795,K795)))</f>
        <v>11229.0</v>
      </c>
      <c r="C795" s="3">
        <f>MEDIAN(H795:K795)</f>
        <v>11229.0</v>
      </c>
      <c r="D795" s="3">
        <f>ROUND(C795*(1-Settings!$B$2),2)</f>
        <v>7860.3</v>
      </c>
      <c r="E795" s="2" t="inlineStr">
        <is>
          <t>Pokemon</t>
        </is>
      </c>
      <c r="F795" s="2" t="inlineStr">
        <is>
          <t>Box</t>
        </is>
      </c>
      <c r="G795" s="2" t="inlineStr">
        <is>
          <t>Team Up</t>
        </is>
      </c>
      <c r="H795" s="3" t="n">
        <v>11229</v>
      </c>
      <c r="I795" s="3" t="n"/>
      <c r="J795" s="3" t="n"/>
      <c r="K795" s="3" t="n"/>
      <c r="L795" s="2" t="inlineStr">
        <is>
          <t>PriceCharting</t>
        </is>
      </c>
      <c r="M795" s="4" t="inlineStr">
        <is>
          <t>https://www.pricecharting.com/game/pokemon-team-up/build-&amp;-battle-display-box</t>
        </is>
      </c>
    </row>
    <row r="796">
      <c r="A796" s="2" t="inlineStr">
        <is>
          <t>Triumphant Booster Box</t>
        </is>
      </c>
      <c r="B796" s="3">
        <f>IF(H796&lt;&gt;"",H796,IF(I796&lt;&gt;"",I796,IF(J796&lt;&gt;"",J796,K796)))</f>
        <v>5188.71</v>
      </c>
      <c r="C796" s="3">
        <f>MEDIAN(H796:K796)</f>
        <v>5188.71</v>
      </c>
      <c r="D796" s="3">
        <f>ROUND(C796*(1-Settings!$B$2),2)</f>
        <v>3632.1</v>
      </c>
      <c r="E796" s="2" t="inlineStr">
        <is>
          <t>Pokemon</t>
        </is>
      </c>
      <c r="F796" s="2" t="inlineStr">
        <is>
          <t>Box</t>
        </is>
      </c>
      <c r="G796" s="2" t="inlineStr">
        <is>
          <t>Triumphant</t>
        </is>
      </c>
      <c r="H796" s="3" t="n">
        <v>5188.71</v>
      </c>
      <c r="I796" s="3" t="n"/>
      <c r="J796" s="3" t="n"/>
      <c r="K796" s="3" t="n"/>
      <c r="L796" s="2" t="inlineStr">
        <is>
          <t>PriceCharting + TCGplayer</t>
        </is>
      </c>
      <c r="M796" s="4" t="inlineStr">
        <is>
          <t>https://www.pricecharting.com/game/pokemon-triumphant/booster-box</t>
        </is>
      </c>
      <c r="N796" s="4" t="inlineStr">
        <is>
          <t>https://www.tcgplayer.com/product/98535</t>
        </is>
      </c>
    </row>
    <row r="797">
      <c r="A797" s="2" t="inlineStr">
        <is>
          <t>Twilight Masquerade Build &amp; Battle Display Box</t>
        </is>
      </c>
      <c r="B797" s="3">
        <f>IF(H797&lt;&gt;"",H797,IF(I797&lt;&gt;"",I797,IF(J797&lt;&gt;"",J797,K797)))</f>
        <v>400.0</v>
      </c>
      <c r="C797" s="3">
        <f>MEDIAN(H797:K797)</f>
        <v>400.0</v>
      </c>
      <c r="D797" s="3">
        <f>ROUND(C797*(1-Settings!$B$2),2)</f>
        <v>280.0</v>
      </c>
      <c r="E797" s="2" t="inlineStr">
        <is>
          <t>Pokemon</t>
        </is>
      </c>
      <c r="F797" s="2" t="inlineStr">
        <is>
          <t>Box</t>
        </is>
      </c>
      <c r="G797" s="2" t="inlineStr">
        <is>
          <t>Twilight Masquerade</t>
        </is>
      </c>
      <c r="H797" s="3" t="n">
        <v>400</v>
      </c>
      <c r="I797" s="3" t="n"/>
      <c r="J797" s="3" t="n"/>
      <c r="K797" s="3" t="n"/>
      <c r="L797" s="2" t="inlineStr">
        <is>
          <t>PriceCharting</t>
        </is>
      </c>
      <c r="M797" s="4" t="inlineStr">
        <is>
          <t>https://www.pricecharting.com/game/pokemon-twilight-masquerade/build-&amp;-battle-display-box</t>
        </is>
      </c>
    </row>
    <row r="798">
      <c r="A798" s="2" t="inlineStr">
        <is>
          <t>Twilight Masquerade Half Booster Box</t>
        </is>
      </c>
      <c r="B798" s="3">
        <f>IF(H798&lt;&gt;"",H798,IF(I798&lt;&gt;"",I798,IF(J798&lt;&gt;"",J798,K798)))</f>
        <v>167.77</v>
      </c>
      <c r="C798" s="3">
        <f>MEDIAN(H798:K798)</f>
        <v>167.77</v>
      </c>
      <c r="D798" s="3">
        <f>ROUND(C798*(1-Settings!$B$2),2)</f>
        <v>117.44</v>
      </c>
      <c r="E798" s="2" t="inlineStr">
        <is>
          <t>Pokemon</t>
        </is>
      </c>
      <c r="F798" s="2" t="inlineStr">
        <is>
          <t>Box</t>
        </is>
      </c>
      <c r="G798" s="2" t="inlineStr">
        <is>
          <t>Twilight Masquerade</t>
        </is>
      </c>
      <c r="H798" s="3" t="n">
        <v>167.77</v>
      </c>
      <c r="I798" s="3" t="n"/>
      <c r="J798" s="3" t="n"/>
      <c r="K798" s="3" t="n"/>
      <c r="L798" s="2" t="inlineStr">
        <is>
          <t>PriceCharting</t>
        </is>
      </c>
      <c r="M798" s="4" t="inlineStr">
        <is>
          <t>https://www.pricecharting.com/game/pokemon-twilight-masquerade/half-booster-box</t>
        </is>
      </c>
    </row>
    <row r="799">
      <c r="A799" s="2" t="inlineStr">
        <is>
          <t>Ultra Prism Booster Box</t>
        </is>
      </c>
      <c r="B799" s="3">
        <f>IF(H799&lt;&gt;"",H799,IF(I799&lt;&gt;"",I799,IF(J799&lt;&gt;"",J799,K799)))</f>
        <v>1414.04</v>
      </c>
      <c r="C799" s="3">
        <f>MEDIAN(H799:K799)</f>
        <v>1414.04</v>
      </c>
      <c r="D799" s="3">
        <f>ROUND(C799*(1-Settings!$B$2),2)</f>
        <v>989.83</v>
      </c>
      <c r="E799" s="2" t="inlineStr">
        <is>
          <t>Pokemon</t>
        </is>
      </c>
      <c r="F799" s="2" t="inlineStr">
        <is>
          <t>Box</t>
        </is>
      </c>
      <c r="G799" s="2" t="inlineStr">
        <is>
          <t>Ultra Prism</t>
        </is>
      </c>
      <c r="H799" s="3" t="n">
        <v>1414.04</v>
      </c>
      <c r="I799" s="3" t="n"/>
      <c r="J799" s="3" t="n"/>
      <c r="K799" s="3" t="n"/>
      <c r="L799" s="2" t="inlineStr">
        <is>
          <t>PriceCharting</t>
        </is>
      </c>
      <c r="M799" s="4" t="inlineStr">
        <is>
          <t>https://www.pricecharting.com/game/pokemon-ultra-prism/booster-box</t>
        </is>
      </c>
    </row>
    <row r="800">
      <c r="A800" s="2" t="inlineStr">
        <is>
          <t>Undaunted Booster Box</t>
        </is>
      </c>
      <c r="B800" s="3">
        <f>IF(H800&lt;&gt;"",H800,IF(I800&lt;&gt;"",I800,IF(J800&lt;&gt;"",J800,K800)))</f>
        <v>7710.5</v>
      </c>
      <c r="C800" s="3">
        <f>MEDIAN(H800:K800)</f>
        <v>7710.5</v>
      </c>
      <c r="D800" s="3">
        <f>ROUND(C800*(1-Settings!$B$2),2)</f>
        <v>5397.35</v>
      </c>
      <c r="E800" s="2" t="inlineStr">
        <is>
          <t>Pokemon</t>
        </is>
      </c>
      <c r="F800" s="2" t="inlineStr">
        <is>
          <t>Box</t>
        </is>
      </c>
      <c r="G800" s="2" t="inlineStr">
        <is>
          <t>Undaunted</t>
        </is>
      </c>
      <c r="H800" s="3" t="n">
        <v>7710.5</v>
      </c>
      <c r="I800" s="3" t="n"/>
      <c r="J800" s="3" t="n"/>
      <c r="K800" s="3" t="n"/>
      <c r="L800" s="2" t="inlineStr">
        <is>
          <t>PriceCharting + TCGplayer</t>
        </is>
      </c>
      <c r="M800" s="4" t="inlineStr">
        <is>
          <t>https://www.pricecharting.com/game/pokemon-undaunted/booster-box</t>
        </is>
      </c>
      <c r="N800" s="4" t="inlineStr">
        <is>
          <t>https://www.tcgplayer.com/product/98587</t>
        </is>
      </c>
    </row>
    <row r="801">
      <c r="A801" s="2" t="inlineStr">
        <is>
          <t>Unleashed Booster Box</t>
        </is>
      </c>
      <c r="B801" s="3">
        <f>IF(H801&lt;&gt;"",H801,IF(I801&lt;&gt;"",I801,IF(J801&lt;&gt;"",J801,K801)))</f>
        <v>3850.64</v>
      </c>
      <c r="C801" s="3">
        <f>MEDIAN(H801:K801)</f>
        <v>3850.64</v>
      </c>
      <c r="D801" s="3">
        <f>ROUND(C801*(1-Settings!$B$2),2)</f>
        <v>2695.45</v>
      </c>
      <c r="E801" s="2" t="inlineStr">
        <is>
          <t>Pokemon</t>
        </is>
      </c>
      <c r="F801" s="2" t="inlineStr">
        <is>
          <t>Box</t>
        </is>
      </c>
      <c r="G801" s="2" t="inlineStr">
        <is>
          <t>Unleashed</t>
        </is>
      </c>
      <c r="H801" s="3" t="n">
        <v>3850.64</v>
      </c>
      <c r="I801" s="3" t="n"/>
      <c r="J801" s="3" t="n"/>
      <c r="K801" s="3" t="n"/>
      <c r="L801" s="2" t="inlineStr">
        <is>
          <t>PriceCharting + TCGplayer</t>
        </is>
      </c>
      <c r="M801" s="4" t="inlineStr">
        <is>
          <t>https://www.pricecharting.com/game/pokemon-unleashed/booster-box</t>
        </is>
      </c>
      <c r="N801" s="4" t="inlineStr">
        <is>
          <t>https://www.tcgplayer.com/product/98583</t>
        </is>
      </c>
    </row>
    <row r="802">
      <c r="A802" s="2" t="inlineStr">
        <is>
          <t>Vivid Voltage Build &amp; Battle Display Box</t>
        </is>
      </c>
      <c r="B802" s="3">
        <f>IF(H802&lt;&gt;"",H802,IF(I802&lt;&gt;"",I802,IF(J802&lt;&gt;"",J802,K802)))</f>
        <v>652.21</v>
      </c>
      <c r="C802" s="3">
        <f>MEDIAN(H802:K802)</f>
        <v>652.21</v>
      </c>
      <c r="D802" s="3">
        <f>ROUND(C802*(1-Settings!$B$2),2)</f>
        <v>456.55</v>
      </c>
      <c r="E802" s="2" t="inlineStr">
        <is>
          <t>Pokemon</t>
        </is>
      </c>
      <c r="F802" s="2" t="inlineStr">
        <is>
          <t>Box</t>
        </is>
      </c>
      <c r="G802" s="2" t="inlineStr">
        <is>
          <t>Vivid Voltage</t>
        </is>
      </c>
      <c r="H802" s="3" t="n">
        <v>652.21</v>
      </c>
      <c r="I802" s="3" t="n"/>
      <c r="J802" s="3" t="n"/>
      <c r="K802" s="3" t="n"/>
      <c r="L802" s="2" t="inlineStr">
        <is>
          <t>PriceCharting</t>
        </is>
      </c>
      <c r="M802" s="4" t="inlineStr">
        <is>
          <t>https://www.pricecharting.com/game/pokemon-vivid-voltage/build-&amp;-battle-display-box</t>
        </is>
      </c>
    </row>
    <row r="803">
      <c r="A803" s="2" t="inlineStr">
        <is>
          <t>White Flare Booster Bundle Display Box</t>
        </is>
      </c>
      <c r="B803" s="3">
        <f>IF(H803&lt;&gt;"",H803,IF(I803&lt;&gt;"",I803,IF(J803&lt;&gt;"",J803,K803)))</f>
        <v>1075.86</v>
      </c>
      <c r="C803" s="3">
        <f>MEDIAN(H803:K803)</f>
        <v>1075.86</v>
      </c>
      <c r="D803" s="3">
        <f>ROUND(C803*(1-Settings!$B$2),2)</f>
        <v>753.1</v>
      </c>
      <c r="E803" s="2" t="inlineStr">
        <is>
          <t>Pokemon</t>
        </is>
      </c>
      <c r="F803" s="2" t="inlineStr">
        <is>
          <t>Box</t>
        </is>
      </c>
      <c r="G803" s="2" t="inlineStr">
        <is>
          <t>White Flare</t>
        </is>
      </c>
      <c r="H803" s="3" t="n">
        <v>1075.86</v>
      </c>
      <c r="I803" s="3" t="n"/>
      <c r="J803" s="3" t="n"/>
      <c r="K803" s="3" t="n"/>
      <c r="L803" s="2" t="inlineStr">
        <is>
          <t>PriceCharting</t>
        </is>
      </c>
      <c r="M803" s="4" t="inlineStr">
        <is>
          <t>https://www.pricecharting.com/game/pokemon-white-flare/booster-bundle-display-box</t>
        </is>
      </c>
    </row>
    <row r="804">
      <c r="A804" s="2" t="inlineStr">
        <is>
          <t>Xy Booster Box</t>
        </is>
      </c>
      <c r="B804" s="3">
        <f>IF(H804&lt;&gt;"",H804,IF(I804&lt;&gt;"",I804,IF(J804&lt;&gt;"",J804,K804)))</f>
        <v>2050.0</v>
      </c>
      <c r="C804" s="3">
        <f>MEDIAN(H804:K804)</f>
        <v>2050.0</v>
      </c>
      <c r="D804" s="3">
        <f>ROUND(C804*(1-Settings!$B$2),2)</f>
        <v>1435.0</v>
      </c>
      <c r="E804" s="2" t="inlineStr">
        <is>
          <t>Pokemon</t>
        </is>
      </c>
      <c r="F804" s="2" t="inlineStr">
        <is>
          <t>Box</t>
        </is>
      </c>
      <c r="G804" s="2" t="inlineStr">
        <is>
          <t>Xy</t>
        </is>
      </c>
      <c r="H804" s="3" t="n">
        <v>2050</v>
      </c>
      <c r="I804" s="3" t="n"/>
      <c r="J804" s="3" t="n"/>
      <c r="K804" s="3" t="n"/>
      <c r="L804" s="2" t="inlineStr">
        <is>
          <t>PriceCharting</t>
        </is>
      </c>
      <c r="M804" s="4" t="inlineStr">
        <is>
          <t>https://www.pricecharting.com/game/pokemon-xy/booster-box</t>
        </is>
      </c>
    </row>
    <row r="805">
      <c r="A805" s="2" t="inlineStr">
        <is>
          <t>XY Ancient Origins Booster Box</t>
        </is>
      </c>
      <c r="B805" s="3">
        <f>IF(H805&lt;&gt;"",H805,IF(I805&lt;&gt;"",I805,IF(J805&lt;&gt;"",J805,K805)))</f>
        <v>8800.0</v>
      </c>
      <c r="C805" s="3">
        <f>MEDIAN(H805:K805)</f>
        <v>8516.994999999999</v>
      </c>
      <c r="D805" s="3">
        <f>ROUND(C805*(1-Settings!$B$2),2)</f>
        <v>5961.9</v>
      </c>
      <c r="E805" s="2" t="inlineStr">
        <is>
          <t>Pokemon</t>
        </is>
      </c>
      <c r="F805" s="2" t="inlineStr">
        <is>
          <t>Box</t>
        </is>
      </c>
      <c r="G805" s="2" t="inlineStr">
        <is>
          <t>XY - Ancient Origins</t>
        </is>
      </c>
      <c r="H805" s="3" t="n"/>
      <c r="I805" s="3" t="n"/>
      <c r="J805" s="3" t="n">
        <v>8800</v>
      </c>
      <c r="K805" s="3" t="n">
        <v>8233.99</v>
      </c>
      <c r="L805" s="2" t="inlineStr">
        <is>
          <t>TCGplayer</t>
        </is>
      </c>
      <c r="N805" s="4" t="inlineStr">
        <is>
          <t>https://www.tcgplayer.com/product/100489</t>
        </is>
      </c>
    </row>
    <row r="806">
      <c r="A806" s="2" t="inlineStr">
        <is>
          <t>XY BREAKpoint Booster Box</t>
        </is>
      </c>
      <c r="B806" s="3">
        <f>IF(H806&lt;&gt;"",H806,IF(I806&lt;&gt;"",I806,IF(J806&lt;&gt;"",J806,K806)))</f>
        <v>4700.0</v>
      </c>
      <c r="C806" s="3">
        <f>MEDIAN(H806:K806)</f>
        <v>4700.0</v>
      </c>
      <c r="D806" s="3">
        <f>ROUND(C806*(1-Settings!$B$2),2)</f>
        <v>3290.0</v>
      </c>
      <c r="E806" s="2" t="inlineStr">
        <is>
          <t>Pokemon</t>
        </is>
      </c>
      <c r="F806" s="2" t="inlineStr">
        <is>
          <t>Box</t>
        </is>
      </c>
      <c r="G806" s="2" t="inlineStr">
        <is>
          <t>XY - BREAKpoint</t>
        </is>
      </c>
      <c r="H806" s="3" t="n"/>
      <c r="I806" s="3" t="n"/>
      <c r="J806" s="3" t="n">
        <v>4700</v>
      </c>
      <c r="K806" s="3" t="n">
        <v>4700</v>
      </c>
      <c r="L806" s="2" t="inlineStr">
        <is>
          <t>TCGplayer</t>
        </is>
      </c>
      <c r="N806" s="4" t="inlineStr">
        <is>
          <t>https://www.tcgplayer.com/product/111278</t>
        </is>
      </c>
    </row>
    <row r="807">
      <c r="A807" s="2" t="inlineStr">
        <is>
          <t>XY BREAKthrough Booster Box</t>
        </is>
      </c>
      <c r="B807" s="3">
        <f>IF(H807&lt;&gt;"",H807,IF(I807&lt;&gt;"",I807,IF(J807&lt;&gt;"",J807,K807)))</f>
        <v>3248.29</v>
      </c>
      <c r="C807" s="3">
        <f>MEDIAN(H807:K807)</f>
        <v>3208.55</v>
      </c>
      <c r="D807" s="3">
        <f>ROUND(C807*(1-Settings!$B$2),2)</f>
        <v>2245.99</v>
      </c>
      <c r="E807" s="2" t="inlineStr">
        <is>
          <t>Pokemon</t>
        </is>
      </c>
      <c r="F807" s="2" t="inlineStr">
        <is>
          <t>Box</t>
        </is>
      </c>
      <c r="G807" s="2" t="inlineStr">
        <is>
          <t>XY - BREAKthrough</t>
        </is>
      </c>
      <c r="H807" s="3" t="n"/>
      <c r="I807" s="3" t="n">
        <v>3248.29</v>
      </c>
      <c r="J807" s="3" t="n">
        <v>3208.55</v>
      </c>
      <c r="K807" s="3" t="n">
        <v>3208.55</v>
      </c>
      <c r="L807" s="2" t="inlineStr">
        <is>
          <t>TCGplayer</t>
        </is>
      </c>
      <c r="N807" s="4" t="inlineStr">
        <is>
          <t>https://www.tcgplayer.com/product/107101</t>
        </is>
      </c>
    </row>
    <row r="808">
      <c r="A808" s="2" t="inlineStr">
        <is>
          <t>XY Evolutions Booster Box</t>
        </is>
      </c>
      <c r="B808" s="3">
        <f>IF(H808&lt;&gt;"",H808,IF(I808&lt;&gt;"",I808,IF(J808&lt;&gt;"",J808,K808)))</f>
        <v>2579.99</v>
      </c>
      <c r="C808" s="3">
        <f>MEDIAN(H808:K808)</f>
        <v>2579.99</v>
      </c>
      <c r="D808" s="3">
        <f>ROUND(C808*(1-Settings!$B$2),2)</f>
        <v>1805.99</v>
      </c>
      <c r="E808" s="2" t="inlineStr">
        <is>
          <t>Pokemon</t>
        </is>
      </c>
      <c r="F808" s="2" t="inlineStr">
        <is>
          <t>Box</t>
        </is>
      </c>
      <c r="G808" s="2" t="inlineStr">
        <is>
          <t>XY - Evolutions</t>
        </is>
      </c>
      <c r="H808" s="3" t="n"/>
      <c r="I808" s="3" t="n">
        <v>2579.99</v>
      </c>
      <c r="J808" s="3" t="n">
        <v>2999.99</v>
      </c>
      <c r="K808" s="3" t="n">
        <v>75</v>
      </c>
      <c r="L808" s="2" t="inlineStr">
        <is>
          <t>TCGplayer</t>
        </is>
      </c>
      <c r="N808" s="4" t="inlineStr">
        <is>
          <t>https://www.tcgplayer.com/product/123446</t>
        </is>
      </c>
    </row>
    <row r="809">
      <c r="A809" s="2" t="inlineStr">
        <is>
          <t>XY Fates Collide Booster Box</t>
        </is>
      </c>
      <c r="B809" s="3">
        <f>IF(H809&lt;&gt;"",H809,IF(I809&lt;&gt;"",I809,IF(J809&lt;&gt;"",J809,K809)))</f>
        <v>2754.99</v>
      </c>
      <c r="C809" s="3">
        <f>MEDIAN(H809:K809)</f>
        <v>6989.95</v>
      </c>
      <c r="D809" s="3">
        <f>ROUND(C809*(1-Settings!$B$2),2)</f>
        <v>4892.97</v>
      </c>
      <c r="E809" s="2" t="inlineStr">
        <is>
          <t>Pokemon</t>
        </is>
      </c>
      <c r="F809" s="2" t="inlineStr">
        <is>
          <t>Box</t>
        </is>
      </c>
      <c r="G809" s="2" t="inlineStr">
        <is>
          <t>XY - Fates Collide</t>
        </is>
      </c>
      <c r="H809" s="3" t="n"/>
      <c r="I809" s="3" t="n">
        <v>2754.99</v>
      </c>
      <c r="J809" s="3" t="n">
        <v>8494.98</v>
      </c>
      <c r="K809" s="3" t="n">
        <v>6989.95</v>
      </c>
      <c r="L809" s="2" t="inlineStr">
        <is>
          <t>TCGplayer</t>
        </is>
      </c>
      <c r="N809" s="4" t="inlineStr">
        <is>
          <t>https://www.tcgplayer.com/product/117478</t>
        </is>
      </c>
    </row>
    <row r="810">
      <c r="A810" s="2" t="inlineStr">
        <is>
          <t>Flashfire Booster Box</t>
        </is>
      </c>
      <c r="B810" s="3">
        <f>IF(H810&lt;&gt;"",H810,IF(I810&lt;&gt;"",I810,IF(J810&lt;&gt;"",J810,K810)))</f>
        <v>10598.42</v>
      </c>
      <c r="C810" s="3">
        <f>MEDIAN(H810:K810)</f>
        <v>12000.0</v>
      </c>
      <c r="D810" s="3">
        <f>ROUND(C810*(1-Settings!$B$2),2)</f>
        <v>8400.0</v>
      </c>
      <c r="E810" s="2" t="inlineStr">
        <is>
          <t>Pokemon</t>
        </is>
      </c>
      <c r="F810" s="2" t="inlineStr">
        <is>
          <t>Box</t>
        </is>
      </c>
      <c r="G810" s="2" t="inlineStr">
        <is>
          <t>XY - Flashfire</t>
        </is>
      </c>
      <c r="H810" s="3" t="n">
        <v>10598.42</v>
      </c>
      <c r="I810" s="3" t="n"/>
      <c r="J810" s="3" t="n">
        <v>12000</v>
      </c>
      <c r="K810" s="3" t="n">
        <v>12000</v>
      </c>
      <c r="L810" s="2" t="inlineStr">
        <is>
          <t>PriceCharting + TCGplayer</t>
        </is>
      </c>
      <c r="M810" s="4" t="inlineStr">
        <is>
          <t>https://www.pricecharting.com/game/pokemon-flashfire/booster-box</t>
        </is>
      </c>
      <c r="N810" s="4" t="inlineStr">
        <is>
          <t>https://www.tcgplayer.com/product/91594</t>
        </is>
      </c>
    </row>
    <row r="811">
      <c r="A811" s="2" t="inlineStr">
        <is>
          <t>Furious Fists Booster Box</t>
        </is>
      </c>
      <c r="B811" s="3">
        <f>IF(H811&lt;&gt;"",H811,IF(I811&lt;&gt;"",I811,IF(J811&lt;&gt;"",J811,K811)))</f>
        <v>4206.17</v>
      </c>
      <c r="C811" s="3">
        <f>MEDIAN(H811:K811)</f>
        <v>5858.725</v>
      </c>
      <c r="D811" s="3">
        <f>ROUND(C811*(1-Settings!$B$2),2)</f>
        <v>4101.11</v>
      </c>
      <c r="E811" s="2" t="inlineStr">
        <is>
          <t>Pokemon</t>
        </is>
      </c>
      <c r="F811" s="2" t="inlineStr">
        <is>
          <t>Box</t>
        </is>
      </c>
      <c r="G811" s="2" t="inlineStr">
        <is>
          <t>XY - Furious Fists</t>
        </is>
      </c>
      <c r="H811" s="3" t="n">
        <v>4206.17</v>
      </c>
      <c r="I811" s="3" t="n">
        <v>4717.5</v>
      </c>
      <c r="J811" s="3" t="n">
        <v>6999.95</v>
      </c>
      <c r="K811" s="3" t="n">
        <v>6999.95</v>
      </c>
      <c r="L811" s="2" t="inlineStr">
        <is>
          <t>PriceCharting + TCGplayer</t>
        </is>
      </c>
      <c r="M811" s="4" t="inlineStr">
        <is>
          <t>https://www.pricecharting.com/game/pokemon-furious-fists/booster-box</t>
        </is>
      </c>
      <c r="N811" s="4" t="inlineStr">
        <is>
          <t>https://www.tcgplayer.com/product/92168</t>
        </is>
      </c>
    </row>
    <row r="812">
      <c r="A812" s="2" t="inlineStr">
        <is>
          <t>XY Primal Clash Booster Box</t>
        </is>
      </c>
      <c r="B812" s="3">
        <f>IF(H812&lt;&gt;"",H812,IF(I812&lt;&gt;"",I812,IF(J812&lt;&gt;"",J812,K812)))</f>
        <v>3799.99</v>
      </c>
      <c r="C812" s="3">
        <f>MEDIAN(H812:K812)</f>
        <v>3799.99</v>
      </c>
      <c r="D812" s="3">
        <f>ROUND(C812*(1-Settings!$B$2),2)</f>
        <v>2659.99</v>
      </c>
      <c r="E812" s="2" t="inlineStr">
        <is>
          <t>Pokemon</t>
        </is>
      </c>
      <c r="F812" s="2" t="inlineStr">
        <is>
          <t>Box</t>
        </is>
      </c>
      <c r="G812" s="2" t="inlineStr">
        <is>
          <t>XY - Primal Clash</t>
        </is>
      </c>
      <c r="H812" s="3" t="n"/>
      <c r="I812" s="3" t="n">
        <v>3799.99</v>
      </c>
      <c r="J812" s="3" t="n">
        <v>3849.99</v>
      </c>
      <c r="K812" s="3" t="n">
        <v>3699.99</v>
      </c>
      <c r="L812" s="2" t="inlineStr">
        <is>
          <t>TCGplayer</t>
        </is>
      </c>
      <c r="N812" s="4" t="inlineStr">
        <is>
          <t>https://www.tcgplayer.com/product/97750</t>
        </is>
      </c>
    </row>
    <row r="813">
      <c r="A813" s="2" t="inlineStr">
        <is>
          <t>XY Roaring Skies Booster Box</t>
        </is>
      </c>
      <c r="B813" s="3">
        <f>IF(H813&lt;&gt;"",H813,IF(I813&lt;&gt;"",I813,IF(J813&lt;&gt;"",J813,K813)))</f>
        <v>4280.92</v>
      </c>
      <c r="C813" s="3">
        <f>MEDIAN(H813:K813)</f>
        <v>4399.69</v>
      </c>
      <c r="D813" s="3">
        <f>ROUND(C813*(1-Settings!$B$2),2)</f>
        <v>3079.78</v>
      </c>
      <c r="E813" s="2" t="inlineStr">
        <is>
          <t>Pokemon</t>
        </is>
      </c>
      <c r="F813" s="2" t="inlineStr">
        <is>
          <t>Box</t>
        </is>
      </c>
      <c r="G813" s="2" t="inlineStr">
        <is>
          <t>XY - Roaring Skies</t>
        </is>
      </c>
      <c r="H813" s="3" t="n"/>
      <c r="I813" s="3" t="n">
        <v>4280.92</v>
      </c>
      <c r="J813" s="3" t="n">
        <v>5348.98</v>
      </c>
      <c r="K813" s="3" t="n">
        <v>4399.69</v>
      </c>
      <c r="L813" s="2" t="inlineStr">
        <is>
          <t>TCGplayer</t>
        </is>
      </c>
      <c r="N813" s="4" t="inlineStr">
        <is>
          <t>https://www.tcgplayer.com/product/98026</t>
        </is>
      </c>
    </row>
    <row r="814">
      <c r="A814" s="2" t="inlineStr">
        <is>
          <t>Steam Siege Booster Box</t>
        </is>
      </c>
      <c r="B814" s="3">
        <f>IF(H814&lt;&gt;"",H814,IF(I814&lt;&gt;"",I814,IF(J814&lt;&gt;"",J814,K814)))</f>
        <v>1299.99</v>
      </c>
      <c r="C814" s="3">
        <f>MEDIAN(H814:K814)</f>
        <v>1599.0</v>
      </c>
      <c r="D814" s="3">
        <f>ROUND(C814*(1-Settings!$B$2),2)</f>
        <v>1119.3</v>
      </c>
      <c r="E814" s="2" t="inlineStr">
        <is>
          <t>Pokemon</t>
        </is>
      </c>
      <c r="F814" s="2" t="inlineStr">
        <is>
          <t>Box</t>
        </is>
      </c>
      <c r="G814" s="2" t="inlineStr">
        <is>
          <t>XY - Steam Siege</t>
        </is>
      </c>
      <c r="H814" s="3" t="n"/>
      <c r="I814" s="3" t="n">
        <v>1299.99</v>
      </c>
      <c r="J814" s="3" t="n">
        <v>1838.98</v>
      </c>
      <c r="K814" s="3" t="n">
        <v>1599</v>
      </c>
      <c r="L814" s="2" t="inlineStr">
        <is>
          <t>TCGplayer</t>
        </is>
      </c>
      <c r="N814" s="4" t="inlineStr">
        <is>
          <t>https://www.tcgplayer.com/product/120076</t>
        </is>
      </c>
    </row>
    <row r="815">
      <c r="A815" s="2" t="inlineStr">
        <is>
          <t>30th Celebration Elite Trainer Box [Pokemon Center]</t>
        </is>
      </c>
      <c r="B815" s="3">
        <f>IF(H815&lt;&gt;"",H815,IF(I815&lt;&gt;"",I815,IF(J815&lt;&gt;"",J815,K815)))</f>
        <v>300.0</v>
      </c>
      <c r="C815" s="3">
        <f>MEDIAN(H815:K815)</f>
        <v>300.0</v>
      </c>
      <c r="D815" s="3">
        <f>ROUND(C815*(1-Settings!$B$2),2)</f>
        <v>210.0</v>
      </c>
      <c r="E815" s="2" t="inlineStr">
        <is>
          <t>Pokemon</t>
        </is>
      </c>
      <c r="F815" s="2" t="inlineStr">
        <is>
          <t>Coffret</t>
        </is>
      </c>
      <c r="G815" s="2" t="inlineStr">
        <is>
          <t>30th Celebration</t>
        </is>
      </c>
      <c r="H815" s="3" t="n">
        <v>300</v>
      </c>
      <c r="I815" s="3" t="n"/>
      <c r="J815" s="3" t="n"/>
      <c r="K815" s="3" t="n"/>
      <c r="L815" s="2" t="inlineStr">
        <is>
          <t>PriceCharting</t>
        </is>
      </c>
      <c r="M815" s="4" t="inlineStr">
        <is>
          <t>https://www.pricecharting.com/game/pokemon-30th-celebration/elite-trainer-box-pokemon-center</t>
        </is>
      </c>
    </row>
    <row r="816">
      <c r="A816" s="2" t="inlineStr">
        <is>
          <t>30th Celebration Sealed Tin: Greninja ex</t>
        </is>
      </c>
      <c r="B816" s="3">
        <f>IF(H816&lt;&gt;"",H816,IF(I816&lt;&gt;"",I816,IF(J816&lt;&gt;"",J816,K816)))</f>
        <v>64.47</v>
      </c>
      <c r="C816" s="3">
        <f>MEDIAN(H816:K816)</f>
        <v>64.47</v>
      </c>
      <c r="D816" s="3">
        <f>ROUND(C816*(1-Settings!$B$2),2)</f>
        <v>45.13</v>
      </c>
      <c r="E816" s="2" t="inlineStr">
        <is>
          <t>Pokemon</t>
        </is>
      </c>
      <c r="F816" s="2" t="inlineStr">
        <is>
          <t>Coffret</t>
        </is>
      </c>
      <c r="G816" s="2" t="inlineStr">
        <is>
          <t>30th Celebration</t>
        </is>
      </c>
      <c r="H816" s="3" t="n">
        <v>64.47</v>
      </c>
      <c r="I816" s="3" t="n"/>
      <c r="J816" s="3" t="n"/>
      <c r="K816" s="3" t="n"/>
      <c r="L816" s="2" t="inlineStr">
        <is>
          <t>PriceCharting</t>
        </is>
      </c>
      <c r="M816" s="4" t="inlineStr">
        <is>
          <t>https://www.pricecharting.com/game/pokemon-30th-celebration/sealed-tin-greninja-ex</t>
        </is>
      </c>
    </row>
    <row r="817">
      <c r="A817" s="2" t="inlineStr">
        <is>
          <t>30th Celebration Sealed Tin: Sylveon ex</t>
        </is>
      </c>
      <c r="B817" s="3">
        <f>IF(H817&lt;&gt;"",H817,IF(I817&lt;&gt;"",I817,IF(J817&lt;&gt;"",J817,K817)))</f>
        <v>58.15</v>
      </c>
      <c r="C817" s="3">
        <f>MEDIAN(H817:K817)</f>
        <v>58.15</v>
      </c>
      <c r="D817" s="3">
        <f>ROUND(C817*(1-Settings!$B$2),2)</f>
        <v>40.71</v>
      </c>
      <c r="E817" s="2" t="inlineStr">
        <is>
          <t>Pokemon</t>
        </is>
      </c>
      <c r="F817" s="2" t="inlineStr">
        <is>
          <t>Coffret</t>
        </is>
      </c>
      <c r="G817" s="2" t="inlineStr">
        <is>
          <t>30th Celebration</t>
        </is>
      </c>
      <c r="H817" s="3" t="n">
        <v>58.15</v>
      </c>
      <c r="I817" s="3" t="n"/>
      <c r="J817" s="3" t="n"/>
      <c r="K817" s="3" t="n"/>
      <c r="L817" s="2" t="inlineStr">
        <is>
          <t>PriceCharting</t>
        </is>
      </c>
      <c r="M817" s="4" t="inlineStr">
        <is>
          <t>https://www.pricecharting.com/game/pokemon-30th-celebration/sealed-tin-sylveon-ex</t>
        </is>
      </c>
    </row>
    <row r="818">
      <c r="A818" s="2" t="inlineStr">
        <is>
          <t>Premium Trainer's XY Collection</t>
        </is>
      </c>
      <c r="B818" s="3">
        <f>IF(H818&lt;&gt;"",H818,IF(I818&lt;&gt;"",I818,IF(J818&lt;&gt;"",J818,K818)))</f>
        <v>2750.0</v>
      </c>
      <c r="C818" s="3">
        <f>MEDIAN(H818:K818)</f>
        <v>2750.0</v>
      </c>
      <c r="D818" s="3">
        <f>ROUND(C818*(1-Settings!$B$2),2)</f>
        <v>1925.0</v>
      </c>
      <c r="E818" s="2" t="inlineStr">
        <is>
          <t>Pokemon</t>
        </is>
      </c>
      <c r="F818" s="2" t="inlineStr">
        <is>
          <t>Coffret</t>
        </is>
      </c>
      <c r="G818" s="2" t="inlineStr">
        <is>
          <t>Alternate Art Promos</t>
        </is>
      </c>
      <c r="H818" s="3" t="n"/>
      <c r="I818" s="3" t="n">
        <v>2750</v>
      </c>
      <c r="J818" s="3" t="n">
        <v>3499.99</v>
      </c>
      <c r="K818" s="3" t="n">
        <v>2750</v>
      </c>
      <c r="L818" s="2" t="inlineStr">
        <is>
          <t>TCGplayer</t>
        </is>
      </c>
      <c r="N818" s="4" t="inlineStr">
        <is>
          <t>https://www.tcgplayer.com/product/148226</t>
        </is>
      </c>
    </row>
    <row r="819">
      <c r="A819" s="2" t="inlineStr">
        <is>
          <t>Ancient Origins Rayquaza Pin Collection</t>
        </is>
      </c>
      <c r="B819" s="3">
        <f>IF(H819&lt;&gt;"",H819,IF(I819&lt;&gt;"",I819,IF(J819&lt;&gt;"",J819,K819)))</f>
        <v>603.27</v>
      </c>
      <c r="C819" s="3">
        <f>MEDIAN(H819:K819)</f>
        <v>603.27</v>
      </c>
      <c r="D819" s="3">
        <f>ROUND(C819*(1-Settings!$B$2),2)</f>
        <v>422.29</v>
      </c>
      <c r="E819" s="2" t="inlineStr">
        <is>
          <t>Pokemon</t>
        </is>
      </c>
      <c r="F819" s="2" t="inlineStr">
        <is>
          <t>Coffret</t>
        </is>
      </c>
      <c r="G819" s="2" t="inlineStr">
        <is>
          <t>Ancient Origins</t>
        </is>
      </c>
      <c r="H819" s="3" t="n">
        <v>603.27</v>
      </c>
      <c r="I819" s="3" t="n"/>
      <c r="J819" s="3" t="n"/>
      <c r="K819" s="3" t="n"/>
      <c r="L819" s="2" t="inlineStr">
        <is>
          <t>PriceCharting</t>
        </is>
      </c>
      <c r="M819" s="4" t="inlineStr">
        <is>
          <t>https://www.pricecharting.com/game/pokemon-ancient-origins/rayquaza-pin-collection</t>
        </is>
      </c>
    </row>
    <row r="820">
      <c r="A820" s="2" t="inlineStr">
        <is>
          <t>Ancient Origins Tyranitar Pin Collection</t>
        </is>
      </c>
      <c r="B820" s="3">
        <f>IF(H820&lt;&gt;"",H820,IF(I820&lt;&gt;"",I820,IF(J820&lt;&gt;"",J820,K820)))</f>
        <v>420.0</v>
      </c>
      <c r="C820" s="3">
        <f>MEDIAN(H820:K820)</f>
        <v>420.0</v>
      </c>
      <c r="D820" s="3">
        <f>ROUND(C820*(1-Settings!$B$2),2)</f>
        <v>294.0</v>
      </c>
      <c r="E820" s="2" t="inlineStr">
        <is>
          <t>Pokemon</t>
        </is>
      </c>
      <c r="F820" s="2" t="inlineStr">
        <is>
          <t>Coffret</t>
        </is>
      </c>
      <c r="G820" s="2" t="inlineStr">
        <is>
          <t>Ancient Origins</t>
        </is>
      </c>
      <c r="H820" s="3" t="n">
        <v>420</v>
      </c>
      <c r="I820" s="3" t="n"/>
      <c r="J820" s="3" t="n"/>
      <c r="K820" s="3" t="n"/>
      <c r="L820" s="2" t="inlineStr">
        <is>
          <t>PriceCharting</t>
        </is>
      </c>
      <c r="M820" s="4" t="inlineStr">
        <is>
          <t>https://www.pricecharting.com/game/pokemon-ancient-origins/tyranitar-pin-collection</t>
        </is>
      </c>
    </row>
    <row r="821">
      <c r="A821" s="2" t="inlineStr">
        <is>
          <t>Arceus Darkrai 3-Pack Blister</t>
        </is>
      </c>
      <c r="B821" s="3">
        <f>IF(H821&lt;&gt;"",H821,IF(I821&lt;&gt;"",I821,IF(J821&lt;&gt;"",J821,K821)))</f>
        <v>42.5</v>
      </c>
      <c r="C821" s="3">
        <f>MEDIAN(H821:K821)</f>
        <v>42.5</v>
      </c>
      <c r="D821" s="3">
        <f>ROUND(C821*(1-Settings!$B$2),2)</f>
        <v>29.75</v>
      </c>
      <c r="E821" s="2" t="inlineStr">
        <is>
          <t>Pokemon</t>
        </is>
      </c>
      <c r="F821" s="2" t="inlineStr">
        <is>
          <t>Coffret</t>
        </is>
      </c>
      <c r="G821" s="2" t="inlineStr">
        <is>
          <t>Arceus</t>
        </is>
      </c>
      <c r="H821" s="3" t="n">
        <v>42.5</v>
      </c>
      <c r="I821" s="3" t="n"/>
      <c r="J821" s="3" t="n"/>
      <c r="K821" s="3" t="n"/>
      <c r="L821" s="2" t="inlineStr">
        <is>
          <t>PriceCharting</t>
        </is>
      </c>
      <c r="M821" s="4" t="inlineStr">
        <is>
          <t>https://www.pricecharting.com/game/pokemon-arceus/darkrai-3-pack-blister</t>
        </is>
      </c>
    </row>
    <row r="822">
      <c r="A822" s="2" t="inlineStr">
        <is>
          <t>Ascended Heroes 2 Pack Blister Collection: Erika</t>
        </is>
      </c>
      <c r="B822" s="3">
        <f>IF(H822&lt;&gt;"",H822,IF(I822&lt;&gt;"",I822,IF(J822&lt;&gt;"",J822,K822)))</f>
        <v>30.0</v>
      </c>
      <c r="C822" s="3">
        <f>MEDIAN(H822:K822)</f>
        <v>30.0</v>
      </c>
      <c r="D822" s="3">
        <f>ROUND(C822*(1-Settings!$B$2),2)</f>
        <v>21.0</v>
      </c>
      <c r="E822" s="2" t="inlineStr">
        <is>
          <t>Pokemon</t>
        </is>
      </c>
      <c r="F822" s="2" t="inlineStr">
        <is>
          <t>Coffret</t>
        </is>
      </c>
      <c r="G822" s="2" t="inlineStr">
        <is>
          <t>Ascended Heroes</t>
        </is>
      </c>
      <c r="H822" s="3" t="n">
        <v>30</v>
      </c>
      <c r="I822" s="3" t="n"/>
      <c r="J822" s="3" t="n"/>
      <c r="K822" s="3" t="n"/>
      <c r="L822" s="2" t="inlineStr">
        <is>
          <t>PriceCharting</t>
        </is>
      </c>
      <c r="M822" s="4" t="inlineStr">
        <is>
          <t>https://www.pricecharting.com/game/pokemon-ascended-heroes/2-pack-blister-collection-erika</t>
        </is>
      </c>
    </row>
    <row r="823">
      <c r="A823" s="2" t="inlineStr">
        <is>
          <t>Ascended Heroes 2 Pack Blister Collection: Larry</t>
        </is>
      </c>
      <c r="B823" s="3">
        <f>IF(H823&lt;&gt;"",H823,IF(I823&lt;&gt;"",I823,IF(J823&lt;&gt;"",J823,K823)))</f>
        <v>29.92</v>
      </c>
      <c r="C823" s="3">
        <f>MEDIAN(H823:K823)</f>
        <v>29.92</v>
      </c>
      <c r="D823" s="3">
        <f>ROUND(C823*(1-Settings!$B$2),2)</f>
        <v>20.94</v>
      </c>
      <c r="E823" s="2" t="inlineStr">
        <is>
          <t>Pokemon</t>
        </is>
      </c>
      <c r="F823" s="2" t="inlineStr">
        <is>
          <t>Coffret</t>
        </is>
      </c>
      <c r="G823" s="2" t="inlineStr">
        <is>
          <t>Ascended Heroes</t>
        </is>
      </c>
      <c r="H823" s="3" t="n">
        <v>29.92</v>
      </c>
      <c r="I823" s="3" t="n"/>
      <c r="J823" s="3" t="n"/>
      <c r="K823" s="3" t="n"/>
      <c r="L823" s="2" t="inlineStr">
        <is>
          <t>PriceCharting</t>
        </is>
      </c>
      <c r="M823" s="4" t="inlineStr">
        <is>
          <t>https://www.pricecharting.com/game/pokemon-ascended-heroes/2-pack-blister-collection-larry</t>
        </is>
      </c>
    </row>
    <row r="824">
      <c r="A824" s="2" t="inlineStr">
        <is>
          <t>Ascended Heroes Elite Trainer Box [Pokemon Center]</t>
        </is>
      </c>
      <c r="B824" s="3">
        <f>IF(H824&lt;&gt;"",H824,IF(I824&lt;&gt;"",I824,IF(J824&lt;&gt;"",J824,K824)))</f>
        <v>380.25</v>
      </c>
      <c r="C824" s="3">
        <f>MEDIAN(H824:K824)</f>
        <v>380.25</v>
      </c>
      <c r="D824" s="3">
        <f>ROUND(C824*(1-Settings!$B$2),2)</f>
        <v>266.18</v>
      </c>
      <c r="E824" s="2" t="inlineStr">
        <is>
          <t>Pokemon</t>
        </is>
      </c>
      <c r="F824" s="2" t="inlineStr">
        <is>
          <t>Coffret</t>
        </is>
      </c>
      <c r="G824" s="2" t="inlineStr">
        <is>
          <t>Ascended Heroes</t>
        </is>
      </c>
      <c r="H824" s="3" t="n">
        <v>380.25</v>
      </c>
      <c r="I824" s="3" t="n"/>
      <c r="J824" s="3" t="n"/>
      <c r="K824" s="3" t="n"/>
      <c r="L824" s="2" t="inlineStr">
        <is>
          <t>PriceCharting</t>
        </is>
      </c>
      <c r="M824" s="4" t="inlineStr">
        <is>
          <t>https://www.pricecharting.com/game/pokemon-ascended-heroes/elite-trainer-box-pokemon-center</t>
        </is>
      </c>
    </row>
    <row r="825">
      <c r="A825" s="2" t="inlineStr">
        <is>
          <t>Ascended Heroes Sealed Premium Poster Collection: Mega Gardevoir</t>
        </is>
      </c>
      <c r="B825" s="3">
        <f>IF(H825&lt;&gt;"",H825,IF(I825&lt;&gt;"",I825,IF(J825&lt;&gt;"",J825,K825)))</f>
        <v>144.48</v>
      </c>
      <c r="C825" s="3">
        <f>MEDIAN(H825:K825)</f>
        <v>144.48</v>
      </c>
      <c r="D825" s="3">
        <f>ROUND(C825*(1-Settings!$B$2),2)</f>
        <v>101.14</v>
      </c>
      <c r="E825" s="2" t="inlineStr">
        <is>
          <t>Pokemon</t>
        </is>
      </c>
      <c r="F825" s="2" t="inlineStr">
        <is>
          <t>Coffret</t>
        </is>
      </c>
      <c r="G825" s="2" t="inlineStr">
        <is>
          <t>Ascended Heroes</t>
        </is>
      </c>
      <c r="H825" s="3" t="n">
        <v>144.48</v>
      </c>
      <c r="I825" s="3" t="n"/>
      <c r="J825" s="3" t="n"/>
      <c r="K825" s="3" t="n"/>
      <c r="L825" s="2" t="inlineStr">
        <is>
          <t>PriceCharting</t>
        </is>
      </c>
      <c r="M825" s="4" t="inlineStr">
        <is>
          <t>https://www.pricecharting.com/game/pokemon-ascended-heroes/sealed-premium-poster-collection-mega-gardevoir</t>
        </is>
      </c>
    </row>
    <row r="826">
      <c r="A826" s="2" t="inlineStr">
        <is>
          <t>Ascended Heroes Tech Sticker Collection: Charmander</t>
        </is>
      </c>
      <c r="B826" s="3">
        <f>IF(H826&lt;&gt;"",H826,IF(I826&lt;&gt;"",I826,IF(J826&lt;&gt;"",J826,K826)))</f>
        <v>37.42</v>
      </c>
      <c r="C826" s="3">
        <f>MEDIAN(H826:K826)</f>
        <v>37.42</v>
      </c>
      <c r="D826" s="3">
        <f>ROUND(C826*(1-Settings!$B$2),2)</f>
        <v>26.19</v>
      </c>
      <c r="E826" s="2" t="inlineStr">
        <is>
          <t>Pokemon</t>
        </is>
      </c>
      <c r="F826" s="2" t="inlineStr">
        <is>
          <t>Coffret</t>
        </is>
      </c>
      <c r="G826" s="2" t="inlineStr">
        <is>
          <t>Ascended Heroes</t>
        </is>
      </c>
      <c r="H826" s="3" t="n">
        <v>37.42</v>
      </c>
      <c r="I826" s="3" t="n"/>
      <c r="J826" s="3" t="n"/>
      <c r="K826" s="3" t="n"/>
      <c r="L826" s="2" t="inlineStr">
        <is>
          <t>PriceCharting</t>
        </is>
      </c>
      <c r="M826" s="4" t="inlineStr">
        <is>
          <t>https://www.pricecharting.com/game/pokemon-ascended-heroes/tech-sticker-collection-charmander</t>
        </is>
      </c>
    </row>
    <row r="827">
      <c r="A827" s="2" t="inlineStr">
        <is>
          <t>Ascended Heroes Tech Sticker Collection: Gastly</t>
        </is>
      </c>
      <c r="B827" s="3">
        <f>IF(H827&lt;&gt;"",H827,IF(I827&lt;&gt;"",I827,IF(J827&lt;&gt;"",J827,K827)))</f>
        <v>45.88</v>
      </c>
      <c r="C827" s="3">
        <f>MEDIAN(H827:K827)</f>
        <v>45.88</v>
      </c>
      <c r="D827" s="3">
        <f>ROUND(C827*(1-Settings!$B$2),2)</f>
        <v>32.12</v>
      </c>
      <c r="E827" s="2" t="inlineStr">
        <is>
          <t>Pokemon</t>
        </is>
      </c>
      <c r="F827" s="2" t="inlineStr">
        <is>
          <t>Coffret</t>
        </is>
      </c>
      <c r="G827" s="2" t="inlineStr">
        <is>
          <t>Ascended Heroes</t>
        </is>
      </c>
      <c r="H827" s="3" t="n">
        <v>45.88</v>
      </c>
      <c r="I827" s="3" t="n"/>
      <c r="J827" s="3" t="n"/>
      <c r="K827" s="3" t="n"/>
      <c r="L827" s="2" t="inlineStr">
        <is>
          <t>PriceCharting</t>
        </is>
      </c>
      <c r="M827" s="4" t="inlineStr">
        <is>
          <t>https://www.pricecharting.com/game/pokemon-ascended-heroes/tech-sticker-collection-gastly</t>
        </is>
      </c>
    </row>
    <row r="828">
      <c r="A828" s="2" t="inlineStr">
        <is>
          <t>Astral Radiance Back to School Eevee Eraser 2-Pack Blister</t>
        </is>
      </c>
      <c r="B828" s="3">
        <f>IF(H828&lt;&gt;"",H828,IF(I828&lt;&gt;"",I828,IF(J828&lt;&gt;"",J828,K828)))</f>
        <v>59.47</v>
      </c>
      <c r="C828" s="3">
        <f>MEDIAN(H828:K828)</f>
        <v>59.47</v>
      </c>
      <c r="D828" s="3">
        <f>ROUND(C828*(1-Settings!$B$2),2)</f>
        <v>41.63</v>
      </c>
      <c r="E828" s="2" t="inlineStr">
        <is>
          <t>Pokemon</t>
        </is>
      </c>
      <c r="F828" s="2" t="inlineStr">
        <is>
          <t>Coffret</t>
        </is>
      </c>
      <c r="G828" s="2" t="inlineStr">
        <is>
          <t>Astral Radiance</t>
        </is>
      </c>
      <c r="H828" s="3" t="n">
        <v>59.47</v>
      </c>
      <c r="I828" s="3" t="n"/>
      <c r="J828" s="3" t="n"/>
      <c r="K828" s="3" t="n"/>
      <c r="L828" s="2" t="inlineStr">
        <is>
          <t>PriceCharting</t>
        </is>
      </c>
      <c r="M828" s="4" t="inlineStr">
        <is>
          <t>https://www.pricecharting.com/game/pokemon-astral-radiance/back-to-school-eevee-eraser-2-pack-blister</t>
        </is>
      </c>
    </row>
    <row r="829">
      <c r="A829" s="2" t="inlineStr">
        <is>
          <t>Astral Radiance Eevee 3-Pack Blister</t>
        </is>
      </c>
      <c r="B829" s="3">
        <f>IF(H829&lt;&gt;"",H829,IF(I829&lt;&gt;"",I829,IF(J829&lt;&gt;"",J829,K829)))</f>
        <v>42.99</v>
      </c>
      <c r="C829" s="3">
        <f>MEDIAN(H829:K829)</f>
        <v>42.99</v>
      </c>
      <c r="D829" s="3">
        <f>ROUND(C829*(1-Settings!$B$2),2)</f>
        <v>30.09</v>
      </c>
      <c r="E829" s="2" t="inlineStr">
        <is>
          <t>Pokemon</t>
        </is>
      </c>
      <c r="F829" s="2" t="inlineStr">
        <is>
          <t>Coffret</t>
        </is>
      </c>
      <c r="G829" s="2" t="inlineStr">
        <is>
          <t>Astral Radiance</t>
        </is>
      </c>
      <c r="H829" s="3" t="n">
        <v>42.99</v>
      </c>
      <c r="I829" s="3" t="n"/>
      <c r="J829" s="3" t="n"/>
      <c r="K829" s="3" t="n"/>
      <c r="L829" s="2" t="inlineStr">
        <is>
          <t>PriceCharting</t>
        </is>
      </c>
      <c r="M829" s="4" t="inlineStr">
        <is>
          <t>https://www.pricecharting.com/game/pokemon-astral-radiance/eevee-3-pack-blister</t>
        </is>
      </c>
    </row>
    <row r="830">
      <c r="A830" s="2" t="inlineStr">
        <is>
          <t>Astral Radiance Elite Trainer Box [Pokemon Center]</t>
        </is>
      </c>
      <c r="B830" s="3">
        <f>IF(H830&lt;&gt;"",H830,IF(I830&lt;&gt;"",I830,IF(J830&lt;&gt;"",J830,K830)))</f>
        <v>199.99</v>
      </c>
      <c r="C830" s="3">
        <f>MEDIAN(H830:K830)</f>
        <v>199.99</v>
      </c>
      <c r="D830" s="3">
        <f>ROUND(C830*(1-Settings!$B$2),2)</f>
        <v>139.99</v>
      </c>
      <c r="E830" s="2" t="inlineStr">
        <is>
          <t>Pokemon</t>
        </is>
      </c>
      <c r="F830" s="2" t="inlineStr">
        <is>
          <t>Coffret</t>
        </is>
      </c>
      <c r="G830" s="2" t="inlineStr">
        <is>
          <t>Astral Radiance</t>
        </is>
      </c>
      <c r="H830" s="3" t="n">
        <v>199.99</v>
      </c>
      <c r="I830" s="3" t="n"/>
      <c r="J830" s="3" t="n"/>
      <c r="K830" s="3" t="n"/>
      <c r="L830" s="2" t="inlineStr">
        <is>
          <t>PriceCharting</t>
        </is>
      </c>
      <c r="M830" s="4" t="inlineStr">
        <is>
          <t>https://www.pricecharting.com/game/pokemon-astral-radiance/elite-trainer-box-pokemon-center</t>
        </is>
      </c>
    </row>
    <row r="831">
      <c r="A831" s="2" t="inlineStr">
        <is>
          <t>Astral Radiance Hanger Box</t>
        </is>
      </c>
      <c r="B831" s="3">
        <f>IF(H831&lt;&gt;"",H831,IF(I831&lt;&gt;"",I831,IF(J831&lt;&gt;"",J831,K831)))</f>
        <v>42.5</v>
      </c>
      <c r="C831" s="3">
        <f>MEDIAN(H831:K831)</f>
        <v>42.5</v>
      </c>
      <c r="D831" s="3">
        <f>ROUND(C831*(1-Settings!$B$2),2)</f>
        <v>29.75</v>
      </c>
      <c r="E831" s="2" t="inlineStr">
        <is>
          <t>Pokemon</t>
        </is>
      </c>
      <c r="F831" s="2" t="inlineStr">
        <is>
          <t>Coffret</t>
        </is>
      </c>
      <c r="G831" s="2" t="inlineStr">
        <is>
          <t>Astral Radiance</t>
        </is>
      </c>
      <c r="H831" s="3" t="n">
        <v>42.5</v>
      </c>
      <c r="I831" s="3" t="n"/>
      <c r="J831" s="3" t="n"/>
      <c r="K831" s="3" t="n"/>
      <c r="L831" s="2" t="inlineStr">
        <is>
          <t>PriceCharting</t>
        </is>
      </c>
      <c r="M831" s="4" t="inlineStr">
        <is>
          <t>https://www.pricecharting.com/game/pokemon-astral-radiance/hanger-box</t>
        </is>
      </c>
    </row>
    <row r="832">
      <c r="A832" s="2" t="inlineStr">
        <is>
          <t>Astral Radiance Jirachi V Box</t>
        </is>
      </c>
      <c r="B832" s="3">
        <f>IF(H832&lt;&gt;"",H832,IF(I832&lt;&gt;"",I832,IF(J832&lt;&gt;"",J832,K832)))</f>
        <v>67.75</v>
      </c>
      <c r="C832" s="3">
        <f>MEDIAN(H832:K832)</f>
        <v>67.75</v>
      </c>
      <c r="D832" s="3">
        <f>ROUND(C832*(1-Settings!$B$2),2)</f>
        <v>47.43</v>
      </c>
      <c r="E832" s="2" t="inlineStr">
        <is>
          <t>Pokemon</t>
        </is>
      </c>
      <c r="F832" s="2" t="inlineStr">
        <is>
          <t>Coffret</t>
        </is>
      </c>
      <c r="G832" s="2" t="inlineStr">
        <is>
          <t>Astral Radiance</t>
        </is>
      </c>
      <c r="H832" s="3" t="n">
        <v>67.75</v>
      </c>
      <c r="I832" s="3" t="n"/>
      <c r="J832" s="3" t="n"/>
      <c r="K832" s="3" t="n"/>
      <c r="L832" s="2" t="inlineStr">
        <is>
          <t>PriceCharting</t>
        </is>
      </c>
      <c r="M832" s="4" t="inlineStr">
        <is>
          <t>https://www.pricecharting.com/game/pokemon-astral-radiance/jirachi-v-box</t>
        </is>
      </c>
    </row>
    <row r="833">
      <c r="A833" s="2" t="inlineStr">
        <is>
          <t>Astral Radiance Sylveon 3-Pack Blister</t>
        </is>
      </c>
      <c r="B833" s="3">
        <f>IF(H833&lt;&gt;"",H833,IF(I833&lt;&gt;"",I833,IF(J833&lt;&gt;"",J833,K833)))</f>
        <v>30.02</v>
      </c>
      <c r="C833" s="3">
        <f>MEDIAN(H833:K833)</f>
        <v>30.02</v>
      </c>
      <c r="D833" s="3">
        <f>ROUND(C833*(1-Settings!$B$2),2)</f>
        <v>21.01</v>
      </c>
      <c r="E833" s="2" t="inlineStr">
        <is>
          <t>Pokemon</t>
        </is>
      </c>
      <c r="F833" s="2" t="inlineStr">
        <is>
          <t>Coffret</t>
        </is>
      </c>
      <c r="G833" s="2" t="inlineStr">
        <is>
          <t>Astral Radiance</t>
        </is>
      </c>
      <c r="H833" s="3" t="n">
        <v>30.02</v>
      </c>
      <c r="I833" s="3" t="n"/>
      <c r="J833" s="3" t="n"/>
      <c r="K833" s="3" t="n"/>
      <c r="L833" s="2" t="inlineStr">
        <is>
          <t>PriceCharting</t>
        </is>
      </c>
      <c r="M833" s="4" t="inlineStr">
        <is>
          <t>https://www.pricecharting.com/game/pokemon-astral-radiance/sylveon-3-pack-blister</t>
        </is>
      </c>
    </row>
    <row r="834">
      <c r="A834" s="2" t="inlineStr">
        <is>
          <t>Astral Radiance Toxel 1-Pack Blister</t>
        </is>
      </c>
      <c r="B834" s="3">
        <f>IF(H834&lt;&gt;"",H834,IF(I834&lt;&gt;"",I834,IF(J834&lt;&gt;"",J834,K834)))</f>
        <v>14.99</v>
      </c>
      <c r="C834" s="3">
        <f>MEDIAN(H834:K834)</f>
        <v>14.99</v>
      </c>
      <c r="D834" s="3">
        <f>ROUND(C834*(1-Settings!$B$2),2)</f>
        <v>10.49</v>
      </c>
      <c r="E834" s="2" t="inlineStr">
        <is>
          <t>Pokemon</t>
        </is>
      </c>
      <c r="F834" s="2" t="inlineStr">
        <is>
          <t>Coffret</t>
        </is>
      </c>
      <c r="G834" s="2" t="inlineStr">
        <is>
          <t>Astral Radiance</t>
        </is>
      </c>
      <c r="H834" s="3" t="n">
        <v>14.99</v>
      </c>
      <c r="I834" s="3" t="n"/>
      <c r="J834" s="3" t="n"/>
      <c r="K834" s="3" t="n"/>
      <c r="L834" s="2" t="inlineStr">
        <is>
          <t>PriceCharting</t>
        </is>
      </c>
      <c r="M834" s="4" t="inlineStr">
        <is>
          <t>https://www.pricecharting.com/game/pokemon-astral-radiance/toxel-1-pack-blister</t>
        </is>
      </c>
    </row>
    <row r="835">
      <c r="A835" s="2" t="inlineStr">
        <is>
          <t>Battle Styles Blastoise VMAX Battle Box</t>
        </is>
      </c>
      <c r="B835" s="3">
        <f>IF(H835&lt;&gt;"",H835,IF(I835&lt;&gt;"",I835,IF(J835&lt;&gt;"",J835,K835)))</f>
        <v>99.99</v>
      </c>
      <c r="C835" s="3">
        <f>MEDIAN(H835:K835)</f>
        <v>99.99</v>
      </c>
      <c r="D835" s="3">
        <f>ROUND(C835*(1-Settings!$B$2),2)</f>
        <v>69.99</v>
      </c>
      <c r="E835" s="2" t="inlineStr">
        <is>
          <t>Pokemon</t>
        </is>
      </c>
      <c r="F835" s="2" t="inlineStr">
        <is>
          <t>Coffret</t>
        </is>
      </c>
      <c r="G835" s="2" t="inlineStr">
        <is>
          <t>Battle Styles</t>
        </is>
      </c>
      <c r="H835" s="3" t="n">
        <v>99.98999999999999</v>
      </c>
      <c r="I835" s="3" t="n"/>
      <c r="J835" s="3" t="n"/>
      <c r="K835" s="3" t="n"/>
      <c r="L835" s="2" t="inlineStr">
        <is>
          <t>PriceCharting</t>
        </is>
      </c>
      <c r="M835" s="4" t="inlineStr">
        <is>
          <t>https://www.pricecharting.com/game/pokemon-battle-styles/blastoise-vmax-battle-box</t>
        </is>
      </c>
    </row>
    <row r="836">
      <c r="A836" s="2" t="inlineStr">
        <is>
          <t>Battle Styles Dragonite V Box</t>
        </is>
      </c>
      <c r="B836" s="3">
        <f>IF(H836&lt;&gt;"",H836,IF(I836&lt;&gt;"",I836,IF(J836&lt;&gt;"",J836,K836)))</f>
        <v>115.0</v>
      </c>
      <c r="C836" s="3">
        <f>MEDIAN(H836:K836)</f>
        <v>115.0</v>
      </c>
      <c r="D836" s="3">
        <f>ROUND(C836*(1-Settings!$B$2),2)</f>
        <v>80.5</v>
      </c>
      <c r="E836" s="2" t="inlineStr">
        <is>
          <t>Pokemon</t>
        </is>
      </c>
      <c r="F836" s="2" t="inlineStr">
        <is>
          <t>Coffret</t>
        </is>
      </c>
      <c r="G836" s="2" t="inlineStr">
        <is>
          <t>Battle Styles</t>
        </is>
      </c>
      <c r="H836" s="3" t="n">
        <v>115</v>
      </c>
      <c r="I836" s="3" t="n"/>
      <c r="J836" s="3" t="n"/>
      <c r="K836" s="3" t="n"/>
      <c r="L836" s="2" t="inlineStr">
        <is>
          <t>PriceCharting</t>
        </is>
      </c>
      <c r="M836" s="4" t="inlineStr">
        <is>
          <t>https://www.pricecharting.com/game/pokemon-battle-styles/dragonite-v-box</t>
        </is>
      </c>
    </row>
    <row r="837">
      <c r="A837" s="2" t="inlineStr">
        <is>
          <t>Battle Styles Eevee 3-Pack Blister</t>
        </is>
      </c>
      <c r="B837" s="3">
        <f>IF(H837&lt;&gt;"",H837,IF(I837&lt;&gt;"",I837,IF(J837&lt;&gt;"",J837,K837)))</f>
        <v>29.95</v>
      </c>
      <c r="C837" s="3">
        <f>MEDIAN(H837:K837)</f>
        <v>29.95</v>
      </c>
      <c r="D837" s="3">
        <f>ROUND(C837*(1-Settings!$B$2),2)</f>
        <v>20.97</v>
      </c>
      <c r="E837" s="2" t="inlineStr">
        <is>
          <t>Pokemon</t>
        </is>
      </c>
      <c r="F837" s="2" t="inlineStr">
        <is>
          <t>Coffret</t>
        </is>
      </c>
      <c r="G837" s="2" t="inlineStr">
        <is>
          <t>Battle Styles</t>
        </is>
      </c>
      <c r="H837" s="3" t="n">
        <v>29.95</v>
      </c>
      <c r="I837" s="3" t="n"/>
      <c r="J837" s="3" t="n"/>
      <c r="K837" s="3" t="n"/>
      <c r="L837" s="2" t="inlineStr">
        <is>
          <t>PriceCharting</t>
        </is>
      </c>
      <c r="M837" s="4" t="inlineStr">
        <is>
          <t>https://www.pricecharting.com/game/pokemon-battle-styles/eevee-3-pack-blister</t>
        </is>
      </c>
    </row>
    <row r="838">
      <c r="A838" s="2" t="inlineStr">
        <is>
          <t>Battle Styles Elite Trainer Box [Rapid Strike Urshifu]</t>
        </is>
      </c>
      <c r="B838" s="3">
        <f>IF(H838&lt;&gt;"",H838,IF(I838&lt;&gt;"",I838,IF(J838&lt;&gt;"",J838,K838)))</f>
        <v>120.0</v>
      </c>
      <c r="C838" s="3">
        <f>MEDIAN(H838:K838)</f>
        <v>120.0</v>
      </c>
      <c r="D838" s="3">
        <f>ROUND(C838*(1-Settings!$B$2),2)</f>
        <v>84.0</v>
      </c>
      <c r="E838" s="2" t="inlineStr">
        <is>
          <t>Pokemon</t>
        </is>
      </c>
      <c r="F838" s="2" t="inlineStr">
        <is>
          <t>Coffret</t>
        </is>
      </c>
      <c r="G838" s="2" t="inlineStr">
        <is>
          <t>Battle Styles</t>
        </is>
      </c>
      <c r="H838" s="3" t="n">
        <v>120</v>
      </c>
      <c r="I838" s="3" t="n"/>
      <c r="J838" s="3" t="n"/>
      <c r="K838" s="3" t="n"/>
      <c r="L838" s="2" t="inlineStr">
        <is>
          <t>PriceCharting</t>
        </is>
      </c>
      <c r="M838" s="4" t="inlineStr">
        <is>
          <t>https://www.pricecharting.com/game/pokemon-battle-styles/elite-trainer-box-rapid-strike-urshifu</t>
        </is>
      </c>
    </row>
    <row r="839">
      <c r="A839" s="2" t="inlineStr">
        <is>
          <t>Battle Styles Elite Trainer Box [Single Strike Urshifu]</t>
        </is>
      </c>
      <c r="B839" s="3">
        <f>IF(H839&lt;&gt;"",H839,IF(I839&lt;&gt;"",I839,IF(J839&lt;&gt;"",J839,K839)))</f>
        <v>114.58</v>
      </c>
      <c r="C839" s="3">
        <f>MEDIAN(H839:K839)</f>
        <v>114.58</v>
      </c>
      <c r="D839" s="3">
        <f>ROUND(C839*(1-Settings!$B$2),2)</f>
        <v>80.21</v>
      </c>
      <c r="E839" s="2" t="inlineStr">
        <is>
          <t>Pokemon</t>
        </is>
      </c>
      <c r="F839" s="2" t="inlineStr">
        <is>
          <t>Coffret</t>
        </is>
      </c>
      <c r="G839" s="2" t="inlineStr">
        <is>
          <t>Battle Styles</t>
        </is>
      </c>
      <c r="H839" s="3" t="n">
        <v>114.58</v>
      </c>
      <c r="I839" s="3" t="n"/>
      <c r="J839" s="3" t="n"/>
      <c r="K839" s="3" t="n"/>
      <c r="L839" s="2" t="inlineStr">
        <is>
          <t>PriceCharting</t>
        </is>
      </c>
      <c r="M839" s="4" t="inlineStr">
        <is>
          <t>https://www.pricecharting.com/game/pokemon-battle-styles/elite-trainer-box-single-strike-urshifu</t>
        </is>
      </c>
    </row>
    <row r="840">
      <c r="A840" s="2" t="inlineStr">
        <is>
          <t>Battle Styles Jolteon 3-Pack Blister</t>
        </is>
      </c>
      <c r="B840" s="3">
        <f>IF(H840&lt;&gt;"",H840,IF(I840&lt;&gt;"",I840,IF(J840&lt;&gt;"",J840,K840)))</f>
        <v>34.9</v>
      </c>
      <c r="C840" s="3">
        <f>MEDIAN(H840:K840)</f>
        <v>34.9</v>
      </c>
      <c r="D840" s="3">
        <f>ROUND(C840*(1-Settings!$B$2),2)</f>
        <v>24.43</v>
      </c>
      <c r="E840" s="2" t="inlineStr">
        <is>
          <t>Pokemon</t>
        </is>
      </c>
      <c r="F840" s="2" t="inlineStr">
        <is>
          <t>Coffret</t>
        </is>
      </c>
      <c r="G840" s="2" t="inlineStr">
        <is>
          <t>Battle Styles</t>
        </is>
      </c>
      <c r="H840" s="3" t="n">
        <v>34.9</v>
      </c>
      <c r="I840" s="3" t="n"/>
      <c r="J840" s="3" t="n"/>
      <c r="K840" s="3" t="n"/>
      <c r="L840" s="2" t="inlineStr">
        <is>
          <t>PriceCharting</t>
        </is>
      </c>
      <c r="M840" s="4" t="inlineStr">
        <is>
          <t>https://www.pricecharting.com/game/pokemon-battle-styles/jolteon-3-pack-blister</t>
        </is>
      </c>
    </row>
    <row r="841">
      <c r="A841" s="2" t="inlineStr">
        <is>
          <t>Battle Styles Spring 2021 Collector Chest</t>
        </is>
      </c>
      <c r="B841" s="3">
        <f>IF(H841&lt;&gt;"",H841,IF(I841&lt;&gt;"",I841,IF(J841&lt;&gt;"",J841,K841)))</f>
        <v>52.67</v>
      </c>
      <c r="C841" s="3">
        <f>MEDIAN(H841:K841)</f>
        <v>52.67</v>
      </c>
      <c r="D841" s="3">
        <f>ROUND(C841*(1-Settings!$B$2),2)</f>
        <v>36.87</v>
      </c>
      <c r="E841" s="2" t="inlineStr">
        <is>
          <t>Pokemon</t>
        </is>
      </c>
      <c r="F841" s="2" t="inlineStr">
        <is>
          <t>Coffret</t>
        </is>
      </c>
      <c r="G841" s="2" t="inlineStr">
        <is>
          <t>Battle Styles</t>
        </is>
      </c>
      <c r="H841" s="3" t="n">
        <v>52.67</v>
      </c>
      <c r="I841" s="3" t="n"/>
      <c r="J841" s="3" t="n"/>
      <c r="K841" s="3" t="n"/>
      <c r="L841" s="2" t="inlineStr">
        <is>
          <t>PriceCharting</t>
        </is>
      </c>
      <c r="M841" s="4" t="inlineStr">
        <is>
          <t>https://www.pricecharting.com/game/pokemon-battle-styles/spring-2021-collector-chest</t>
        </is>
      </c>
    </row>
    <row r="842">
      <c r="A842" s="2" t="inlineStr">
        <is>
          <t>Battle Styles V Powers Tin: Eevee V</t>
        </is>
      </c>
      <c r="B842" s="3">
        <f>IF(H842&lt;&gt;"",H842,IF(I842&lt;&gt;"",I842,IF(J842&lt;&gt;"",J842,K842)))</f>
        <v>75.0</v>
      </c>
      <c r="C842" s="3">
        <f>MEDIAN(H842:K842)</f>
        <v>75.0</v>
      </c>
      <c r="D842" s="3">
        <f>ROUND(C842*(1-Settings!$B$2),2)</f>
        <v>52.5</v>
      </c>
      <c r="E842" s="2" t="inlineStr">
        <is>
          <t>Pokemon</t>
        </is>
      </c>
      <c r="F842" s="2" t="inlineStr">
        <is>
          <t>Coffret</t>
        </is>
      </c>
      <c r="G842" s="2" t="inlineStr">
        <is>
          <t>Battle Styles</t>
        </is>
      </c>
      <c r="H842" s="3" t="n">
        <v>75</v>
      </c>
      <c r="I842" s="3" t="n"/>
      <c r="J842" s="3" t="n"/>
      <c r="K842" s="3" t="n"/>
      <c r="L842" s="2" t="inlineStr">
        <is>
          <t>PriceCharting</t>
        </is>
      </c>
      <c r="M842" s="4" t="inlineStr">
        <is>
          <t>https://www.pricecharting.com/game/pokemon-battle-styles/v-powers-tin-eevee-v</t>
        </is>
      </c>
    </row>
    <row r="843">
      <c r="A843" s="2" t="inlineStr">
        <is>
          <t>Battle Styles V Powers Tin: Eternatus V</t>
        </is>
      </c>
      <c r="B843" s="3">
        <f>IF(H843&lt;&gt;"",H843,IF(I843&lt;&gt;"",I843,IF(J843&lt;&gt;"",J843,K843)))</f>
        <v>68.0</v>
      </c>
      <c r="C843" s="3">
        <f>MEDIAN(H843:K843)</f>
        <v>68.0</v>
      </c>
      <c r="D843" s="3">
        <f>ROUND(C843*(1-Settings!$B$2),2)</f>
        <v>47.6</v>
      </c>
      <c r="E843" s="2" t="inlineStr">
        <is>
          <t>Pokemon</t>
        </is>
      </c>
      <c r="F843" s="2" t="inlineStr">
        <is>
          <t>Coffret</t>
        </is>
      </c>
      <c r="G843" s="2" t="inlineStr">
        <is>
          <t>Battle Styles</t>
        </is>
      </c>
      <c r="H843" s="3" t="n">
        <v>68</v>
      </c>
      <c r="I843" s="3" t="n"/>
      <c r="J843" s="3" t="n"/>
      <c r="K843" s="3" t="n"/>
      <c r="L843" s="2" t="inlineStr">
        <is>
          <t>PriceCharting</t>
        </is>
      </c>
      <c r="M843" s="4" t="inlineStr">
        <is>
          <t>https://www.pricecharting.com/game/pokemon-battle-styles/v-powers-tin-eternatus-v</t>
        </is>
      </c>
    </row>
    <row r="844">
      <c r="A844" s="2" t="inlineStr">
        <is>
          <t>Battle Styles V Powers Tin: Eternatus V [International]</t>
        </is>
      </c>
      <c r="B844" s="3">
        <f>IF(H844&lt;&gt;"",H844,IF(I844&lt;&gt;"",I844,IF(J844&lt;&gt;"",J844,K844)))</f>
        <v>37.82</v>
      </c>
      <c r="C844" s="3">
        <f>MEDIAN(H844:K844)</f>
        <v>37.82</v>
      </c>
      <c r="D844" s="3">
        <f>ROUND(C844*(1-Settings!$B$2),2)</f>
        <v>26.47</v>
      </c>
      <c r="E844" s="2" t="inlineStr">
        <is>
          <t>Pokemon</t>
        </is>
      </c>
      <c r="F844" s="2" t="inlineStr">
        <is>
          <t>Coffret</t>
        </is>
      </c>
      <c r="G844" s="2" t="inlineStr">
        <is>
          <t>Battle Styles</t>
        </is>
      </c>
      <c r="H844" s="3" t="n">
        <v>37.82</v>
      </c>
      <c r="I844" s="3" t="n"/>
      <c r="J844" s="3" t="n"/>
      <c r="K844" s="3" t="n"/>
      <c r="L844" s="2" t="inlineStr">
        <is>
          <t>PriceCharting</t>
        </is>
      </c>
      <c r="M844" s="4" t="inlineStr">
        <is>
          <t>https://www.pricecharting.com/game/pokemon-battle-styles/v-powers-tin-eternatus-v-international</t>
        </is>
      </c>
    </row>
    <row r="845">
      <c r="A845" s="2" t="inlineStr">
        <is>
          <t>Battle Styles V Powers Tin: Pikachu V</t>
        </is>
      </c>
      <c r="B845" s="3">
        <f>IF(H845&lt;&gt;"",H845,IF(I845&lt;&gt;"",I845,IF(J845&lt;&gt;"",J845,K845)))</f>
        <v>31.0</v>
      </c>
      <c r="C845" s="3">
        <f>MEDIAN(H845:K845)</f>
        <v>31.0</v>
      </c>
      <c r="D845" s="3">
        <f>ROUND(C845*(1-Settings!$B$2),2)</f>
        <v>21.7</v>
      </c>
      <c r="E845" s="2" t="inlineStr">
        <is>
          <t>Pokemon</t>
        </is>
      </c>
      <c r="F845" s="2" t="inlineStr">
        <is>
          <t>Coffret</t>
        </is>
      </c>
      <c r="G845" s="2" t="inlineStr">
        <is>
          <t>Battle Styles</t>
        </is>
      </c>
      <c r="H845" s="3" t="n">
        <v>31</v>
      </c>
      <c r="I845" s="3" t="n"/>
      <c r="J845" s="3" t="n"/>
      <c r="K845" s="3" t="n"/>
      <c r="L845" s="2" t="inlineStr">
        <is>
          <t>PriceCharting</t>
        </is>
      </c>
      <c r="M845" s="4" t="inlineStr">
        <is>
          <t>https://www.pricecharting.com/game/pokemon-battle-styles/v-powers-tin-pikachu-v</t>
        </is>
      </c>
    </row>
    <row r="846">
      <c r="A846" s="2" t="inlineStr">
        <is>
          <t>Battle Styles V Strikers Tin - Empoleon</t>
        </is>
      </c>
      <c r="B846" s="3">
        <f>IF(H846&lt;&gt;"",H846,IF(I846&lt;&gt;"",I846,IF(J846&lt;&gt;"",J846,K846)))</f>
        <v>81.91</v>
      </c>
      <c r="C846" s="3">
        <f>MEDIAN(H846:K846)</f>
        <v>81.91</v>
      </c>
      <c r="D846" s="3">
        <f>ROUND(C846*(1-Settings!$B$2),2)</f>
        <v>57.34</v>
      </c>
      <c r="E846" s="2" t="inlineStr">
        <is>
          <t>Pokemon</t>
        </is>
      </c>
      <c r="F846" s="2" t="inlineStr">
        <is>
          <t>Coffret</t>
        </is>
      </c>
      <c r="G846" s="2" t="inlineStr">
        <is>
          <t>Battle Styles</t>
        </is>
      </c>
      <c r="H846" s="3" t="n">
        <v>81.91</v>
      </c>
      <c r="I846" s="3" t="n"/>
      <c r="J846" s="3" t="n"/>
      <c r="K846" s="3" t="n"/>
      <c r="L846" s="2" t="inlineStr">
        <is>
          <t>PriceCharting</t>
        </is>
      </c>
      <c r="M846" s="4" t="inlineStr">
        <is>
          <t>https://www.pricecharting.com/game/pokemon-battle-styles/v-strikers-tin-empoleon</t>
        </is>
      </c>
    </row>
    <row r="847">
      <c r="A847" s="2" t="inlineStr">
        <is>
          <t>Battle Styles V Strikers Tin - Empoleon [International]</t>
        </is>
      </c>
      <c r="B847" s="3">
        <f>IF(H847&lt;&gt;"",H847,IF(I847&lt;&gt;"",I847,IF(J847&lt;&gt;"",J847,K847)))</f>
        <v>74.96</v>
      </c>
      <c r="C847" s="3">
        <f>MEDIAN(H847:K847)</f>
        <v>74.96</v>
      </c>
      <c r="D847" s="3">
        <f>ROUND(C847*(1-Settings!$B$2),2)</f>
        <v>52.47</v>
      </c>
      <c r="E847" s="2" t="inlineStr">
        <is>
          <t>Pokemon</t>
        </is>
      </c>
      <c r="F847" s="2" t="inlineStr">
        <is>
          <t>Coffret</t>
        </is>
      </c>
      <c r="G847" s="2" t="inlineStr">
        <is>
          <t>Battle Styles</t>
        </is>
      </c>
      <c r="H847" s="3" t="n">
        <v>74.95999999999999</v>
      </c>
      <c r="I847" s="3" t="n"/>
      <c r="J847" s="3" t="n"/>
      <c r="K847" s="3" t="n"/>
      <c r="L847" s="2" t="inlineStr">
        <is>
          <t>PriceCharting</t>
        </is>
      </c>
      <c r="M847" s="4" t="inlineStr">
        <is>
          <t>https://www.pricecharting.com/game/pokemon-battle-styles/v-strikers-tin-empoleon-international</t>
        </is>
      </c>
    </row>
    <row r="848">
      <c r="A848" s="2" t="inlineStr">
        <is>
          <t>Battle Styles V Strikers Tin - Tyranitar</t>
        </is>
      </c>
      <c r="B848" s="3">
        <f>IF(H848&lt;&gt;"",H848,IF(I848&lt;&gt;"",I848,IF(J848&lt;&gt;"",J848,K848)))</f>
        <v>101.93</v>
      </c>
      <c r="C848" s="3">
        <f>MEDIAN(H848:K848)</f>
        <v>101.93</v>
      </c>
      <c r="D848" s="3">
        <f>ROUND(C848*(1-Settings!$B$2),2)</f>
        <v>71.35</v>
      </c>
      <c r="E848" s="2" t="inlineStr">
        <is>
          <t>Pokemon</t>
        </is>
      </c>
      <c r="F848" s="2" t="inlineStr">
        <is>
          <t>Coffret</t>
        </is>
      </c>
      <c r="G848" s="2" t="inlineStr">
        <is>
          <t>Battle Styles</t>
        </is>
      </c>
      <c r="H848" s="3" t="n">
        <v>101.93</v>
      </c>
      <c r="I848" s="3" t="n"/>
      <c r="J848" s="3" t="n"/>
      <c r="K848" s="3" t="n"/>
      <c r="L848" s="2" t="inlineStr">
        <is>
          <t>PriceCharting</t>
        </is>
      </c>
      <c r="M848" s="4" t="inlineStr">
        <is>
          <t>https://www.pricecharting.com/game/pokemon-battle-styles/v-strikers-tin-tyranitar</t>
        </is>
      </c>
    </row>
    <row r="849">
      <c r="A849" s="2" t="inlineStr">
        <is>
          <t>Battle Styles V Strikers Tin - Tyranitar [International]</t>
        </is>
      </c>
      <c r="B849" s="3">
        <f>IF(H849&lt;&gt;"",H849,IF(I849&lt;&gt;"",I849,IF(J849&lt;&gt;"",J849,K849)))</f>
        <v>56.14</v>
      </c>
      <c r="C849" s="3">
        <f>MEDIAN(H849:K849)</f>
        <v>56.14</v>
      </c>
      <c r="D849" s="3">
        <f>ROUND(C849*(1-Settings!$B$2),2)</f>
        <v>39.3</v>
      </c>
      <c r="E849" s="2" t="inlineStr">
        <is>
          <t>Pokemon</t>
        </is>
      </c>
      <c r="F849" s="2" t="inlineStr">
        <is>
          <t>Coffret</t>
        </is>
      </c>
      <c r="G849" s="2" t="inlineStr">
        <is>
          <t>Battle Styles</t>
        </is>
      </c>
      <c r="H849" s="3" t="n">
        <v>56.14</v>
      </c>
      <c r="I849" s="3" t="n"/>
      <c r="J849" s="3" t="n"/>
      <c r="K849" s="3" t="n"/>
      <c r="L849" s="2" t="inlineStr">
        <is>
          <t>PriceCharting</t>
        </is>
      </c>
      <c r="M849" s="4" t="inlineStr">
        <is>
          <t>https://www.pricecharting.com/game/pokemon-battle-styles/v-strikers-tin-tyranitar-international</t>
        </is>
      </c>
    </row>
    <row r="850">
      <c r="A850" s="2" t="inlineStr">
        <is>
          <t>Battle Styles Venusaur VMAX Battle Box</t>
        </is>
      </c>
      <c r="B850" s="3">
        <f>IF(H850&lt;&gt;"",H850,IF(I850&lt;&gt;"",I850,IF(J850&lt;&gt;"",J850,K850)))</f>
        <v>80.75</v>
      </c>
      <c r="C850" s="3">
        <f>MEDIAN(H850:K850)</f>
        <v>80.75</v>
      </c>
      <c r="D850" s="3">
        <f>ROUND(C850*(1-Settings!$B$2),2)</f>
        <v>56.53</v>
      </c>
      <c r="E850" s="2" t="inlineStr">
        <is>
          <t>Pokemon</t>
        </is>
      </c>
      <c r="F850" s="2" t="inlineStr">
        <is>
          <t>Coffret</t>
        </is>
      </c>
      <c r="G850" s="2" t="inlineStr">
        <is>
          <t>Battle Styles</t>
        </is>
      </c>
      <c r="H850" s="3" t="n">
        <v>80.75</v>
      </c>
      <c r="I850" s="3" t="n"/>
      <c r="J850" s="3" t="n"/>
      <c r="K850" s="3" t="n"/>
      <c r="L850" s="2" t="inlineStr">
        <is>
          <t>PriceCharting</t>
        </is>
      </c>
      <c r="M850" s="4" t="inlineStr">
        <is>
          <t>https://www.pricecharting.com/game/pokemon-battle-styles/venusaur-vmax-battle-box</t>
        </is>
      </c>
    </row>
    <row r="851">
      <c r="A851" s="2" t="inlineStr">
        <is>
          <t>Black Bolt Elite Trainer Box [Pokemon Center]</t>
        </is>
      </c>
      <c r="B851" s="3">
        <f>IF(H851&lt;&gt;"",H851,IF(I851&lt;&gt;"",I851,IF(J851&lt;&gt;"",J851,K851)))</f>
        <v>273.23</v>
      </c>
      <c r="C851" s="3">
        <f>MEDIAN(H851:K851)</f>
        <v>273.23</v>
      </c>
      <c r="D851" s="3">
        <f>ROUND(C851*(1-Settings!$B$2),2)</f>
        <v>191.26</v>
      </c>
      <c r="E851" s="2" t="inlineStr">
        <is>
          <t>Pokemon</t>
        </is>
      </c>
      <c r="F851" s="2" t="inlineStr">
        <is>
          <t>Coffret</t>
        </is>
      </c>
      <c r="G851" s="2" t="inlineStr">
        <is>
          <t>Black Bolt</t>
        </is>
      </c>
      <c r="H851" s="3" t="n">
        <v>273.23</v>
      </c>
      <c r="I851" s="3" t="n"/>
      <c r="J851" s="3" t="n"/>
      <c r="K851" s="3" t="n"/>
      <c r="L851" s="2" t="inlineStr">
        <is>
          <t>PriceCharting</t>
        </is>
      </c>
      <c r="M851" s="4" t="inlineStr">
        <is>
          <t>https://www.pricecharting.com/game/pokemon-black-bolt/elite-trainer-box-pokemon-center</t>
        </is>
      </c>
    </row>
    <row r="852">
      <c r="A852" s="2" t="inlineStr">
        <is>
          <t>Black Bolt Unova Mini Tin: Alomomola &amp; Axew</t>
        </is>
      </c>
      <c r="B852" s="3">
        <f>IF(H852&lt;&gt;"",H852,IF(I852&lt;&gt;"",I852,IF(J852&lt;&gt;"",J852,K852)))</f>
        <v>31.37</v>
      </c>
      <c r="C852" s="3">
        <f>MEDIAN(H852:K852)</f>
        <v>31.37</v>
      </c>
      <c r="D852" s="3">
        <f>ROUND(C852*(1-Settings!$B$2),2)</f>
        <v>21.96</v>
      </c>
      <c r="E852" s="2" t="inlineStr">
        <is>
          <t>Pokemon</t>
        </is>
      </c>
      <c r="F852" s="2" t="inlineStr">
        <is>
          <t>Coffret</t>
        </is>
      </c>
      <c r="G852" s="2" t="inlineStr">
        <is>
          <t>Black Bolt</t>
        </is>
      </c>
      <c r="H852" s="3" t="n">
        <v>31.37</v>
      </c>
      <c r="I852" s="3" t="n"/>
      <c r="J852" s="3" t="n"/>
      <c r="K852" s="3" t="n"/>
      <c r="L852" s="2" t="inlineStr">
        <is>
          <t>PriceCharting</t>
        </is>
      </c>
      <c r="M852" s="4" t="inlineStr">
        <is>
          <t>https://www.pricecharting.com/game/pokemon-black-bolt/unova-mini-tin-alomomola-&amp;-axew</t>
        </is>
      </c>
    </row>
    <row r="853">
      <c r="A853" s="2" t="inlineStr">
        <is>
          <t>Black Bolt Unova Mini Tin: Garbodor &amp; Amoonguss</t>
        </is>
      </c>
      <c r="B853" s="3">
        <f>IF(H853&lt;&gt;"",H853,IF(I853&lt;&gt;"",I853,IF(J853&lt;&gt;"",J853,K853)))</f>
        <v>28.49</v>
      </c>
      <c r="C853" s="3">
        <f>MEDIAN(H853:K853)</f>
        <v>28.49</v>
      </c>
      <c r="D853" s="3">
        <f>ROUND(C853*(1-Settings!$B$2),2)</f>
        <v>19.94</v>
      </c>
      <c r="E853" s="2" t="inlineStr">
        <is>
          <t>Pokemon</t>
        </is>
      </c>
      <c r="F853" s="2" t="inlineStr">
        <is>
          <t>Coffret</t>
        </is>
      </c>
      <c r="G853" s="2" t="inlineStr">
        <is>
          <t>Black Bolt</t>
        </is>
      </c>
      <c r="H853" s="3" t="n">
        <v>28.49</v>
      </c>
      <c r="I853" s="3" t="n"/>
      <c r="J853" s="3" t="n"/>
      <c r="K853" s="3" t="n"/>
      <c r="L853" s="2" t="inlineStr">
        <is>
          <t>PriceCharting</t>
        </is>
      </c>
      <c r="M853" s="4" t="inlineStr">
        <is>
          <t>https://www.pricecharting.com/game/pokemon-black-bolt/unova-mini-tin-garbodor-&amp;-amoonguss</t>
        </is>
      </c>
    </row>
    <row r="854">
      <c r="A854" s="2" t="inlineStr">
        <is>
          <t>Breakpoint Elite Trainer Box</t>
        </is>
      </c>
      <c r="B854" s="3">
        <f>IF(H854&lt;&gt;"",H854,IF(I854&lt;&gt;"",I854,IF(J854&lt;&gt;"",J854,K854)))</f>
        <v>736.95</v>
      </c>
      <c r="C854" s="3">
        <f>MEDIAN(H854:K854)</f>
        <v>736.95</v>
      </c>
      <c r="D854" s="3">
        <f>ROUND(C854*(1-Settings!$B$2),2)</f>
        <v>515.87</v>
      </c>
      <c r="E854" s="2" t="inlineStr">
        <is>
          <t>Pokemon</t>
        </is>
      </c>
      <c r="F854" s="2" t="inlineStr">
        <is>
          <t>Coffret</t>
        </is>
      </c>
      <c r="G854" s="2" t="inlineStr">
        <is>
          <t>Breakpoint</t>
        </is>
      </c>
      <c r="H854" s="3" t="n">
        <v>736.95</v>
      </c>
      <c r="I854" s="3" t="n"/>
      <c r="J854" s="3" t="n"/>
      <c r="K854" s="3" t="n"/>
      <c r="L854" s="2" t="inlineStr">
        <is>
          <t>PriceCharting</t>
        </is>
      </c>
      <c r="M854" s="4" t="inlineStr">
        <is>
          <t>https://www.pricecharting.com/game/pokemon-breakpoint/elite-trainer-box</t>
        </is>
      </c>
    </row>
    <row r="855">
      <c r="A855" s="2" t="inlineStr">
        <is>
          <t>Breakpoint Triple Power Tin: Gyarados</t>
        </is>
      </c>
      <c r="B855" s="3">
        <f>IF(H855&lt;&gt;"",H855,IF(I855&lt;&gt;"",I855,IF(J855&lt;&gt;"",J855,K855)))</f>
        <v>397.97</v>
      </c>
      <c r="C855" s="3">
        <f>MEDIAN(H855:K855)</f>
        <v>397.97</v>
      </c>
      <c r="D855" s="3">
        <f>ROUND(C855*(1-Settings!$B$2),2)</f>
        <v>278.58</v>
      </c>
      <c r="E855" s="2" t="inlineStr">
        <is>
          <t>Pokemon</t>
        </is>
      </c>
      <c r="F855" s="2" t="inlineStr">
        <is>
          <t>Coffret</t>
        </is>
      </c>
      <c r="G855" s="2" t="inlineStr">
        <is>
          <t>Breakpoint</t>
        </is>
      </c>
      <c r="H855" s="3" t="n">
        <v>397.97</v>
      </c>
      <c r="I855" s="3" t="n"/>
      <c r="J855" s="3" t="n"/>
      <c r="K855" s="3" t="n"/>
      <c r="L855" s="2" t="inlineStr">
        <is>
          <t>PriceCharting</t>
        </is>
      </c>
      <c r="M855" s="4" t="inlineStr">
        <is>
          <t>https://www.pricecharting.com/game/pokemon-breakpoint/triple-power-tin-gyarados</t>
        </is>
      </c>
    </row>
    <row r="856">
      <c r="A856" s="2" t="inlineStr">
        <is>
          <t>Breakpoint Triple Power Tin: Mewtwo</t>
        </is>
      </c>
      <c r="B856" s="3">
        <f>IF(H856&lt;&gt;"",H856,IF(I856&lt;&gt;"",I856,IF(J856&lt;&gt;"",J856,K856)))</f>
        <v>145.0</v>
      </c>
      <c r="C856" s="3">
        <f>MEDIAN(H856:K856)</f>
        <v>145.0</v>
      </c>
      <c r="D856" s="3">
        <f>ROUND(C856*(1-Settings!$B$2),2)</f>
        <v>101.5</v>
      </c>
      <c r="E856" s="2" t="inlineStr">
        <is>
          <t>Pokemon</t>
        </is>
      </c>
      <c r="F856" s="2" t="inlineStr">
        <is>
          <t>Coffret</t>
        </is>
      </c>
      <c r="G856" s="2" t="inlineStr">
        <is>
          <t>Breakpoint</t>
        </is>
      </c>
      <c r="H856" s="3" t="n">
        <v>145</v>
      </c>
      <c r="I856" s="3" t="n"/>
      <c r="J856" s="3" t="n"/>
      <c r="K856" s="3" t="n"/>
      <c r="L856" s="2" t="inlineStr">
        <is>
          <t>PriceCharting</t>
        </is>
      </c>
      <c r="M856" s="4" t="inlineStr">
        <is>
          <t>https://www.pricecharting.com/game/pokemon-breakpoint/triple-power-tin-mewtwo</t>
        </is>
      </c>
    </row>
    <row r="857">
      <c r="A857" s="2" t="inlineStr">
        <is>
          <t>Breakpoint Triple Powers Tin: Machamp</t>
        </is>
      </c>
      <c r="B857" s="3">
        <f>IF(H857&lt;&gt;"",H857,IF(I857&lt;&gt;"",I857,IF(J857&lt;&gt;"",J857,K857)))</f>
        <v>250.0</v>
      </c>
      <c r="C857" s="3">
        <f>MEDIAN(H857:K857)</f>
        <v>250.0</v>
      </c>
      <c r="D857" s="3">
        <f>ROUND(C857*(1-Settings!$B$2),2)</f>
        <v>175.0</v>
      </c>
      <c r="E857" s="2" t="inlineStr">
        <is>
          <t>Pokemon</t>
        </is>
      </c>
      <c r="F857" s="2" t="inlineStr">
        <is>
          <t>Coffret</t>
        </is>
      </c>
      <c r="G857" s="2" t="inlineStr">
        <is>
          <t>Breakpoint</t>
        </is>
      </c>
      <c r="H857" s="3" t="n">
        <v>250</v>
      </c>
      <c r="I857" s="3" t="n"/>
      <c r="J857" s="3" t="n"/>
      <c r="K857" s="3" t="n"/>
      <c r="L857" s="2" t="inlineStr">
        <is>
          <t>PriceCharting</t>
        </is>
      </c>
      <c r="M857" s="4" t="inlineStr">
        <is>
          <t>https://www.pricecharting.com/game/pokemon-breakpoint/triple-powers-tin-machamp</t>
        </is>
      </c>
    </row>
    <row r="858">
      <c r="A858" s="2" t="inlineStr">
        <is>
          <t>Breakthrough Elite Trainer Box: Mewtwo X</t>
        </is>
      </c>
      <c r="B858" s="3">
        <f>IF(H858&lt;&gt;"",H858,IF(I858&lt;&gt;"",I858,IF(J858&lt;&gt;"",J858,K858)))</f>
        <v>668.73</v>
      </c>
      <c r="C858" s="3">
        <f>MEDIAN(H858:K858)</f>
        <v>668.73</v>
      </c>
      <c r="D858" s="3">
        <f>ROUND(C858*(1-Settings!$B$2),2)</f>
        <v>468.11</v>
      </c>
      <c r="E858" s="2" t="inlineStr">
        <is>
          <t>Pokemon</t>
        </is>
      </c>
      <c r="F858" s="2" t="inlineStr">
        <is>
          <t>Coffret</t>
        </is>
      </c>
      <c r="G858" s="2" t="inlineStr">
        <is>
          <t>Breakthrough</t>
        </is>
      </c>
      <c r="H858" s="3" t="n">
        <v>668.73</v>
      </c>
      <c r="I858" s="3" t="n"/>
      <c r="J858" s="3" t="n"/>
      <c r="K858" s="3" t="n"/>
      <c r="L858" s="2" t="inlineStr">
        <is>
          <t>PriceCharting</t>
        </is>
      </c>
      <c r="M858" s="4" t="inlineStr">
        <is>
          <t>https://www.pricecharting.com/game/pokemon-breakthrough/elite-trainer-box-mewtwo-x</t>
        </is>
      </c>
    </row>
    <row r="859">
      <c r="A859" s="2" t="inlineStr">
        <is>
          <t>Breakthrough Elite Trainer Box: Mewtwo Y</t>
        </is>
      </c>
      <c r="B859" s="3">
        <f>IF(H859&lt;&gt;"",H859,IF(I859&lt;&gt;"",I859,IF(J859&lt;&gt;"",J859,K859)))</f>
        <v>615.23</v>
      </c>
      <c r="C859" s="3">
        <f>MEDIAN(H859:K859)</f>
        <v>615.23</v>
      </c>
      <c r="D859" s="3">
        <f>ROUND(C859*(1-Settings!$B$2),2)</f>
        <v>430.66</v>
      </c>
      <c r="E859" s="2" t="inlineStr">
        <is>
          <t>Pokemon</t>
        </is>
      </c>
      <c r="F859" s="2" t="inlineStr">
        <is>
          <t>Coffret</t>
        </is>
      </c>
      <c r="G859" s="2" t="inlineStr">
        <is>
          <t>Breakthrough</t>
        </is>
      </c>
      <c r="H859" s="3" t="n">
        <v>615.23</v>
      </c>
      <c r="I859" s="3" t="n"/>
      <c r="J859" s="3" t="n"/>
      <c r="K859" s="3" t="n"/>
      <c r="L859" s="2" t="inlineStr">
        <is>
          <t>PriceCharting</t>
        </is>
      </c>
      <c r="M859" s="4" t="inlineStr">
        <is>
          <t>https://www.pricecharting.com/game/pokemon-breakthrough/elite-trainer-box-mewtwo-y</t>
        </is>
      </c>
    </row>
    <row r="860">
      <c r="A860" s="2" t="inlineStr">
        <is>
          <t>Brilliant Stars Arceus Spring 2022 Collector's Chest</t>
        </is>
      </c>
      <c r="B860" s="3">
        <f>IF(H860&lt;&gt;"",H860,IF(I860&lt;&gt;"",I860,IF(J860&lt;&gt;"",J860,K860)))</f>
        <v>83.54</v>
      </c>
      <c r="C860" s="3">
        <f>MEDIAN(H860:K860)</f>
        <v>83.54</v>
      </c>
      <c r="D860" s="3">
        <f>ROUND(C860*(1-Settings!$B$2),2)</f>
        <v>58.48</v>
      </c>
      <c r="E860" s="2" t="inlineStr">
        <is>
          <t>Pokemon</t>
        </is>
      </c>
      <c r="F860" s="2" t="inlineStr">
        <is>
          <t>Coffret</t>
        </is>
      </c>
      <c r="G860" s="2" t="inlineStr">
        <is>
          <t>Brilliant Stars</t>
        </is>
      </c>
      <c r="H860" s="3" t="n">
        <v>83.54000000000001</v>
      </c>
      <c r="I860" s="3" t="n"/>
      <c r="J860" s="3" t="n"/>
      <c r="K860" s="3" t="n"/>
      <c r="L860" s="2" t="inlineStr">
        <is>
          <t>PriceCharting</t>
        </is>
      </c>
      <c r="M860" s="4" t="inlineStr">
        <is>
          <t>https://www.pricecharting.com/game/pokemon-brilliant-stars/arceus-spring-2022-collector's-chest</t>
        </is>
      </c>
    </row>
    <row r="861">
      <c r="A861" s="2" t="inlineStr">
        <is>
          <t>Brilliant Stars Arceus VSTAR Premium Collection</t>
        </is>
      </c>
      <c r="B861" s="3">
        <f>IF(H861&lt;&gt;"",H861,IF(I861&lt;&gt;"",I861,IF(J861&lt;&gt;"",J861,K861)))</f>
        <v>269.99</v>
      </c>
      <c r="C861" s="3">
        <f>MEDIAN(H861:K861)</f>
        <v>269.99</v>
      </c>
      <c r="D861" s="3">
        <f>ROUND(C861*(1-Settings!$B$2),2)</f>
        <v>188.99</v>
      </c>
      <c r="E861" s="2" t="inlineStr">
        <is>
          <t>Pokemon</t>
        </is>
      </c>
      <c r="F861" s="2" t="inlineStr">
        <is>
          <t>Coffret</t>
        </is>
      </c>
      <c r="G861" s="2" t="inlineStr">
        <is>
          <t>Brilliant Stars</t>
        </is>
      </c>
      <c r="H861" s="3" t="n">
        <v>269.99</v>
      </c>
      <c r="I861" s="3" t="n"/>
      <c r="J861" s="3" t="n"/>
      <c r="K861" s="3" t="n"/>
      <c r="L861" s="2" t="inlineStr">
        <is>
          <t>PriceCharting</t>
        </is>
      </c>
      <c r="M861" s="4" t="inlineStr">
        <is>
          <t>https://www.pricecharting.com/game/pokemon-brilliant-stars/arceus-vstar-premium-collection</t>
        </is>
      </c>
    </row>
    <row r="862">
      <c r="A862" s="2" t="inlineStr">
        <is>
          <t>Brilliant Stars Arceus VSTAR Ultra Premium Collection Box</t>
        </is>
      </c>
      <c r="B862" s="3">
        <f>IF(H862&lt;&gt;"",H862,IF(I862&lt;&gt;"",I862,IF(J862&lt;&gt;"",J862,K862)))</f>
        <v>370.04</v>
      </c>
      <c r="C862" s="3">
        <f>MEDIAN(H862:K862)</f>
        <v>370.04</v>
      </c>
      <c r="D862" s="3">
        <f>ROUND(C862*(1-Settings!$B$2),2)</f>
        <v>259.03</v>
      </c>
      <c r="E862" s="2" t="inlineStr">
        <is>
          <t>Pokemon</t>
        </is>
      </c>
      <c r="F862" s="2" t="inlineStr">
        <is>
          <t>Coffret</t>
        </is>
      </c>
      <c r="G862" s="2" t="inlineStr">
        <is>
          <t>Brilliant Stars</t>
        </is>
      </c>
      <c r="H862" s="3" t="n">
        <v>370.04</v>
      </c>
      <c r="I862" s="3" t="n"/>
      <c r="J862" s="3" t="n"/>
      <c r="K862" s="3" t="n"/>
      <c r="L862" s="2" t="inlineStr">
        <is>
          <t>PriceCharting</t>
        </is>
      </c>
      <c r="M862" s="4" t="inlineStr">
        <is>
          <t>https://www.pricecharting.com/game/pokemon-brilliant-stars/arceus-vstar-ultra-premium-collection-box</t>
        </is>
      </c>
    </row>
    <row r="863">
      <c r="A863" s="2" t="inlineStr">
        <is>
          <t>Brilliant Stars Boltund V Box</t>
        </is>
      </c>
      <c r="B863" s="3">
        <f>IF(H863&lt;&gt;"",H863,IF(I863&lt;&gt;"",I863,IF(J863&lt;&gt;"",J863,K863)))</f>
        <v>88.82</v>
      </c>
      <c r="C863" s="3">
        <f>MEDIAN(H863:K863)</f>
        <v>88.82</v>
      </c>
      <c r="D863" s="3">
        <f>ROUND(C863*(1-Settings!$B$2),2)</f>
        <v>62.17</v>
      </c>
      <c r="E863" s="2" t="inlineStr">
        <is>
          <t>Pokemon</t>
        </is>
      </c>
      <c r="F863" s="2" t="inlineStr">
        <is>
          <t>Coffret</t>
        </is>
      </c>
      <c r="G863" s="2" t="inlineStr">
        <is>
          <t>Brilliant Stars</t>
        </is>
      </c>
      <c r="H863" s="3" t="n">
        <v>88.81999999999999</v>
      </c>
      <c r="I863" s="3" t="n"/>
      <c r="J863" s="3" t="n"/>
      <c r="K863" s="3" t="n"/>
      <c r="L863" s="2" t="inlineStr">
        <is>
          <t>PriceCharting</t>
        </is>
      </c>
      <c r="M863" s="4" t="inlineStr">
        <is>
          <t>https://www.pricecharting.com/game/pokemon-brilliant-stars/boltund-v-box</t>
        </is>
      </c>
    </row>
    <row r="864">
      <c r="A864" s="2" t="inlineStr">
        <is>
          <t>Brilliant Stars Build &amp; Battle Kit</t>
        </is>
      </c>
      <c r="B864" s="3">
        <f>IF(H864&lt;&gt;"",H864,IF(I864&lt;&gt;"",I864,IF(J864&lt;&gt;"",J864,K864)))</f>
        <v>41.22</v>
      </c>
      <c r="C864" s="3">
        <f>MEDIAN(H864:K864)</f>
        <v>41.22</v>
      </c>
      <c r="D864" s="3">
        <f>ROUND(C864*(1-Settings!$B$2),2)</f>
        <v>28.85</v>
      </c>
      <c r="E864" s="2" t="inlineStr">
        <is>
          <t>Pokemon</t>
        </is>
      </c>
      <c r="F864" s="2" t="inlineStr">
        <is>
          <t>Coffret</t>
        </is>
      </c>
      <c r="G864" s="2" t="inlineStr">
        <is>
          <t>Brilliant Stars</t>
        </is>
      </c>
      <c r="H864" s="3" t="n">
        <v>41.22</v>
      </c>
      <c r="I864" s="3" t="n"/>
      <c r="J864" s="3" t="n"/>
      <c r="K864" s="3" t="n"/>
      <c r="L864" s="2" t="inlineStr">
        <is>
          <t>PriceCharting</t>
        </is>
      </c>
      <c r="M864" s="4" t="inlineStr">
        <is>
          <t>https://www.pricecharting.com/game/pokemon-brilliant-stars/build-&amp;-battle-kit</t>
        </is>
      </c>
    </row>
    <row r="865">
      <c r="A865" s="2" t="inlineStr">
        <is>
          <t>Brilliant Stars Eevee 1-pack Blister</t>
        </is>
      </c>
      <c r="B865" s="3">
        <f>IF(H865&lt;&gt;"",H865,IF(I865&lt;&gt;"",I865,IF(J865&lt;&gt;"",J865,K865)))</f>
        <v>20.5</v>
      </c>
      <c r="C865" s="3">
        <f>MEDIAN(H865:K865)</f>
        <v>20.5</v>
      </c>
      <c r="D865" s="3">
        <f>ROUND(C865*(1-Settings!$B$2),2)</f>
        <v>14.35</v>
      </c>
      <c r="E865" s="2" t="inlineStr">
        <is>
          <t>Pokemon</t>
        </is>
      </c>
      <c r="F865" s="2" t="inlineStr">
        <is>
          <t>Coffret</t>
        </is>
      </c>
      <c r="G865" s="2" t="inlineStr">
        <is>
          <t>Brilliant Stars</t>
        </is>
      </c>
      <c r="H865" s="3" t="n">
        <v>20.5</v>
      </c>
      <c r="I865" s="3" t="n"/>
      <c r="J865" s="3" t="n"/>
      <c r="K865" s="3" t="n"/>
      <c r="L865" s="2" t="inlineStr">
        <is>
          <t>PriceCharting</t>
        </is>
      </c>
      <c r="M865" s="4" t="inlineStr">
        <is>
          <t>https://www.pricecharting.com/game/pokemon-brilliant-stars/eevee-1-pack-blister</t>
        </is>
      </c>
    </row>
    <row r="866">
      <c r="A866" s="2" t="inlineStr">
        <is>
          <t>Brilliant Stars Elite Trainer Box [Pokemon Center]</t>
        </is>
      </c>
      <c r="B866" s="3">
        <f>IF(H866&lt;&gt;"",H866,IF(I866&lt;&gt;"",I866,IF(J866&lt;&gt;"",J866,K866)))</f>
        <v>237.5</v>
      </c>
      <c r="C866" s="3">
        <f>MEDIAN(H866:K866)</f>
        <v>237.5</v>
      </c>
      <c r="D866" s="3">
        <f>ROUND(C866*(1-Settings!$B$2),2)</f>
        <v>166.25</v>
      </c>
      <c r="E866" s="2" t="inlineStr">
        <is>
          <t>Pokemon</t>
        </is>
      </c>
      <c r="F866" s="2" t="inlineStr">
        <is>
          <t>Coffret</t>
        </is>
      </c>
      <c r="G866" s="2" t="inlineStr">
        <is>
          <t>Brilliant Stars</t>
        </is>
      </c>
      <c r="H866" s="3" t="n">
        <v>237.5</v>
      </c>
      <c r="I866" s="3" t="n"/>
      <c r="J866" s="3" t="n"/>
      <c r="K866" s="3" t="n"/>
      <c r="L866" s="2" t="inlineStr">
        <is>
          <t>PriceCharting</t>
        </is>
      </c>
      <c r="M866" s="4" t="inlineStr">
        <is>
          <t>https://www.pricecharting.com/game/pokemon-brilliant-stars/elite-trainer-box-pokemon-center</t>
        </is>
      </c>
    </row>
    <row r="867">
      <c r="A867" s="2" t="inlineStr">
        <is>
          <t>Brilliant Stars Flapple 1-Pack Blister</t>
        </is>
      </c>
      <c r="B867" s="3">
        <f>IF(H867&lt;&gt;"",H867,IF(I867&lt;&gt;"",I867,IF(J867&lt;&gt;"",J867,K867)))</f>
        <v>12.34</v>
      </c>
      <c r="C867" s="3">
        <f>MEDIAN(H867:K867)</f>
        <v>12.34</v>
      </c>
      <c r="D867" s="3">
        <f>ROUND(C867*(1-Settings!$B$2),2)</f>
        <v>8.64</v>
      </c>
      <c r="E867" s="2" t="inlineStr">
        <is>
          <t>Pokemon</t>
        </is>
      </c>
      <c r="F867" s="2" t="inlineStr">
        <is>
          <t>Coffret</t>
        </is>
      </c>
      <c r="G867" s="2" t="inlineStr">
        <is>
          <t>Brilliant Stars</t>
        </is>
      </c>
      <c r="H867" s="3" t="n">
        <v>12.34</v>
      </c>
      <c r="I867" s="3" t="n"/>
      <c r="J867" s="3" t="n"/>
      <c r="K867" s="3" t="n"/>
      <c r="L867" s="2" t="inlineStr">
        <is>
          <t>PriceCharting</t>
        </is>
      </c>
      <c r="M867" s="4" t="inlineStr">
        <is>
          <t>https://www.pricecharting.com/game/pokemon-brilliant-stars/flapple-1-pack-blister</t>
        </is>
      </c>
    </row>
    <row r="868">
      <c r="A868" s="2" t="inlineStr">
        <is>
          <t>Brilliant Stars Glaceon 3-Pack Blister</t>
        </is>
      </c>
      <c r="B868" s="3">
        <f>IF(H868&lt;&gt;"",H868,IF(I868&lt;&gt;"",I868,IF(J868&lt;&gt;"",J868,K868)))</f>
        <v>44.69</v>
      </c>
      <c r="C868" s="3">
        <f>MEDIAN(H868:K868)</f>
        <v>44.69</v>
      </c>
      <c r="D868" s="3">
        <f>ROUND(C868*(1-Settings!$B$2),2)</f>
        <v>31.28</v>
      </c>
      <c r="E868" s="2" t="inlineStr">
        <is>
          <t>Pokemon</t>
        </is>
      </c>
      <c r="F868" s="2" t="inlineStr">
        <is>
          <t>Coffret</t>
        </is>
      </c>
      <c r="G868" s="2" t="inlineStr">
        <is>
          <t>Brilliant Stars</t>
        </is>
      </c>
      <c r="H868" s="3" t="n">
        <v>44.69</v>
      </c>
      <c r="I868" s="3" t="n"/>
      <c r="J868" s="3" t="n"/>
      <c r="K868" s="3" t="n"/>
      <c r="L868" s="2" t="inlineStr">
        <is>
          <t>PriceCharting</t>
        </is>
      </c>
      <c r="M868" s="4" t="inlineStr">
        <is>
          <t>https://www.pricecharting.com/game/pokemon-brilliant-stars/glaceon-3-pack-blister</t>
        </is>
      </c>
    </row>
    <row r="869">
      <c r="A869" s="2" t="inlineStr">
        <is>
          <t>Brilliant Stars Leafeon 3-Pack Blister</t>
        </is>
      </c>
      <c r="B869" s="3">
        <f>IF(H869&lt;&gt;"",H869,IF(I869&lt;&gt;"",I869,IF(J869&lt;&gt;"",J869,K869)))</f>
        <v>83.32</v>
      </c>
      <c r="C869" s="3">
        <f>MEDIAN(H869:K869)</f>
        <v>83.32</v>
      </c>
      <c r="D869" s="3">
        <f>ROUND(C869*(1-Settings!$B$2),2)</f>
        <v>58.32</v>
      </c>
      <c r="E869" s="2" t="inlineStr">
        <is>
          <t>Pokemon</t>
        </is>
      </c>
      <c r="F869" s="2" t="inlineStr">
        <is>
          <t>Coffret</t>
        </is>
      </c>
      <c r="G869" s="2" t="inlineStr">
        <is>
          <t>Brilliant Stars</t>
        </is>
      </c>
      <c r="H869" s="3" t="n">
        <v>83.31999999999999</v>
      </c>
      <c r="I869" s="3" t="n"/>
      <c r="J869" s="3" t="n"/>
      <c r="K869" s="3" t="n"/>
      <c r="L869" s="2" t="inlineStr">
        <is>
          <t>PriceCharting</t>
        </is>
      </c>
      <c r="M869" s="4" t="inlineStr">
        <is>
          <t>https://www.pricecharting.com/game/pokemon-brilliant-stars/leafeon-3-pack-blister</t>
        </is>
      </c>
    </row>
    <row r="870">
      <c r="A870" s="2" t="inlineStr">
        <is>
          <t>Brilliant Stars Leafeon VSTAR Special Collection</t>
        </is>
      </c>
      <c r="B870" s="3">
        <f>IF(H870&lt;&gt;"",H870,IF(I870&lt;&gt;"",I870,IF(J870&lt;&gt;"",J870,K870)))</f>
        <v>134.41</v>
      </c>
      <c r="C870" s="3">
        <f>MEDIAN(H870:K870)</f>
        <v>134.41</v>
      </c>
      <c r="D870" s="3">
        <f>ROUND(C870*(1-Settings!$B$2),2)</f>
        <v>94.09</v>
      </c>
      <c r="E870" s="2" t="inlineStr">
        <is>
          <t>Pokemon</t>
        </is>
      </c>
      <c r="F870" s="2" t="inlineStr">
        <is>
          <t>Coffret</t>
        </is>
      </c>
      <c r="G870" s="2" t="inlineStr">
        <is>
          <t>Brilliant Stars</t>
        </is>
      </c>
      <c r="H870" s="3" t="n">
        <v>134.41</v>
      </c>
      <c r="I870" s="3" t="n"/>
      <c r="J870" s="3" t="n"/>
      <c r="K870" s="3" t="n"/>
      <c r="L870" s="2" t="inlineStr">
        <is>
          <t>PriceCharting</t>
        </is>
      </c>
      <c r="M870" s="4" t="inlineStr">
        <is>
          <t>https://www.pricecharting.com/game/pokemon-brilliant-stars/leafeon-vstar-special-collection</t>
        </is>
      </c>
    </row>
    <row r="871">
      <c r="A871" s="2" t="inlineStr">
        <is>
          <t>Brilliant Stars Lucario Vstar Premium Collection Box</t>
        </is>
      </c>
      <c r="B871" s="3">
        <f>IF(H871&lt;&gt;"",H871,IF(I871&lt;&gt;"",I871,IF(J871&lt;&gt;"",J871,K871)))</f>
        <v>84.96</v>
      </c>
      <c r="C871" s="3">
        <f>MEDIAN(H871:K871)</f>
        <v>84.96</v>
      </c>
      <c r="D871" s="3">
        <f>ROUND(C871*(1-Settings!$B$2),2)</f>
        <v>59.47</v>
      </c>
      <c r="E871" s="2" t="inlineStr">
        <is>
          <t>Pokemon</t>
        </is>
      </c>
      <c r="F871" s="2" t="inlineStr">
        <is>
          <t>Coffret</t>
        </is>
      </c>
      <c r="G871" s="2" t="inlineStr">
        <is>
          <t>Brilliant Stars</t>
        </is>
      </c>
      <c r="H871" s="3" t="n">
        <v>84.95999999999999</v>
      </c>
      <c r="I871" s="3" t="n"/>
      <c r="J871" s="3" t="n"/>
      <c r="K871" s="3" t="n"/>
      <c r="L871" s="2" t="inlineStr">
        <is>
          <t>PriceCharting</t>
        </is>
      </c>
      <c r="M871" s="4" t="inlineStr">
        <is>
          <t>https://www.pricecharting.com/game/pokemon-brilliant-stars/lucario-vstar-premium-collection-box</t>
        </is>
      </c>
    </row>
    <row r="872">
      <c r="A872" s="2" t="inlineStr">
        <is>
          <t>Brilliant Stars Pikachu V Box</t>
        </is>
      </c>
      <c r="B872" s="3">
        <f>IF(H872&lt;&gt;"",H872,IF(I872&lt;&gt;"",I872,IF(J872&lt;&gt;"",J872,K872)))</f>
        <v>72.97</v>
      </c>
      <c r="C872" s="3">
        <f>MEDIAN(H872:K872)</f>
        <v>72.97</v>
      </c>
      <c r="D872" s="3">
        <f>ROUND(C872*(1-Settings!$B$2),2)</f>
        <v>51.08</v>
      </c>
      <c r="E872" s="2" t="inlineStr">
        <is>
          <t>Pokemon</t>
        </is>
      </c>
      <c r="F872" s="2" t="inlineStr">
        <is>
          <t>Coffret</t>
        </is>
      </c>
      <c r="G872" s="2" t="inlineStr">
        <is>
          <t>Brilliant Stars</t>
        </is>
      </c>
      <c r="H872" s="3" t="n">
        <v>72.97</v>
      </c>
      <c r="I872" s="3" t="n"/>
      <c r="J872" s="3" t="n"/>
      <c r="K872" s="3" t="n"/>
      <c r="L872" s="2" t="inlineStr">
        <is>
          <t>PriceCharting</t>
        </is>
      </c>
      <c r="M872" s="4" t="inlineStr">
        <is>
          <t>https://www.pricecharting.com/game/pokemon-brilliant-stars/pikachu-v-box</t>
        </is>
      </c>
    </row>
    <row r="873">
      <c r="A873" s="2" t="inlineStr">
        <is>
          <t>Brilliant Stars V Heroes Epseon Tin</t>
        </is>
      </c>
      <c r="B873" s="3">
        <f>IF(H873&lt;&gt;"",H873,IF(I873&lt;&gt;"",I873,IF(J873&lt;&gt;"",J873,K873)))</f>
        <v>48.09</v>
      </c>
      <c r="C873" s="3">
        <f>MEDIAN(H873:K873)</f>
        <v>48.09</v>
      </c>
      <c r="D873" s="3">
        <f>ROUND(C873*(1-Settings!$B$2),2)</f>
        <v>33.66</v>
      </c>
      <c r="E873" s="2" t="inlineStr">
        <is>
          <t>Pokemon</t>
        </is>
      </c>
      <c r="F873" s="2" t="inlineStr">
        <is>
          <t>Coffret</t>
        </is>
      </c>
      <c r="G873" s="2" t="inlineStr">
        <is>
          <t>Brilliant Stars</t>
        </is>
      </c>
      <c r="H873" s="3" t="n">
        <v>48.09</v>
      </c>
      <c r="I873" s="3" t="n"/>
      <c r="J873" s="3" t="n"/>
      <c r="K873" s="3" t="n"/>
      <c r="L873" s="2" t="inlineStr">
        <is>
          <t>PriceCharting</t>
        </is>
      </c>
      <c r="M873" s="4" t="inlineStr">
        <is>
          <t>https://www.pricecharting.com/game/pokemon-brilliant-stars/v-heroes-epseon-tin</t>
        </is>
      </c>
    </row>
    <row r="874">
      <c r="A874" s="2" t="inlineStr">
        <is>
          <t>Brilliant Stars V Heroes Sylveon Tin</t>
        </is>
      </c>
      <c r="B874" s="3">
        <f>IF(H874&lt;&gt;"",H874,IF(I874&lt;&gt;"",I874,IF(J874&lt;&gt;"",J874,K874)))</f>
        <v>85.5</v>
      </c>
      <c r="C874" s="3">
        <f>MEDIAN(H874:K874)</f>
        <v>85.5</v>
      </c>
      <c r="D874" s="3">
        <f>ROUND(C874*(1-Settings!$B$2),2)</f>
        <v>59.85</v>
      </c>
      <c r="E874" s="2" t="inlineStr">
        <is>
          <t>Pokemon</t>
        </is>
      </c>
      <c r="F874" s="2" t="inlineStr">
        <is>
          <t>Coffret</t>
        </is>
      </c>
      <c r="G874" s="2" t="inlineStr">
        <is>
          <t>Brilliant Stars</t>
        </is>
      </c>
      <c r="H874" s="3" t="n">
        <v>85.5</v>
      </c>
      <c r="I874" s="3" t="n"/>
      <c r="J874" s="3" t="n"/>
      <c r="K874" s="3" t="n"/>
      <c r="L874" s="2" t="inlineStr">
        <is>
          <t>PriceCharting</t>
        </is>
      </c>
      <c r="M874" s="4" t="inlineStr">
        <is>
          <t>https://www.pricecharting.com/game/pokemon-brilliant-stars/v-heroes-sylveon-tin</t>
        </is>
      </c>
    </row>
    <row r="875">
      <c r="A875" s="2" t="inlineStr">
        <is>
          <t>Brilliant Stars V Heroes Umbreon Tin</t>
        </is>
      </c>
      <c r="B875" s="3">
        <f>IF(H875&lt;&gt;"",H875,IF(I875&lt;&gt;"",I875,IF(J875&lt;&gt;"",J875,K875)))</f>
        <v>60.0</v>
      </c>
      <c r="C875" s="3">
        <f>MEDIAN(H875:K875)</f>
        <v>60.0</v>
      </c>
      <c r="D875" s="3">
        <f>ROUND(C875*(1-Settings!$B$2),2)</f>
        <v>42.0</v>
      </c>
      <c r="E875" s="2" t="inlineStr">
        <is>
          <t>Pokemon</t>
        </is>
      </c>
      <c r="F875" s="2" t="inlineStr">
        <is>
          <t>Coffret</t>
        </is>
      </c>
      <c r="G875" s="2" t="inlineStr">
        <is>
          <t>Brilliant Stars</t>
        </is>
      </c>
      <c r="H875" s="3" t="n">
        <v>60</v>
      </c>
      <c r="I875" s="3" t="n"/>
      <c r="J875" s="3" t="n"/>
      <c r="K875" s="3" t="n"/>
      <c r="L875" s="2" t="inlineStr">
        <is>
          <t>PriceCharting</t>
        </is>
      </c>
      <c r="M875" s="4" t="inlineStr">
        <is>
          <t>https://www.pricecharting.com/game/pokemon-brilliant-stars/v-heroes-umbreon-tin</t>
        </is>
      </c>
    </row>
    <row r="876">
      <c r="A876" s="2" t="inlineStr">
        <is>
          <t>Burning Shadows Cosmog 3-Pack Blister</t>
        </is>
      </c>
      <c r="B876" s="3">
        <f>IF(H876&lt;&gt;"",H876,IF(I876&lt;&gt;"",I876,IF(J876&lt;&gt;"",J876,K876)))</f>
        <v>43.57</v>
      </c>
      <c r="C876" s="3">
        <f>MEDIAN(H876:K876)</f>
        <v>43.57</v>
      </c>
      <c r="D876" s="3">
        <f>ROUND(C876*(1-Settings!$B$2),2)</f>
        <v>30.5</v>
      </c>
      <c r="E876" s="2" t="inlineStr">
        <is>
          <t>Pokemon</t>
        </is>
      </c>
      <c r="F876" s="2" t="inlineStr">
        <is>
          <t>Coffret</t>
        </is>
      </c>
      <c r="G876" s="2" t="inlineStr">
        <is>
          <t>Burning Shadows</t>
        </is>
      </c>
      <c r="H876" s="3" t="n">
        <v>43.57</v>
      </c>
      <c r="I876" s="3" t="n"/>
      <c r="J876" s="3" t="n"/>
      <c r="K876" s="3" t="n"/>
      <c r="L876" s="2" t="inlineStr">
        <is>
          <t>PriceCharting</t>
        </is>
      </c>
      <c r="M876" s="4" t="inlineStr">
        <is>
          <t>https://www.pricecharting.com/game/pokemon-burning-shadows/cosmog-3-pack-blister</t>
        </is>
      </c>
    </row>
    <row r="877">
      <c r="A877" s="2" t="inlineStr">
        <is>
          <t>Burning Shadows Mysterious Powers Tin [Ho-Oh GX]</t>
        </is>
      </c>
      <c r="B877" s="3">
        <f>IF(H877&lt;&gt;"",H877,IF(I877&lt;&gt;"",I877,IF(J877&lt;&gt;"",J877,K877)))</f>
        <v>118.99</v>
      </c>
      <c r="C877" s="3">
        <f>MEDIAN(H877:K877)</f>
        <v>118.99</v>
      </c>
      <c r="D877" s="3">
        <f>ROUND(C877*(1-Settings!$B$2),2)</f>
        <v>83.29</v>
      </c>
      <c r="E877" s="2" t="inlineStr">
        <is>
          <t>Pokemon</t>
        </is>
      </c>
      <c r="F877" s="2" t="inlineStr">
        <is>
          <t>Coffret</t>
        </is>
      </c>
      <c r="G877" s="2" t="inlineStr">
        <is>
          <t>Burning Shadows</t>
        </is>
      </c>
      <c r="H877" s="3" t="n">
        <v>118.99</v>
      </c>
      <c r="I877" s="3" t="n"/>
      <c r="J877" s="3" t="n"/>
      <c r="K877" s="3" t="n"/>
      <c r="L877" s="2" t="inlineStr">
        <is>
          <t>PriceCharting</t>
        </is>
      </c>
      <c r="M877" s="4" t="inlineStr">
        <is>
          <t>https://www.pricecharting.com/game/pokemon-burning-shadows/mysterious-powers-tin-ho-oh-gx</t>
        </is>
      </c>
    </row>
    <row r="878">
      <c r="A878" s="2" t="inlineStr">
        <is>
          <t>Burning Shadows Team Skull Pin Collection Box</t>
        </is>
      </c>
      <c r="B878" s="3">
        <f>IF(H878&lt;&gt;"",H878,IF(I878&lt;&gt;"",I878,IF(J878&lt;&gt;"",J878,K878)))</f>
        <v>210.0</v>
      </c>
      <c r="C878" s="3">
        <f>MEDIAN(H878:K878)</f>
        <v>210.0</v>
      </c>
      <c r="D878" s="3">
        <f>ROUND(C878*(1-Settings!$B$2),2)</f>
        <v>147.0</v>
      </c>
      <c r="E878" s="2" t="inlineStr">
        <is>
          <t>Pokemon</t>
        </is>
      </c>
      <c r="F878" s="2" t="inlineStr">
        <is>
          <t>Coffret</t>
        </is>
      </c>
      <c r="G878" s="2" t="inlineStr">
        <is>
          <t>Burning Shadows</t>
        </is>
      </c>
      <c r="H878" s="3" t="n">
        <v>210</v>
      </c>
      <c r="I878" s="3" t="n"/>
      <c r="J878" s="3" t="n"/>
      <c r="K878" s="3" t="n"/>
      <c r="L878" s="2" t="inlineStr">
        <is>
          <t>PriceCharting</t>
        </is>
      </c>
      <c r="M878" s="4" t="inlineStr">
        <is>
          <t>https://www.pricecharting.com/game/pokemon-burning-shadows/team-skull-pin-collection-box</t>
        </is>
      </c>
    </row>
    <row r="879">
      <c r="A879" s="2" t="inlineStr">
        <is>
          <t>Celebrations Collection [Dark Sylveon V]</t>
        </is>
      </c>
      <c r="B879" s="3">
        <f>IF(H879&lt;&gt;"",H879,IF(I879&lt;&gt;"",I879,IF(J879&lt;&gt;"",J879,K879)))</f>
        <v>163.65</v>
      </c>
      <c r="C879" s="3">
        <f>MEDIAN(H879:K879)</f>
        <v>163.65</v>
      </c>
      <c r="D879" s="3">
        <f>ROUND(C879*(1-Settings!$B$2),2)</f>
        <v>114.56</v>
      </c>
      <c r="E879" s="2" t="inlineStr">
        <is>
          <t>Pokemon</t>
        </is>
      </c>
      <c r="F879" s="2" t="inlineStr">
        <is>
          <t>Coffret</t>
        </is>
      </c>
      <c r="G879" s="2" t="inlineStr">
        <is>
          <t>Celebrations</t>
        </is>
      </c>
      <c r="H879" s="3" t="n"/>
      <c r="I879" s="3" t="n">
        <v>163.65</v>
      </c>
      <c r="J879" s="3" t="n">
        <v>189.5</v>
      </c>
      <c r="K879" s="3" t="n">
        <v>110</v>
      </c>
      <c r="L879" s="2" t="inlineStr">
        <is>
          <t>TCGplayer</t>
        </is>
      </c>
      <c r="N879" s="4" t="inlineStr">
        <is>
          <t>https://www.tcgplayer.com/product/242809</t>
        </is>
      </c>
    </row>
    <row r="880">
      <c r="A880" s="2" t="inlineStr">
        <is>
          <t>Celebrations Collection [Dragapult Prime]</t>
        </is>
      </c>
      <c r="B880" s="3">
        <f>IF(H880&lt;&gt;"",H880,IF(I880&lt;&gt;"",I880,IF(J880&lt;&gt;"",J880,K880)))</f>
        <v>78.62</v>
      </c>
      <c r="C880" s="3">
        <f>MEDIAN(H880:K880)</f>
        <v>95.9</v>
      </c>
      <c r="D880" s="3">
        <f>ROUND(C880*(1-Settings!$B$2),2)</f>
        <v>67.13</v>
      </c>
      <c r="E880" s="2" t="inlineStr">
        <is>
          <t>Pokemon</t>
        </is>
      </c>
      <c r="F880" s="2" t="inlineStr">
        <is>
          <t>Coffret</t>
        </is>
      </c>
      <c r="G880" s="2" t="inlineStr">
        <is>
          <t>Celebrations</t>
        </is>
      </c>
      <c r="H880" s="3" t="n"/>
      <c r="I880" s="3" t="n">
        <v>78.62</v>
      </c>
      <c r="J880" s="3" t="n">
        <v>101.9</v>
      </c>
      <c r="K880" s="3" t="n">
        <v>95.90000000000001</v>
      </c>
      <c r="L880" s="2" t="inlineStr">
        <is>
          <t>TCGplayer</t>
        </is>
      </c>
      <c r="N880" s="4" t="inlineStr">
        <is>
          <t>https://www.tcgplayer.com/product/242807</t>
        </is>
      </c>
    </row>
    <row r="881">
      <c r="A881" s="2" t="inlineStr">
        <is>
          <t>Celebrations Collection [Lance's Charizard V]</t>
        </is>
      </c>
      <c r="B881" s="3">
        <f>IF(H881&lt;&gt;"",H881,IF(I881&lt;&gt;"",I881,IF(J881&lt;&gt;"",J881,K881)))</f>
        <v>153.87</v>
      </c>
      <c r="C881" s="3">
        <f>MEDIAN(H881:K881)</f>
        <v>153.87</v>
      </c>
      <c r="D881" s="3">
        <f>ROUND(C881*(1-Settings!$B$2),2)</f>
        <v>107.71</v>
      </c>
      <c r="E881" s="2" t="inlineStr">
        <is>
          <t>Pokemon</t>
        </is>
      </c>
      <c r="F881" s="2" t="inlineStr">
        <is>
          <t>Coffret</t>
        </is>
      </c>
      <c r="G881" s="2" t="inlineStr">
        <is>
          <t>Celebrations</t>
        </is>
      </c>
      <c r="H881" s="3" t="n"/>
      <c r="I881" s="3" t="n">
        <v>153.87</v>
      </c>
      <c r="J881" s="3" t="n">
        <v>164.99</v>
      </c>
      <c r="K881" s="3" t="n">
        <v>120</v>
      </c>
      <c r="L881" s="2" t="inlineStr">
        <is>
          <t>TCGplayer</t>
        </is>
      </c>
      <c r="N881" s="4" t="inlineStr">
        <is>
          <t>https://www.tcgplayer.com/product/242808</t>
        </is>
      </c>
    </row>
    <row r="882">
      <c r="A882" s="2" t="inlineStr">
        <is>
          <t>Celebrations Collection [Pikachu V-UNION]</t>
        </is>
      </c>
      <c r="B882" s="3">
        <f>IF(H882&lt;&gt;"",H882,IF(I882&lt;&gt;"",I882,IF(J882&lt;&gt;"",J882,K882)))</f>
        <v>201.21</v>
      </c>
      <c r="C882" s="3">
        <f>MEDIAN(H882:K882)</f>
        <v>201.21</v>
      </c>
      <c r="D882" s="3">
        <f>ROUND(C882*(1-Settings!$B$2),2)</f>
        <v>140.85</v>
      </c>
      <c r="E882" s="2" t="inlineStr">
        <is>
          <t>Pokemon</t>
        </is>
      </c>
      <c r="F882" s="2" t="inlineStr">
        <is>
          <t>Coffret</t>
        </is>
      </c>
      <c r="G882" s="2" t="inlineStr">
        <is>
          <t>Celebrations</t>
        </is>
      </c>
      <c r="H882" s="3" t="n"/>
      <c r="I882" s="3" t="n">
        <v>201.21</v>
      </c>
      <c r="J882" s="3" t="n">
        <v>218.06</v>
      </c>
      <c r="K882" s="3" t="n">
        <v>177.19</v>
      </c>
      <c r="L882" s="2" t="inlineStr">
        <is>
          <t>TCGplayer</t>
        </is>
      </c>
      <c r="N882" s="4" t="inlineStr">
        <is>
          <t>https://www.tcgplayer.com/product/244726</t>
        </is>
      </c>
    </row>
    <row r="883">
      <c r="A883" s="2" t="inlineStr">
        <is>
          <t>Celebrations Collector Chest</t>
        </is>
      </c>
      <c r="B883" s="3">
        <f>IF(H883&lt;&gt;"",H883,IF(I883&lt;&gt;"",I883,IF(J883&lt;&gt;"",J883,K883)))</f>
        <v>165.25</v>
      </c>
      <c r="C883" s="3">
        <f>MEDIAN(H883:K883)</f>
        <v>186.035</v>
      </c>
      <c r="D883" s="3">
        <f>ROUND(C883*(1-Settings!$B$2),2)</f>
        <v>130.22</v>
      </c>
      <c r="E883" s="2" t="inlineStr">
        <is>
          <t>Pokemon</t>
        </is>
      </c>
      <c r="F883" s="2" t="inlineStr">
        <is>
          <t>Coffret</t>
        </is>
      </c>
      <c r="G883" s="2" t="inlineStr">
        <is>
          <t>Celebrations</t>
        </is>
      </c>
      <c r="H883" s="3" t="n">
        <v>165.25</v>
      </c>
      <c r="I883" s="3" t="n">
        <v>206.82</v>
      </c>
      <c r="J883" s="3" t="n">
        <v>212.94</v>
      </c>
      <c r="K883" s="3" t="n">
        <v>25</v>
      </c>
      <c r="L883" s="2" t="inlineStr">
        <is>
          <t>PriceCharting + TCGplayer</t>
        </is>
      </c>
      <c r="M883" s="4" t="inlineStr">
        <is>
          <t>https://www.pricecharting.com/game/pokemon-celebrations/collector-chest</t>
        </is>
      </c>
      <c r="N883" s="4" t="inlineStr">
        <is>
          <t>https://www.tcgplayer.com/product/244727</t>
        </is>
      </c>
    </row>
    <row r="884">
      <c r="A884" s="2" t="inlineStr">
        <is>
          <t>Celebrations Dark Sylveon Tin</t>
        </is>
      </c>
      <c r="B884" s="3">
        <f>IF(H884&lt;&gt;"",H884,IF(I884&lt;&gt;"",I884,IF(J884&lt;&gt;"",J884,K884)))</f>
        <v>122.5</v>
      </c>
      <c r="C884" s="3">
        <f>MEDIAN(H884:K884)</f>
        <v>122.5</v>
      </c>
      <c r="D884" s="3">
        <f>ROUND(C884*(1-Settings!$B$2),2)</f>
        <v>85.75</v>
      </c>
      <c r="E884" s="2" t="inlineStr">
        <is>
          <t>Pokemon</t>
        </is>
      </c>
      <c r="F884" s="2" t="inlineStr">
        <is>
          <t>Coffret</t>
        </is>
      </c>
      <c r="G884" s="2" t="inlineStr">
        <is>
          <t>Celebrations</t>
        </is>
      </c>
      <c r="H884" s="3" t="n">
        <v>122.5</v>
      </c>
      <c r="I884" s="3" t="n"/>
      <c r="J884" s="3" t="n"/>
      <c r="K884" s="3" t="n"/>
      <c r="L884" s="2" t="inlineStr">
        <is>
          <t>PriceCharting</t>
        </is>
      </c>
      <c r="M884" s="4" t="inlineStr">
        <is>
          <t>https://www.pricecharting.com/game/pokemon-celebrations/dark-sylveon-tin</t>
        </is>
      </c>
    </row>
    <row r="885">
      <c r="A885" s="2" t="inlineStr">
        <is>
          <t>Celebrations Dark Sylveon Tin [International]</t>
        </is>
      </c>
      <c r="B885" s="3">
        <f>IF(H885&lt;&gt;"",H885,IF(I885&lt;&gt;"",I885,IF(J885&lt;&gt;"",J885,K885)))</f>
        <v>125.0</v>
      </c>
      <c r="C885" s="3">
        <f>MEDIAN(H885:K885)</f>
        <v>125.0</v>
      </c>
      <c r="D885" s="3">
        <f>ROUND(C885*(1-Settings!$B$2),2)</f>
        <v>87.5</v>
      </c>
      <c r="E885" s="2" t="inlineStr">
        <is>
          <t>Pokemon</t>
        </is>
      </c>
      <c r="F885" s="2" t="inlineStr">
        <is>
          <t>Coffret</t>
        </is>
      </c>
      <c r="G885" s="2" t="inlineStr">
        <is>
          <t>Celebrations</t>
        </is>
      </c>
      <c r="H885" s="3" t="n">
        <v>125</v>
      </c>
      <c r="I885" s="3" t="n"/>
      <c r="J885" s="3" t="n"/>
      <c r="K885" s="3" t="n"/>
      <c r="L885" s="2" t="inlineStr">
        <is>
          <t>PriceCharting</t>
        </is>
      </c>
      <c r="M885" s="4" t="inlineStr">
        <is>
          <t>https://www.pricecharting.com/game/pokemon-celebrations/dark-sylveon-tin-international</t>
        </is>
      </c>
    </row>
    <row r="886">
      <c r="A886" s="2" t="inlineStr">
        <is>
          <t>Celebrations Dark Sylveon V Box</t>
        </is>
      </c>
      <c r="B886" s="3">
        <f>IF(H886&lt;&gt;"",H886,IF(I886&lt;&gt;"",I886,IF(J886&lt;&gt;"",J886,K886)))</f>
        <v>142.75</v>
      </c>
      <c r="C886" s="3">
        <f>MEDIAN(H886:K886)</f>
        <v>142.75</v>
      </c>
      <c r="D886" s="3">
        <f>ROUND(C886*(1-Settings!$B$2),2)</f>
        <v>99.93</v>
      </c>
      <c r="E886" s="2" t="inlineStr">
        <is>
          <t>Pokemon</t>
        </is>
      </c>
      <c r="F886" s="2" t="inlineStr">
        <is>
          <t>Coffret</t>
        </is>
      </c>
      <c r="G886" s="2" t="inlineStr">
        <is>
          <t>Celebrations</t>
        </is>
      </c>
      <c r="H886" s="3" t="n">
        <v>142.75</v>
      </c>
      <c r="I886" s="3" t="n"/>
      <c r="J886" s="3" t="n"/>
      <c r="K886" s="3" t="n"/>
      <c r="L886" s="2" t="inlineStr">
        <is>
          <t>PriceCharting</t>
        </is>
      </c>
      <c r="M886" s="4" t="inlineStr">
        <is>
          <t>https://www.pricecharting.com/game/pokemon-celebrations/dark-sylveon-v-box</t>
        </is>
      </c>
    </row>
    <row r="887">
      <c r="A887" s="2" t="inlineStr">
        <is>
          <t>Celebrations Deluxe Pin Collection [Zacian LV. X]</t>
        </is>
      </c>
      <c r="B887" s="3">
        <f>IF(H887&lt;&gt;"",H887,IF(I887&lt;&gt;"",I887,IF(J887&lt;&gt;"",J887,K887)))</f>
        <v>136.91</v>
      </c>
      <c r="C887" s="3">
        <f>MEDIAN(H887:K887)</f>
        <v>136.91</v>
      </c>
      <c r="D887" s="3">
        <f>ROUND(C887*(1-Settings!$B$2),2)</f>
        <v>95.84</v>
      </c>
      <c r="E887" s="2" t="inlineStr">
        <is>
          <t>Pokemon</t>
        </is>
      </c>
      <c r="F887" s="2" t="inlineStr">
        <is>
          <t>Coffret</t>
        </is>
      </c>
      <c r="G887" s="2" t="inlineStr">
        <is>
          <t>Celebrations</t>
        </is>
      </c>
      <c r="H887" s="3" t="n"/>
      <c r="I887" s="3" t="n">
        <v>136.91</v>
      </c>
      <c r="J887" s="3" t="n">
        <v>149.99</v>
      </c>
      <c r="K887" s="3" t="n">
        <v>128.98</v>
      </c>
      <c r="L887" s="2" t="inlineStr">
        <is>
          <t>TCGplayer</t>
        </is>
      </c>
      <c r="N887" s="4" t="inlineStr">
        <is>
          <t>https://www.tcgplayer.com/product/242810</t>
        </is>
      </c>
    </row>
    <row r="888">
      <c r="A888" s="2" t="inlineStr">
        <is>
          <t>Celebrations Deluxe Pin Collection Box</t>
        </is>
      </c>
      <c r="B888" s="3">
        <f>IF(H888&lt;&gt;"",H888,IF(I888&lt;&gt;"",I888,IF(J888&lt;&gt;"",J888,K888)))</f>
        <v>124.94</v>
      </c>
      <c r="C888" s="3">
        <f>MEDIAN(H888:K888)</f>
        <v>124.94</v>
      </c>
      <c r="D888" s="3">
        <f>ROUND(C888*(1-Settings!$B$2),2)</f>
        <v>87.46</v>
      </c>
      <c r="E888" s="2" t="inlineStr">
        <is>
          <t>Pokemon</t>
        </is>
      </c>
      <c r="F888" s="2" t="inlineStr">
        <is>
          <t>Coffret</t>
        </is>
      </c>
      <c r="G888" s="2" t="inlineStr">
        <is>
          <t>Celebrations</t>
        </is>
      </c>
      <c r="H888" s="3" t="n">
        <v>124.94</v>
      </c>
      <c r="I888" s="3" t="n"/>
      <c r="J888" s="3" t="n"/>
      <c r="K888" s="3" t="n"/>
      <c r="L888" s="2" t="inlineStr">
        <is>
          <t>PriceCharting</t>
        </is>
      </c>
      <c r="M888" s="4" t="inlineStr">
        <is>
          <t>https://www.pricecharting.com/game/pokemon-celebrations/deluxe-pin-collection-box</t>
        </is>
      </c>
    </row>
    <row r="889">
      <c r="A889" s="2" t="inlineStr">
        <is>
          <t>Celebrations Dragapult Prime Box</t>
        </is>
      </c>
      <c r="B889" s="3">
        <f>IF(H889&lt;&gt;"",H889,IF(I889&lt;&gt;"",I889,IF(J889&lt;&gt;"",J889,K889)))</f>
        <v>80.25</v>
      </c>
      <c r="C889" s="3">
        <f>MEDIAN(H889:K889)</f>
        <v>80.25</v>
      </c>
      <c r="D889" s="3">
        <f>ROUND(C889*(1-Settings!$B$2),2)</f>
        <v>56.18</v>
      </c>
      <c r="E889" s="2" t="inlineStr">
        <is>
          <t>Pokemon</t>
        </is>
      </c>
      <c r="F889" s="2" t="inlineStr">
        <is>
          <t>Coffret</t>
        </is>
      </c>
      <c r="G889" s="2" t="inlineStr">
        <is>
          <t>Celebrations</t>
        </is>
      </c>
      <c r="H889" s="3" t="n">
        <v>80.25</v>
      </c>
      <c r="I889" s="3" t="n"/>
      <c r="J889" s="3" t="n"/>
      <c r="K889" s="3" t="n"/>
      <c r="L889" s="2" t="inlineStr">
        <is>
          <t>PriceCharting</t>
        </is>
      </c>
      <c r="M889" s="4" t="inlineStr">
        <is>
          <t>https://www.pricecharting.com/game/pokemon-celebrations/dragapult-prime-box</t>
        </is>
      </c>
    </row>
    <row r="890">
      <c r="A890" s="2" t="inlineStr">
        <is>
          <t>Celebrations Elite Trainer Box</t>
        </is>
      </c>
      <c r="B890" s="3">
        <f>IF(H890&lt;&gt;"",H890,IF(I890&lt;&gt;"",I890,IF(J890&lt;&gt;"",J890,K890)))</f>
        <v>306.79</v>
      </c>
      <c r="C890" s="3">
        <f>MEDIAN(H890:K890)</f>
        <v>355.515</v>
      </c>
      <c r="D890" s="3">
        <f>ROUND(C890*(1-Settings!$B$2),2)</f>
        <v>248.86</v>
      </c>
      <c r="E890" s="2" t="inlineStr">
        <is>
          <t>Pokemon</t>
        </is>
      </c>
      <c r="F890" s="2" t="inlineStr">
        <is>
          <t>Coffret</t>
        </is>
      </c>
      <c r="G890" s="2" t="inlineStr">
        <is>
          <t>Celebrations</t>
        </is>
      </c>
      <c r="H890" s="3" t="n">
        <v>306.79</v>
      </c>
      <c r="I890" s="3" t="n">
        <v>359.03</v>
      </c>
      <c r="J890" s="3" t="n">
        <v>465</v>
      </c>
      <c r="K890" s="3" t="n">
        <v>352</v>
      </c>
      <c r="L890" s="2" t="inlineStr">
        <is>
          <t>PriceCharting + TCGplayer</t>
        </is>
      </c>
      <c r="M890" s="4" t="inlineStr">
        <is>
          <t>https://www.pricecharting.com/game/pokemon-celebrations/elite-trainer-box</t>
        </is>
      </c>
      <c r="N890" s="4" t="inlineStr">
        <is>
          <t>https://www.tcgplayer.com/product/242811</t>
        </is>
      </c>
    </row>
    <row r="891">
      <c r="A891" s="2" t="inlineStr">
        <is>
          <t>Celebrations Elite Trainer Box [Pokemon Center]</t>
        </is>
      </c>
      <c r="B891" s="3">
        <f>IF(H891&lt;&gt;"",H891,IF(I891&lt;&gt;"",I891,IF(J891&lt;&gt;"",J891,K891)))</f>
        <v>499.0</v>
      </c>
      <c r="C891" s="3">
        <f>MEDIAN(H891:K891)</f>
        <v>499.0</v>
      </c>
      <c r="D891" s="3">
        <f>ROUND(C891*(1-Settings!$B$2),2)</f>
        <v>349.3</v>
      </c>
      <c r="E891" s="2" t="inlineStr">
        <is>
          <t>Pokemon</t>
        </is>
      </c>
      <c r="F891" s="2" t="inlineStr">
        <is>
          <t>Coffret</t>
        </is>
      </c>
      <c r="G891" s="2" t="inlineStr">
        <is>
          <t>Celebrations</t>
        </is>
      </c>
      <c r="H891" s="3" t="n">
        <v>499</v>
      </c>
      <c r="I891" s="3" t="n"/>
      <c r="J891" s="3" t="n"/>
      <c r="K891" s="3" t="n"/>
      <c r="L891" s="2" t="inlineStr">
        <is>
          <t>PriceCharting</t>
        </is>
      </c>
      <c r="M891" s="4" t="inlineStr">
        <is>
          <t>https://www.pricecharting.com/game/pokemon-celebrations/elite-trainer-box-pokemon-center</t>
        </is>
      </c>
    </row>
    <row r="892">
      <c r="A892" s="2" t="inlineStr">
        <is>
          <t>Celebrations Genesect Mythical Collection Box</t>
        </is>
      </c>
      <c r="B892" s="3">
        <f>IF(H892&lt;&gt;"",H892,IF(I892&lt;&gt;"",I892,IF(J892&lt;&gt;"",J892,K892)))</f>
        <v>440.0</v>
      </c>
      <c r="C892" s="3">
        <f>MEDIAN(H892:K892)</f>
        <v>440.0</v>
      </c>
      <c r="D892" s="3">
        <f>ROUND(C892*(1-Settings!$B$2),2)</f>
        <v>308.0</v>
      </c>
      <c r="E892" s="2" t="inlineStr">
        <is>
          <t>Pokemon</t>
        </is>
      </c>
      <c r="F892" s="2" t="inlineStr">
        <is>
          <t>Coffret</t>
        </is>
      </c>
      <c r="G892" s="2" t="inlineStr">
        <is>
          <t>Celebrations</t>
        </is>
      </c>
      <c r="H892" s="3" t="n">
        <v>440</v>
      </c>
      <c r="I892" s="3" t="n"/>
      <c r="J892" s="3" t="n"/>
      <c r="K892" s="3" t="n"/>
      <c r="L892" s="2" t="inlineStr">
        <is>
          <t>PriceCharting</t>
        </is>
      </c>
      <c r="M892" s="4" t="inlineStr">
        <is>
          <t>https://www.pricecharting.com/game/pokemon-celebrations/genesect-mythical-collection-box</t>
        </is>
      </c>
    </row>
    <row r="893">
      <c r="A893" s="2" t="inlineStr">
        <is>
          <t>Celebrations Keldeo Mythical Collection Box</t>
        </is>
      </c>
      <c r="B893" s="3">
        <f>IF(H893&lt;&gt;"",H893,IF(I893&lt;&gt;"",I893,IF(J893&lt;&gt;"",J893,K893)))</f>
        <v>399.97</v>
      </c>
      <c r="C893" s="3">
        <f>MEDIAN(H893:K893)</f>
        <v>399.97</v>
      </c>
      <c r="D893" s="3">
        <f>ROUND(C893*(1-Settings!$B$2),2)</f>
        <v>279.98</v>
      </c>
      <c r="E893" s="2" t="inlineStr">
        <is>
          <t>Pokemon</t>
        </is>
      </c>
      <c r="F893" s="2" t="inlineStr">
        <is>
          <t>Coffret</t>
        </is>
      </c>
      <c r="G893" s="2" t="inlineStr">
        <is>
          <t>Celebrations</t>
        </is>
      </c>
      <c r="H893" s="3" t="n">
        <v>399.97</v>
      </c>
      <c r="I893" s="3" t="n"/>
      <c r="J893" s="3" t="n"/>
      <c r="K893" s="3" t="n"/>
      <c r="L893" s="2" t="inlineStr">
        <is>
          <t>PriceCharting</t>
        </is>
      </c>
      <c r="M893" s="4" t="inlineStr">
        <is>
          <t>https://www.pricecharting.com/game/pokemon-celebrations/keldeo-mythical-collection-box</t>
        </is>
      </c>
    </row>
    <row r="894">
      <c r="A894" s="2" t="inlineStr">
        <is>
          <t>Celebrations Lance's Charizard V Big Tin</t>
        </is>
      </c>
      <c r="B894" s="3">
        <f>IF(H894&lt;&gt;"",H894,IF(I894&lt;&gt;"",I894,IF(J894&lt;&gt;"",J894,K894)))</f>
        <v>192.5</v>
      </c>
      <c r="C894" s="3">
        <f>MEDIAN(H894:K894)</f>
        <v>192.5</v>
      </c>
      <c r="D894" s="3">
        <f>ROUND(C894*(1-Settings!$B$2),2)</f>
        <v>134.75</v>
      </c>
      <c r="E894" s="2" t="inlineStr">
        <is>
          <t>Pokemon</t>
        </is>
      </c>
      <c r="F894" s="2" t="inlineStr">
        <is>
          <t>Coffret</t>
        </is>
      </c>
      <c r="G894" s="2" t="inlineStr">
        <is>
          <t>Celebrations</t>
        </is>
      </c>
      <c r="H894" s="3" t="n">
        <v>192.5</v>
      </c>
      <c r="I894" s="3" t="n"/>
      <c r="J894" s="3" t="n"/>
      <c r="K894" s="3" t="n"/>
      <c r="L894" s="2" t="inlineStr">
        <is>
          <t>PriceCharting</t>
        </is>
      </c>
      <c r="M894" s="4" t="inlineStr">
        <is>
          <t>https://www.pricecharting.com/game/pokemon-celebrations/lance's-charizard-v-big-tin</t>
        </is>
      </c>
    </row>
    <row r="895">
      <c r="A895" s="2" t="inlineStr">
        <is>
          <t>Celebrations Lance's Charizard V Box</t>
        </is>
      </c>
      <c r="B895" s="3">
        <f>IF(H895&lt;&gt;"",H895,IF(I895&lt;&gt;"",I895,IF(J895&lt;&gt;"",J895,K895)))</f>
        <v>147.5</v>
      </c>
      <c r="C895" s="3">
        <f>MEDIAN(H895:K895)</f>
        <v>147.5</v>
      </c>
      <c r="D895" s="3">
        <f>ROUND(C895*(1-Settings!$B$2),2)</f>
        <v>103.25</v>
      </c>
      <c r="E895" s="2" t="inlineStr">
        <is>
          <t>Pokemon</t>
        </is>
      </c>
      <c r="F895" s="2" t="inlineStr">
        <is>
          <t>Coffret</t>
        </is>
      </c>
      <c r="G895" s="2" t="inlineStr">
        <is>
          <t>Celebrations</t>
        </is>
      </c>
      <c r="H895" s="3" t="n">
        <v>147.5</v>
      </c>
      <c r="I895" s="3" t="n"/>
      <c r="J895" s="3" t="n"/>
      <c r="K895" s="3" t="n"/>
      <c r="L895" s="2" t="inlineStr">
        <is>
          <t>PriceCharting</t>
        </is>
      </c>
      <c r="M895" s="4" t="inlineStr">
        <is>
          <t>https://www.pricecharting.com/game/pokemon-celebrations/lance's-charizard-v-box</t>
        </is>
      </c>
    </row>
    <row r="896">
      <c r="A896" s="2" t="inlineStr">
        <is>
          <t>Celebrations Lance's Charizard V Tin</t>
        </is>
      </c>
      <c r="B896" s="3">
        <f>IF(H896&lt;&gt;"",H896,IF(I896&lt;&gt;"",I896,IF(J896&lt;&gt;"",J896,K896)))</f>
        <v>142.03</v>
      </c>
      <c r="C896" s="3">
        <f>MEDIAN(H896:K896)</f>
        <v>142.03</v>
      </c>
      <c r="D896" s="3">
        <f>ROUND(C896*(1-Settings!$B$2),2)</f>
        <v>99.42</v>
      </c>
      <c r="E896" s="2" t="inlineStr">
        <is>
          <t>Pokemon</t>
        </is>
      </c>
      <c r="F896" s="2" t="inlineStr">
        <is>
          <t>Coffret</t>
        </is>
      </c>
      <c r="G896" s="2" t="inlineStr">
        <is>
          <t>Celebrations</t>
        </is>
      </c>
      <c r="H896" s="3" t="n">
        <v>142.03</v>
      </c>
      <c r="I896" s="3" t="n"/>
      <c r="J896" s="3" t="n"/>
      <c r="K896" s="3" t="n"/>
      <c r="L896" s="2" t="inlineStr">
        <is>
          <t>PriceCharting</t>
        </is>
      </c>
      <c r="M896" s="4" t="inlineStr">
        <is>
          <t>https://www.pricecharting.com/game/pokemon-celebrations/lance's-charizard-v-tin</t>
        </is>
      </c>
    </row>
    <row r="897">
      <c r="A897" s="2" t="inlineStr">
        <is>
          <t>Celebrations Manaphy Mythical Collection Box</t>
        </is>
      </c>
      <c r="B897" s="3">
        <f>IF(H897&lt;&gt;"",H897,IF(I897&lt;&gt;"",I897,IF(J897&lt;&gt;"",J897,K897)))</f>
        <v>555.0</v>
      </c>
      <c r="C897" s="3">
        <f>MEDIAN(H897:K897)</f>
        <v>555.0</v>
      </c>
      <c r="D897" s="3">
        <f>ROUND(C897*(1-Settings!$B$2),2)</f>
        <v>388.5</v>
      </c>
      <c r="E897" s="2" t="inlineStr">
        <is>
          <t>Pokemon</t>
        </is>
      </c>
      <c r="F897" s="2" t="inlineStr">
        <is>
          <t>Coffret</t>
        </is>
      </c>
      <c r="G897" s="2" t="inlineStr">
        <is>
          <t>Celebrations</t>
        </is>
      </c>
      <c r="H897" s="3" t="n">
        <v>555</v>
      </c>
      <c r="I897" s="3" t="n"/>
      <c r="J897" s="3" t="n"/>
      <c r="K897" s="3" t="n"/>
      <c r="L897" s="2" t="inlineStr">
        <is>
          <t>PriceCharting</t>
        </is>
      </c>
      <c r="M897" s="4" t="inlineStr">
        <is>
          <t>https://www.pricecharting.com/game/pokemon-celebrations/manaphy-mythical-collection-box</t>
        </is>
      </c>
    </row>
    <row r="898">
      <c r="A898" s="2" t="inlineStr">
        <is>
          <t>Celebrations Meloetta Mythical Collection Box</t>
        </is>
      </c>
      <c r="B898" s="3">
        <f>IF(H898&lt;&gt;"",H898,IF(I898&lt;&gt;"",I898,IF(J898&lt;&gt;"",J898,K898)))</f>
        <v>399.97</v>
      </c>
      <c r="C898" s="3">
        <f>MEDIAN(H898:K898)</f>
        <v>399.97</v>
      </c>
      <c r="D898" s="3">
        <f>ROUND(C898*(1-Settings!$B$2),2)</f>
        <v>279.98</v>
      </c>
      <c r="E898" s="2" t="inlineStr">
        <is>
          <t>Pokemon</t>
        </is>
      </c>
      <c r="F898" s="2" t="inlineStr">
        <is>
          <t>Coffret</t>
        </is>
      </c>
      <c r="G898" s="2" t="inlineStr">
        <is>
          <t>Celebrations</t>
        </is>
      </c>
      <c r="H898" s="3" t="n">
        <v>399.97</v>
      </c>
      <c r="I898" s="3" t="n"/>
      <c r="J898" s="3" t="n"/>
      <c r="K898" s="3" t="n"/>
      <c r="L898" s="2" t="inlineStr">
        <is>
          <t>PriceCharting</t>
        </is>
      </c>
      <c r="M898" s="4" t="inlineStr">
        <is>
          <t>https://www.pricecharting.com/game/pokemon-celebrations/meloetta-mythical-collection-box</t>
        </is>
      </c>
    </row>
    <row r="899">
      <c r="A899" s="2" t="inlineStr">
        <is>
          <t>Celebrations Mini Tin [Alola]</t>
        </is>
      </c>
      <c r="B899" s="3">
        <f>IF(H899&lt;&gt;"",H899,IF(I899&lt;&gt;"",I899,IF(J899&lt;&gt;"",J899,K899)))</f>
        <v>52.7</v>
      </c>
      <c r="C899" s="3">
        <f>MEDIAN(H899:K899)</f>
        <v>96.99</v>
      </c>
      <c r="D899" s="3">
        <f>ROUND(C899*(1-Settings!$B$2),2)</f>
        <v>67.89</v>
      </c>
      <c r="E899" s="2" t="inlineStr">
        <is>
          <t>Pokemon</t>
        </is>
      </c>
      <c r="F899" s="2" t="inlineStr">
        <is>
          <t>Coffret</t>
        </is>
      </c>
      <c r="G899" s="2" t="inlineStr">
        <is>
          <t>Celebrations</t>
        </is>
      </c>
      <c r="H899" s="3" t="n"/>
      <c r="I899" s="3" t="n">
        <v>52.7</v>
      </c>
      <c r="J899" s="3" t="n">
        <v>105</v>
      </c>
      <c r="K899" s="3" t="n">
        <v>96.98999999999999</v>
      </c>
      <c r="L899" s="2" t="inlineStr">
        <is>
          <t>TCGplayer</t>
        </is>
      </c>
      <c r="N899" s="4" t="inlineStr">
        <is>
          <t>https://www.tcgplayer.com/product/242819</t>
        </is>
      </c>
    </row>
    <row r="900">
      <c r="A900" s="2" t="inlineStr">
        <is>
          <t>Celebrations Mini Tin [Galar]</t>
        </is>
      </c>
      <c r="B900" s="3">
        <f>IF(H900&lt;&gt;"",H900,IF(I900&lt;&gt;"",I900,IF(J900&lt;&gt;"",J900,K900)))</f>
        <v>54.02</v>
      </c>
      <c r="C900" s="3">
        <f>MEDIAN(H900:K900)</f>
        <v>81.99</v>
      </c>
      <c r="D900" s="3">
        <f>ROUND(C900*(1-Settings!$B$2),2)</f>
        <v>57.39</v>
      </c>
      <c r="E900" s="2" t="inlineStr">
        <is>
          <t>Pokemon</t>
        </is>
      </c>
      <c r="F900" s="2" t="inlineStr">
        <is>
          <t>Coffret</t>
        </is>
      </c>
      <c r="G900" s="2" t="inlineStr">
        <is>
          <t>Celebrations</t>
        </is>
      </c>
      <c r="H900" s="3" t="n"/>
      <c r="I900" s="3" t="n">
        <v>54.02</v>
      </c>
      <c r="J900" s="3" t="n">
        <v>87.42</v>
      </c>
      <c r="K900" s="3" t="n">
        <v>81.98999999999999</v>
      </c>
      <c r="L900" s="2" t="inlineStr">
        <is>
          <t>TCGplayer</t>
        </is>
      </c>
      <c r="N900" s="4" t="inlineStr">
        <is>
          <t>https://www.tcgplayer.com/product/242820</t>
        </is>
      </c>
    </row>
    <row r="901">
      <c r="A901" s="2" t="inlineStr">
        <is>
          <t>Celebrations Mini Tin [Hoenn]</t>
        </is>
      </c>
      <c r="B901" s="3">
        <f>IF(H901&lt;&gt;"",H901,IF(I901&lt;&gt;"",I901,IF(J901&lt;&gt;"",J901,K901)))</f>
        <v>62.77</v>
      </c>
      <c r="C901" s="3">
        <f>MEDIAN(H901:K901)</f>
        <v>90.0</v>
      </c>
      <c r="D901" s="3">
        <f>ROUND(C901*(1-Settings!$B$2),2)</f>
        <v>63.0</v>
      </c>
      <c r="E901" s="2" t="inlineStr">
        <is>
          <t>Pokemon</t>
        </is>
      </c>
      <c r="F901" s="2" t="inlineStr">
        <is>
          <t>Coffret</t>
        </is>
      </c>
      <c r="G901" s="2" t="inlineStr">
        <is>
          <t>Celebrations</t>
        </is>
      </c>
      <c r="H901" s="3" t="n"/>
      <c r="I901" s="3" t="n">
        <v>62.77</v>
      </c>
      <c r="J901" s="3" t="n">
        <v>195.34</v>
      </c>
      <c r="K901" s="3" t="n">
        <v>90</v>
      </c>
      <c r="L901" s="2" t="inlineStr">
        <is>
          <t>TCGplayer</t>
        </is>
      </c>
      <c r="N901" s="4" t="inlineStr">
        <is>
          <t>https://www.tcgplayer.com/product/242815</t>
        </is>
      </c>
    </row>
    <row r="902">
      <c r="A902" s="2" t="inlineStr">
        <is>
          <t>Celebrations Mini Tin [Johto]</t>
        </is>
      </c>
      <c r="B902" s="3">
        <f>IF(H902&lt;&gt;"",H902,IF(I902&lt;&gt;"",I902,IF(J902&lt;&gt;"",J902,K902)))</f>
        <v>63.32</v>
      </c>
      <c r="C902" s="3">
        <f>MEDIAN(H902:K902)</f>
        <v>64.69</v>
      </c>
      <c r="D902" s="3">
        <f>ROUND(C902*(1-Settings!$B$2),2)</f>
        <v>45.28</v>
      </c>
      <c r="E902" s="2" t="inlineStr">
        <is>
          <t>Pokemon</t>
        </is>
      </c>
      <c r="F902" s="2" t="inlineStr">
        <is>
          <t>Coffret</t>
        </is>
      </c>
      <c r="G902" s="2" t="inlineStr">
        <is>
          <t>Celebrations</t>
        </is>
      </c>
      <c r="H902" s="3" t="n"/>
      <c r="I902" s="3" t="n">
        <v>63.32</v>
      </c>
      <c r="J902" s="3" t="n">
        <v>199.99</v>
      </c>
      <c r="K902" s="3" t="n">
        <v>64.69</v>
      </c>
      <c r="L902" s="2" t="inlineStr">
        <is>
          <t>TCGplayer</t>
        </is>
      </c>
      <c r="N902" s="4" t="inlineStr">
        <is>
          <t>https://www.tcgplayer.com/product/242814</t>
        </is>
      </c>
    </row>
    <row r="903">
      <c r="A903" s="2" t="inlineStr">
        <is>
          <t>Celebrations Mini Tin [Kalos]</t>
        </is>
      </c>
      <c r="B903" s="3">
        <f>IF(H903&lt;&gt;"",H903,IF(I903&lt;&gt;"",I903,IF(J903&lt;&gt;"",J903,K903)))</f>
        <v>59.88</v>
      </c>
      <c r="C903" s="3">
        <f>MEDIAN(H903:K903)</f>
        <v>86.5</v>
      </c>
      <c r="D903" s="3">
        <f>ROUND(C903*(1-Settings!$B$2),2)</f>
        <v>60.55</v>
      </c>
      <c r="E903" s="2" t="inlineStr">
        <is>
          <t>Pokemon</t>
        </is>
      </c>
      <c r="F903" s="2" t="inlineStr">
        <is>
          <t>Coffret</t>
        </is>
      </c>
      <c r="G903" s="2" t="inlineStr">
        <is>
          <t>Celebrations</t>
        </is>
      </c>
      <c r="H903" s="3" t="n"/>
      <c r="I903" s="3" t="n">
        <v>59.88</v>
      </c>
      <c r="J903" s="3" t="n">
        <v>90</v>
      </c>
      <c r="K903" s="3" t="n">
        <v>86.5</v>
      </c>
      <c r="L903" s="2" t="inlineStr">
        <is>
          <t>TCGplayer</t>
        </is>
      </c>
      <c r="N903" s="4" t="inlineStr">
        <is>
          <t>https://www.tcgplayer.com/product/242818</t>
        </is>
      </c>
    </row>
    <row r="904">
      <c r="A904" s="2" t="inlineStr">
        <is>
          <t>Celebrations Mini Tin [Kanto]</t>
        </is>
      </c>
      <c r="B904" s="3">
        <f>IF(H904&lt;&gt;"",H904,IF(I904&lt;&gt;"",I904,IF(J904&lt;&gt;"",J904,K904)))</f>
        <v>74.99</v>
      </c>
      <c r="C904" s="3">
        <f>MEDIAN(H904:K904)</f>
        <v>76.485</v>
      </c>
      <c r="D904" s="3">
        <f>ROUND(C904*(1-Settings!$B$2),2)</f>
        <v>53.54</v>
      </c>
      <c r="E904" s="2" t="inlineStr">
        <is>
          <t>Pokemon</t>
        </is>
      </c>
      <c r="F904" s="2" t="inlineStr">
        <is>
          <t>Coffret</t>
        </is>
      </c>
      <c r="G904" s="2" t="inlineStr">
        <is>
          <t>Celebrations</t>
        </is>
      </c>
      <c r="H904" s="3" t="n">
        <v>74.98999999999999</v>
      </c>
      <c r="I904" s="3" t="n">
        <v>67.98999999999999</v>
      </c>
      <c r="J904" s="3" t="n">
        <v>89.98999999999999</v>
      </c>
      <c r="K904" s="3" t="n">
        <v>77.98</v>
      </c>
      <c r="L904" s="2" t="inlineStr">
        <is>
          <t>PriceCharting + TCGplayer</t>
        </is>
      </c>
      <c r="M904" s="4" t="inlineStr">
        <is>
          <t>https://www.pricecharting.com/game/pokemon-celebrations/mini-tin-kanto</t>
        </is>
      </c>
      <c r="N904" s="4" t="inlineStr">
        <is>
          <t>https://www.tcgplayer.com/product/242813</t>
        </is>
      </c>
    </row>
    <row r="905">
      <c r="A905" s="2" t="inlineStr">
        <is>
          <t>Celebrations Mini Tin [Sinnoh]</t>
        </is>
      </c>
      <c r="B905" s="3">
        <f>IF(H905&lt;&gt;"",H905,IF(I905&lt;&gt;"",I905,IF(J905&lt;&gt;"",J905,K905)))</f>
        <v>60.67</v>
      </c>
      <c r="C905" s="3">
        <f>MEDIAN(H905:K905)</f>
        <v>85.9</v>
      </c>
      <c r="D905" s="3">
        <f>ROUND(C905*(1-Settings!$B$2),2)</f>
        <v>60.13</v>
      </c>
      <c r="E905" s="2" t="inlineStr">
        <is>
          <t>Pokemon</t>
        </is>
      </c>
      <c r="F905" s="2" t="inlineStr">
        <is>
          <t>Coffret</t>
        </is>
      </c>
      <c r="G905" s="2" t="inlineStr">
        <is>
          <t>Celebrations</t>
        </is>
      </c>
      <c r="H905" s="3" t="n"/>
      <c r="I905" s="3" t="n">
        <v>60.67</v>
      </c>
      <c r="J905" s="3" t="n">
        <v>99</v>
      </c>
      <c r="K905" s="3" t="n">
        <v>85.90000000000001</v>
      </c>
      <c r="L905" s="2" t="inlineStr">
        <is>
          <t>TCGplayer</t>
        </is>
      </c>
      <c r="N905" s="4" t="inlineStr">
        <is>
          <t>https://www.tcgplayer.com/product/242816</t>
        </is>
      </c>
    </row>
    <row r="906">
      <c r="A906" s="2" t="inlineStr">
        <is>
          <t>Celebrations Mini Tin [Unova]</t>
        </is>
      </c>
      <c r="B906" s="3">
        <f>IF(H906&lt;&gt;"",H906,IF(I906&lt;&gt;"",I906,IF(J906&lt;&gt;"",J906,K906)))</f>
        <v>52.92</v>
      </c>
      <c r="C906" s="3">
        <f>MEDIAN(H906:K906)</f>
        <v>67.99</v>
      </c>
      <c r="D906" s="3">
        <f>ROUND(C906*(1-Settings!$B$2),2)</f>
        <v>47.59</v>
      </c>
      <c r="E906" s="2" t="inlineStr">
        <is>
          <t>Pokemon</t>
        </is>
      </c>
      <c r="F906" s="2" t="inlineStr">
        <is>
          <t>Coffret</t>
        </is>
      </c>
      <c r="G906" s="2" t="inlineStr">
        <is>
          <t>Celebrations</t>
        </is>
      </c>
      <c r="H906" s="3" t="n"/>
      <c r="I906" s="3" t="n">
        <v>52.92</v>
      </c>
      <c r="J906" s="3" t="n">
        <v>85.59</v>
      </c>
      <c r="K906" s="3" t="n">
        <v>67.98999999999999</v>
      </c>
      <c r="L906" s="2" t="inlineStr">
        <is>
          <t>TCGplayer</t>
        </is>
      </c>
      <c r="N906" s="4" t="inlineStr">
        <is>
          <t>https://www.tcgplayer.com/product/242817</t>
        </is>
      </c>
    </row>
    <row r="907">
      <c r="A907" s="2" t="inlineStr">
        <is>
          <t>Celebrations Pokemon Center Elite Trainer Box (Exclusive)</t>
        </is>
      </c>
      <c r="B907" s="3">
        <f>IF(H907&lt;&gt;"",H907,IF(I907&lt;&gt;"",I907,IF(J907&lt;&gt;"",J907,K907)))</f>
        <v>521.86</v>
      </c>
      <c r="C907" s="3">
        <f>MEDIAN(H907:K907)</f>
        <v>521.86</v>
      </c>
      <c r="D907" s="3">
        <f>ROUND(C907*(1-Settings!$B$2),2)</f>
        <v>365.3</v>
      </c>
      <c r="E907" s="2" t="inlineStr">
        <is>
          <t>Pokemon</t>
        </is>
      </c>
      <c r="F907" s="2" t="inlineStr">
        <is>
          <t>Coffret</t>
        </is>
      </c>
      <c r="G907" s="2" t="inlineStr">
        <is>
          <t>Celebrations</t>
        </is>
      </c>
      <c r="H907" s="3" t="n"/>
      <c r="I907" s="3" t="n">
        <v>521.86</v>
      </c>
      <c r="J907" s="3" t="n">
        <v>649.5</v>
      </c>
      <c r="K907" s="3" t="n">
        <v>450</v>
      </c>
      <c r="L907" s="2" t="inlineStr">
        <is>
          <t>TCGplayer</t>
        </is>
      </c>
      <c r="N907" s="4" t="inlineStr">
        <is>
          <t>https://www.tcgplayer.com/product/251199</t>
        </is>
      </c>
    </row>
    <row r="908">
      <c r="A908" s="2" t="inlineStr">
        <is>
          <t>Celebrations Premium Figure Collection [Pikachu VMAX]</t>
        </is>
      </c>
      <c r="B908" s="3">
        <f>IF(H908&lt;&gt;"",H908,IF(I908&lt;&gt;"",I908,IF(J908&lt;&gt;"",J908,K908)))</f>
        <v>301.4</v>
      </c>
      <c r="C908" s="3">
        <f>MEDIAN(H908:K908)</f>
        <v>301.4</v>
      </c>
      <c r="D908" s="3">
        <f>ROUND(C908*(1-Settings!$B$2),2)</f>
        <v>210.98</v>
      </c>
      <c r="E908" s="2" t="inlineStr">
        <is>
          <t>Pokemon</t>
        </is>
      </c>
      <c r="F908" s="2" t="inlineStr">
        <is>
          <t>Coffret</t>
        </is>
      </c>
      <c r="G908" s="2" t="inlineStr">
        <is>
          <t>Celebrations</t>
        </is>
      </c>
      <c r="H908" s="3" t="n"/>
      <c r="I908" s="3" t="n">
        <v>301.4</v>
      </c>
      <c r="J908" s="3" t="n">
        <v>320</v>
      </c>
      <c r="K908" s="3" t="n">
        <v>274.95</v>
      </c>
      <c r="L908" s="2" t="inlineStr">
        <is>
          <t>TCGplayer</t>
        </is>
      </c>
      <c r="N908" s="4" t="inlineStr">
        <is>
          <t>https://www.tcgplayer.com/product/245139</t>
        </is>
      </c>
    </row>
    <row r="909">
      <c r="A909" s="2" t="inlineStr">
        <is>
          <t>Celebrations Premium Figure Collection Pikachu VMAX Box</t>
        </is>
      </c>
      <c r="B909" s="3">
        <f>IF(H909&lt;&gt;"",H909,IF(I909&lt;&gt;"",I909,IF(J909&lt;&gt;"",J909,K909)))</f>
        <v>216.43</v>
      </c>
      <c r="C909" s="3">
        <f>MEDIAN(H909:K909)</f>
        <v>216.43</v>
      </c>
      <c r="D909" s="3">
        <f>ROUND(C909*(1-Settings!$B$2),2)</f>
        <v>151.5</v>
      </c>
      <c r="E909" s="2" t="inlineStr">
        <is>
          <t>Pokemon</t>
        </is>
      </c>
      <c r="F909" s="2" t="inlineStr">
        <is>
          <t>Coffret</t>
        </is>
      </c>
      <c r="G909" s="2" t="inlineStr">
        <is>
          <t>Celebrations</t>
        </is>
      </c>
      <c r="H909" s="3" t="n">
        <v>216.43</v>
      </c>
      <c r="I909" s="3" t="n"/>
      <c r="J909" s="3" t="n"/>
      <c r="K909" s="3" t="n"/>
      <c r="L909" s="2" t="inlineStr">
        <is>
          <t>PriceCharting</t>
        </is>
      </c>
      <c r="M909" s="4" t="inlineStr">
        <is>
          <t>https://www.pricecharting.com/game/pokemon-celebrations/premium-figure-collection-pikachu-vmax-box</t>
        </is>
      </c>
    </row>
    <row r="910">
      <c r="A910" s="2" t="inlineStr">
        <is>
          <t>Celebrations Premium Playmat Collection [Pikachu V-UNION]</t>
        </is>
      </c>
      <c r="B910" s="3">
        <f>IF(H910&lt;&gt;"",H910,IF(I910&lt;&gt;"",I910,IF(J910&lt;&gt;"",J910,K910)))</f>
        <v>239.45</v>
      </c>
      <c r="C910" s="3">
        <f>MEDIAN(H910:K910)</f>
        <v>239.95</v>
      </c>
      <c r="D910" s="3">
        <f>ROUND(C910*(1-Settings!$B$2),2)</f>
        <v>167.97</v>
      </c>
      <c r="E910" s="2" t="inlineStr">
        <is>
          <t>Pokemon</t>
        </is>
      </c>
      <c r="F910" s="2" t="inlineStr">
        <is>
          <t>Coffret</t>
        </is>
      </c>
      <c r="G910" s="2" t="inlineStr">
        <is>
          <t>Celebrations</t>
        </is>
      </c>
      <c r="H910" s="3" t="n"/>
      <c r="I910" s="3" t="n">
        <v>239.45</v>
      </c>
      <c r="J910" s="3" t="n">
        <v>256</v>
      </c>
      <c r="K910" s="3" t="n">
        <v>239.95</v>
      </c>
      <c r="L910" s="2" t="inlineStr">
        <is>
          <t>TCGplayer</t>
        </is>
      </c>
      <c r="N910" s="4" t="inlineStr">
        <is>
          <t>https://www.tcgplayer.com/product/251217</t>
        </is>
      </c>
    </row>
    <row r="911">
      <c r="A911" s="2" t="inlineStr">
        <is>
          <t>Celebrations Premium Playmat Collection Box [Pikachu V-UNION]</t>
        </is>
      </c>
      <c r="B911" s="3">
        <f>IF(H911&lt;&gt;"",H911,IF(I911&lt;&gt;"",I911,IF(J911&lt;&gt;"",J911,K911)))</f>
        <v>239.95</v>
      </c>
      <c r="C911" s="3">
        <f>MEDIAN(H911:K911)</f>
        <v>239.95</v>
      </c>
      <c r="D911" s="3">
        <f>ROUND(C911*(1-Settings!$B$2),2)</f>
        <v>167.97</v>
      </c>
      <c r="E911" s="2" t="inlineStr">
        <is>
          <t>Pokemon</t>
        </is>
      </c>
      <c r="F911" s="2" t="inlineStr">
        <is>
          <t>Coffret</t>
        </is>
      </c>
      <c r="G911" s="2" t="inlineStr">
        <is>
          <t>Celebrations</t>
        </is>
      </c>
      <c r="H911" s="3" t="n">
        <v>239.95</v>
      </c>
      <c r="I911" s="3" t="n"/>
      <c r="J911" s="3" t="n"/>
      <c r="K911" s="3" t="n"/>
      <c r="L911" s="2" t="inlineStr">
        <is>
          <t>PriceCharting</t>
        </is>
      </c>
      <c r="M911" s="4" t="inlineStr">
        <is>
          <t>https://www.pricecharting.com/game/pokemon-celebrations/celebrations-premium-playmat-collection-box-pikachu-v-union</t>
        </is>
      </c>
    </row>
    <row r="912">
      <c r="A912" s="2" t="inlineStr">
        <is>
          <t>Celebrations Prime Collection</t>
        </is>
      </c>
      <c r="B912" s="3">
        <f>IF(H912&lt;&gt;"",H912,IF(I912&lt;&gt;"",I912,IF(J912&lt;&gt;"",J912,K912)))</f>
        <v>317.06</v>
      </c>
      <c r="C912" s="3">
        <f>MEDIAN(H912:K912)</f>
        <v>368.35</v>
      </c>
      <c r="D912" s="3">
        <f>ROUND(C912*(1-Settings!$B$2),2)</f>
        <v>257.85</v>
      </c>
      <c r="E912" s="2" t="inlineStr">
        <is>
          <t>Pokemon</t>
        </is>
      </c>
      <c r="F912" s="2" t="inlineStr">
        <is>
          <t>Coffret</t>
        </is>
      </c>
      <c r="G912" s="2" t="inlineStr">
        <is>
          <t>Celebrations</t>
        </is>
      </c>
      <c r="H912" s="3" t="n">
        <v>317.06</v>
      </c>
      <c r="I912" s="3" t="n">
        <v>351.95</v>
      </c>
      <c r="J912" s="3" t="n">
        <v>398.99</v>
      </c>
      <c r="K912" s="3" t="n">
        <v>384.75</v>
      </c>
      <c r="L912" s="2" t="inlineStr">
        <is>
          <t>PriceCharting + TCGplayer</t>
        </is>
      </c>
      <c r="M912" s="4" t="inlineStr">
        <is>
          <t>https://www.pricecharting.com/game/pokemon-celebrations/prime-collection</t>
        </is>
      </c>
      <c r="N912" s="4" t="inlineStr">
        <is>
          <t>https://www.tcgplayer.com/product/252416</t>
        </is>
      </c>
    </row>
    <row r="913">
      <c r="A913" s="2" t="inlineStr">
        <is>
          <t>Celebrations Special Collection - V Memories</t>
        </is>
      </c>
      <c r="B913" s="3">
        <f>IF(H913&lt;&gt;"",H913,IF(I913&lt;&gt;"",I913,IF(J913&lt;&gt;"",J913,K913)))</f>
        <v>199.79</v>
      </c>
      <c r="C913" s="3">
        <f>MEDIAN(H913:K913)</f>
        <v>199.79</v>
      </c>
      <c r="D913" s="3">
        <f>ROUND(C913*(1-Settings!$B$2),2)</f>
        <v>139.85</v>
      </c>
      <c r="E913" s="2" t="inlineStr">
        <is>
          <t>Pokemon</t>
        </is>
      </c>
      <c r="F913" s="2" t="inlineStr">
        <is>
          <t>Coffret</t>
        </is>
      </c>
      <c r="G913" s="2" t="inlineStr">
        <is>
          <t>Celebrations</t>
        </is>
      </c>
      <c r="H913" s="3" t="n"/>
      <c r="I913" s="3" t="n">
        <v>199.79</v>
      </c>
      <c r="J913" s="3" t="n">
        <v>245</v>
      </c>
      <c r="K913" s="3" t="n">
        <v>182.98</v>
      </c>
      <c r="L913" s="2" t="inlineStr">
        <is>
          <t>TCGplayer</t>
        </is>
      </c>
      <c r="N913" s="4" t="inlineStr">
        <is>
          <t>https://www.tcgplayer.com/product/247470</t>
        </is>
      </c>
    </row>
    <row r="914">
      <c r="A914" s="2" t="inlineStr">
        <is>
          <t>Celebrations Special Collection: Pikachu V-UNION Box</t>
        </is>
      </c>
      <c r="B914" s="3">
        <f>IF(H914&lt;&gt;"",H914,IF(I914&lt;&gt;"",I914,IF(J914&lt;&gt;"",J914,K914)))</f>
        <v>184.88</v>
      </c>
      <c r="C914" s="3">
        <f>MEDIAN(H914:K914)</f>
        <v>184.88</v>
      </c>
      <c r="D914" s="3">
        <f>ROUND(C914*(1-Settings!$B$2),2)</f>
        <v>129.42</v>
      </c>
      <c r="E914" s="2" t="inlineStr">
        <is>
          <t>Pokemon</t>
        </is>
      </c>
      <c r="F914" s="2" t="inlineStr">
        <is>
          <t>Coffret</t>
        </is>
      </c>
      <c r="G914" s="2" t="inlineStr">
        <is>
          <t>Celebrations</t>
        </is>
      </c>
      <c r="H914" s="3" t="n">
        <v>184.88</v>
      </c>
      <c r="I914" s="3" t="n"/>
      <c r="J914" s="3" t="n"/>
      <c r="K914" s="3" t="n"/>
      <c r="L914" s="2" t="inlineStr">
        <is>
          <t>PriceCharting</t>
        </is>
      </c>
      <c r="M914" s="4" t="inlineStr">
        <is>
          <t>https://www.pricecharting.com/game/pokemon-celebrations/special-collection-pikachu-v-union-box</t>
        </is>
      </c>
    </row>
    <row r="915">
      <c r="A915" s="2" t="inlineStr">
        <is>
          <t>Celebrations Ultra Premium Collection Box</t>
        </is>
      </c>
      <c r="B915" s="3">
        <f>IF(H915&lt;&gt;"",H915,IF(I915&lt;&gt;"",I915,IF(J915&lt;&gt;"",J915,K915)))</f>
        <v>1126.0</v>
      </c>
      <c r="C915" s="3">
        <f>MEDIAN(H915:K915)</f>
        <v>1126.0</v>
      </c>
      <c r="D915" s="3">
        <f>ROUND(C915*(1-Settings!$B$2),2)</f>
        <v>788.2</v>
      </c>
      <c r="E915" s="2" t="inlineStr">
        <is>
          <t>Pokemon</t>
        </is>
      </c>
      <c r="F915" s="2" t="inlineStr">
        <is>
          <t>Coffret</t>
        </is>
      </c>
      <c r="G915" s="2" t="inlineStr">
        <is>
          <t>Celebrations</t>
        </is>
      </c>
      <c r="H915" s="3" t="n">
        <v>1126</v>
      </c>
      <c r="I915" s="3" t="n"/>
      <c r="J915" s="3" t="n"/>
      <c r="K915" s="3" t="n"/>
      <c r="L915" s="2" t="inlineStr">
        <is>
          <t>PriceCharting</t>
        </is>
      </c>
      <c r="M915" s="4" t="inlineStr">
        <is>
          <t>https://www.pricecharting.com/game/pokemon-celebrations/ultra-premium-collection-box</t>
        </is>
      </c>
    </row>
    <row r="916">
      <c r="A916" s="2" t="inlineStr">
        <is>
          <t>Celebrations Ultra-Premium Collection</t>
        </is>
      </c>
      <c r="B916" s="3">
        <f>IF(H916&lt;&gt;"",H916,IF(I916&lt;&gt;"",I916,IF(J916&lt;&gt;"",J916,K916)))</f>
        <v>1226.14</v>
      </c>
      <c r="C916" s="3">
        <f>MEDIAN(H916:K916)</f>
        <v>1226.14</v>
      </c>
      <c r="D916" s="3">
        <f>ROUND(C916*(1-Settings!$B$2),2)</f>
        <v>858.3</v>
      </c>
      <c r="E916" s="2" t="inlineStr">
        <is>
          <t>Pokemon</t>
        </is>
      </c>
      <c r="F916" s="2" t="inlineStr">
        <is>
          <t>Coffret</t>
        </is>
      </c>
      <c r="G916" s="2" t="inlineStr">
        <is>
          <t>Celebrations</t>
        </is>
      </c>
      <c r="H916" s="3" t="n"/>
      <c r="I916" s="3" t="n">
        <v>1226.14</v>
      </c>
      <c r="J916" s="3" t="n">
        <v>1407</v>
      </c>
      <c r="K916" s="3" t="n">
        <v>25</v>
      </c>
      <c r="L916" s="2" t="inlineStr">
        <is>
          <t>TCGplayer</t>
        </is>
      </c>
      <c r="N916" s="4" t="inlineStr">
        <is>
          <t>https://www.tcgplayer.com/product/245140</t>
        </is>
      </c>
    </row>
    <row r="917">
      <c r="A917" s="2" t="inlineStr">
        <is>
          <t>Celebrations V Memories Collection Box</t>
        </is>
      </c>
      <c r="B917" s="3">
        <f>IF(H917&lt;&gt;"",H917,IF(I917&lt;&gt;"",I917,IF(J917&lt;&gt;"",J917,K917)))</f>
        <v>174.49</v>
      </c>
      <c r="C917" s="3">
        <f>MEDIAN(H917:K917)</f>
        <v>174.49</v>
      </c>
      <c r="D917" s="3">
        <f>ROUND(C917*(1-Settings!$B$2),2)</f>
        <v>122.14</v>
      </c>
      <c r="E917" s="2" t="inlineStr">
        <is>
          <t>Pokemon</t>
        </is>
      </c>
      <c r="F917" s="2" t="inlineStr">
        <is>
          <t>Coffret</t>
        </is>
      </c>
      <c r="G917" s="2" t="inlineStr">
        <is>
          <t>Celebrations</t>
        </is>
      </c>
      <c r="H917" s="3" t="n">
        <v>174.49</v>
      </c>
      <c r="I917" s="3" t="n"/>
      <c r="J917" s="3" t="n"/>
      <c r="K917" s="3" t="n"/>
      <c r="L917" s="2" t="inlineStr">
        <is>
          <t>PriceCharting</t>
        </is>
      </c>
      <c r="M917" s="4" t="inlineStr">
        <is>
          <t>https://www.pricecharting.com/game/pokemon-celebrations/v-memories-collection-box</t>
        </is>
      </c>
    </row>
    <row r="918">
      <c r="A918" s="2" t="inlineStr">
        <is>
          <t>Celebrations Victini Mythical Collection Box</t>
        </is>
      </c>
      <c r="B918" s="3">
        <f>IF(H918&lt;&gt;"",H918,IF(I918&lt;&gt;"",I918,IF(J918&lt;&gt;"",J918,K918)))</f>
        <v>509.67</v>
      </c>
      <c r="C918" s="3">
        <f>MEDIAN(H918:K918)</f>
        <v>509.67</v>
      </c>
      <c r="D918" s="3">
        <f>ROUND(C918*(1-Settings!$B$2),2)</f>
        <v>356.77</v>
      </c>
      <c r="E918" s="2" t="inlineStr">
        <is>
          <t>Pokemon</t>
        </is>
      </c>
      <c r="F918" s="2" t="inlineStr">
        <is>
          <t>Coffret</t>
        </is>
      </c>
      <c r="G918" s="2" t="inlineStr">
        <is>
          <t>Celebrations</t>
        </is>
      </c>
      <c r="H918" s="3" t="n">
        <v>509.67</v>
      </c>
      <c r="I918" s="3" t="n"/>
      <c r="J918" s="3" t="n"/>
      <c r="K918" s="3" t="n"/>
      <c r="L918" s="2" t="inlineStr">
        <is>
          <t>PriceCharting</t>
        </is>
      </c>
      <c r="M918" s="4" t="inlineStr">
        <is>
          <t>https://www.pricecharting.com/game/pokemon-celebrations/victini-mythical-collection-box</t>
        </is>
      </c>
    </row>
    <row r="919">
      <c r="A919" s="2" t="inlineStr">
        <is>
          <t>Pokemon Celebrations International Tin [Dark Sylveon V]</t>
        </is>
      </c>
      <c r="B919" s="3">
        <f>IF(H919&lt;&gt;"",H919,IF(I919&lt;&gt;"",I919,IF(J919&lt;&gt;"",J919,K919)))</f>
        <v>127.85</v>
      </c>
      <c r="C919" s="3">
        <f>MEDIAN(H919:K919)</f>
        <v>127.85</v>
      </c>
      <c r="D919" s="3">
        <f>ROUND(C919*(1-Settings!$B$2),2)</f>
        <v>89.5</v>
      </c>
      <c r="E919" s="2" t="inlineStr">
        <is>
          <t>Pokemon</t>
        </is>
      </c>
      <c r="F919" s="2" t="inlineStr">
        <is>
          <t>Coffret</t>
        </is>
      </c>
      <c r="G919" s="2" t="inlineStr">
        <is>
          <t>Celebrations</t>
        </is>
      </c>
      <c r="H919" s="3" t="n"/>
      <c r="I919" s="3" t="n">
        <v>127.85</v>
      </c>
      <c r="J919" s="3" t="n">
        <v>137</v>
      </c>
      <c r="K919" s="3" t="n">
        <v>125.37</v>
      </c>
      <c r="L919" s="2" t="inlineStr">
        <is>
          <t>TCGplayer</t>
        </is>
      </c>
      <c r="N919" s="4" t="inlineStr">
        <is>
          <t>https://www.tcgplayer.com/product/251988</t>
        </is>
      </c>
    </row>
    <row r="920">
      <c r="A920" s="2" t="inlineStr">
        <is>
          <t>Pokemon Celebrations International Tin [Lance's Charizard V]</t>
        </is>
      </c>
      <c r="B920" s="3">
        <f>IF(H920&lt;&gt;"",H920,IF(I920&lt;&gt;"",I920,IF(J920&lt;&gt;"",J920,K920)))</f>
        <v>108.94</v>
      </c>
      <c r="C920" s="3">
        <f>MEDIAN(H920:K920)</f>
        <v>129.99</v>
      </c>
      <c r="D920" s="3">
        <f>ROUND(C920*(1-Settings!$B$2),2)</f>
        <v>90.99</v>
      </c>
      <c r="E920" s="2" t="inlineStr">
        <is>
          <t>Pokemon</t>
        </is>
      </c>
      <c r="F920" s="2" t="inlineStr">
        <is>
          <t>Coffret</t>
        </is>
      </c>
      <c r="G920" s="2" t="inlineStr">
        <is>
          <t>Celebrations</t>
        </is>
      </c>
      <c r="H920" s="3" t="n"/>
      <c r="I920" s="3" t="n">
        <v>108.94</v>
      </c>
      <c r="J920" s="3" t="n">
        <v>150</v>
      </c>
      <c r="K920" s="3" t="n">
        <v>129.99</v>
      </c>
      <c r="L920" s="2" t="inlineStr">
        <is>
          <t>TCGplayer</t>
        </is>
      </c>
      <c r="N920" s="4" t="inlineStr">
        <is>
          <t>https://www.tcgplayer.com/product/251987</t>
        </is>
      </c>
    </row>
    <row r="921">
      <c r="A921" s="2" t="inlineStr">
        <is>
          <t>Pokemon Celebrations Tin [Dark Sylveon V]</t>
        </is>
      </c>
      <c r="B921" s="3">
        <f>IF(H921&lt;&gt;"",H921,IF(I921&lt;&gt;"",I921,IF(J921&lt;&gt;"",J921,K921)))</f>
        <v>173.99</v>
      </c>
      <c r="C921" s="3">
        <f>MEDIAN(H921:K921)</f>
        <v>324.99</v>
      </c>
      <c r="D921" s="3">
        <f>ROUND(C921*(1-Settings!$B$2),2)</f>
        <v>227.49</v>
      </c>
      <c r="E921" s="2" t="inlineStr">
        <is>
          <t>Pokemon</t>
        </is>
      </c>
      <c r="F921" s="2" t="inlineStr">
        <is>
          <t>Coffret</t>
        </is>
      </c>
      <c r="G921" s="2" t="inlineStr">
        <is>
          <t>Celebrations</t>
        </is>
      </c>
      <c r="H921" s="3" t="n"/>
      <c r="I921" s="3" t="n">
        <v>173.99</v>
      </c>
      <c r="J921" s="3" t="n">
        <v>385</v>
      </c>
      <c r="K921" s="3" t="n">
        <v>324.99</v>
      </c>
      <c r="L921" s="2" t="inlineStr">
        <is>
          <t>TCGplayer</t>
        </is>
      </c>
      <c r="N921" s="4" t="inlineStr">
        <is>
          <t>https://www.tcgplayer.com/product/251989</t>
        </is>
      </c>
    </row>
    <row r="922">
      <c r="A922" s="2" t="inlineStr">
        <is>
          <t>Pokemon Celebrations Tin [Lance's Charizard V]</t>
        </is>
      </c>
      <c r="B922" s="3">
        <f>IF(H922&lt;&gt;"",H922,IF(I922&lt;&gt;"",I922,IF(J922&lt;&gt;"",J922,K922)))</f>
        <v>187.73</v>
      </c>
      <c r="C922" s="3">
        <f>MEDIAN(H922:K922)</f>
        <v>385.0</v>
      </c>
      <c r="D922" s="3">
        <f>ROUND(C922*(1-Settings!$B$2),2)</f>
        <v>269.5</v>
      </c>
      <c r="E922" s="2" t="inlineStr">
        <is>
          <t>Pokemon</t>
        </is>
      </c>
      <c r="F922" s="2" t="inlineStr">
        <is>
          <t>Coffret</t>
        </is>
      </c>
      <c r="G922" s="2" t="inlineStr">
        <is>
          <t>Celebrations</t>
        </is>
      </c>
      <c r="H922" s="3" t="n"/>
      <c r="I922" s="3" t="n">
        <v>187.73</v>
      </c>
      <c r="J922" s="3" t="n">
        <v>392.5</v>
      </c>
      <c r="K922" s="3" t="n">
        <v>385</v>
      </c>
      <c r="L922" s="2" t="inlineStr">
        <is>
          <t>TCGplayer</t>
        </is>
      </c>
      <c r="N922" s="4" t="inlineStr">
        <is>
          <t>https://www.tcgplayer.com/product/251986</t>
        </is>
      </c>
    </row>
    <row r="923">
      <c r="A923" s="2" t="inlineStr">
        <is>
          <t>Celestial Storm Elite Trainer Box</t>
        </is>
      </c>
      <c r="B923" s="3">
        <f>IF(H923&lt;&gt;"",H923,IF(I923&lt;&gt;"",I923,IF(J923&lt;&gt;"",J923,K923)))</f>
        <v>2072.11</v>
      </c>
      <c r="C923" s="3">
        <f>MEDIAN(H923:K923)</f>
        <v>2072.11</v>
      </c>
      <c r="D923" s="3">
        <f>ROUND(C923*(1-Settings!$B$2),2)</f>
        <v>1450.48</v>
      </c>
      <c r="E923" s="2" t="inlineStr">
        <is>
          <t>Pokemon</t>
        </is>
      </c>
      <c r="F923" s="2" t="inlineStr">
        <is>
          <t>Coffret</t>
        </is>
      </c>
      <c r="G923" s="2" t="inlineStr">
        <is>
          <t>Celestial Storm</t>
        </is>
      </c>
      <c r="H923" s="3" t="n">
        <v>2072.11</v>
      </c>
      <c r="I923" s="3" t="n"/>
      <c r="J923" s="3" t="n"/>
      <c r="K923" s="3" t="n"/>
      <c r="L923" s="2" t="inlineStr">
        <is>
          <t>PriceCharting</t>
        </is>
      </c>
      <c r="M923" s="4" t="inlineStr">
        <is>
          <t>https://www.pricecharting.com/game/pokemon-celestial-storm/elite-trainer-box</t>
        </is>
      </c>
    </row>
    <row r="924">
      <c r="A924" s="2" t="inlineStr">
        <is>
          <t>Celestial Storm Evolution Celebration Tin [Leafeon GX]</t>
        </is>
      </c>
      <c r="B924" s="3">
        <f>IF(H924&lt;&gt;"",H924,IF(I924&lt;&gt;"",I924,IF(J924&lt;&gt;"",J924,K924)))</f>
        <v>144.28</v>
      </c>
      <c r="C924" s="3">
        <f>MEDIAN(H924:K924)</f>
        <v>144.28</v>
      </c>
      <c r="D924" s="3">
        <f>ROUND(C924*(1-Settings!$B$2),2)</f>
        <v>101.0</v>
      </c>
      <c r="E924" s="2" t="inlineStr">
        <is>
          <t>Pokemon</t>
        </is>
      </c>
      <c r="F924" s="2" t="inlineStr">
        <is>
          <t>Coffret</t>
        </is>
      </c>
      <c r="G924" s="2" t="inlineStr">
        <is>
          <t>Celestial Storm</t>
        </is>
      </c>
      <c r="H924" s="3" t="n">
        <v>144.28</v>
      </c>
      <c r="I924" s="3" t="n"/>
      <c r="J924" s="3" t="n"/>
      <c r="K924" s="3" t="n"/>
      <c r="L924" s="2" t="inlineStr">
        <is>
          <t>PriceCharting</t>
        </is>
      </c>
      <c r="M924" s="4" t="inlineStr">
        <is>
          <t>https://www.pricecharting.com/game/pokemon-celestial-storm/evolution-celebration-tin-leafeon-gx</t>
        </is>
      </c>
    </row>
    <row r="925">
      <c r="A925" s="2" t="inlineStr">
        <is>
          <t>Champion's Path Booster Pack Art Bundle [Set of 4]</t>
        </is>
      </c>
      <c r="B925" s="3">
        <f>IF(H925&lt;&gt;"",H925,IF(I925&lt;&gt;"",I925,IF(J925&lt;&gt;"",J925,K925)))</f>
        <v>84.35</v>
      </c>
      <c r="C925" s="3">
        <f>MEDIAN(H925:K925)</f>
        <v>84.35</v>
      </c>
      <c r="D925" s="3">
        <f>ROUND(C925*(1-Settings!$B$2),2)</f>
        <v>59.05</v>
      </c>
      <c r="E925" s="2" t="inlineStr">
        <is>
          <t>Pokemon</t>
        </is>
      </c>
      <c r="F925" s="2" t="inlineStr">
        <is>
          <t>Coffret</t>
        </is>
      </c>
      <c r="G925" s="2" t="inlineStr">
        <is>
          <t>Champion's Path</t>
        </is>
      </c>
      <c r="H925" s="3" t="n"/>
      <c r="I925" s="3" t="n">
        <v>84.34999999999999</v>
      </c>
      <c r="J925" s="3" t="n">
        <v>87.95</v>
      </c>
      <c r="K925" s="3" t="n">
        <v>82</v>
      </c>
      <c r="L925" s="2" t="inlineStr">
        <is>
          <t>TCGplayer</t>
        </is>
      </c>
      <c r="N925" s="4" t="inlineStr">
        <is>
          <t>https://www.tcgplayer.com/product/265318</t>
        </is>
      </c>
    </row>
    <row r="926">
      <c r="A926" s="2" t="inlineStr">
        <is>
          <t>Champion's Path Collection [Dubwool V]</t>
        </is>
      </c>
      <c r="B926" s="3">
        <f>IF(H926&lt;&gt;"",H926,IF(I926&lt;&gt;"",I926,IF(J926&lt;&gt;"",J926,K926)))</f>
        <v>63.47</v>
      </c>
      <c r="C926" s="3">
        <f>MEDIAN(H926:K926)</f>
        <v>63.47</v>
      </c>
      <c r="D926" s="3">
        <f>ROUND(C926*(1-Settings!$B$2),2)</f>
        <v>44.43</v>
      </c>
      <c r="E926" s="2" t="inlineStr">
        <is>
          <t>Pokemon</t>
        </is>
      </c>
      <c r="F926" s="2" t="inlineStr">
        <is>
          <t>Coffret</t>
        </is>
      </c>
      <c r="G926" s="2" t="inlineStr">
        <is>
          <t>Champion's Path</t>
        </is>
      </c>
      <c r="H926" s="3" t="n"/>
      <c r="I926" s="3" t="n">
        <v>63.47</v>
      </c>
      <c r="J926" s="3" t="n">
        <v>71.83</v>
      </c>
      <c r="K926" s="3" t="n">
        <v>60</v>
      </c>
      <c r="L926" s="2" t="inlineStr">
        <is>
          <t>TCGplayer</t>
        </is>
      </c>
      <c r="N926" s="4" t="inlineStr">
        <is>
          <t>https://www.tcgplayer.com/product/218806</t>
        </is>
      </c>
    </row>
    <row r="927">
      <c r="A927" s="2" t="inlineStr">
        <is>
          <t>Champion's Path Collection [Hatterene V]</t>
        </is>
      </c>
      <c r="B927" s="3">
        <f>IF(H927&lt;&gt;"",H927,IF(I927&lt;&gt;"",I927,IF(J927&lt;&gt;"",J927,K927)))</f>
        <v>56.55</v>
      </c>
      <c r="C927" s="3">
        <f>MEDIAN(H927:K927)</f>
        <v>64.01</v>
      </c>
      <c r="D927" s="3">
        <f>ROUND(C927*(1-Settings!$B$2),2)</f>
        <v>44.81</v>
      </c>
      <c r="E927" s="2" t="inlineStr">
        <is>
          <t>Pokemon</t>
        </is>
      </c>
      <c r="F927" s="2" t="inlineStr">
        <is>
          <t>Coffret</t>
        </is>
      </c>
      <c r="G927" s="2" t="inlineStr">
        <is>
          <t>Champion's Path</t>
        </is>
      </c>
      <c r="H927" s="3" t="n"/>
      <c r="I927" s="3" t="n">
        <v>56.55</v>
      </c>
      <c r="J927" s="3" t="n">
        <v>83.25</v>
      </c>
      <c r="K927" s="3" t="n">
        <v>64.01000000000001</v>
      </c>
      <c r="L927" s="2" t="inlineStr">
        <is>
          <t>TCGplayer</t>
        </is>
      </c>
      <c r="N927" s="4" t="inlineStr">
        <is>
          <t>https://www.tcgplayer.com/product/218804</t>
        </is>
      </c>
    </row>
    <row r="928">
      <c r="A928" s="2" t="inlineStr">
        <is>
          <t>Champion's Path Elite Trainer Box</t>
        </is>
      </c>
      <c r="B928" s="3">
        <f>IF(H928&lt;&gt;"",H928,IF(I928&lt;&gt;"",I928,IF(J928&lt;&gt;"",J928,K928)))</f>
        <v>216.12</v>
      </c>
      <c r="C928" s="3">
        <f>MEDIAN(H928:K928)</f>
        <v>216.12</v>
      </c>
      <c r="D928" s="3">
        <f>ROUND(C928*(1-Settings!$B$2),2)</f>
        <v>151.28</v>
      </c>
      <c r="E928" s="2" t="inlineStr">
        <is>
          <t>Pokemon</t>
        </is>
      </c>
      <c r="F928" s="2" t="inlineStr">
        <is>
          <t>Coffret</t>
        </is>
      </c>
      <c r="G928" s="2" t="inlineStr">
        <is>
          <t>Champion's Path</t>
        </is>
      </c>
      <c r="H928" s="3" t="n"/>
      <c r="I928" s="3" t="n">
        <v>216.12</v>
      </c>
      <c r="J928" s="3" t="n">
        <v>228.91</v>
      </c>
      <c r="K928" s="3" t="n">
        <v>194.41</v>
      </c>
      <c r="L928" s="2" t="inlineStr">
        <is>
          <t>TCGplayer</t>
        </is>
      </c>
      <c r="N928" s="4" t="inlineStr">
        <is>
          <t>https://www.tcgplayer.com/product/218791</t>
        </is>
      </c>
    </row>
    <row r="929">
      <c r="A929" s="2" t="inlineStr">
        <is>
          <t>Champion's Path Pin Collection [Ballonlea Gym]</t>
        </is>
      </c>
      <c r="B929" s="3">
        <f>IF(H929&lt;&gt;"",H929,IF(I929&lt;&gt;"",I929,IF(J929&lt;&gt;"",J929,K929)))</f>
        <v>54.48</v>
      </c>
      <c r="C929" s="3">
        <f>MEDIAN(H929:K929)</f>
        <v>68.0</v>
      </c>
      <c r="D929" s="3">
        <f>ROUND(C929*(1-Settings!$B$2),2)</f>
        <v>47.6</v>
      </c>
      <c r="E929" s="2" t="inlineStr">
        <is>
          <t>Pokemon</t>
        </is>
      </c>
      <c r="F929" s="2" t="inlineStr">
        <is>
          <t>Coffret</t>
        </is>
      </c>
      <c r="G929" s="2" t="inlineStr">
        <is>
          <t>Champion's Path</t>
        </is>
      </c>
      <c r="H929" s="3" t="n"/>
      <c r="I929" s="3" t="n">
        <v>54.48</v>
      </c>
      <c r="J929" s="3" t="n">
        <v>74.98999999999999</v>
      </c>
      <c r="K929" s="3" t="n">
        <v>68</v>
      </c>
      <c r="L929" s="2" t="inlineStr">
        <is>
          <t>TCGplayer</t>
        </is>
      </c>
      <c r="N929" s="4" t="inlineStr">
        <is>
          <t>https://www.tcgplayer.com/product/218799</t>
        </is>
      </c>
    </row>
    <row r="930">
      <c r="A930" s="2" t="inlineStr">
        <is>
          <t>Champion's Path Pin Collection [Hulbury Gym]</t>
        </is>
      </c>
      <c r="B930" s="3">
        <f>IF(H930&lt;&gt;"",H930,IF(I930&lt;&gt;"",I930,IF(J930&lt;&gt;"",J930,K930)))</f>
        <v>59.71</v>
      </c>
      <c r="C930" s="3">
        <f>MEDIAN(H930:K930)</f>
        <v>64.99</v>
      </c>
      <c r="D930" s="3">
        <f>ROUND(C930*(1-Settings!$B$2),2)</f>
        <v>45.49</v>
      </c>
      <c r="E930" s="2" t="inlineStr">
        <is>
          <t>Pokemon</t>
        </is>
      </c>
      <c r="F930" s="2" t="inlineStr">
        <is>
          <t>Coffret</t>
        </is>
      </c>
      <c r="G930" s="2" t="inlineStr">
        <is>
          <t>Champion's Path</t>
        </is>
      </c>
      <c r="H930" s="3" t="n"/>
      <c r="I930" s="3" t="n">
        <v>59.71</v>
      </c>
      <c r="J930" s="3" t="n">
        <v>77</v>
      </c>
      <c r="K930" s="3" t="n">
        <v>64.98999999999999</v>
      </c>
      <c r="L930" s="2" t="inlineStr">
        <is>
          <t>TCGplayer</t>
        </is>
      </c>
      <c r="N930" s="4" t="inlineStr">
        <is>
          <t>https://www.tcgplayer.com/product/218794</t>
        </is>
      </c>
    </row>
    <row r="931">
      <c r="A931" s="2" t="inlineStr">
        <is>
          <t>Champion's Path Pin Collection [Motostoke Gym]</t>
        </is>
      </c>
      <c r="B931" s="3">
        <f>IF(H931&lt;&gt;"",H931,IF(I931&lt;&gt;"",I931,IF(J931&lt;&gt;"",J931,K931)))</f>
        <v>62.75</v>
      </c>
      <c r="C931" s="3">
        <f>MEDIAN(H931:K931)</f>
        <v>75.0</v>
      </c>
      <c r="D931" s="3">
        <f>ROUND(C931*(1-Settings!$B$2),2)</f>
        <v>52.5</v>
      </c>
      <c r="E931" s="2" t="inlineStr">
        <is>
          <t>Pokemon</t>
        </is>
      </c>
      <c r="F931" s="2" t="inlineStr">
        <is>
          <t>Coffret</t>
        </is>
      </c>
      <c r="G931" s="2" t="inlineStr">
        <is>
          <t>Champion's Path</t>
        </is>
      </c>
      <c r="H931" s="3" t="n"/>
      <c r="I931" s="3" t="n">
        <v>62.75</v>
      </c>
      <c r="J931" s="3" t="n">
        <v>88</v>
      </c>
      <c r="K931" s="3" t="n">
        <v>75</v>
      </c>
      <c r="L931" s="2" t="inlineStr">
        <is>
          <t>TCGplayer</t>
        </is>
      </c>
      <c r="N931" s="4" t="inlineStr">
        <is>
          <t>https://www.tcgplayer.com/product/218796</t>
        </is>
      </c>
    </row>
    <row r="932">
      <c r="A932" s="2" t="inlineStr">
        <is>
          <t>Champion's Path Pin Collection [Spikemuth Gym]</t>
        </is>
      </c>
      <c r="B932" s="3">
        <f>IF(H932&lt;&gt;"",H932,IF(I932&lt;&gt;"",I932,IF(J932&lt;&gt;"",J932,K932)))</f>
        <v>56.99</v>
      </c>
      <c r="C932" s="3">
        <f>MEDIAN(H932:K932)</f>
        <v>59.99</v>
      </c>
      <c r="D932" s="3">
        <f>ROUND(C932*(1-Settings!$B$2),2)</f>
        <v>41.99</v>
      </c>
      <c r="E932" s="2" t="inlineStr">
        <is>
          <t>Pokemon</t>
        </is>
      </c>
      <c r="F932" s="2" t="inlineStr">
        <is>
          <t>Coffret</t>
        </is>
      </c>
      <c r="G932" s="2" t="inlineStr">
        <is>
          <t>Champion's Path</t>
        </is>
      </c>
      <c r="H932" s="3" t="n"/>
      <c r="I932" s="3" t="n">
        <v>56.99</v>
      </c>
      <c r="J932" s="3" t="n">
        <v>59.99</v>
      </c>
      <c r="K932" s="3" t="n">
        <v>59.99</v>
      </c>
      <c r="L932" s="2" t="inlineStr">
        <is>
          <t>TCGplayer</t>
        </is>
      </c>
      <c r="N932" s="4" t="inlineStr">
        <is>
          <t>https://www.tcgplayer.com/product/218800</t>
        </is>
      </c>
    </row>
    <row r="933">
      <c r="A933" s="2" t="inlineStr">
        <is>
          <t>Champion's Path Pin Collection [Turffield Gym]</t>
        </is>
      </c>
      <c r="B933" s="3">
        <f>IF(H933&lt;&gt;"",H933,IF(I933&lt;&gt;"",I933,IF(J933&lt;&gt;"",J933,K933)))</f>
        <v>59.94</v>
      </c>
      <c r="C933" s="3">
        <f>MEDIAN(H933:K933)</f>
        <v>59.94</v>
      </c>
      <c r="D933" s="3">
        <f>ROUND(C933*(1-Settings!$B$2),2)</f>
        <v>41.96</v>
      </c>
      <c r="E933" s="2" t="inlineStr">
        <is>
          <t>Pokemon</t>
        </is>
      </c>
      <c r="F933" s="2" t="inlineStr">
        <is>
          <t>Coffret</t>
        </is>
      </c>
      <c r="G933" s="2" t="inlineStr">
        <is>
          <t>Champion's Path</t>
        </is>
      </c>
      <c r="H933" s="3" t="n"/>
      <c r="I933" s="3" t="n">
        <v>59.94</v>
      </c>
      <c r="J933" s="3" t="n">
        <v>75</v>
      </c>
      <c r="K933" s="3" t="n">
        <v>51.96</v>
      </c>
      <c r="L933" s="2" t="inlineStr">
        <is>
          <t>TCGplayer</t>
        </is>
      </c>
      <c r="N933" s="4" t="inlineStr">
        <is>
          <t>https://www.tcgplayer.com/product/218797</t>
        </is>
      </c>
    </row>
    <row r="934">
      <c r="A934" s="2" t="inlineStr">
        <is>
          <t>Champion's Path Premium Collection [Marnie]</t>
        </is>
      </c>
      <c r="B934" s="3">
        <f>IF(H934&lt;&gt;"",H934,IF(I934&lt;&gt;"",I934,IF(J934&lt;&gt;"",J934,K934)))</f>
        <v>138.52</v>
      </c>
      <c r="C934" s="3">
        <f>MEDIAN(H934:K934)</f>
        <v>138.52</v>
      </c>
      <c r="D934" s="3">
        <f>ROUND(C934*(1-Settings!$B$2),2)</f>
        <v>96.96</v>
      </c>
      <c r="E934" s="2" t="inlineStr">
        <is>
          <t>Pokemon</t>
        </is>
      </c>
      <c r="F934" s="2" t="inlineStr">
        <is>
          <t>Coffret</t>
        </is>
      </c>
      <c r="G934" s="2" t="inlineStr">
        <is>
          <t>Champion's Path</t>
        </is>
      </c>
      <c r="H934" s="3" t="n"/>
      <c r="I934" s="3" t="n">
        <v>138.52</v>
      </c>
      <c r="J934" s="3" t="n">
        <v>177.98</v>
      </c>
      <c r="K934" s="3" t="n">
        <v>138.52</v>
      </c>
      <c r="L934" s="2" t="inlineStr">
        <is>
          <t>TCGplayer</t>
        </is>
      </c>
      <c r="N934" s="4" t="inlineStr">
        <is>
          <t>https://www.tcgplayer.com/product/218807</t>
        </is>
      </c>
    </row>
    <row r="935">
      <c r="A935" s="2" t="inlineStr">
        <is>
          <t>Champion's Path Special Pin Collection [Circhester]</t>
        </is>
      </c>
      <c r="B935" s="3">
        <f>IF(H935&lt;&gt;"",H935,IF(I935&lt;&gt;"",I935,IF(J935&lt;&gt;"",J935,K935)))</f>
        <v>76.64</v>
      </c>
      <c r="C935" s="3">
        <f>MEDIAN(H935:K935)</f>
        <v>99.99</v>
      </c>
      <c r="D935" s="3">
        <f>ROUND(C935*(1-Settings!$B$2),2)</f>
        <v>69.99</v>
      </c>
      <c r="E935" s="2" t="inlineStr">
        <is>
          <t>Pokemon</t>
        </is>
      </c>
      <c r="F935" s="2" t="inlineStr">
        <is>
          <t>Coffret</t>
        </is>
      </c>
      <c r="G935" s="2" t="inlineStr">
        <is>
          <t>Champion's Path</t>
        </is>
      </c>
      <c r="H935" s="3" t="n"/>
      <c r="I935" s="3" t="n">
        <v>76.64</v>
      </c>
      <c r="J935" s="3" t="n">
        <v>108</v>
      </c>
      <c r="K935" s="3" t="n">
        <v>99.98999999999999</v>
      </c>
      <c r="L935" s="2" t="inlineStr">
        <is>
          <t>TCGplayer</t>
        </is>
      </c>
      <c r="N935" s="4" t="inlineStr">
        <is>
          <t>https://www.tcgplayer.com/product/218803</t>
        </is>
      </c>
    </row>
    <row r="936">
      <c r="A936" s="2" t="inlineStr">
        <is>
          <t>Champion's Path Special Pin Collection [Stow-on-Side]</t>
        </is>
      </c>
      <c r="B936" s="3">
        <f>IF(H936&lt;&gt;"",H936,IF(I936&lt;&gt;"",I936,IF(J936&lt;&gt;"",J936,K936)))</f>
        <v>272.63</v>
      </c>
      <c r="C936" s="3">
        <f>MEDIAN(H936:K936)</f>
        <v>280.0</v>
      </c>
      <c r="D936" s="3">
        <f>ROUND(C936*(1-Settings!$B$2),2)</f>
        <v>196.0</v>
      </c>
      <c r="E936" s="2" t="inlineStr">
        <is>
          <t>Pokemon</t>
        </is>
      </c>
      <c r="F936" s="2" t="inlineStr">
        <is>
          <t>Coffret</t>
        </is>
      </c>
      <c r="G936" s="2" t="inlineStr">
        <is>
          <t>Champion's Path</t>
        </is>
      </c>
      <c r="H936" s="3" t="n"/>
      <c r="I936" s="3" t="n">
        <v>272.63</v>
      </c>
      <c r="J936" s="3" t="n">
        <v>305.99</v>
      </c>
      <c r="K936" s="3" t="n">
        <v>280</v>
      </c>
      <c r="L936" s="2" t="inlineStr">
        <is>
          <t>TCGplayer</t>
        </is>
      </c>
      <c r="N936" s="4" t="inlineStr">
        <is>
          <t>https://www.tcgplayer.com/product/218802</t>
        </is>
      </c>
    </row>
    <row r="937">
      <c r="A937" s="2" t="inlineStr">
        <is>
          <t>Chaos Rising Booster Bundle</t>
        </is>
      </c>
      <c r="B937" s="3">
        <f>IF(H937&lt;&gt;"",H937,IF(I937&lt;&gt;"",I937,IF(J937&lt;&gt;"",J937,K937)))</f>
        <v>33.75</v>
      </c>
      <c r="C937" s="3">
        <f>MEDIAN(H937:K937)</f>
        <v>33.75</v>
      </c>
      <c r="D937" s="3">
        <f>ROUND(C937*(1-Settings!$B$2),2)</f>
        <v>23.63</v>
      </c>
      <c r="E937" s="2" t="inlineStr">
        <is>
          <t>Pokemon</t>
        </is>
      </c>
      <c r="F937" s="2" t="inlineStr">
        <is>
          <t>Coffret</t>
        </is>
      </c>
      <c r="G937" s="2" t="inlineStr">
        <is>
          <t>Chaos Rising</t>
        </is>
      </c>
      <c r="H937" s="3" t="n">
        <v>33.75</v>
      </c>
      <c r="I937" s="3" t="n"/>
      <c r="J937" s="3" t="n"/>
      <c r="K937" s="3" t="n"/>
      <c r="L937" s="2" t="inlineStr">
        <is>
          <t>PriceCharting</t>
        </is>
      </c>
      <c r="M937" s="4" t="inlineStr">
        <is>
          <t>https://www.pricecharting.com/game/pokemon-chaos-rising/booster-bundle</t>
        </is>
      </c>
    </row>
    <row r="938">
      <c r="A938" s="2" t="inlineStr">
        <is>
          <t>Chaos Rising Build &amp; Battle Box</t>
        </is>
      </c>
      <c r="B938" s="3">
        <f>IF(H938&lt;&gt;"",H938,IF(I938&lt;&gt;"",I938,IF(J938&lt;&gt;"",J938,K938)))</f>
        <v>43.98</v>
      </c>
      <c r="C938" s="3">
        <f>MEDIAN(H938:K938)</f>
        <v>43.98</v>
      </c>
      <c r="D938" s="3">
        <f>ROUND(C938*(1-Settings!$B$2),2)</f>
        <v>30.79</v>
      </c>
      <c r="E938" s="2" t="inlineStr">
        <is>
          <t>Pokemon</t>
        </is>
      </c>
      <c r="F938" s="2" t="inlineStr">
        <is>
          <t>Coffret</t>
        </is>
      </c>
      <c r="G938" s="2" t="inlineStr">
        <is>
          <t>Chaos Rising</t>
        </is>
      </c>
      <c r="H938" s="3" t="n">
        <v>43.98</v>
      </c>
      <c r="I938" s="3" t="n"/>
      <c r="J938" s="3" t="n"/>
      <c r="K938" s="3" t="n"/>
      <c r="L938" s="2" t="inlineStr">
        <is>
          <t>PriceCharting</t>
        </is>
      </c>
      <c r="M938" s="4" t="inlineStr">
        <is>
          <t>https://www.pricecharting.com/game/pokemon-chaos-rising/build-&amp;-battle-box</t>
        </is>
      </c>
    </row>
    <row r="939">
      <c r="A939" s="2" t="inlineStr">
        <is>
          <t>Chaos Rising Elite Trainer Box</t>
        </is>
      </c>
      <c r="B939" s="3">
        <f>IF(H939&lt;&gt;"",H939,IF(I939&lt;&gt;"",I939,IF(J939&lt;&gt;"",J939,K939)))</f>
        <v>66.86</v>
      </c>
      <c r="C939" s="3">
        <f>MEDIAN(H939:K939)</f>
        <v>66.86</v>
      </c>
      <c r="D939" s="3">
        <f>ROUND(C939*(1-Settings!$B$2),2)</f>
        <v>46.8</v>
      </c>
      <c r="E939" s="2" t="inlineStr">
        <is>
          <t>Pokemon</t>
        </is>
      </c>
      <c r="F939" s="2" t="inlineStr">
        <is>
          <t>Coffret</t>
        </is>
      </c>
      <c r="G939" s="2" t="inlineStr">
        <is>
          <t>Chaos Rising</t>
        </is>
      </c>
      <c r="H939" s="3" t="n">
        <v>66.86</v>
      </c>
      <c r="I939" s="3" t="n"/>
      <c r="J939" s="3" t="n"/>
      <c r="K939" s="3" t="n"/>
      <c r="L939" s="2" t="inlineStr">
        <is>
          <t>PriceCharting</t>
        </is>
      </c>
      <c r="M939" s="4" t="inlineStr">
        <is>
          <t>https://www.pricecharting.com/game/pokemon-chaos-rising/elite-trainer-box</t>
        </is>
      </c>
    </row>
    <row r="940">
      <c r="A940" s="2" t="inlineStr">
        <is>
          <t>Chaos Rising Elite Trainer Box [Pokemon Center]</t>
        </is>
      </c>
      <c r="B940" s="3">
        <f>IF(H940&lt;&gt;"",H940,IF(I940&lt;&gt;"",I940,IF(J940&lt;&gt;"",J940,K940)))</f>
        <v>124.32</v>
      </c>
      <c r="C940" s="3">
        <f>MEDIAN(H940:K940)</f>
        <v>124.32</v>
      </c>
      <c r="D940" s="3">
        <f>ROUND(C940*(1-Settings!$B$2),2)</f>
        <v>87.02</v>
      </c>
      <c r="E940" s="2" t="inlineStr">
        <is>
          <t>Pokemon</t>
        </is>
      </c>
      <c r="F940" s="2" t="inlineStr">
        <is>
          <t>Coffret</t>
        </is>
      </c>
      <c r="G940" s="2" t="inlineStr">
        <is>
          <t>Chaos Rising</t>
        </is>
      </c>
      <c r="H940" s="3" t="n">
        <v>124.32</v>
      </c>
      <c r="I940" s="3" t="n"/>
      <c r="J940" s="3" t="n"/>
      <c r="K940" s="3" t="n"/>
      <c r="L940" s="2" t="inlineStr">
        <is>
          <t>PriceCharting</t>
        </is>
      </c>
      <c r="M940" s="4" t="inlineStr">
        <is>
          <t>https://www.pricecharting.com/game/pokemon-chaos-rising/elite-trainer-box-pokemon-center</t>
        </is>
      </c>
    </row>
    <row r="941">
      <c r="A941" s="2" t="inlineStr">
        <is>
          <t>Chilling Reign Elite Trainer Box [Ice Rider Pokemon Center]</t>
        </is>
      </c>
      <c r="B941" s="3">
        <f>IF(H941&lt;&gt;"",H941,IF(I941&lt;&gt;"",I941,IF(J941&lt;&gt;"",J941,K941)))</f>
        <v>172.78</v>
      </c>
      <c r="C941" s="3">
        <f>MEDIAN(H941:K941)</f>
        <v>172.78</v>
      </c>
      <c r="D941" s="3">
        <f>ROUND(C941*(1-Settings!$B$2),2)</f>
        <v>120.95</v>
      </c>
      <c r="E941" s="2" t="inlineStr">
        <is>
          <t>Pokemon</t>
        </is>
      </c>
      <c r="F941" s="2" t="inlineStr">
        <is>
          <t>Coffret</t>
        </is>
      </c>
      <c r="G941" s="2" t="inlineStr">
        <is>
          <t>Chilling Reign</t>
        </is>
      </c>
      <c r="H941" s="3" t="n">
        <v>172.78</v>
      </c>
      <c r="I941" s="3" t="n"/>
      <c r="J941" s="3" t="n"/>
      <c r="K941" s="3" t="n"/>
      <c r="L941" s="2" t="inlineStr">
        <is>
          <t>PriceCharting</t>
        </is>
      </c>
      <c r="M941" s="4" t="inlineStr">
        <is>
          <t>https://www.pricecharting.com/game/pokemon-chilling-reign/elite-trainer-box-ice-rider-pokemon-center</t>
        </is>
      </c>
    </row>
    <row r="942">
      <c r="A942" s="2" t="inlineStr">
        <is>
          <t>Chilling Reign Elite Trainer Box [Ice Rider]</t>
        </is>
      </c>
      <c r="B942" s="3">
        <f>IF(H942&lt;&gt;"",H942,IF(I942&lt;&gt;"",I942,IF(J942&lt;&gt;"",J942,K942)))</f>
        <v>136.75</v>
      </c>
      <c r="C942" s="3">
        <f>MEDIAN(H942:K942)</f>
        <v>136.75</v>
      </c>
      <c r="D942" s="3">
        <f>ROUND(C942*(1-Settings!$B$2),2)</f>
        <v>95.73</v>
      </c>
      <c r="E942" s="2" t="inlineStr">
        <is>
          <t>Pokemon</t>
        </is>
      </c>
      <c r="F942" s="2" t="inlineStr">
        <is>
          <t>Coffret</t>
        </is>
      </c>
      <c r="G942" s="2" t="inlineStr">
        <is>
          <t>Chilling Reign</t>
        </is>
      </c>
      <c r="H942" s="3" t="n">
        <v>136.75</v>
      </c>
      <c r="I942" s="3" t="n"/>
      <c r="J942" s="3" t="n"/>
      <c r="K942" s="3" t="n"/>
      <c r="L942" s="2" t="inlineStr">
        <is>
          <t>PriceCharting</t>
        </is>
      </c>
      <c r="M942" s="4" t="inlineStr">
        <is>
          <t>https://www.pricecharting.com/game/pokemon-chilling-reign/elite-trainer-box-ice-rider</t>
        </is>
      </c>
    </row>
    <row r="943">
      <c r="A943" s="2" t="inlineStr">
        <is>
          <t>Chilling Reign Elite Trainer Box [Shadow Rider Pokemon Center]</t>
        </is>
      </c>
      <c r="B943" s="3">
        <f>IF(H943&lt;&gt;"",H943,IF(I943&lt;&gt;"",I943,IF(J943&lt;&gt;"",J943,K943)))</f>
        <v>184.76</v>
      </c>
      <c r="C943" s="3">
        <f>MEDIAN(H943:K943)</f>
        <v>184.76</v>
      </c>
      <c r="D943" s="3">
        <f>ROUND(C943*(1-Settings!$B$2),2)</f>
        <v>129.33</v>
      </c>
      <c r="E943" s="2" t="inlineStr">
        <is>
          <t>Pokemon</t>
        </is>
      </c>
      <c r="F943" s="2" t="inlineStr">
        <is>
          <t>Coffret</t>
        </is>
      </c>
      <c r="G943" s="2" t="inlineStr">
        <is>
          <t>Chilling Reign</t>
        </is>
      </c>
      <c r="H943" s="3" t="n">
        <v>184.76</v>
      </c>
      <c r="I943" s="3" t="n"/>
      <c r="J943" s="3" t="n"/>
      <c r="K943" s="3" t="n"/>
      <c r="L943" s="2" t="inlineStr">
        <is>
          <t>PriceCharting</t>
        </is>
      </c>
      <c r="M943" s="4" t="inlineStr">
        <is>
          <t>https://www.pricecharting.com/game/pokemon-chilling-reign/elite-trainer-box-shadow-rider-pokemon-center</t>
        </is>
      </c>
    </row>
    <row r="944">
      <c r="A944" s="2" t="inlineStr">
        <is>
          <t>Chilling Reign Elite Trainer Box [Shadow Rider]</t>
        </is>
      </c>
      <c r="B944" s="3">
        <f>IF(H944&lt;&gt;"",H944,IF(I944&lt;&gt;"",I944,IF(J944&lt;&gt;"",J944,K944)))</f>
        <v>141.92</v>
      </c>
      <c r="C944" s="3">
        <f>MEDIAN(H944:K944)</f>
        <v>141.92</v>
      </c>
      <c r="D944" s="3">
        <f>ROUND(C944*(1-Settings!$B$2),2)</f>
        <v>99.34</v>
      </c>
      <c r="E944" s="2" t="inlineStr">
        <is>
          <t>Pokemon</t>
        </is>
      </c>
      <c r="F944" s="2" t="inlineStr">
        <is>
          <t>Coffret</t>
        </is>
      </c>
      <c r="G944" s="2" t="inlineStr">
        <is>
          <t>Chilling Reign</t>
        </is>
      </c>
      <c r="H944" s="3" t="n">
        <v>141.92</v>
      </c>
      <c r="I944" s="3" t="n"/>
      <c r="J944" s="3" t="n"/>
      <c r="K944" s="3" t="n"/>
      <c r="L944" s="2" t="inlineStr">
        <is>
          <t>PriceCharting</t>
        </is>
      </c>
      <c r="M944" s="4" t="inlineStr">
        <is>
          <t>https://www.pricecharting.com/game/pokemon-chilling-reign/elite-trainer-box-shadow-rider</t>
        </is>
      </c>
    </row>
    <row r="945">
      <c r="A945" s="2" t="inlineStr">
        <is>
          <t>Chinese 151 Collect Chinese New Year Collection Box</t>
        </is>
      </c>
      <c r="B945" s="3">
        <f>IF(H945&lt;&gt;"",H945,IF(I945&lt;&gt;"",I945,IF(J945&lt;&gt;"",J945,K945)))</f>
        <v>101.7</v>
      </c>
      <c r="C945" s="3">
        <f>MEDIAN(H945:K945)</f>
        <v>101.7</v>
      </c>
      <c r="D945" s="3">
        <f>ROUND(C945*(1-Settings!$B$2),2)</f>
        <v>71.19</v>
      </c>
      <c r="E945" s="2" t="inlineStr">
        <is>
          <t>Pokemon</t>
        </is>
      </c>
      <c r="F945" s="2" t="inlineStr">
        <is>
          <t>Coffret</t>
        </is>
      </c>
      <c r="G945" s="2" t="inlineStr">
        <is>
          <t>Chinese 151 Collect</t>
        </is>
      </c>
      <c r="H945" s="3" t="n">
        <v>101.7</v>
      </c>
      <c r="I945" s="3" t="n"/>
      <c r="J945" s="3" t="n"/>
      <c r="K945" s="3" t="n"/>
      <c r="L945" s="2" t="inlineStr">
        <is>
          <t>PriceCharting</t>
        </is>
      </c>
      <c r="M945" s="4" t="inlineStr">
        <is>
          <t>https://www.pricecharting.com/game/pokemon-chinese-151-collect/chinese-new-year-collection-box</t>
        </is>
      </c>
    </row>
    <row r="946">
      <c r="A946" s="2" t="inlineStr">
        <is>
          <t>Chinese Cs4ac Eeveelution Gift Box: Flareon</t>
        </is>
      </c>
      <c r="B946" s="3">
        <f>IF(H946&lt;&gt;"",H946,IF(I946&lt;&gt;"",I946,IF(J946&lt;&gt;"",J946,K946)))</f>
        <v>175.29</v>
      </c>
      <c r="C946" s="3">
        <f>MEDIAN(H946:K946)</f>
        <v>175.29</v>
      </c>
      <c r="D946" s="3">
        <f>ROUND(C946*(1-Settings!$B$2),2)</f>
        <v>122.7</v>
      </c>
      <c r="E946" s="2" t="inlineStr">
        <is>
          <t>Pokemon</t>
        </is>
      </c>
      <c r="F946" s="2" t="inlineStr">
        <is>
          <t>Coffret</t>
        </is>
      </c>
      <c r="G946" s="2" t="inlineStr">
        <is>
          <t>Chinese Cs4ac</t>
        </is>
      </c>
      <c r="H946" s="3" t="n">
        <v>175.29</v>
      </c>
      <c r="I946" s="3" t="n"/>
      <c r="J946" s="3" t="n"/>
      <c r="K946" s="3" t="n"/>
      <c r="L946" s="2" t="inlineStr">
        <is>
          <t>PriceCharting</t>
        </is>
      </c>
      <c r="M946" s="4" t="inlineStr">
        <is>
          <t>https://www.pricecharting.com/game/pokemon-chinese-cs4ac/eeveelution-gift-box-flareon</t>
        </is>
      </c>
    </row>
    <row r="947">
      <c r="A947" s="2" t="inlineStr">
        <is>
          <t>Chinese Cs4ac Eeveelution Gift Box: Jolteon</t>
        </is>
      </c>
      <c r="B947" s="3">
        <f>IF(H947&lt;&gt;"",H947,IF(I947&lt;&gt;"",I947,IF(J947&lt;&gt;"",J947,K947)))</f>
        <v>175.74</v>
      </c>
      <c r="C947" s="3">
        <f>MEDIAN(H947:K947)</f>
        <v>175.74</v>
      </c>
      <c r="D947" s="3">
        <f>ROUND(C947*(1-Settings!$B$2),2)</f>
        <v>123.02</v>
      </c>
      <c r="E947" s="2" t="inlineStr">
        <is>
          <t>Pokemon</t>
        </is>
      </c>
      <c r="F947" s="2" t="inlineStr">
        <is>
          <t>Coffret</t>
        </is>
      </c>
      <c r="G947" s="2" t="inlineStr">
        <is>
          <t>Chinese Cs4ac</t>
        </is>
      </c>
      <c r="H947" s="3" t="n">
        <v>175.74</v>
      </c>
      <c r="I947" s="3" t="n"/>
      <c r="J947" s="3" t="n"/>
      <c r="K947" s="3" t="n"/>
      <c r="L947" s="2" t="inlineStr">
        <is>
          <t>PriceCharting</t>
        </is>
      </c>
      <c r="M947" s="4" t="inlineStr">
        <is>
          <t>https://www.pricecharting.com/game/pokemon-chinese-cs4ac/eeveelution-gift-box-jolteon</t>
        </is>
      </c>
    </row>
    <row r="948">
      <c r="A948" s="2" t="inlineStr">
        <is>
          <t>Chinese Cs4ac Eeveelution Gift Box: Vaporeon</t>
        </is>
      </c>
      <c r="B948" s="3">
        <f>IF(H948&lt;&gt;"",H948,IF(I948&lt;&gt;"",I948,IF(J948&lt;&gt;"",J948,K948)))</f>
        <v>190.0</v>
      </c>
      <c r="C948" s="3">
        <f>MEDIAN(H948:K948)</f>
        <v>190.0</v>
      </c>
      <c r="D948" s="3">
        <f>ROUND(C948*(1-Settings!$B$2),2)</f>
        <v>133.0</v>
      </c>
      <c r="E948" s="2" t="inlineStr">
        <is>
          <t>Pokemon</t>
        </is>
      </c>
      <c r="F948" s="2" t="inlineStr">
        <is>
          <t>Coffret</t>
        </is>
      </c>
      <c r="G948" s="2" t="inlineStr">
        <is>
          <t>Chinese Cs4ac</t>
        </is>
      </c>
      <c r="H948" s="3" t="n">
        <v>190</v>
      </c>
      <c r="I948" s="3" t="n"/>
      <c r="J948" s="3" t="n"/>
      <c r="K948" s="3" t="n"/>
      <c r="L948" s="2" t="inlineStr">
        <is>
          <t>PriceCharting</t>
        </is>
      </c>
      <c r="M948" s="4" t="inlineStr">
        <is>
          <t>https://www.pricecharting.com/game/pokemon-chinese-cs4ac/eeveelution-gift-box-vaporeon</t>
        </is>
      </c>
    </row>
    <row r="949">
      <c r="A949" s="2" t="inlineStr">
        <is>
          <t>Chinese Gem Pack Gem Pack Badge Collection</t>
        </is>
      </c>
      <c r="B949" s="3">
        <f>IF(H949&lt;&gt;"",H949,IF(I949&lt;&gt;"",I949,IF(J949&lt;&gt;"",J949,K949)))</f>
        <v>18.29</v>
      </c>
      <c r="C949" s="3">
        <f>MEDIAN(H949:K949)</f>
        <v>18.29</v>
      </c>
      <c r="D949" s="3">
        <f>ROUND(C949*(1-Settings!$B$2),2)</f>
        <v>12.8</v>
      </c>
      <c r="E949" s="2" t="inlineStr">
        <is>
          <t>Pokemon</t>
        </is>
      </c>
      <c r="F949" s="2" t="inlineStr">
        <is>
          <t>Coffret</t>
        </is>
      </c>
      <c r="G949" s="2" t="inlineStr">
        <is>
          <t>Chinese Gem Pack</t>
        </is>
      </c>
      <c r="H949" s="3" t="n">
        <v>18.29</v>
      </c>
      <c r="I949" s="3" t="n"/>
      <c r="J949" s="3" t="n"/>
      <c r="K949" s="3" t="n"/>
      <c r="L949" s="2" t="inlineStr">
        <is>
          <t>PriceCharting</t>
        </is>
      </c>
      <c r="M949" s="4" t="inlineStr">
        <is>
          <t>https://www.pricecharting.com/game/pokemon-chinese-gem-pack/gem-pack-badge-collection</t>
        </is>
      </c>
    </row>
    <row r="950">
      <c r="A950" s="2" t="inlineStr">
        <is>
          <t>Chinese Promo 2026 Lunar New Year Gift Box</t>
        </is>
      </c>
      <c r="B950" s="3">
        <f>IF(H950&lt;&gt;"",H950,IF(I950&lt;&gt;"",I950,IF(J950&lt;&gt;"",J950,K950)))</f>
        <v>60.0</v>
      </c>
      <c r="C950" s="3">
        <f>MEDIAN(H950:K950)</f>
        <v>60.0</v>
      </c>
      <c r="D950" s="3">
        <f>ROUND(C950*(1-Settings!$B$2),2)</f>
        <v>42.0</v>
      </c>
      <c r="E950" s="2" t="inlineStr">
        <is>
          <t>Pokemon</t>
        </is>
      </c>
      <c r="F950" s="2" t="inlineStr">
        <is>
          <t>Coffret</t>
        </is>
      </c>
      <c r="G950" s="2" t="inlineStr">
        <is>
          <t>Chinese Promo</t>
        </is>
      </c>
      <c r="H950" s="3" t="n">
        <v>60</v>
      </c>
      <c r="I950" s="3" t="n"/>
      <c r="J950" s="3" t="n"/>
      <c r="K950" s="3" t="n"/>
      <c r="L950" s="2" t="inlineStr">
        <is>
          <t>PriceCharting</t>
        </is>
      </c>
      <c r="M950" s="4" t="inlineStr">
        <is>
          <t>https://www.pricecharting.com/game/pokemon-chinese-promo/2026-lunar-new-year-gift-box</t>
        </is>
      </c>
    </row>
    <row r="951">
      <c r="A951" s="2" t="inlineStr">
        <is>
          <t>Chinese Promo Chinese Pokemon 5th Anniversary Gift Box</t>
        </is>
      </c>
      <c r="B951" s="3">
        <f>IF(H951&lt;&gt;"",H951,IF(I951&lt;&gt;"",I951,IF(J951&lt;&gt;"",J951,K951)))</f>
        <v>2848.6</v>
      </c>
      <c r="C951" s="3">
        <f>MEDIAN(H951:K951)</f>
        <v>2848.6</v>
      </c>
      <c r="D951" s="3">
        <f>ROUND(C951*(1-Settings!$B$2),2)</f>
        <v>1994.02</v>
      </c>
      <c r="E951" s="2" t="inlineStr">
        <is>
          <t>Pokemon</t>
        </is>
      </c>
      <c r="F951" s="2" t="inlineStr">
        <is>
          <t>Coffret</t>
        </is>
      </c>
      <c r="G951" s="2" t="inlineStr">
        <is>
          <t>Chinese Promo</t>
        </is>
      </c>
      <c r="H951" s="3" t="n">
        <v>2848.6</v>
      </c>
      <c r="I951" s="3" t="n"/>
      <c r="J951" s="3" t="n"/>
      <c r="K951" s="3" t="n"/>
      <c r="L951" s="2" t="inlineStr">
        <is>
          <t>PriceCharting</t>
        </is>
      </c>
      <c r="M951" s="4" t="inlineStr">
        <is>
          <t>https://www.pricecharting.com/game/pokemon-chinese-promo/chinese-pokemon-5th-anniversary-gift-box</t>
        </is>
      </c>
    </row>
    <row r="952">
      <c r="A952" s="2" t="inlineStr">
        <is>
          <t>Chinese Promo Metal Pack Storage Box Set</t>
        </is>
      </c>
      <c r="B952" s="3">
        <f>IF(H952&lt;&gt;"",H952,IF(I952&lt;&gt;"",I952,IF(J952&lt;&gt;"",J952,K952)))</f>
        <v>66.99</v>
      </c>
      <c r="C952" s="3">
        <f>MEDIAN(H952:K952)</f>
        <v>66.99</v>
      </c>
      <c r="D952" s="3">
        <f>ROUND(C952*(1-Settings!$B$2),2)</f>
        <v>46.89</v>
      </c>
      <c r="E952" s="2" t="inlineStr">
        <is>
          <t>Pokemon</t>
        </is>
      </c>
      <c r="F952" s="2" t="inlineStr">
        <is>
          <t>Coffret</t>
        </is>
      </c>
      <c r="G952" s="2" t="inlineStr">
        <is>
          <t>Chinese Promo</t>
        </is>
      </c>
      <c r="H952" s="3" t="n">
        <v>66.98999999999999</v>
      </c>
      <c r="I952" s="3" t="n"/>
      <c r="J952" s="3" t="n"/>
      <c r="K952" s="3" t="n"/>
      <c r="L952" s="2" t="inlineStr">
        <is>
          <t>PriceCharting</t>
        </is>
      </c>
      <c r="M952" s="4" t="inlineStr">
        <is>
          <t>https://www.pricecharting.com/game/pokemon-chinese-promo/metal-pack-storage-box-set</t>
        </is>
      </c>
    </row>
    <row r="953">
      <c r="A953" s="2" t="inlineStr">
        <is>
          <t>Chinese Promo Pikachu V-Union Gift Box</t>
        </is>
      </c>
      <c r="B953" s="3">
        <f>IF(H953&lt;&gt;"",H953,IF(I953&lt;&gt;"",I953,IF(J953&lt;&gt;"",J953,K953)))</f>
        <v>27.99</v>
      </c>
      <c r="C953" s="3">
        <f>MEDIAN(H953:K953)</f>
        <v>27.99</v>
      </c>
      <c r="D953" s="3">
        <f>ROUND(C953*(1-Settings!$B$2),2)</f>
        <v>19.59</v>
      </c>
      <c r="E953" s="2" t="inlineStr">
        <is>
          <t>Pokemon</t>
        </is>
      </c>
      <c r="F953" s="2" t="inlineStr">
        <is>
          <t>Coffret</t>
        </is>
      </c>
      <c r="G953" s="2" t="inlineStr">
        <is>
          <t>Chinese Promo</t>
        </is>
      </c>
      <c r="H953" s="3" t="n">
        <v>27.99</v>
      </c>
      <c r="I953" s="3" t="n"/>
      <c r="J953" s="3" t="n"/>
      <c r="K953" s="3" t="n"/>
      <c r="L953" s="2" t="inlineStr">
        <is>
          <t>PriceCharting</t>
        </is>
      </c>
      <c r="M953" s="4" t="inlineStr">
        <is>
          <t>https://www.pricecharting.com/game/pokemon-chinese-promo/pikachu-v-union-gift-box</t>
        </is>
      </c>
    </row>
    <row r="954">
      <c r="A954" s="2" t="inlineStr">
        <is>
          <t>Cosmic Eclipse 2-Pack Blister</t>
        </is>
      </c>
      <c r="B954" s="3">
        <f>IF(H954&lt;&gt;"",H954,IF(I954&lt;&gt;"",I954,IF(J954&lt;&gt;"",J954,K954)))</f>
        <v>111.0</v>
      </c>
      <c r="C954" s="3">
        <f>MEDIAN(H954:K954)</f>
        <v>111.0</v>
      </c>
      <c r="D954" s="3">
        <f>ROUND(C954*(1-Settings!$B$2),2)</f>
        <v>77.7</v>
      </c>
      <c r="E954" s="2" t="inlineStr">
        <is>
          <t>Pokemon</t>
        </is>
      </c>
      <c r="F954" s="2" t="inlineStr">
        <is>
          <t>Coffret</t>
        </is>
      </c>
      <c r="G954" s="2" t="inlineStr">
        <is>
          <t>Cosmic Eclipse</t>
        </is>
      </c>
      <c r="H954" s="3" t="n">
        <v>111</v>
      </c>
      <c r="I954" s="3" t="n"/>
      <c r="J954" s="3" t="n"/>
      <c r="K954" s="3" t="n"/>
      <c r="L954" s="2" t="inlineStr">
        <is>
          <t>PriceCharting</t>
        </is>
      </c>
      <c r="M954" s="4" t="inlineStr">
        <is>
          <t>https://www.pricecharting.com/game/pokemon-cosmic-eclipse/2-pack-blister</t>
        </is>
      </c>
    </row>
    <row r="955">
      <c r="A955" s="2" t="inlineStr">
        <is>
          <t>Cosmic Eclipse 3-Pack Blister</t>
        </is>
      </c>
      <c r="B955" s="3">
        <f>IF(H955&lt;&gt;"",H955,IF(I955&lt;&gt;"",I955,IF(J955&lt;&gt;"",J955,K955)))</f>
        <v>164.92</v>
      </c>
      <c r="C955" s="3">
        <f>MEDIAN(H955:K955)</f>
        <v>164.92</v>
      </c>
      <c r="D955" s="3">
        <f>ROUND(C955*(1-Settings!$B$2),2)</f>
        <v>115.44</v>
      </c>
      <c r="E955" s="2" t="inlineStr">
        <is>
          <t>Pokemon</t>
        </is>
      </c>
      <c r="F955" s="2" t="inlineStr">
        <is>
          <t>Coffret</t>
        </is>
      </c>
      <c r="G955" s="2" t="inlineStr">
        <is>
          <t>Cosmic Eclipse</t>
        </is>
      </c>
      <c r="H955" s="3" t="n">
        <v>164.92</v>
      </c>
      <c r="I955" s="3" t="n"/>
      <c r="J955" s="3" t="n"/>
      <c r="K955" s="3" t="n"/>
      <c r="L955" s="2" t="inlineStr">
        <is>
          <t>PriceCharting</t>
        </is>
      </c>
      <c r="M955" s="4" t="inlineStr">
        <is>
          <t>https://www.pricecharting.com/game/pokemon-cosmic-eclipse/3-pack-blister</t>
        </is>
      </c>
    </row>
    <row r="956">
      <c r="A956" s="2" t="inlineStr">
        <is>
          <t>Cosmic Eclipse Elite Trainer Box</t>
        </is>
      </c>
      <c r="B956" s="3">
        <f>IF(H956&lt;&gt;"",H956,IF(I956&lt;&gt;"",I956,IF(J956&lt;&gt;"",J956,K956)))</f>
        <v>1623.87</v>
      </c>
      <c r="C956" s="3">
        <f>MEDIAN(H956:K956)</f>
        <v>1623.87</v>
      </c>
      <c r="D956" s="3">
        <f>ROUND(C956*(1-Settings!$B$2),2)</f>
        <v>1136.71</v>
      </c>
      <c r="E956" s="2" t="inlineStr">
        <is>
          <t>Pokemon</t>
        </is>
      </c>
      <c r="F956" s="2" t="inlineStr">
        <is>
          <t>Coffret</t>
        </is>
      </c>
      <c r="G956" s="2" t="inlineStr">
        <is>
          <t>Cosmic Eclipse</t>
        </is>
      </c>
      <c r="H956" s="3" t="n">
        <v>1623.87</v>
      </c>
      <c r="I956" s="3" t="n"/>
      <c r="J956" s="3" t="n"/>
      <c r="K956" s="3" t="n"/>
      <c r="L956" s="2" t="inlineStr">
        <is>
          <t>PriceCharting</t>
        </is>
      </c>
      <c r="M956" s="4" t="inlineStr">
        <is>
          <t>https://www.pricecharting.com/game/pokemon-cosmic-eclipse/elite-trainer-box</t>
        </is>
      </c>
    </row>
    <row r="957">
      <c r="A957" s="2" t="inlineStr">
        <is>
          <t>Cosmic Eclipse Galarian Sirfetch'D V Box</t>
        </is>
      </c>
      <c r="B957" s="3">
        <f>IF(H957&lt;&gt;"",H957,IF(I957&lt;&gt;"",I957,IF(J957&lt;&gt;"",J957,K957)))</f>
        <v>56.96</v>
      </c>
      <c r="C957" s="3">
        <f>MEDIAN(H957:K957)</f>
        <v>56.96</v>
      </c>
      <c r="D957" s="3">
        <f>ROUND(C957*(1-Settings!$B$2),2)</f>
        <v>39.87</v>
      </c>
      <c r="E957" s="2" t="inlineStr">
        <is>
          <t>Pokemon</t>
        </is>
      </c>
      <c r="F957" s="2" t="inlineStr">
        <is>
          <t>Coffret</t>
        </is>
      </c>
      <c r="G957" s="2" t="inlineStr">
        <is>
          <t>Cosmic Eclipse</t>
        </is>
      </c>
      <c r="H957" s="3" t="n">
        <v>56.96</v>
      </c>
      <c r="I957" s="3" t="n"/>
      <c r="J957" s="3" t="n"/>
      <c r="K957" s="3" t="n"/>
      <c r="L957" s="2" t="inlineStr">
        <is>
          <t>PriceCharting</t>
        </is>
      </c>
      <c r="M957" s="4" t="inlineStr">
        <is>
          <t>https://www.pricecharting.com/game/pokemon-cosmic-eclipse/galarian-sirfetch'd-v-box</t>
        </is>
      </c>
    </row>
    <row r="958">
      <c r="A958" s="2" t="inlineStr">
        <is>
          <t>Cosmic Eclipse Tag Team Powers Collection Box: Espeon &amp; Deoxys GX</t>
        </is>
      </c>
      <c r="B958" s="3">
        <f>IF(H958&lt;&gt;"",H958,IF(I958&lt;&gt;"",I958,IF(J958&lt;&gt;"",J958,K958)))</f>
        <v>1663.71</v>
      </c>
      <c r="C958" s="3">
        <f>MEDIAN(H958:K958)</f>
        <v>1663.71</v>
      </c>
      <c r="D958" s="3">
        <f>ROUND(C958*(1-Settings!$B$2),2)</f>
        <v>1164.6</v>
      </c>
      <c r="E958" s="2" t="inlineStr">
        <is>
          <t>Pokemon</t>
        </is>
      </c>
      <c r="F958" s="2" t="inlineStr">
        <is>
          <t>Coffret</t>
        </is>
      </c>
      <c r="G958" s="2" t="inlineStr">
        <is>
          <t>Cosmic Eclipse</t>
        </is>
      </c>
      <c r="H958" s="3" t="n">
        <v>1663.71</v>
      </c>
      <c r="I958" s="3" t="n"/>
      <c r="J958" s="3" t="n"/>
      <c r="K958" s="3" t="n"/>
      <c r="L958" s="2" t="inlineStr">
        <is>
          <t>PriceCharting</t>
        </is>
      </c>
      <c r="M958" s="4" t="inlineStr">
        <is>
          <t>https://www.pricecharting.com/game/pokemon-cosmic-eclipse/tag-team-powers-collection-box-espeon-&amp;-deoxys-gx</t>
        </is>
      </c>
    </row>
    <row r="959">
      <c r="A959" s="2" t="inlineStr">
        <is>
          <t>Cosmic Eclipse Tag Team Powers Collection Box: Umbreon &amp; Darkrai GX</t>
        </is>
      </c>
      <c r="B959" s="3">
        <f>IF(H959&lt;&gt;"",H959,IF(I959&lt;&gt;"",I959,IF(J959&lt;&gt;"",J959,K959)))</f>
        <v>1670.82</v>
      </c>
      <c r="C959" s="3">
        <f>MEDIAN(H959:K959)</f>
        <v>1670.82</v>
      </c>
      <c r="D959" s="3">
        <f>ROUND(C959*(1-Settings!$B$2),2)</f>
        <v>1169.57</v>
      </c>
      <c r="E959" s="2" t="inlineStr">
        <is>
          <t>Pokemon</t>
        </is>
      </c>
      <c r="F959" s="2" t="inlineStr">
        <is>
          <t>Coffret</t>
        </is>
      </c>
      <c r="G959" s="2" t="inlineStr">
        <is>
          <t>Cosmic Eclipse</t>
        </is>
      </c>
      <c r="H959" s="3" t="n">
        <v>1670.82</v>
      </c>
      <c r="I959" s="3" t="n"/>
      <c r="J959" s="3" t="n"/>
      <c r="K959" s="3" t="n"/>
      <c r="L959" s="2" t="inlineStr">
        <is>
          <t>PriceCharting</t>
        </is>
      </c>
      <c r="M959" s="4" t="inlineStr">
        <is>
          <t>https://www.pricecharting.com/game/pokemon-cosmic-eclipse/tag-team-powers-collection-box-umbreon-&amp;-darkrai-gx</t>
        </is>
      </c>
    </row>
    <row r="960">
      <c r="A960" s="2" t="inlineStr">
        <is>
          <t>Crimson Invasion Legends Of Johto GX Collection</t>
        </is>
      </c>
      <c r="B960" s="3">
        <f>IF(H960&lt;&gt;"",H960,IF(I960&lt;&gt;"",I960,IF(J960&lt;&gt;"",J960,K960)))</f>
        <v>160.76</v>
      </c>
      <c r="C960" s="3">
        <f>MEDIAN(H960:K960)</f>
        <v>160.76</v>
      </c>
      <c r="D960" s="3">
        <f>ROUND(C960*(1-Settings!$B$2),2)</f>
        <v>112.53</v>
      </c>
      <c r="E960" s="2" t="inlineStr">
        <is>
          <t>Pokemon</t>
        </is>
      </c>
      <c r="F960" s="2" t="inlineStr">
        <is>
          <t>Coffret</t>
        </is>
      </c>
      <c r="G960" s="2" t="inlineStr">
        <is>
          <t>Crimson Invasion</t>
        </is>
      </c>
      <c r="H960" s="3" t="n">
        <v>160.76</v>
      </c>
      <c r="I960" s="3" t="n"/>
      <c r="J960" s="3" t="n"/>
      <c r="K960" s="3" t="n"/>
      <c r="L960" s="2" t="inlineStr">
        <is>
          <t>PriceCharting</t>
        </is>
      </c>
      <c r="M960" s="4" t="inlineStr">
        <is>
          <t>https://www.pricecharting.com/game/pokemon-crimson-invasion/legends-of-johto-gx-collection</t>
        </is>
      </c>
    </row>
    <row r="961">
      <c r="A961" s="2" t="inlineStr">
        <is>
          <t>Crown Zenith Elite Trainer Box Plus</t>
        </is>
      </c>
      <c r="B961" s="3">
        <f>IF(H961&lt;&gt;"",H961,IF(I961&lt;&gt;"",I961,IF(J961&lt;&gt;"",J961,K961)))</f>
        <v>531.49</v>
      </c>
      <c r="C961" s="3">
        <f>MEDIAN(H961:K961)</f>
        <v>531.49</v>
      </c>
      <c r="D961" s="3">
        <f>ROUND(C961*(1-Settings!$B$2),2)</f>
        <v>372.04</v>
      </c>
      <c r="E961" s="2" t="inlineStr">
        <is>
          <t>Pokemon</t>
        </is>
      </c>
      <c r="F961" s="2" t="inlineStr">
        <is>
          <t>Coffret</t>
        </is>
      </c>
      <c r="G961" s="2" t="inlineStr">
        <is>
          <t>Crown Zenith</t>
        </is>
      </c>
      <c r="H961" s="3" t="n">
        <v>531.49</v>
      </c>
      <c r="I961" s="3" t="n"/>
      <c r="J961" s="3" t="n"/>
      <c r="K961" s="3" t="n"/>
      <c r="L961" s="2" t="inlineStr">
        <is>
          <t>PriceCharting</t>
        </is>
      </c>
      <c r="M961" s="4" t="inlineStr">
        <is>
          <t>https://www.pricecharting.com/game/pokemon-crown-zenith/elite-trainer-box-plus</t>
        </is>
      </c>
    </row>
    <row r="962">
      <c r="A962" s="2" t="inlineStr">
        <is>
          <t>Crown Zenith Galarian Articuno Tin</t>
        </is>
      </c>
      <c r="B962" s="3">
        <f>IF(H962&lt;&gt;"",H962,IF(I962&lt;&gt;"",I962,IF(J962&lt;&gt;"",J962,K962)))</f>
        <v>80.43</v>
      </c>
      <c r="C962" s="3">
        <f>MEDIAN(H962:K962)</f>
        <v>80.43</v>
      </c>
      <c r="D962" s="3">
        <f>ROUND(C962*(1-Settings!$B$2),2)</f>
        <v>56.3</v>
      </c>
      <c r="E962" s="2" t="inlineStr">
        <is>
          <t>Pokemon</t>
        </is>
      </c>
      <c r="F962" s="2" t="inlineStr">
        <is>
          <t>Coffret</t>
        </is>
      </c>
      <c r="G962" s="2" t="inlineStr">
        <is>
          <t>Crown Zenith</t>
        </is>
      </c>
      <c r="H962" s="3" t="n">
        <v>80.43000000000001</v>
      </c>
      <c r="I962" s="3" t="n"/>
      <c r="J962" s="3" t="n"/>
      <c r="K962" s="3" t="n"/>
      <c r="L962" s="2" t="inlineStr">
        <is>
          <t>PriceCharting</t>
        </is>
      </c>
      <c r="M962" s="4" t="inlineStr">
        <is>
          <t>https://www.pricecharting.com/game/pokemon-crown-zenith/galarian-articuno-tin</t>
        </is>
      </c>
    </row>
    <row r="963">
      <c r="A963" s="2" t="inlineStr">
        <is>
          <t>Crown Zenith Galarian Articuno Tin [International]</t>
        </is>
      </c>
      <c r="B963" s="3">
        <f>IF(H963&lt;&gt;"",H963,IF(I963&lt;&gt;"",I963,IF(J963&lt;&gt;"",J963,K963)))</f>
        <v>94.99</v>
      </c>
      <c r="C963" s="3">
        <f>MEDIAN(H963:K963)</f>
        <v>94.99</v>
      </c>
      <c r="D963" s="3">
        <f>ROUND(C963*(1-Settings!$B$2),2)</f>
        <v>66.49</v>
      </c>
      <c r="E963" s="2" t="inlineStr">
        <is>
          <t>Pokemon</t>
        </is>
      </c>
      <c r="F963" s="2" t="inlineStr">
        <is>
          <t>Coffret</t>
        </is>
      </c>
      <c r="G963" s="2" t="inlineStr">
        <is>
          <t>Crown Zenith</t>
        </is>
      </c>
      <c r="H963" s="3" t="n">
        <v>94.98999999999999</v>
      </c>
      <c r="I963" s="3" t="n"/>
      <c r="J963" s="3" t="n"/>
      <c r="K963" s="3" t="n"/>
      <c r="L963" s="2" t="inlineStr">
        <is>
          <t>PriceCharting</t>
        </is>
      </c>
      <c r="M963" s="4" t="inlineStr">
        <is>
          <t>https://www.pricecharting.com/game/pokemon-crown-zenith/galarian-articuno-tin-international</t>
        </is>
      </c>
    </row>
    <row r="964">
      <c r="A964" s="2" t="inlineStr">
        <is>
          <t>Crown Zenith Galarian Moltres Tin #None</t>
        </is>
      </c>
      <c r="B964" s="3">
        <f>IF(H964&lt;&gt;"",H964,IF(I964&lt;&gt;"",I964,IF(J964&lt;&gt;"",J964,K964)))</f>
        <v>112.28</v>
      </c>
      <c r="C964" s="3">
        <f>MEDIAN(H964:K964)</f>
        <v>112.28</v>
      </c>
      <c r="D964" s="3">
        <f>ROUND(C964*(1-Settings!$B$2),2)</f>
        <v>78.6</v>
      </c>
      <c r="E964" s="2" t="inlineStr">
        <is>
          <t>Pokemon</t>
        </is>
      </c>
      <c r="F964" s="2" t="inlineStr">
        <is>
          <t>Coffret</t>
        </is>
      </c>
      <c r="G964" s="2" t="inlineStr">
        <is>
          <t>Crown Zenith</t>
        </is>
      </c>
      <c r="H964" s="3" t="n">
        <v>112.28</v>
      </c>
      <c r="I964" s="3" t="n"/>
      <c r="J964" s="3" t="n"/>
      <c r="K964" s="3" t="n"/>
      <c r="L964" s="2" t="inlineStr">
        <is>
          <t>PriceCharting</t>
        </is>
      </c>
      <c r="M964" s="4" t="inlineStr">
        <is>
          <t>https://www.pricecharting.com/game/pokemon-crown-zenith/galarian-moltres-tin-none</t>
        </is>
      </c>
    </row>
    <row r="965">
      <c r="A965" s="2" t="inlineStr">
        <is>
          <t>Crown Zenith Galarian Zapdos Tin #None</t>
        </is>
      </c>
      <c r="B965" s="3">
        <f>IF(H965&lt;&gt;"",H965,IF(I965&lt;&gt;"",I965,IF(J965&lt;&gt;"",J965,K965)))</f>
        <v>50.94</v>
      </c>
      <c r="C965" s="3">
        <f>MEDIAN(H965:K965)</f>
        <v>50.94</v>
      </c>
      <c r="D965" s="3">
        <f>ROUND(C965*(1-Settings!$B$2),2)</f>
        <v>35.66</v>
      </c>
      <c r="E965" s="2" t="inlineStr">
        <is>
          <t>Pokemon</t>
        </is>
      </c>
      <c r="F965" s="2" t="inlineStr">
        <is>
          <t>Coffret</t>
        </is>
      </c>
      <c r="G965" s="2" t="inlineStr">
        <is>
          <t>Crown Zenith</t>
        </is>
      </c>
      <c r="H965" s="3" t="n">
        <v>50.94</v>
      </c>
      <c r="I965" s="3" t="n"/>
      <c r="J965" s="3" t="n"/>
      <c r="K965" s="3" t="n"/>
      <c r="L965" s="2" t="inlineStr">
        <is>
          <t>PriceCharting</t>
        </is>
      </c>
      <c r="M965" s="4" t="inlineStr">
        <is>
          <t>https://www.pricecharting.com/game/pokemon-crown-zenith/galarian-zapdos-tin-none</t>
        </is>
      </c>
    </row>
    <row r="966">
      <c r="A966" s="2" t="inlineStr">
        <is>
          <t>Crown Zenith Hisuian Zoroark VSTAR Premium Collection Box</t>
        </is>
      </c>
      <c r="B966" s="3">
        <f>IF(H966&lt;&gt;"",H966,IF(I966&lt;&gt;"",I966,IF(J966&lt;&gt;"",J966,K966)))</f>
        <v>119.11</v>
      </c>
      <c r="C966" s="3">
        <f>MEDIAN(H966:K966)</f>
        <v>119.11</v>
      </c>
      <c r="D966" s="3">
        <f>ROUND(C966*(1-Settings!$B$2),2)</f>
        <v>83.38</v>
      </c>
      <c r="E966" s="2" t="inlineStr">
        <is>
          <t>Pokemon</t>
        </is>
      </c>
      <c r="F966" s="2" t="inlineStr">
        <is>
          <t>Coffret</t>
        </is>
      </c>
      <c r="G966" s="2" t="inlineStr">
        <is>
          <t>Crown Zenith</t>
        </is>
      </c>
      <c r="H966" s="3" t="n">
        <v>119.11</v>
      </c>
      <c r="I966" s="3" t="n"/>
      <c r="J966" s="3" t="n"/>
      <c r="K966" s="3" t="n"/>
      <c r="L966" s="2" t="inlineStr">
        <is>
          <t>PriceCharting</t>
        </is>
      </c>
      <c r="M966" s="4" t="inlineStr">
        <is>
          <t>https://www.pricecharting.com/game/pokemon-crown-zenith/hisuian-zoroark-vstar-premium-collection-box</t>
        </is>
      </c>
    </row>
    <row r="967">
      <c r="A967" s="2" t="inlineStr">
        <is>
          <t>Crown Zenith Lugia V &amp; Unown V Special Collection</t>
        </is>
      </c>
      <c r="B967" s="3">
        <f>IF(H967&lt;&gt;"",H967,IF(I967&lt;&gt;"",I967,IF(J967&lt;&gt;"",J967,K967)))</f>
        <v>175.0</v>
      </c>
      <c r="C967" s="3">
        <f>MEDIAN(H967:K967)</f>
        <v>175.0</v>
      </c>
      <c r="D967" s="3">
        <f>ROUND(C967*(1-Settings!$B$2),2)</f>
        <v>122.5</v>
      </c>
      <c r="E967" s="2" t="inlineStr">
        <is>
          <t>Pokemon</t>
        </is>
      </c>
      <c r="F967" s="2" t="inlineStr">
        <is>
          <t>Coffret</t>
        </is>
      </c>
      <c r="G967" s="2" t="inlineStr">
        <is>
          <t>Crown Zenith</t>
        </is>
      </c>
      <c r="H967" s="3" t="n">
        <v>175</v>
      </c>
      <c r="I967" s="3" t="n"/>
      <c r="J967" s="3" t="n"/>
      <c r="K967" s="3" t="n"/>
      <c r="L967" s="2" t="inlineStr">
        <is>
          <t>PriceCharting</t>
        </is>
      </c>
      <c r="M967" s="4" t="inlineStr">
        <is>
          <t>https://www.pricecharting.com/game/pokemon-crown-zenith/lugia-v-&amp;-unown-v-special-collection</t>
        </is>
      </c>
    </row>
    <row r="968">
      <c r="A968" s="2" t="inlineStr">
        <is>
          <t>Crown Zenith Mini Tin [Bede]</t>
        </is>
      </c>
      <c r="B968" s="3">
        <f>IF(H968&lt;&gt;"",H968,IF(I968&lt;&gt;"",I968,IF(J968&lt;&gt;"",J968,K968)))</f>
        <v>49.99</v>
      </c>
      <c r="C968" s="3">
        <f>MEDIAN(H968:K968)</f>
        <v>49.99</v>
      </c>
      <c r="D968" s="3">
        <f>ROUND(C968*(1-Settings!$B$2),2)</f>
        <v>34.99</v>
      </c>
      <c r="E968" s="2" t="inlineStr">
        <is>
          <t>Pokemon</t>
        </is>
      </c>
      <c r="F968" s="2" t="inlineStr">
        <is>
          <t>Coffret</t>
        </is>
      </c>
      <c r="G968" s="2" t="inlineStr">
        <is>
          <t>Crown Zenith</t>
        </is>
      </c>
      <c r="H968" s="3" t="n">
        <v>49.99</v>
      </c>
      <c r="I968" s="3" t="n"/>
      <c r="J968" s="3" t="n"/>
      <c r="K968" s="3" t="n"/>
      <c r="L968" s="2" t="inlineStr">
        <is>
          <t>PriceCharting</t>
        </is>
      </c>
      <c r="M968" s="4" t="inlineStr">
        <is>
          <t>https://www.pricecharting.com/game/pokemon-crown-zenith/mini-tin-bede</t>
        </is>
      </c>
    </row>
    <row r="969">
      <c r="A969" s="2" t="inlineStr">
        <is>
          <t>Crown Zenith Mini Tin [Hop]</t>
        </is>
      </c>
      <c r="B969" s="3">
        <f>IF(H969&lt;&gt;"",H969,IF(I969&lt;&gt;"",I969,IF(J969&lt;&gt;"",J969,K969)))</f>
        <v>49.77</v>
      </c>
      <c r="C969" s="3">
        <f>MEDIAN(H969:K969)</f>
        <v>49.77</v>
      </c>
      <c r="D969" s="3">
        <f>ROUND(C969*(1-Settings!$B$2),2)</f>
        <v>34.84</v>
      </c>
      <c r="E969" s="2" t="inlineStr">
        <is>
          <t>Pokemon</t>
        </is>
      </c>
      <c r="F969" s="2" t="inlineStr">
        <is>
          <t>Coffret</t>
        </is>
      </c>
      <c r="G969" s="2" t="inlineStr">
        <is>
          <t>Crown Zenith</t>
        </is>
      </c>
      <c r="H969" s="3" t="n">
        <v>49.77</v>
      </c>
      <c r="I969" s="3" t="n"/>
      <c r="J969" s="3" t="n"/>
      <c r="K969" s="3" t="n"/>
      <c r="L969" s="2" t="inlineStr">
        <is>
          <t>PriceCharting</t>
        </is>
      </c>
      <c r="M969" s="4" t="inlineStr">
        <is>
          <t>https://www.pricecharting.com/game/pokemon-crown-zenith/mini-tin-hop</t>
        </is>
      </c>
    </row>
    <row r="970">
      <c r="A970" s="2" t="inlineStr">
        <is>
          <t>Crown Zenith Morpeko V Union Premium Treasures Collection</t>
        </is>
      </c>
      <c r="B970" s="3">
        <f>IF(H970&lt;&gt;"",H970,IF(I970&lt;&gt;"",I970,IF(J970&lt;&gt;"",J970,K970)))</f>
        <v>223.88</v>
      </c>
      <c r="C970" s="3">
        <f>MEDIAN(H970:K970)</f>
        <v>223.88</v>
      </c>
      <c r="D970" s="3">
        <f>ROUND(C970*(1-Settings!$B$2),2)</f>
        <v>156.72</v>
      </c>
      <c r="E970" s="2" t="inlineStr">
        <is>
          <t>Pokemon</t>
        </is>
      </c>
      <c r="F970" s="2" t="inlineStr">
        <is>
          <t>Coffret</t>
        </is>
      </c>
      <c r="G970" s="2" t="inlineStr">
        <is>
          <t>Crown Zenith</t>
        </is>
      </c>
      <c r="H970" s="3" t="n">
        <v>223.88</v>
      </c>
      <c r="I970" s="3" t="n"/>
      <c r="J970" s="3" t="n"/>
      <c r="K970" s="3" t="n"/>
      <c r="L970" s="2" t="inlineStr">
        <is>
          <t>PriceCharting</t>
        </is>
      </c>
      <c r="M970" s="4" t="inlineStr">
        <is>
          <t>https://www.pricecharting.com/game/pokemon-crown-zenith/morpeko-v-union-premium-treasures-collection</t>
        </is>
      </c>
    </row>
    <row r="971">
      <c r="A971" s="2" t="inlineStr">
        <is>
          <t>Crown Zenith Morpeko V-Union Premium Playmat Collection Box</t>
        </is>
      </c>
      <c r="B971" s="3">
        <f>IF(H971&lt;&gt;"",H971,IF(I971&lt;&gt;"",I971,IF(J971&lt;&gt;"",J971,K971)))</f>
        <v>139.0</v>
      </c>
      <c r="C971" s="3">
        <f>MEDIAN(H971:K971)</f>
        <v>139.0</v>
      </c>
      <c r="D971" s="3">
        <f>ROUND(C971*(1-Settings!$B$2),2)</f>
        <v>97.3</v>
      </c>
      <c r="E971" s="2" t="inlineStr">
        <is>
          <t>Pokemon</t>
        </is>
      </c>
      <c r="F971" s="2" t="inlineStr">
        <is>
          <t>Coffret</t>
        </is>
      </c>
      <c r="G971" s="2" t="inlineStr">
        <is>
          <t>Crown Zenith</t>
        </is>
      </c>
      <c r="H971" s="3" t="n">
        <v>139</v>
      </c>
      <c r="I971" s="3" t="n"/>
      <c r="J971" s="3" t="n"/>
      <c r="K971" s="3" t="n"/>
      <c r="L971" s="2" t="inlineStr">
        <is>
          <t>PriceCharting</t>
        </is>
      </c>
      <c r="M971" s="4" t="inlineStr">
        <is>
          <t>https://www.pricecharting.com/game/pokemon-crown-zenith/morpeko-v-union-premium-playmat-collection-box</t>
        </is>
      </c>
    </row>
    <row r="972">
      <c r="A972" s="2" t="inlineStr">
        <is>
          <t>Crown Zenith Pin Collection Inteleon</t>
        </is>
      </c>
      <c r="B972" s="3">
        <f>IF(H972&lt;&gt;"",H972,IF(I972&lt;&gt;"",I972,IF(J972&lt;&gt;"",J972,K972)))</f>
        <v>75.13</v>
      </c>
      <c r="C972" s="3">
        <f>MEDIAN(H972:K972)</f>
        <v>75.13</v>
      </c>
      <c r="D972" s="3">
        <f>ROUND(C972*(1-Settings!$B$2),2)</f>
        <v>52.59</v>
      </c>
      <c r="E972" s="2" t="inlineStr">
        <is>
          <t>Pokemon</t>
        </is>
      </c>
      <c r="F972" s="2" t="inlineStr">
        <is>
          <t>Coffret</t>
        </is>
      </c>
      <c r="G972" s="2" t="inlineStr">
        <is>
          <t>Crown Zenith</t>
        </is>
      </c>
      <c r="H972" s="3" t="n">
        <v>75.13</v>
      </c>
      <c r="I972" s="3" t="n"/>
      <c r="J972" s="3" t="n"/>
      <c r="K972" s="3" t="n"/>
      <c r="L972" s="2" t="inlineStr">
        <is>
          <t>PriceCharting</t>
        </is>
      </c>
      <c r="M972" s="4" t="inlineStr">
        <is>
          <t>https://www.pricecharting.com/game/pokemon-crown-zenith/pin-collection-inteleon</t>
        </is>
      </c>
    </row>
    <row r="973">
      <c r="A973" s="2" t="inlineStr">
        <is>
          <t>Crown Zenith Regidrago V Collection</t>
        </is>
      </c>
      <c r="B973" s="3">
        <f>IF(H973&lt;&gt;"",H973,IF(I973&lt;&gt;"",I973,IF(J973&lt;&gt;"",J973,K973)))</f>
        <v>94.21</v>
      </c>
      <c r="C973" s="3">
        <f>MEDIAN(H973:K973)</f>
        <v>94.21</v>
      </c>
      <c r="D973" s="3">
        <f>ROUND(C973*(1-Settings!$B$2),2)</f>
        <v>65.95</v>
      </c>
      <c r="E973" s="2" t="inlineStr">
        <is>
          <t>Pokemon</t>
        </is>
      </c>
      <c r="F973" s="2" t="inlineStr">
        <is>
          <t>Coffret</t>
        </is>
      </c>
      <c r="G973" s="2" t="inlineStr">
        <is>
          <t>Crown Zenith</t>
        </is>
      </c>
      <c r="H973" s="3" t="n">
        <v>94.20999999999999</v>
      </c>
      <c r="I973" s="3" t="n"/>
      <c r="J973" s="3" t="n"/>
      <c r="K973" s="3" t="n"/>
      <c r="L973" s="2" t="inlineStr">
        <is>
          <t>PriceCharting</t>
        </is>
      </c>
      <c r="M973" s="4" t="inlineStr">
        <is>
          <t>https://www.pricecharting.com/game/pokemon-crown-zenith/regidrago-v-collection</t>
        </is>
      </c>
    </row>
    <row r="974">
      <c r="A974" s="2" t="inlineStr">
        <is>
          <t>Crown Zenith Regieleki V Collection</t>
        </is>
      </c>
      <c r="B974" s="3">
        <f>IF(H974&lt;&gt;"",H974,IF(I974&lt;&gt;"",I974,IF(J974&lt;&gt;"",J974,K974)))</f>
        <v>97.41</v>
      </c>
      <c r="C974" s="3">
        <f>MEDIAN(H974:K974)</f>
        <v>97.41</v>
      </c>
      <c r="D974" s="3">
        <f>ROUND(C974*(1-Settings!$B$2),2)</f>
        <v>68.19</v>
      </c>
      <c r="E974" s="2" t="inlineStr">
        <is>
          <t>Pokemon</t>
        </is>
      </c>
      <c r="F974" s="2" t="inlineStr">
        <is>
          <t>Coffret</t>
        </is>
      </c>
      <c r="G974" s="2" t="inlineStr">
        <is>
          <t>Crown Zenith</t>
        </is>
      </c>
      <c r="H974" s="3" t="n">
        <v>97.41</v>
      </c>
      <c r="I974" s="3" t="n"/>
      <c r="J974" s="3" t="n"/>
      <c r="K974" s="3" t="n"/>
      <c r="L974" s="2" t="inlineStr">
        <is>
          <t>PriceCharting</t>
        </is>
      </c>
      <c r="M974" s="4" t="inlineStr">
        <is>
          <t>https://www.pricecharting.com/game/pokemon-crown-zenith/regieleki-v-collection</t>
        </is>
      </c>
    </row>
    <row r="975">
      <c r="A975" s="2" t="inlineStr">
        <is>
          <t>Crown Zenith Sea And Sky Premium Collection Box</t>
        </is>
      </c>
      <c r="B975" s="3">
        <f>IF(H975&lt;&gt;"",H975,IF(I975&lt;&gt;"",I975,IF(J975&lt;&gt;"",J975,K975)))</f>
        <v>373.75</v>
      </c>
      <c r="C975" s="3">
        <f>MEDIAN(H975:K975)</f>
        <v>373.75</v>
      </c>
      <c r="D975" s="3">
        <f>ROUND(C975*(1-Settings!$B$2),2)</f>
        <v>261.63</v>
      </c>
      <c r="E975" s="2" t="inlineStr">
        <is>
          <t>Pokemon</t>
        </is>
      </c>
      <c r="F975" s="2" t="inlineStr">
        <is>
          <t>Coffret</t>
        </is>
      </c>
      <c r="G975" s="2" t="inlineStr">
        <is>
          <t>Crown Zenith</t>
        </is>
      </c>
      <c r="H975" s="3" t="n">
        <v>373.75</v>
      </c>
      <c r="I975" s="3" t="n"/>
      <c r="J975" s="3" t="n"/>
      <c r="K975" s="3" t="n"/>
      <c r="L975" s="2" t="inlineStr">
        <is>
          <t>PriceCharting</t>
        </is>
      </c>
      <c r="M975" s="4" t="inlineStr">
        <is>
          <t>https://www.pricecharting.com/game/pokemon-crown-zenith/sea-and-sky-premium-collection-box</t>
        </is>
      </c>
    </row>
    <row r="976">
      <c r="A976" s="2" t="inlineStr">
        <is>
          <t>Crown Zenith Shiny Zacian Premium Figure Collection Box</t>
        </is>
      </c>
      <c r="B976" s="3">
        <f>IF(H976&lt;&gt;"",H976,IF(I976&lt;&gt;"",I976,IF(J976&lt;&gt;"",J976,K976)))</f>
        <v>315.0</v>
      </c>
      <c r="C976" s="3">
        <f>MEDIAN(H976:K976)</f>
        <v>315.0</v>
      </c>
      <c r="D976" s="3">
        <f>ROUND(C976*(1-Settings!$B$2),2)</f>
        <v>220.5</v>
      </c>
      <c r="E976" s="2" t="inlineStr">
        <is>
          <t>Pokemon</t>
        </is>
      </c>
      <c r="F976" s="2" t="inlineStr">
        <is>
          <t>Coffret</t>
        </is>
      </c>
      <c r="G976" s="2" t="inlineStr">
        <is>
          <t>Crown Zenith</t>
        </is>
      </c>
      <c r="H976" s="3" t="n">
        <v>315</v>
      </c>
      <c r="I976" s="3" t="n"/>
      <c r="J976" s="3" t="n"/>
      <c r="K976" s="3" t="n"/>
      <c r="L976" s="2" t="inlineStr">
        <is>
          <t>PriceCharting</t>
        </is>
      </c>
      <c r="M976" s="4" t="inlineStr">
        <is>
          <t>https://www.pricecharting.com/game/pokemon-crown-zenith/shiny-zacian-premium-figure-collection-box</t>
        </is>
      </c>
    </row>
    <row r="977">
      <c r="A977" s="2" t="inlineStr">
        <is>
          <t>Crown Zenith Shiny Zamazenta Premium Figure Collection Box</t>
        </is>
      </c>
      <c r="B977" s="3">
        <f>IF(H977&lt;&gt;"",H977,IF(I977&lt;&gt;"",I977,IF(J977&lt;&gt;"",J977,K977)))</f>
        <v>332.5</v>
      </c>
      <c r="C977" s="3">
        <f>MEDIAN(H977:K977)</f>
        <v>332.5</v>
      </c>
      <c r="D977" s="3">
        <f>ROUND(C977*(1-Settings!$B$2),2)</f>
        <v>232.75</v>
      </c>
      <c r="E977" s="2" t="inlineStr">
        <is>
          <t>Pokemon</t>
        </is>
      </c>
      <c r="F977" s="2" t="inlineStr">
        <is>
          <t>Coffret</t>
        </is>
      </c>
      <c r="G977" s="2" t="inlineStr">
        <is>
          <t>Crown Zenith</t>
        </is>
      </c>
      <c r="H977" s="3" t="n">
        <v>332.5</v>
      </c>
      <c r="I977" s="3" t="n"/>
      <c r="J977" s="3" t="n"/>
      <c r="K977" s="3" t="n"/>
      <c r="L977" s="2" t="inlineStr">
        <is>
          <t>PriceCharting</t>
        </is>
      </c>
      <c r="M977" s="4" t="inlineStr">
        <is>
          <t>https://www.pricecharting.com/game/pokemon-crown-zenith/shiny-zamazenta-premium-figure-collection-box</t>
        </is>
      </c>
    </row>
    <row r="978">
      <c r="A978" s="2" t="inlineStr">
        <is>
          <t>Dark Explorers Luxray 3-Pack Blister</t>
        </is>
      </c>
      <c r="B978" s="3">
        <f>IF(H978&lt;&gt;"",H978,IF(I978&lt;&gt;"",I978,IF(J978&lt;&gt;"",J978,K978)))</f>
        <v>499.0</v>
      </c>
      <c r="C978" s="3">
        <f>MEDIAN(H978:K978)</f>
        <v>499.0</v>
      </c>
      <c r="D978" s="3">
        <f>ROUND(C978*(1-Settings!$B$2),2)</f>
        <v>349.3</v>
      </c>
      <c r="E978" s="2" t="inlineStr">
        <is>
          <t>Pokemon</t>
        </is>
      </c>
      <c r="F978" s="2" t="inlineStr">
        <is>
          <t>Coffret</t>
        </is>
      </c>
      <c r="G978" s="2" t="inlineStr">
        <is>
          <t>Dark Explorers</t>
        </is>
      </c>
      <c r="H978" s="3" t="n">
        <v>499</v>
      </c>
      <c r="I978" s="3" t="n"/>
      <c r="J978" s="3" t="n"/>
      <c r="K978" s="3" t="n"/>
      <c r="L978" s="2" t="inlineStr">
        <is>
          <t>PriceCharting</t>
        </is>
      </c>
      <c r="M978" s="4" t="inlineStr">
        <is>
          <t>https://www.pricecharting.com/game/pokemon-dark-explorers/luxray-3-pack-blister</t>
        </is>
      </c>
    </row>
    <row r="979">
      <c r="A979" s="2" t="inlineStr">
        <is>
          <t>Darkness Ablaze Eevee 3-Pack Blister</t>
        </is>
      </c>
      <c r="B979" s="3">
        <f>IF(H979&lt;&gt;"",H979,IF(I979&lt;&gt;"",I979,IF(J979&lt;&gt;"",J979,K979)))</f>
        <v>35.99</v>
      </c>
      <c r="C979" s="3">
        <f>MEDIAN(H979:K979)</f>
        <v>35.99</v>
      </c>
      <c r="D979" s="3">
        <f>ROUND(C979*(1-Settings!$B$2),2)</f>
        <v>25.19</v>
      </c>
      <c r="E979" s="2" t="inlineStr">
        <is>
          <t>Pokemon</t>
        </is>
      </c>
      <c r="F979" s="2" t="inlineStr">
        <is>
          <t>Coffret</t>
        </is>
      </c>
      <c r="G979" s="2" t="inlineStr">
        <is>
          <t>Darkness Ablaze</t>
        </is>
      </c>
      <c r="H979" s="3" t="n">
        <v>35.99</v>
      </c>
      <c r="I979" s="3" t="n"/>
      <c r="J979" s="3" t="n"/>
      <c r="K979" s="3" t="n"/>
      <c r="L979" s="2" t="inlineStr">
        <is>
          <t>PriceCharting</t>
        </is>
      </c>
      <c r="M979" s="4" t="inlineStr">
        <is>
          <t>https://www.pricecharting.com/game/pokemon-darkness-ablaze/eevee-3-pack-blister</t>
        </is>
      </c>
    </row>
    <row r="980">
      <c r="A980" s="2" t="inlineStr">
        <is>
          <t>Darkness Ablaze Eternatus VMAX Premium Collection Box</t>
        </is>
      </c>
      <c r="B980" s="3">
        <f>IF(H980&lt;&gt;"",H980,IF(I980&lt;&gt;"",I980,IF(J980&lt;&gt;"",J980,K980)))</f>
        <v>107.5</v>
      </c>
      <c r="C980" s="3">
        <f>MEDIAN(H980:K980)</f>
        <v>107.5</v>
      </c>
      <c r="D980" s="3">
        <f>ROUND(C980*(1-Settings!$B$2),2)</f>
        <v>75.25</v>
      </c>
      <c r="E980" s="2" t="inlineStr">
        <is>
          <t>Pokemon</t>
        </is>
      </c>
      <c r="F980" s="2" t="inlineStr">
        <is>
          <t>Coffret</t>
        </is>
      </c>
      <c r="G980" s="2" t="inlineStr">
        <is>
          <t>Darkness Ablaze</t>
        </is>
      </c>
      <c r="H980" s="3" t="n">
        <v>107.5</v>
      </c>
      <c r="I980" s="3" t="n"/>
      <c r="J980" s="3" t="n"/>
      <c r="K980" s="3" t="n"/>
      <c r="L980" s="2" t="inlineStr">
        <is>
          <t>PriceCharting</t>
        </is>
      </c>
      <c r="M980" s="4" t="inlineStr">
        <is>
          <t>https://www.pricecharting.com/game/pokemon-darkness-ablaze/eternatus-vmax-premium-collection-box</t>
        </is>
      </c>
    </row>
    <row r="981">
      <c r="A981" s="2" t="inlineStr">
        <is>
          <t>Destined Rivals Elite Trainer Box [Pokemon Center]</t>
        </is>
      </c>
      <c r="B981" s="3">
        <f>IF(H981&lt;&gt;"",H981,IF(I981&lt;&gt;"",I981,IF(J981&lt;&gt;"",J981,K981)))</f>
        <v>423.01</v>
      </c>
      <c r="C981" s="3">
        <f>MEDIAN(H981:K981)</f>
        <v>423.01</v>
      </c>
      <c r="D981" s="3">
        <f>ROUND(C981*(1-Settings!$B$2),2)</f>
        <v>296.11</v>
      </c>
      <c r="E981" s="2" t="inlineStr">
        <is>
          <t>Pokemon</t>
        </is>
      </c>
      <c r="F981" s="2" t="inlineStr">
        <is>
          <t>Coffret</t>
        </is>
      </c>
      <c r="G981" s="2" t="inlineStr">
        <is>
          <t>Destined Rivals</t>
        </is>
      </c>
      <c r="H981" s="3" t="n">
        <v>423.01</v>
      </c>
      <c r="I981" s="3" t="n"/>
      <c r="J981" s="3" t="n"/>
      <c r="K981" s="3" t="n"/>
      <c r="L981" s="2" t="inlineStr">
        <is>
          <t>PriceCharting</t>
        </is>
      </c>
      <c r="M981" s="4" t="inlineStr">
        <is>
          <t>https://www.pricecharting.com/game/pokemon-destined-rivals/elite-trainer-box-pokemon-center</t>
        </is>
      </c>
    </row>
    <row r="982">
      <c r="A982" s="2" t="inlineStr">
        <is>
          <t>Destined Rivals Team Rocket Tin: Mewtwo Ex</t>
        </is>
      </c>
      <c r="B982" s="3">
        <f>IF(H982&lt;&gt;"",H982,IF(I982&lt;&gt;"",I982,IF(J982&lt;&gt;"",J982,K982)))</f>
        <v>62.44</v>
      </c>
      <c r="C982" s="3">
        <f>MEDIAN(H982:K982)</f>
        <v>62.44</v>
      </c>
      <c r="D982" s="3">
        <f>ROUND(C982*(1-Settings!$B$2),2)</f>
        <v>43.71</v>
      </c>
      <c r="E982" s="2" t="inlineStr">
        <is>
          <t>Pokemon</t>
        </is>
      </c>
      <c r="F982" s="2" t="inlineStr">
        <is>
          <t>Coffret</t>
        </is>
      </c>
      <c r="G982" s="2" t="inlineStr">
        <is>
          <t>Destined Rivals</t>
        </is>
      </c>
      <c r="H982" s="3" t="n">
        <v>62.44</v>
      </c>
      <c r="I982" s="3" t="n"/>
      <c r="J982" s="3" t="n"/>
      <c r="K982" s="3" t="n"/>
      <c r="L982" s="2" t="inlineStr">
        <is>
          <t>PriceCharting</t>
        </is>
      </c>
      <c r="M982" s="4" t="inlineStr">
        <is>
          <t>https://www.pricecharting.com/game/pokemon-destined-rivals/team-rocket-tin-mewtwo-ex</t>
        </is>
      </c>
    </row>
    <row r="983">
      <c r="A983" s="2" t="inlineStr">
        <is>
          <t>Destined Rivals Team Rocket Tin: Mewtwo ex [International]</t>
        </is>
      </c>
      <c r="B983" s="3">
        <f>IF(H983&lt;&gt;"",H983,IF(I983&lt;&gt;"",I983,IF(J983&lt;&gt;"",J983,K983)))</f>
        <v>114.99</v>
      </c>
      <c r="C983" s="3">
        <f>MEDIAN(H983:K983)</f>
        <v>114.99</v>
      </c>
      <c r="D983" s="3">
        <f>ROUND(C983*(1-Settings!$B$2),2)</f>
        <v>80.49</v>
      </c>
      <c r="E983" s="2" t="inlineStr">
        <is>
          <t>Pokemon</t>
        </is>
      </c>
      <c r="F983" s="2" t="inlineStr">
        <is>
          <t>Coffret</t>
        </is>
      </c>
      <c r="G983" s="2" t="inlineStr">
        <is>
          <t>Destined Rivals</t>
        </is>
      </c>
      <c r="H983" s="3" t="n">
        <v>114.99</v>
      </c>
      <c r="I983" s="3" t="n"/>
      <c r="J983" s="3" t="n"/>
      <c r="K983" s="3" t="n"/>
      <c r="L983" s="2" t="inlineStr">
        <is>
          <t>PriceCharting</t>
        </is>
      </c>
      <c r="M983" s="4" t="inlineStr">
        <is>
          <t>https://www.pricecharting.com/game/pokemon-destined-rivals/team-rocket-tin-mewtwo-ex-international</t>
        </is>
      </c>
    </row>
    <row r="984">
      <c r="A984" s="2" t="inlineStr">
        <is>
          <t>Destined Rivals Team Rocket Tin: Nidoking ex</t>
        </is>
      </c>
      <c r="B984" s="3">
        <f>IF(H984&lt;&gt;"",H984,IF(I984&lt;&gt;"",I984,IF(J984&lt;&gt;"",J984,K984)))</f>
        <v>47.94</v>
      </c>
      <c r="C984" s="3">
        <f>MEDIAN(H984:K984)</f>
        <v>47.94</v>
      </c>
      <c r="D984" s="3">
        <f>ROUND(C984*(1-Settings!$B$2),2)</f>
        <v>33.56</v>
      </c>
      <c r="E984" s="2" t="inlineStr">
        <is>
          <t>Pokemon</t>
        </is>
      </c>
      <c r="F984" s="2" t="inlineStr">
        <is>
          <t>Coffret</t>
        </is>
      </c>
      <c r="G984" s="2" t="inlineStr">
        <is>
          <t>Destined Rivals</t>
        </is>
      </c>
      <c r="H984" s="3" t="n">
        <v>47.94</v>
      </c>
      <c r="I984" s="3" t="n"/>
      <c r="J984" s="3" t="n"/>
      <c r="K984" s="3" t="n"/>
      <c r="L984" s="2" t="inlineStr">
        <is>
          <t>PriceCharting</t>
        </is>
      </c>
      <c r="M984" s="4" t="inlineStr">
        <is>
          <t>https://www.pricecharting.com/game/pokemon-destined-rivals/team-rocket-tin-nidoking-ex</t>
        </is>
      </c>
    </row>
    <row r="985">
      <c r="A985" s="2" t="inlineStr">
        <is>
          <t>Destined Rivals Team Rocket Tin: Nidoking ex [International]</t>
        </is>
      </c>
      <c r="B985" s="3">
        <f>IF(H985&lt;&gt;"",H985,IF(I985&lt;&gt;"",I985,IF(J985&lt;&gt;"",J985,K985)))</f>
        <v>37.94</v>
      </c>
      <c r="C985" s="3">
        <f>MEDIAN(H985:K985)</f>
        <v>37.94</v>
      </c>
      <c r="D985" s="3">
        <f>ROUND(C985*(1-Settings!$B$2),2)</f>
        <v>26.56</v>
      </c>
      <c r="E985" s="2" t="inlineStr">
        <is>
          <t>Pokemon</t>
        </is>
      </c>
      <c r="F985" s="2" t="inlineStr">
        <is>
          <t>Coffret</t>
        </is>
      </c>
      <c r="G985" s="2" t="inlineStr">
        <is>
          <t>Destined Rivals</t>
        </is>
      </c>
      <c r="H985" s="3" t="n">
        <v>37.94</v>
      </c>
      <c r="I985" s="3" t="n"/>
      <c r="J985" s="3" t="n"/>
      <c r="K985" s="3" t="n"/>
      <c r="L985" s="2" t="inlineStr">
        <is>
          <t>PriceCharting</t>
        </is>
      </c>
      <c r="M985" s="4" t="inlineStr">
        <is>
          <t>https://www.pricecharting.com/game/pokemon-destined-rivals/team-rocket-tin-nidoking-ex-international</t>
        </is>
      </c>
    </row>
    <row r="986">
      <c r="A986" s="2" t="inlineStr">
        <is>
          <t>Destined Rivals Team Rocket Tin: Persian ex</t>
        </is>
      </c>
      <c r="B986" s="3">
        <f>IF(H986&lt;&gt;"",H986,IF(I986&lt;&gt;"",I986,IF(J986&lt;&gt;"",J986,K986)))</f>
        <v>48.29</v>
      </c>
      <c r="C986" s="3">
        <f>MEDIAN(H986:K986)</f>
        <v>48.29</v>
      </c>
      <c r="D986" s="3">
        <f>ROUND(C986*(1-Settings!$B$2),2)</f>
        <v>33.8</v>
      </c>
      <c r="E986" s="2" t="inlineStr">
        <is>
          <t>Pokemon</t>
        </is>
      </c>
      <c r="F986" s="2" t="inlineStr">
        <is>
          <t>Coffret</t>
        </is>
      </c>
      <c r="G986" s="2" t="inlineStr">
        <is>
          <t>Destined Rivals</t>
        </is>
      </c>
      <c r="H986" s="3" t="n">
        <v>48.29</v>
      </c>
      <c r="I986" s="3" t="n"/>
      <c r="J986" s="3" t="n"/>
      <c r="K986" s="3" t="n"/>
      <c r="L986" s="2" t="inlineStr">
        <is>
          <t>PriceCharting</t>
        </is>
      </c>
      <c r="M986" s="4" t="inlineStr">
        <is>
          <t>https://www.pricecharting.com/game/pokemon-destined-rivals/team-rocket-tin-persian-ex</t>
        </is>
      </c>
    </row>
    <row r="987">
      <c r="A987" s="2" t="inlineStr">
        <is>
          <t>Destined Rivals Team Rocket Tin: Persian ex [International]</t>
        </is>
      </c>
      <c r="B987" s="3">
        <f>IF(H987&lt;&gt;"",H987,IF(I987&lt;&gt;"",I987,IF(J987&lt;&gt;"",J987,K987)))</f>
        <v>99.99</v>
      </c>
      <c r="C987" s="3">
        <f>MEDIAN(H987:K987)</f>
        <v>99.99</v>
      </c>
      <c r="D987" s="3">
        <f>ROUND(C987*(1-Settings!$B$2),2)</f>
        <v>69.99</v>
      </c>
      <c r="E987" s="2" t="inlineStr">
        <is>
          <t>Pokemon</t>
        </is>
      </c>
      <c r="F987" s="2" t="inlineStr">
        <is>
          <t>Coffret</t>
        </is>
      </c>
      <c r="G987" s="2" t="inlineStr">
        <is>
          <t>Destined Rivals</t>
        </is>
      </c>
      <c r="H987" s="3" t="n">
        <v>99.98999999999999</v>
      </c>
      <c r="I987" s="3" t="n"/>
      <c r="J987" s="3" t="n"/>
      <c r="K987" s="3" t="n"/>
      <c r="L987" s="2" t="inlineStr">
        <is>
          <t>PriceCharting</t>
        </is>
      </c>
      <c r="M987" s="4" t="inlineStr">
        <is>
          <t>https://www.pricecharting.com/game/pokemon-destined-rivals/team-rocket-tin-persian-ex-international</t>
        </is>
      </c>
    </row>
    <row r="988">
      <c r="A988" s="2" t="inlineStr">
        <is>
          <t>Destined Rivals Team Rocket's Mewtwo ex Box</t>
        </is>
      </c>
      <c r="B988" s="3">
        <f>IF(H988&lt;&gt;"",H988,IF(I988&lt;&gt;"",I988,IF(J988&lt;&gt;"",J988,K988)))</f>
        <v>53.51</v>
      </c>
      <c r="C988" s="3">
        <f>MEDIAN(H988:K988)</f>
        <v>53.51</v>
      </c>
      <c r="D988" s="3">
        <f>ROUND(C988*(1-Settings!$B$2),2)</f>
        <v>37.46</v>
      </c>
      <c r="E988" s="2" t="inlineStr">
        <is>
          <t>Pokemon</t>
        </is>
      </c>
      <c r="F988" s="2" t="inlineStr">
        <is>
          <t>Coffret</t>
        </is>
      </c>
      <c r="G988" s="2" t="inlineStr">
        <is>
          <t>Destined Rivals</t>
        </is>
      </c>
      <c r="H988" s="3" t="n">
        <v>53.51</v>
      </c>
      <c r="I988" s="3" t="n"/>
      <c r="J988" s="3" t="n"/>
      <c r="K988" s="3" t="n"/>
      <c r="L988" s="2" t="inlineStr">
        <is>
          <t>PriceCharting</t>
        </is>
      </c>
      <c r="M988" s="4" t="inlineStr">
        <is>
          <t>https://www.pricecharting.com/game/pokemon-destined-rivals/team-rocket's-mewtwo-ex-box</t>
        </is>
      </c>
    </row>
    <row r="989">
      <c r="A989" s="2" t="inlineStr">
        <is>
          <t>Detective Pikachu Cafe Figure Collection</t>
        </is>
      </c>
      <c r="B989" s="3">
        <f>IF(H989&lt;&gt;"",H989,IF(I989&lt;&gt;"",I989,IF(J989&lt;&gt;"",J989,K989)))</f>
        <v>487.5</v>
      </c>
      <c r="C989" s="3">
        <f>MEDIAN(H989:K989)</f>
        <v>481.25</v>
      </c>
      <c r="D989" s="3">
        <f>ROUND(C989*(1-Settings!$B$2),2)</f>
        <v>336.88</v>
      </c>
      <c r="E989" s="2" t="inlineStr">
        <is>
          <t>Pokemon</t>
        </is>
      </c>
      <c r="F989" s="2" t="inlineStr">
        <is>
          <t>Coffret</t>
        </is>
      </c>
      <c r="G989" s="2" t="inlineStr">
        <is>
          <t>Detective Pikachu</t>
        </is>
      </c>
      <c r="H989" s="3" t="n"/>
      <c r="I989" s="3" t="n"/>
      <c r="J989" s="3" t="n">
        <v>487.5</v>
      </c>
      <c r="K989" s="3" t="n">
        <v>475</v>
      </c>
      <c r="L989" s="2" t="inlineStr">
        <is>
          <t>TCGplayer</t>
        </is>
      </c>
      <c r="N989" s="4" t="inlineStr">
        <is>
          <t>https://www.tcgplayer.com/product/264420</t>
        </is>
      </c>
    </row>
    <row r="990">
      <c r="A990" s="2" t="inlineStr">
        <is>
          <t>Detective Pikachu Collectors Chest</t>
        </is>
      </c>
      <c r="B990" s="3">
        <f>IF(H990&lt;&gt;"",H990,IF(I990&lt;&gt;"",I990,IF(J990&lt;&gt;"",J990,K990)))</f>
        <v>185.0</v>
      </c>
      <c r="C990" s="3">
        <f>MEDIAN(H990:K990)</f>
        <v>185.0</v>
      </c>
      <c r="D990" s="3">
        <f>ROUND(C990*(1-Settings!$B$2),2)</f>
        <v>129.5</v>
      </c>
      <c r="E990" s="2" t="inlineStr">
        <is>
          <t>Pokemon</t>
        </is>
      </c>
      <c r="F990" s="2" t="inlineStr">
        <is>
          <t>Coffret</t>
        </is>
      </c>
      <c r="G990" s="2" t="inlineStr">
        <is>
          <t>Detective Pikachu</t>
        </is>
      </c>
      <c r="H990" s="3" t="n">
        <v>185</v>
      </c>
      <c r="I990" s="3" t="n"/>
      <c r="J990" s="3" t="n"/>
      <c r="K990" s="3" t="n"/>
      <c r="L990" s="2" t="inlineStr">
        <is>
          <t>PriceCharting</t>
        </is>
      </c>
      <c r="M990" s="4" t="inlineStr">
        <is>
          <t>https://www.pricecharting.com/game/pokemon-detective-pikachu/detective-pikachu-collectors-chest</t>
        </is>
      </c>
    </row>
    <row r="991">
      <c r="A991" s="2" t="inlineStr">
        <is>
          <t>Detective Pikachu Tin [Charizard]</t>
        </is>
      </c>
      <c r="B991" s="3">
        <f>IF(H991&lt;&gt;"",H991,IF(I991&lt;&gt;"",I991,IF(J991&lt;&gt;"",J991,K991)))</f>
        <v>169.91</v>
      </c>
      <c r="C991" s="3">
        <f>MEDIAN(H991:K991)</f>
        <v>297.97</v>
      </c>
      <c r="D991" s="3">
        <f>ROUND(C991*(1-Settings!$B$2),2)</f>
        <v>208.58</v>
      </c>
      <c r="E991" s="2" t="inlineStr">
        <is>
          <t>Pokemon</t>
        </is>
      </c>
      <c r="F991" s="2" t="inlineStr">
        <is>
          <t>Coffret</t>
        </is>
      </c>
      <c r="G991" s="2" t="inlineStr">
        <is>
          <t>Detective Pikachu</t>
        </is>
      </c>
      <c r="H991" s="3" t="n"/>
      <c r="I991" s="3" t="n">
        <v>169.91</v>
      </c>
      <c r="J991" s="3" t="n">
        <v>297.97</v>
      </c>
      <c r="K991" s="3" t="n">
        <v>297.97</v>
      </c>
      <c r="L991" s="2" t="inlineStr">
        <is>
          <t>TCGplayer</t>
        </is>
      </c>
      <c r="N991" s="4" t="inlineStr">
        <is>
          <t>https://www.tcgplayer.com/product/502477</t>
        </is>
      </c>
    </row>
    <row r="992">
      <c r="A992" s="2" t="inlineStr">
        <is>
          <t>Detective Pikachu Tin [Mewtwo]</t>
        </is>
      </c>
      <c r="B992" s="3">
        <f>IF(H992&lt;&gt;"",H992,IF(I992&lt;&gt;"",I992,IF(J992&lt;&gt;"",J992,K992)))</f>
        <v>120.0</v>
      </c>
      <c r="C992" s="3">
        <f>MEDIAN(H992:K992)</f>
        <v>262.32</v>
      </c>
      <c r="D992" s="3">
        <f>ROUND(C992*(1-Settings!$B$2),2)</f>
        <v>183.62</v>
      </c>
      <c r="E992" s="2" t="inlineStr">
        <is>
          <t>Pokemon</t>
        </is>
      </c>
      <c r="F992" s="2" t="inlineStr">
        <is>
          <t>Coffret</t>
        </is>
      </c>
      <c r="G992" s="2" t="inlineStr">
        <is>
          <t>Detective Pikachu</t>
        </is>
      </c>
      <c r="H992" s="3" t="n">
        <v>120</v>
      </c>
      <c r="I992" s="3" t="n">
        <v>149.97</v>
      </c>
      <c r="J992" s="3" t="n">
        <v>387.17</v>
      </c>
      <c r="K992" s="3" t="n">
        <v>374.67</v>
      </c>
      <c r="L992" s="2" t="inlineStr">
        <is>
          <t>PriceCharting + TCGplayer</t>
        </is>
      </c>
      <c r="M992" s="4" t="inlineStr">
        <is>
          <t>https://www.pricecharting.com/game/pokemon-detective-pikachu/detective-pikachu-tin-mewtwo</t>
        </is>
      </c>
      <c r="N992" s="4" t="inlineStr">
        <is>
          <t>https://www.tcgplayer.com/product/502478</t>
        </is>
      </c>
    </row>
    <row r="993">
      <c r="A993" s="2" t="inlineStr">
        <is>
          <t>Detective Pikachu: Collector Chest</t>
        </is>
      </c>
      <c r="B993" s="3">
        <f>IF(H993&lt;&gt;"",H993,IF(I993&lt;&gt;"",I993,IF(J993&lt;&gt;"",J993,K993)))</f>
        <v>372.33</v>
      </c>
      <c r="C993" s="3">
        <f>MEDIAN(H993:K993)</f>
        <v>379.0</v>
      </c>
      <c r="D993" s="3">
        <f>ROUND(C993*(1-Settings!$B$2),2)</f>
        <v>265.3</v>
      </c>
      <c r="E993" s="2" t="inlineStr">
        <is>
          <t>Pokemon</t>
        </is>
      </c>
      <c r="F993" s="2" t="inlineStr">
        <is>
          <t>Coffret</t>
        </is>
      </c>
      <c r="G993" s="2" t="inlineStr">
        <is>
          <t>Detective Pikachu</t>
        </is>
      </c>
      <c r="H993" s="3" t="n"/>
      <c r="I993" s="3" t="n">
        <v>372.33</v>
      </c>
      <c r="J993" s="3" t="n">
        <v>390.95</v>
      </c>
      <c r="K993" s="3" t="n">
        <v>379</v>
      </c>
      <c r="L993" s="2" t="inlineStr">
        <is>
          <t>TCGplayer</t>
        </is>
      </c>
      <c r="N993" s="4" t="inlineStr">
        <is>
          <t>https://www.tcgplayer.com/product/185244</t>
        </is>
      </c>
    </row>
    <row r="994">
      <c r="A994" s="2" t="inlineStr">
        <is>
          <t>Double Crisis 4-Pack Blister Pack</t>
        </is>
      </c>
      <c r="B994" s="3">
        <f>IF(H994&lt;&gt;"",H994,IF(I994&lt;&gt;"",I994,IF(J994&lt;&gt;"",J994,K994)))</f>
        <v>1551.37</v>
      </c>
      <c r="C994" s="3">
        <f>MEDIAN(H994:K994)</f>
        <v>1551.37</v>
      </c>
      <c r="D994" s="3">
        <f>ROUND(C994*(1-Settings!$B$2),2)</f>
        <v>1085.96</v>
      </c>
      <c r="E994" s="2" t="inlineStr">
        <is>
          <t>Pokemon</t>
        </is>
      </c>
      <c r="F994" s="2" t="inlineStr">
        <is>
          <t>Coffret</t>
        </is>
      </c>
      <c r="G994" s="2" t="inlineStr">
        <is>
          <t>Double Crisis</t>
        </is>
      </c>
      <c r="H994" s="3" t="n">
        <v>1551.37</v>
      </c>
      <c r="I994" s="3" t="n"/>
      <c r="J994" s="3" t="n"/>
      <c r="K994" s="3" t="n"/>
      <c r="L994" s="2" t="inlineStr">
        <is>
          <t>PriceCharting</t>
        </is>
      </c>
      <c r="M994" s="4" t="inlineStr">
        <is>
          <t>https://www.pricecharting.com/game/pokemon-double-crisis/4-pack-blister-pack</t>
        </is>
      </c>
    </row>
    <row r="995">
      <c r="A995" s="2" t="inlineStr">
        <is>
          <t>Dragon Majesty Elite Trainer Box</t>
        </is>
      </c>
      <c r="B995" s="3">
        <f>IF(H995&lt;&gt;"",H995,IF(I995&lt;&gt;"",I995,IF(J995&lt;&gt;"",J995,K995)))</f>
        <v>1159.07</v>
      </c>
      <c r="C995" s="3">
        <f>MEDIAN(H995:K995)</f>
        <v>1228.245</v>
      </c>
      <c r="D995" s="3">
        <f>ROUND(C995*(1-Settings!$B$2),2)</f>
        <v>859.77</v>
      </c>
      <c r="E995" s="2" t="inlineStr">
        <is>
          <t>Pokemon</t>
        </is>
      </c>
      <c r="F995" s="2" t="inlineStr">
        <is>
          <t>Coffret</t>
        </is>
      </c>
      <c r="G995" s="2" t="inlineStr">
        <is>
          <t>Dragon Majesty</t>
        </is>
      </c>
      <c r="H995" s="3" t="n">
        <v>1159.07</v>
      </c>
      <c r="I995" s="3" t="n">
        <v>1256.49</v>
      </c>
      <c r="J995" s="3" t="n">
        <v>1612.49</v>
      </c>
      <c r="K995" s="3" t="n">
        <v>1200</v>
      </c>
      <c r="L995" s="2" t="inlineStr">
        <is>
          <t>PriceCharting + TCGplayer</t>
        </is>
      </c>
      <c r="M995" s="4" t="inlineStr">
        <is>
          <t>https://www.pricecharting.com/game/pokemon-dragon-majesty/elite-trainer-box</t>
        </is>
      </c>
      <c r="N995" s="4" t="inlineStr">
        <is>
          <t>https://www.tcgplayer.com/product/173393</t>
        </is>
      </c>
    </row>
    <row r="996">
      <c r="A996" s="2" t="inlineStr">
        <is>
          <t>Dragon Majesty Legends Of Unova GX Collection Box</t>
        </is>
      </c>
      <c r="B996" s="3">
        <f>IF(H996&lt;&gt;"",H996,IF(I996&lt;&gt;"",I996,IF(J996&lt;&gt;"",J996,K996)))</f>
        <v>398.61</v>
      </c>
      <c r="C996" s="3">
        <f>MEDIAN(H996:K996)</f>
        <v>398.61</v>
      </c>
      <c r="D996" s="3">
        <f>ROUND(C996*(1-Settings!$B$2),2)</f>
        <v>279.03</v>
      </c>
      <c r="E996" s="2" t="inlineStr">
        <is>
          <t>Pokemon</t>
        </is>
      </c>
      <c r="F996" s="2" t="inlineStr">
        <is>
          <t>Coffret</t>
        </is>
      </c>
      <c r="G996" s="2" t="inlineStr">
        <is>
          <t>Dragon Majesty</t>
        </is>
      </c>
      <c r="H996" s="3" t="n">
        <v>398.61</v>
      </c>
      <c r="I996" s="3" t="n"/>
      <c r="J996" s="3" t="n"/>
      <c r="K996" s="3" t="n"/>
      <c r="L996" s="2" t="inlineStr">
        <is>
          <t>PriceCharting</t>
        </is>
      </c>
      <c r="M996" s="4" t="inlineStr">
        <is>
          <t>https://www.pricecharting.com/game/pokemon-dragon-majesty/legends-of-unova-gx-collection-box</t>
        </is>
      </c>
    </row>
    <row r="997">
      <c r="A997" s="2" t="inlineStr">
        <is>
          <t>Dragon Majesty Pin Collection [Latias]</t>
        </is>
      </c>
      <c r="B997" s="3">
        <f>IF(H997&lt;&gt;"",H997,IF(I997&lt;&gt;"",I997,IF(J997&lt;&gt;"",J997,K997)))</f>
        <v>399.0</v>
      </c>
      <c r="C997" s="3">
        <f>MEDIAN(H997:K997)</f>
        <v>399.0</v>
      </c>
      <c r="D997" s="3">
        <f>ROUND(C997*(1-Settings!$B$2),2)</f>
        <v>279.3</v>
      </c>
      <c r="E997" s="2" t="inlineStr">
        <is>
          <t>Pokemon</t>
        </is>
      </c>
      <c r="F997" s="2" t="inlineStr">
        <is>
          <t>Coffret</t>
        </is>
      </c>
      <c r="G997" s="2" t="inlineStr">
        <is>
          <t>Dragon Majesty</t>
        </is>
      </c>
      <c r="H997" s="3" t="n"/>
      <c r="I997" s="3" t="n">
        <v>399</v>
      </c>
      <c r="J997" s="3" t="n"/>
      <c r="K997" s="3" t="n"/>
      <c r="L997" s="2" t="inlineStr">
        <is>
          <t>TCGplayer</t>
        </is>
      </c>
      <c r="N997" s="4" t="inlineStr">
        <is>
          <t>https://www.tcgplayer.com/product/175062</t>
        </is>
      </c>
    </row>
    <row r="998">
      <c r="A998" s="2" t="inlineStr">
        <is>
          <t>Dragon Majesty Pin Collection Box: Latias</t>
        </is>
      </c>
      <c r="B998" s="3">
        <f>IF(H998&lt;&gt;"",H998,IF(I998&lt;&gt;"",I998,IF(J998&lt;&gt;"",J998,K998)))</f>
        <v>308.22</v>
      </c>
      <c r="C998" s="3">
        <f>MEDIAN(H998:K998)</f>
        <v>308.22</v>
      </c>
      <c r="D998" s="3">
        <f>ROUND(C998*(1-Settings!$B$2),2)</f>
        <v>215.75</v>
      </c>
      <c r="E998" s="2" t="inlineStr">
        <is>
          <t>Pokemon</t>
        </is>
      </c>
      <c r="F998" s="2" t="inlineStr">
        <is>
          <t>Coffret</t>
        </is>
      </c>
      <c r="G998" s="2" t="inlineStr">
        <is>
          <t>Dragon Majesty</t>
        </is>
      </c>
      <c r="H998" s="3" t="n">
        <v>308.22</v>
      </c>
      <c r="I998" s="3" t="n"/>
      <c r="J998" s="3" t="n"/>
      <c r="K998" s="3" t="n"/>
      <c r="L998" s="2" t="inlineStr">
        <is>
          <t>PriceCharting</t>
        </is>
      </c>
      <c r="M998" s="4" t="inlineStr">
        <is>
          <t>https://www.pricecharting.com/game/pokemon-dragon-majesty/pin-collection-box-latias</t>
        </is>
      </c>
    </row>
    <row r="999">
      <c r="A999" s="2" t="inlineStr">
        <is>
          <t>Dragon Majesty Pin Collection Box: Latios</t>
        </is>
      </c>
      <c r="B999" s="3">
        <f>IF(H999&lt;&gt;"",H999,IF(I999&lt;&gt;"",I999,IF(J999&lt;&gt;"",J999,K999)))</f>
        <v>328.55</v>
      </c>
      <c r="C999" s="3">
        <f>MEDIAN(H999:K999)</f>
        <v>328.55</v>
      </c>
      <c r="D999" s="3">
        <f>ROUND(C999*(1-Settings!$B$2),2)</f>
        <v>229.99</v>
      </c>
      <c r="E999" s="2" t="inlineStr">
        <is>
          <t>Pokemon</t>
        </is>
      </c>
      <c r="F999" s="2" t="inlineStr">
        <is>
          <t>Coffret</t>
        </is>
      </c>
      <c r="G999" s="2" t="inlineStr">
        <is>
          <t>Dragon Majesty</t>
        </is>
      </c>
      <c r="H999" s="3" t="n">
        <v>328.55</v>
      </c>
      <c r="I999" s="3" t="n"/>
      <c r="J999" s="3" t="n"/>
      <c r="K999" s="3" t="n"/>
      <c r="L999" s="2" t="inlineStr">
        <is>
          <t>PriceCharting</t>
        </is>
      </c>
      <c r="M999" s="4" t="inlineStr">
        <is>
          <t>https://www.pricecharting.com/game/pokemon-dragon-majesty/pin-collection-box-latios</t>
        </is>
      </c>
    </row>
    <row r="1000">
      <c r="A1000" s="2" t="inlineStr">
        <is>
          <t>Dragon Majesty Special Collection: Salamence GX</t>
        </is>
      </c>
      <c r="B1000" s="3">
        <f>IF(H1000&lt;&gt;"",H1000,IF(I1000&lt;&gt;"",I1000,IF(J1000&lt;&gt;"",J1000,K1000)))</f>
        <v>999.99</v>
      </c>
      <c r="C1000" s="3">
        <f>MEDIAN(H1000:K1000)</f>
        <v>999.99</v>
      </c>
      <c r="D1000" s="3">
        <f>ROUND(C1000*(1-Settings!$B$2),2)</f>
        <v>699.99</v>
      </c>
      <c r="E1000" s="2" t="inlineStr">
        <is>
          <t>Pokemon</t>
        </is>
      </c>
      <c r="F1000" s="2" t="inlineStr">
        <is>
          <t>Coffret</t>
        </is>
      </c>
      <c r="G1000" s="2" t="inlineStr">
        <is>
          <t>Dragon Majesty</t>
        </is>
      </c>
      <c r="H1000" s="3" t="n"/>
      <c r="I1000" s="3" t="n"/>
      <c r="J1000" s="3" t="n">
        <v>999.99</v>
      </c>
      <c r="K1000" s="3" t="n">
        <v>999.99</v>
      </c>
      <c r="L1000" s="2" t="inlineStr">
        <is>
          <t>TCGplayer</t>
        </is>
      </c>
      <c r="N1000" s="4" t="inlineStr">
        <is>
          <t>https://www.tcgplayer.com/product/180522</t>
        </is>
      </c>
    </row>
    <row r="1001">
      <c r="A1001" s="2" t="inlineStr">
        <is>
          <t>Dragon Majesty Special Collection: White Kyurem GX</t>
        </is>
      </c>
      <c r="B1001" s="3">
        <f>IF(H1001&lt;&gt;"",H1001,IF(I1001&lt;&gt;"",I1001,IF(J1001&lt;&gt;"",J1001,K1001)))</f>
        <v>588.97</v>
      </c>
      <c r="C1001" s="3">
        <f>MEDIAN(H1001:K1001)</f>
        <v>582.12</v>
      </c>
      <c r="D1001" s="3">
        <f>ROUND(C1001*(1-Settings!$B$2),2)</f>
        <v>407.48</v>
      </c>
      <c r="E1001" s="2" t="inlineStr">
        <is>
          <t>Pokemon</t>
        </is>
      </c>
      <c r="F1001" s="2" t="inlineStr">
        <is>
          <t>Coffret</t>
        </is>
      </c>
      <c r="G1001" s="2" t="inlineStr">
        <is>
          <t>Dragon Majesty</t>
        </is>
      </c>
      <c r="H1001" s="3" t="n"/>
      <c r="I1001" s="3" t="n"/>
      <c r="J1001" s="3" t="n">
        <v>588.97</v>
      </c>
      <c r="K1001" s="3" t="n">
        <v>575.27</v>
      </c>
      <c r="L1001" s="2" t="inlineStr">
        <is>
          <t>TCGplayer</t>
        </is>
      </c>
      <c r="N1001" s="4" t="inlineStr">
        <is>
          <t>https://www.tcgplayer.com/product/180526</t>
        </is>
      </c>
    </row>
    <row r="1002">
      <c r="A1002" s="2" t="inlineStr">
        <is>
          <t>Dragon Majesty Super Premium Collection Box</t>
        </is>
      </c>
      <c r="B1002" s="3">
        <f>IF(H1002&lt;&gt;"",H1002,IF(I1002&lt;&gt;"",I1002,IF(J1002&lt;&gt;"",J1002,K1002)))</f>
        <v>1039.18</v>
      </c>
      <c r="C1002" s="3">
        <f>MEDIAN(H1002:K1002)</f>
        <v>1039.18</v>
      </c>
      <c r="D1002" s="3">
        <f>ROUND(C1002*(1-Settings!$B$2),2)</f>
        <v>727.43</v>
      </c>
      <c r="E1002" s="2" t="inlineStr">
        <is>
          <t>Pokemon</t>
        </is>
      </c>
      <c r="F1002" s="2" t="inlineStr">
        <is>
          <t>Coffret</t>
        </is>
      </c>
      <c r="G1002" s="2" t="inlineStr">
        <is>
          <t>Dragon Majesty</t>
        </is>
      </c>
      <c r="H1002" s="3" t="n">
        <v>1039.18</v>
      </c>
      <c r="I1002" s="3" t="n"/>
      <c r="J1002" s="3" t="n"/>
      <c r="K1002" s="3" t="n"/>
      <c r="L1002" s="2" t="inlineStr">
        <is>
          <t>PriceCharting</t>
        </is>
      </c>
      <c r="M1002" s="4" t="inlineStr">
        <is>
          <t>https://www.pricecharting.com/game/pokemon-dragon-majesty/super-premium-collection-box</t>
        </is>
      </c>
    </row>
    <row r="1003">
      <c r="A1003" s="2" t="inlineStr">
        <is>
          <t>Dragon Majesty Super-Premium Collection</t>
        </is>
      </c>
      <c r="B1003" s="3">
        <f>IF(H1003&lt;&gt;"",H1003,IF(I1003&lt;&gt;"",I1003,IF(J1003&lt;&gt;"",J1003,K1003)))</f>
        <v>1699.99</v>
      </c>
      <c r="C1003" s="3">
        <f>MEDIAN(H1003:K1003)</f>
        <v>2249.0</v>
      </c>
      <c r="D1003" s="3">
        <f>ROUND(C1003*(1-Settings!$B$2),2)</f>
        <v>1574.3</v>
      </c>
      <c r="E1003" s="2" t="inlineStr">
        <is>
          <t>Pokemon</t>
        </is>
      </c>
      <c r="F1003" s="2" t="inlineStr">
        <is>
          <t>Coffret</t>
        </is>
      </c>
      <c r="G1003" s="2" t="inlineStr">
        <is>
          <t>Dragon Majesty</t>
        </is>
      </c>
      <c r="H1003" s="3" t="n"/>
      <c r="I1003" s="3" t="n">
        <v>1699.99</v>
      </c>
      <c r="J1003" s="3" t="n">
        <v>2250</v>
      </c>
      <c r="K1003" s="3" t="n">
        <v>2249</v>
      </c>
      <c r="L1003" s="2" t="inlineStr">
        <is>
          <t>TCGplayer</t>
        </is>
      </c>
      <c r="N1003" s="4" t="inlineStr">
        <is>
          <t>https://www.tcgplayer.com/product/175560</t>
        </is>
      </c>
    </row>
    <row r="1004">
      <c r="A1004" s="2" t="inlineStr">
        <is>
          <t>Dragon Majesty Ultra Necrozma GX Box</t>
        </is>
      </c>
      <c r="B1004" s="3">
        <f>IF(H1004&lt;&gt;"",H1004,IF(I1004&lt;&gt;"",I1004,IF(J1004&lt;&gt;"",J1004,K1004)))</f>
        <v>400.0</v>
      </c>
      <c r="C1004" s="3">
        <f>MEDIAN(H1004:K1004)</f>
        <v>400.0</v>
      </c>
      <c r="D1004" s="3">
        <f>ROUND(C1004*(1-Settings!$B$2),2)</f>
        <v>280.0</v>
      </c>
      <c r="E1004" s="2" t="inlineStr">
        <is>
          <t>Pokemon</t>
        </is>
      </c>
      <c r="F1004" s="2" t="inlineStr">
        <is>
          <t>Coffret</t>
        </is>
      </c>
      <c r="G1004" s="2" t="inlineStr">
        <is>
          <t>Dragon Majesty</t>
        </is>
      </c>
      <c r="H1004" s="3" t="n">
        <v>400</v>
      </c>
      <c r="I1004" s="3" t="n"/>
      <c r="J1004" s="3" t="n"/>
      <c r="K1004" s="3" t="n"/>
      <c r="L1004" s="2" t="inlineStr">
        <is>
          <t>PriceCharting</t>
        </is>
      </c>
      <c r="M1004" s="4" t="inlineStr">
        <is>
          <t>https://www.pricecharting.com/game/pokemon-dragon-majesty/ultra-necrozma-gx-box</t>
        </is>
      </c>
    </row>
    <row r="1005">
      <c r="A1005" s="2" t="inlineStr">
        <is>
          <t>Legends of Unova GX Premium Collection</t>
        </is>
      </c>
      <c r="B1005" s="3">
        <f>IF(H1005&lt;&gt;"",H1005,IF(I1005&lt;&gt;"",I1005,IF(J1005&lt;&gt;"",J1005,K1005)))</f>
        <v>550.0</v>
      </c>
      <c r="C1005" s="3">
        <f>MEDIAN(H1005:K1005)</f>
        <v>550.0</v>
      </c>
      <c r="D1005" s="3">
        <f>ROUND(C1005*(1-Settings!$B$2),2)</f>
        <v>385.0</v>
      </c>
      <c r="E1005" s="2" t="inlineStr">
        <is>
          <t>Pokemon</t>
        </is>
      </c>
      <c r="F1005" s="2" t="inlineStr">
        <is>
          <t>Coffret</t>
        </is>
      </c>
      <c r="G1005" s="2" t="inlineStr">
        <is>
          <t>Dragon Majesty</t>
        </is>
      </c>
      <c r="H1005" s="3" t="n"/>
      <c r="I1005" s="3" t="n"/>
      <c r="J1005" s="3" t="n"/>
      <c r="K1005" s="3" t="n">
        <v>550</v>
      </c>
      <c r="L1005" s="2" t="inlineStr">
        <is>
          <t>TCGplayer</t>
        </is>
      </c>
      <c r="N1005" s="4" t="inlineStr">
        <is>
          <t>https://www.tcgplayer.com/product/179033</t>
        </is>
      </c>
    </row>
    <row r="1006">
      <c r="A1006" s="2" t="inlineStr">
        <is>
          <t>Ultra Necrozma GX Figure Collection</t>
        </is>
      </c>
      <c r="B1006" s="3">
        <f>IF(H1006&lt;&gt;"",H1006,IF(I1006&lt;&gt;"",I1006,IF(J1006&lt;&gt;"",J1006,K1006)))</f>
        <v>431.3</v>
      </c>
      <c r="C1006" s="3">
        <f>MEDIAN(H1006:K1006)</f>
        <v>541.99</v>
      </c>
      <c r="D1006" s="3">
        <f>ROUND(C1006*(1-Settings!$B$2),2)</f>
        <v>379.39</v>
      </c>
      <c r="E1006" s="2" t="inlineStr">
        <is>
          <t>Pokemon</t>
        </is>
      </c>
      <c r="F1006" s="2" t="inlineStr">
        <is>
          <t>Coffret</t>
        </is>
      </c>
      <c r="G1006" s="2" t="inlineStr">
        <is>
          <t>Dragon Majesty</t>
        </is>
      </c>
      <c r="H1006" s="3" t="n">
        <v>431.3</v>
      </c>
      <c r="I1006" s="3" t="n"/>
      <c r="J1006" s="3" t="n">
        <v>541.99</v>
      </c>
      <c r="K1006" s="3" t="n">
        <v>541.99</v>
      </c>
      <c r="L1006" s="2" t="inlineStr">
        <is>
          <t>PriceCharting + TCGplayer</t>
        </is>
      </c>
      <c r="M1006" s="4" t="inlineStr">
        <is>
          <t>https://www.pricecharting.com/game/pokemon-dragon-majesty/ultra-necrozma-gx-figure-collection</t>
        </is>
      </c>
      <c r="N1006" s="4" t="inlineStr">
        <is>
          <t>https://www.tcgplayer.com/product/179038</t>
        </is>
      </c>
    </row>
    <row r="1007">
      <c r="A1007" s="2" t="inlineStr">
        <is>
          <t>Dragons Exalted 3-Pack Blister</t>
        </is>
      </c>
      <c r="B1007" s="3">
        <f>IF(H1007&lt;&gt;"",H1007,IF(I1007&lt;&gt;"",I1007,IF(J1007&lt;&gt;"",J1007,K1007)))</f>
        <v>511.35</v>
      </c>
      <c r="C1007" s="3">
        <f>MEDIAN(H1007:K1007)</f>
        <v>511.35</v>
      </c>
      <c r="D1007" s="3">
        <f>ROUND(C1007*(1-Settings!$B$2),2)</f>
        <v>357.95</v>
      </c>
      <c r="E1007" s="2" t="inlineStr">
        <is>
          <t>Pokemon</t>
        </is>
      </c>
      <c r="F1007" s="2" t="inlineStr">
        <is>
          <t>Coffret</t>
        </is>
      </c>
      <c r="G1007" s="2" t="inlineStr">
        <is>
          <t>Dragons Exalted</t>
        </is>
      </c>
      <c r="H1007" s="3" t="n">
        <v>511.35</v>
      </c>
      <c r="I1007" s="3" t="n"/>
      <c r="J1007" s="3" t="n"/>
      <c r="K1007" s="3" t="n"/>
      <c r="L1007" s="2" t="inlineStr">
        <is>
          <t>PriceCharting</t>
        </is>
      </c>
      <c r="M1007" s="4" t="inlineStr">
        <is>
          <t>https://www.pricecharting.com/game/pokemon-dragons-exalted/3-pack-blister</t>
        </is>
      </c>
    </row>
    <row r="1008">
      <c r="A1008" s="2" t="inlineStr">
        <is>
          <t>Evolutions Elite Trainer Box [Blastoise]</t>
        </is>
      </c>
      <c r="B1008" s="3">
        <f>IF(H1008&lt;&gt;"",H1008,IF(I1008&lt;&gt;"",I1008,IF(J1008&lt;&gt;"",J1008,K1008)))</f>
        <v>750.0</v>
      </c>
      <c r="C1008" s="3">
        <f>MEDIAN(H1008:K1008)</f>
        <v>750.0</v>
      </c>
      <c r="D1008" s="3">
        <f>ROUND(C1008*(1-Settings!$B$2),2)</f>
        <v>525.0</v>
      </c>
      <c r="E1008" s="2" t="inlineStr">
        <is>
          <t>Pokemon</t>
        </is>
      </c>
      <c r="F1008" s="2" t="inlineStr">
        <is>
          <t>Coffret</t>
        </is>
      </c>
      <c r="G1008" s="2" t="inlineStr">
        <is>
          <t>Evolutions</t>
        </is>
      </c>
      <c r="H1008" s="3" t="n">
        <v>750</v>
      </c>
      <c r="I1008" s="3" t="n"/>
      <c r="J1008" s="3" t="n"/>
      <c r="K1008" s="3" t="n"/>
      <c r="L1008" s="2" t="inlineStr">
        <is>
          <t>PriceCharting</t>
        </is>
      </c>
      <c r="M1008" s="4" t="inlineStr">
        <is>
          <t>https://www.pricecharting.com/game/pokemon-evolutions/elite-trainer-box-blastoise</t>
        </is>
      </c>
    </row>
    <row r="1009">
      <c r="A1009" s="2" t="inlineStr">
        <is>
          <t>Evolutions Elite Trainer Box [Charizard]</t>
        </is>
      </c>
      <c r="B1009" s="3">
        <f>IF(H1009&lt;&gt;"",H1009,IF(I1009&lt;&gt;"",I1009,IF(J1009&lt;&gt;"",J1009,K1009)))</f>
        <v>852.3</v>
      </c>
      <c r="C1009" s="3">
        <f>MEDIAN(H1009:K1009)</f>
        <v>852.3</v>
      </c>
      <c r="D1009" s="3">
        <f>ROUND(C1009*(1-Settings!$B$2),2)</f>
        <v>596.61</v>
      </c>
      <c r="E1009" s="2" t="inlineStr">
        <is>
          <t>Pokemon</t>
        </is>
      </c>
      <c r="F1009" s="2" t="inlineStr">
        <is>
          <t>Coffret</t>
        </is>
      </c>
      <c r="G1009" s="2" t="inlineStr">
        <is>
          <t>Evolutions</t>
        </is>
      </c>
      <c r="H1009" s="3" t="n">
        <v>852.3</v>
      </c>
      <c r="I1009" s="3" t="n"/>
      <c r="J1009" s="3" t="n"/>
      <c r="K1009" s="3" t="n"/>
      <c r="L1009" s="2" t="inlineStr">
        <is>
          <t>PriceCharting</t>
        </is>
      </c>
      <c r="M1009" s="4" t="inlineStr">
        <is>
          <t>https://www.pricecharting.com/game/pokemon-evolutions/elite-trainer-box-charizard</t>
        </is>
      </c>
    </row>
    <row r="1010">
      <c r="A1010" s="2" t="inlineStr">
        <is>
          <t>Evolutions Espeon GX Premium Collection Box</t>
        </is>
      </c>
      <c r="B1010" s="3">
        <f>IF(H1010&lt;&gt;"",H1010,IF(I1010&lt;&gt;"",I1010,IF(J1010&lt;&gt;"",J1010,K1010)))</f>
        <v>332.74</v>
      </c>
      <c r="C1010" s="3">
        <f>MEDIAN(H1010:K1010)</f>
        <v>332.74</v>
      </c>
      <c r="D1010" s="3">
        <f>ROUND(C1010*(1-Settings!$B$2),2)</f>
        <v>232.92</v>
      </c>
      <c r="E1010" s="2" t="inlineStr">
        <is>
          <t>Pokemon</t>
        </is>
      </c>
      <c r="F1010" s="2" t="inlineStr">
        <is>
          <t>Coffret</t>
        </is>
      </c>
      <c r="G1010" s="2" t="inlineStr">
        <is>
          <t>Evolutions</t>
        </is>
      </c>
      <c r="H1010" s="3" t="n">
        <v>332.74</v>
      </c>
      <c r="I1010" s="3" t="n"/>
      <c r="J1010" s="3" t="n"/>
      <c r="K1010" s="3" t="n"/>
      <c r="L1010" s="2" t="inlineStr">
        <is>
          <t>PriceCharting</t>
        </is>
      </c>
      <c r="M1010" s="4" t="inlineStr">
        <is>
          <t>https://www.pricecharting.com/game/pokemon-evolutions/espeon-gx-premium-collection-box</t>
        </is>
      </c>
    </row>
    <row r="1011">
      <c r="A1011" s="2" t="inlineStr">
        <is>
          <t>Evolutions Kanto Power Collection Box</t>
        </is>
      </c>
      <c r="B1011" s="3">
        <f>IF(H1011&lt;&gt;"",H1011,IF(I1011&lt;&gt;"",I1011,IF(J1011&lt;&gt;"",J1011,K1011)))</f>
        <v>614.99</v>
      </c>
      <c r="C1011" s="3">
        <f>MEDIAN(H1011:K1011)</f>
        <v>614.99</v>
      </c>
      <c r="D1011" s="3">
        <f>ROUND(C1011*(1-Settings!$B$2),2)</f>
        <v>430.49</v>
      </c>
      <c r="E1011" s="2" t="inlineStr">
        <is>
          <t>Pokemon</t>
        </is>
      </c>
      <c r="F1011" s="2" t="inlineStr">
        <is>
          <t>Coffret</t>
        </is>
      </c>
      <c r="G1011" s="2" t="inlineStr">
        <is>
          <t>Evolutions</t>
        </is>
      </c>
      <c r="H1011" s="3" t="n">
        <v>614.99</v>
      </c>
      <c r="I1011" s="3" t="n"/>
      <c r="J1011" s="3" t="n"/>
      <c r="K1011" s="3" t="n"/>
      <c r="L1011" s="2" t="inlineStr">
        <is>
          <t>PriceCharting</t>
        </is>
      </c>
      <c r="M1011" s="4" t="inlineStr">
        <is>
          <t>https://www.pricecharting.com/game/pokemon-evolutions/kanto-power-collection-box</t>
        </is>
      </c>
    </row>
    <row r="1012">
      <c r="A1012" s="2" t="inlineStr">
        <is>
          <t>Evolutions Prerelease Kit</t>
        </is>
      </c>
      <c r="B1012" s="3">
        <f>IF(H1012&lt;&gt;"",H1012,IF(I1012&lt;&gt;"",I1012,IF(J1012&lt;&gt;"",J1012,K1012)))</f>
        <v>848.99</v>
      </c>
      <c r="C1012" s="3">
        <f>MEDIAN(H1012:K1012)</f>
        <v>848.99</v>
      </c>
      <c r="D1012" s="3">
        <f>ROUND(C1012*(1-Settings!$B$2),2)</f>
        <v>594.29</v>
      </c>
      <c r="E1012" s="2" t="inlineStr">
        <is>
          <t>Pokemon</t>
        </is>
      </c>
      <c r="F1012" s="2" t="inlineStr">
        <is>
          <t>Coffret</t>
        </is>
      </c>
      <c r="G1012" s="2" t="inlineStr">
        <is>
          <t>Evolutions</t>
        </is>
      </c>
      <c r="H1012" s="3" t="n">
        <v>848.99</v>
      </c>
      <c r="I1012" s="3" t="n"/>
      <c r="J1012" s="3" t="n"/>
      <c r="K1012" s="3" t="n"/>
      <c r="L1012" s="2" t="inlineStr">
        <is>
          <t>PriceCharting</t>
        </is>
      </c>
      <c r="M1012" s="4" t="inlineStr">
        <is>
          <t>https://www.pricecharting.com/game/pokemon-evolutions/prerelease-kit</t>
        </is>
      </c>
    </row>
    <row r="1013">
      <c r="A1013" s="2" t="inlineStr">
        <is>
          <t>Evolutions Sealed Mewtwo EX Box</t>
        </is>
      </c>
      <c r="B1013" s="3">
        <f>IF(H1013&lt;&gt;"",H1013,IF(I1013&lt;&gt;"",I1013,IF(J1013&lt;&gt;"",J1013,K1013)))</f>
        <v>395.0</v>
      </c>
      <c r="C1013" s="3">
        <f>MEDIAN(H1013:K1013)</f>
        <v>395.0</v>
      </c>
      <c r="D1013" s="3">
        <f>ROUND(C1013*(1-Settings!$B$2),2)</f>
        <v>276.5</v>
      </c>
      <c r="E1013" s="2" t="inlineStr">
        <is>
          <t>Pokemon</t>
        </is>
      </c>
      <c r="F1013" s="2" t="inlineStr">
        <is>
          <t>Coffret</t>
        </is>
      </c>
      <c r="G1013" s="2" t="inlineStr">
        <is>
          <t>Evolutions</t>
        </is>
      </c>
      <c r="H1013" s="3" t="n">
        <v>395</v>
      </c>
      <c r="I1013" s="3" t="n"/>
      <c r="J1013" s="3" t="n"/>
      <c r="K1013" s="3" t="n"/>
      <c r="L1013" s="2" t="inlineStr">
        <is>
          <t>PriceCharting</t>
        </is>
      </c>
      <c r="M1013" s="4" t="inlineStr">
        <is>
          <t>https://www.pricecharting.com/game/pokemon-evolutions/sealed-mewtwo-ex-box</t>
        </is>
      </c>
    </row>
    <row r="1014">
      <c r="A1014" s="2" t="inlineStr">
        <is>
          <t>Evolutions Volcanion Mythical Collection Box</t>
        </is>
      </c>
      <c r="B1014" s="3">
        <f>IF(H1014&lt;&gt;"",H1014,IF(I1014&lt;&gt;"",I1014,IF(J1014&lt;&gt;"",J1014,K1014)))</f>
        <v>276.02</v>
      </c>
      <c r="C1014" s="3">
        <f>MEDIAN(H1014:K1014)</f>
        <v>276.02</v>
      </c>
      <c r="D1014" s="3">
        <f>ROUND(C1014*(1-Settings!$B$2),2)</f>
        <v>193.21</v>
      </c>
      <c r="E1014" s="2" t="inlineStr">
        <is>
          <t>Pokemon</t>
        </is>
      </c>
      <c r="F1014" s="2" t="inlineStr">
        <is>
          <t>Coffret</t>
        </is>
      </c>
      <c r="G1014" s="2" t="inlineStr">
        <is>
          <t>Evolutions</t>
        </is>
      </c>
      <c r="H1014" s="3" t="n">
        <v>276.02</v>
      </c>
      <c r="I1014" s="3" t="n"/>
      <c r="J1014" s="3" t="n"/>
      <c r="K1014" s="3" t="n"/>
      <c r="L1014" s="2" t="inlineStr">
        <is>
          <t>PriceCharting</t>
        </is>
      </c>
      <c r="M1014" s="4" t="inlineStr">
        <is>
          <t>https://www.pricecharting.com/game/pokemon-evolutions/volcanion-mythical-collection-box</t>
        </is>
      </c>
    </row>
    <row r="1015">
      <c r="A1015" s="2" t="inlineStr">
        <is>
          <t>Evolving Skies 2-Pack Blister</t>
        </is>
      </c>
      <c r="B1015" s="3">
        <f>IF(H1015&lt;&gt;"",H1015,IF(I1015&lt;&gt;"",I1015,IF(J1015&lt;&gt;"",J1015,K1015)))</f>
        <v>83.48</v>
      </c>
      <c r="C1015" s="3">
        <f>MEDIAN(H1015:K1015)</f>
        <v>83.48</v>
      </c>
      <c r="D1015" s="3">
        <f>ROUND(C1015*(1-Settings!$B$2),2)</f>
        <v>58.44</v>
      </c>
      <c r="E1015" s="2" t="inlineStr">
        <is>
          <t>Pokemon</t>
        </is>
      </c>
      <c r="F1015" s="2" t="inlineStr">
        <is>
          <t>Coffret</t>
        </is>
      </c>
      <c r="G1015" s="2" t="inlineStr">
        <is>
          <t>Evolving Skies</t>
        </is>
      </c>
      <c r="H1015" s="3" t="n">
        <v>83.48</v>
      </c>
      <c r="I1015" s="3" t="n"/>
      <c r="J1015" s="3" t="n"/>
      <c r="K1015" s="3" t="n"/>
      <c r="L1015" s="2" t="inlineStr">
        <is>
          <t>PriceCharting</t>
        </is>
      </c>
      <c r="M1015" s="4" t="inlineStr">
        <is>
          <t>https://www.pricecharting.com/game/pokemon-evolving-skies/2-pack-blister</t>
        </is>
      </c>
    </row>
    <row r="1016">
      <c r="A1016" s="2" t="inlineStr">
        <is>
          <t>Evolving Skies Build &amp; Battle Stadium</t>
        </is>
      </c>
      <c r="B1016" s="3">
        <f>IF(H1016&lt;&gt;"",H1016,IF(I1016&lt;&gt;"",I1016,IF(J1016&lt;&gt;"",J1016,K1016)))</f>
        <v>620.0</v>
      </c>
      <c r="C1016" s="3">
        <f>MEDIAN(H1016:K1016)</f>
        <v>620.0</v>
      </c>
      <c r="D1016" s="3">
        <f>ROUND(C1016*(1-Settings!$B$2),2)</f>
        <v>434.0</v>
      </c>
      <c r="E1016" s="2" t="inlineStr">
        <is>
          <t>Pokemon</t>
        </is>
      </c>
      <c r="F1016" s="2" t="inlineStr">
        <is>
          <t>Coffret</t>
        </is>
      </c>
      <c r="G1016" s="2" t="inlineStr">
        <is>
          <t>Evolving Skies</t>
        </is>
      </c>
      <c r="H1016" s="3" t="n">
        <v>620</v>
      </c>
      <c r="I1016" s="3" t="n"/>
      <c r="J1016" s="3" t="n"/>
      <c r="K1016" s="3" t="n"/>
      <c r="L1016" s="2" t="inlineStr">
        <is>
          <t>PriceCharting</t>
        </is>
      </c>
      <c r="M1016" s="4" t="inlineStr">
        <is>
          <t>https://www.pricecharting.com/game/pokemon-evolving-skies/build-&amp;-battle-stadium</t>
        </is>
      </c>
    </row>
    <row r="1017">
      <c r="A1017" s="2" t="inlineStr">
        <is>
          <t>Evolving Skies Dragonite V Box</t>
        </is>
      </c>
      <c r="B1017" s="3">
        <f>IF(H1017&lt;&gt;"",H1017,IF(I1017&lt;&gt;"",I1017,IF(J1017&lt;&gt;"",J1017,K1017)))</f>
        <v>176.48</v>
      </c>
      <c r="C1017" s="3">
        <f>MEDIAN(H1017:K1017)</f>
        <v>176.48</v>
      </c>
      <c r="D1017" s="3">
        <f>ROUND(C1017*(1-Settings!$B$2),2)</f>
        <v>123.54</v>
      </c>
      <c r="E1017" s="2" t="inlineStr">
        <is>
          <t>Pokemon</t>
        </is>
      </c>
      <c r="F1017" s="2" t="inlineStr">
        <is>
          <t>Coffret</t>
        </is>
      </c>
      <c r="G1017" s="2" t="inlineStr">
        <is>
          <t>Evolving Skies</t>
        </is>
      </c>
      <c r="H1017" s="3" t="n">
        <v>176.48</v>
      </c>
      <c r="I1017" s="3" t="n"/>
      <c r="J1017" s="3" t="n"/>
      <c r="K1017" s="3" t="n"/>
      <c r="L1017" s="2" t="inlineStr">
        <is>
          <t>PriceCharting</t>
        </is>
      </c>
      <c r="M1017" s="4" t="inlineStr">
        <is>
          <t>https://www.pricecharting.com/game/pokemon-evolving-skies/dragonite-v-box</t>
        </is>
      </c>
    </row>
    <row r="1018">
      <c r="A1018" s="2" t="inlineStr">
        <is>
          <t>Evolving Skies Elite Trainer Box &amp; Tin: Costco Bundle</t>
        </is>
      </c>
      <c r="B1018" s="3">
        <f>IF(H1018&lt;&gt;"",H1018,IF(I1018&lt;&gt;"",I1018,IF(J1018&lt;&gt;"",J1018,K1018)))</f>
        <v>587.15</v>
      </c>
      <c r="C1018" s="3">
        <f>MEDIAN(H1018:K1018)</f>
        <v>587.15</v>
      </c>
      <c r="D1018" s="3">
        <f>ROUND(C1018*(1-Settings!$B$2),2)</f>
        <v>411.01</v>
      </c>
      <c r="E1018" s="2" t="inlineStr">
        <is>
          <t>Pokemon</t>
        </is>
      </c>
      <c r="F1018" s="2" t="inlineStr">
        <is>
          <t>Coffret</t>
        </is>
      </c>
      <c r="G1018" s="2" t="inlineStr">
        <is>
          <t>Evolving Skies</t>
        </is>
      </c>
      <c r="H1018" s="3" t="n">
        <v>587.15</v>
      </c>
      <c r="I1018" s="3" t="n"/>
      <c r="J1018" s="3" t="n"/>
      <c r="K1018" s="3" t="n"/>
      <c r="L1018" s="2" t="inlineStr">
        <is>
          <t>PriceCharting</t>
        </is>
      </c>
      <c r="M1018" s="4" t="inlineStr">
        <is>
          <t>https://www.pricecharting.com/game/pokemon-evolving-skies/elite-trainer-box-&amp;-tin-costco-bundle</t>
        </is>
      </c>
    </row>
    <row r="1019">
      <c r="A1019" s="2" t="inlineStr">
        <is>
          <t>Evolving Skies Elite Trainer Box: Jolteon</t>
        </is>
      </c>
      <c r="B1019" s="3">
        <f>IF(H1019&lt;&gt;"",H1019,IF(I1019&lt;&gt;"",I1019,IF(J1019&lt;&gt;"",J1019,K1019)))</f>
        <v>510.0</v>
      </c>
      <c r="C1019" s="3">
        <f>MEDIAN(H1019:K1019)</f>
        <v>510.0</v>
      </c>
      <c r="D1019" s="3">
        <f>ROUND(C1019*(1-Settings!$B$2),2)</f>
        <v>357.0</v>
      </c>
      <c r="E1019" s="2" t="inlineStr">
        <is>
          <t>Pokemon</t>
        </is>
      </c>
      <c r="F1019" s="2" t="inlineStr">
        <is>
          <t>Coffret</t>
        </is>
      </c>
      <c r="G1019" s="2" t="inlineStr">
        <is>
          <t>Evolving Skies</t>
        </is>
      </c>
      <c r="H1019" s="3" t="n">
        <v>510</v>
      </c>
      <c r="I1019" s="3" t="n"/>
      <c r="J1019" s="3" t="n"/>
      <c r="K1019" s="3" t="n"/>
      <c r="L1019" s="2" t="inlineStr">
        <is>
          <t>PriceCharting</t>
        </is>
      </c>
      <c r="M1019" s="4" t="inlineStr">
        <is>
          <t>https://www.pricecharting.com/game/pokemon-evolving-skies/elite-trainer-box-jolteon</t>
        </is>
      </c>
    </row>
    <row r="1020">
      <c r="A1020" s="2" t="inlineStr">
        <is>
          <t>Evolving Skies Elite Trainer Box: Jolteon [Pokemon Center]</t>
        </is>
      </c>
      <c r="B1020" s="3">
        <f>IF(H1020&lt;&gt;"",H1020,IF(I1020&lt;&gt;"",I1020,IF(J1020&lt;&gt;"",J1020,K1020)))</f>
        <v>1199.99</v>
      </c>
      <c r="C1020" s="3">
        <f>MEDIAN(H1020:K1020)</f>
        <v>1199.99</v>
      </c>
      <c r="D1020" s="3">
        <f>ROUND(C1020*(1-Settings!$B$2),2)</f>
        <v>839.99</v>
      </c>
      <c r="E1020" s="2" t="inlineStr">
        <is>
          <t>Pokemon</t>
        </is>
      </c>
      <c r="F1020" s="2" t="inlineStr">
        <is>
          <t>Coffret</t>
        </is>
      </c>
      <c r="G1020" s="2" t="inlineStr">
        <is>
          <t>Evolving Skies</t>
        </is>
      </c>
      <c r="H1020" s="3" t="n">
        <v>1199.99</v>
      </c>
      <c r="I1020" s="3" t="n"/>
      <c r="J1020" s="3" t="n"/>
      <c r="K1020" s="3" t="n"/>
      <c r="L1020" s="2" t="inlineStr">
        <is>
          <t>PriceCharting</t>
        </is>
      </c>
      <c r="M1020" s="4" t="inlineStr">
        <is>
          <t>https://www.pricecharting.com/game/pokemon-evolving-skies/elite-trainer-box-jolteon-pokemon-center</t>
        </is>
      </c>
    </row>
    <row r="1021">
      <c r="A1021" s="2" t="inlineStr">
        <is>
          <t>Evolving Skies Elite Trainer Box: Vaporeon</t>
        </is>
      </c>
      <c r="B1021" s="3">
        <f>IF(H1021&lt;&gt;"",H1021,IF(I1021&lt;&gt;"",I1021,IF(J1021&lt;&gt;"",J1021,K1021)))</f>
        <v>487.38</v>
      </c>
      <c r="C1021" s="3">
        <f>MEDIAN(H1021:K1021)</f>
        <v>487.38</v>
      </c>
      <c r="D1021" s="3">
        <f>ROUND(C1021*(1-Settings!$B$2),2)</f>
        <v>341.17</v>
      </c>
      <c r="E1021" s="2" t="inlineStr">
        <is>
          <t>Pokemon</t>
        </is>
      </c>
      <c r="F1021" s="2" t="inlineStr">
        <is>
          <t>Coffret</t>
        </is>
      </c>
      <c r="G1021" s="2" t="inlineStr">
        <is>
          <t>Evolving Skies</t>
        </is>
      </c>
      <c r="H1021" s="3" t="n">
        <v>487.38</v>
      </c>
      <c r="I1021" s="3" t="n"/>
      <c r="J1021" s="3" t="n"/>
      <c r="K1021" s="3" t="n"/>
      <c r="L1021" s="2" t="inlineStr">
        <is>
          <t>PriceCharting</t>
        </is>
      </c>
      <c r="M1021" s="4" t="inlineStr">
        <is>
          <t>https://www.pricecharting.com/game/pokemon-evolving-skies/elite-trainer-box-vaporeon</t>
        </is>
      </c>
    </row>
    <row r="1022">
      <c r="A1022" s="2" t="inlineStr">
        <is>
          <t>Evolving Skies Elite Trainer Box: Vaporeon [Pokemon Center]</t>
        </is>
      </c>
      <c r="B1022" s="3">
        <f>IF(H1022&lt;&gt;"",H1022,IF(I1022&lt;&gt;"",I1022,IF(J1022&lt;&gt;"",J1022,K1022)))</f>
        <v>950.0</v>
      </c>
      <c r="C1022" s="3">
        <f>MEDIAN(H1022:K1022)</f>
        <v>950.0</v>
      </c>
      <c r="D1022" s="3">
        <f>ROUND(C1022*(1-Settings!$B$2),2)</f>
        <v>665.0</v>
      </c>
      <c r="E1022" s="2" t="inlineStr">
        <is>
          <t>Pokemon</t>
        </is>
      </c>
      <c r="F1022" s="2" t="inlineStr">
        <is>
          <t>Coffret</t>
        </is>
      </c>
      <c r="G1022" s="2" t="inlineStr">
        <is>
          <t>Evolving Skies</t>
        </is>
      </c>
      <c r="H1022" s="3" t="n">
        <v>950</v>
      </c>
      <c r="I1022" s="3" t="n"/>
      <c r="J1022" s="3" t="n"/>
      <c r="K1022" s="3" t="n"/>
      <c r="L1022" s="2" t="inlineStr">
        <is>
          <t>PriceCharting</t>
        </is>
      </c>
      <c r="M1022" s="4" t="inlineStr">
        <is>
          <t>https://www.pricecharting.com/game/pokemon-evolving-skies/elite-trainer-box-vaporeon-pokemon-center</t>
        </is>
      </c>
    </row>
    <row r="1023">
      <c r="A1023" s="2" t="inlineStr">
        <is>
          <t>Evolving Skies Flareon VMAX Premium Collection Box</t>
        </is>
      </c>
      <c r="B1023" s="3">
        <f>IF(H1023&lt;&gt;"",H1023,IF(I1023&lt;&gt;"",I1023,IF(J1023&lt;&gt;"",J1023,K1023)))</f>
        <v>349.83</v>
      </c>
      <c r="C1023" s="3">
        <f>MEDIAN(H1023:K1023)</f>
        <v>349.83</v>
      </c>
      <c r="D1023" s="3">
        <f>ROUND(C1023*(1-Settings!$B$2),2)</f>
        <v>244.88</v>
      </c>
      <c r="E1023" s="2" t="inlineStr">
        <is>
          <t>Pokemon</t>
        </is>
      </c>
      <c r="F1023" s="2" t="inlineStr">
        <is>
          <t>Coffret</t>
        </is>
      </c>
      <c r="G1023" s="2" t="inlineStr">
        <is>
          <t>Evolving Skies</t>
        </is>
      </c>
      <c r="H1023" s="3" t="n">
        <v>349.83</v>
      </c>
      <c r="I1023" s="3" t="n"/>
      <c r="J1023" s="3" t="n"/>
      <c r="K1023" s="3" t="n"/>
      <c r="L1023" s="2" t="inlineStr">
        <is>
          <t>PriceCharting</t>
        </is>
      </c>
      <c r="M1023" s="4" t="inlineStr">
        <is>
          <t>https://www.pricecharting.com/game/pokemon-evolving-skies/flareon-vmax-premium-collection-box</t>
        </is>
      </c>
    </row>
    <row r="1024">
      <c r="A1024" s="2" t="inlineStr">
        <is>
          <t>Evolving Skies Hanger Box</t>
        </is>
      </c>
      <c r="B1024" s="3">
        <f>IF(H1024&lt;&gt;"",H1024,IF(I1024&lt;&gt;"",I1024,IF(J1024&lt;&gt;"",J1024,K1024)))</f>
        <v>172.28</v>
      </c>
      <c r="C1024" s="3">
        <f>MEDIAN(H1024:K1024)</f>
        <v>172.28</v>
      </c>
      <c r="D1024" s="3">
        <f>ROUND(C1024*(1-Settings!$B$2),2)</f>
        <v>120.6</v>
      </c>
      <c r="E1024" s="2" t="inlineStr">
        <is>
          <t>Pokemon</t>
        </is>
      </c>
      <c r="F1024" s="2" t="inlineStr">
        <is>
          <t>Coffret</t>
        </is>
      </c>
      <c r="G1024" s="2" t="inlineStr">
        <is>
          <t>Evolving Skies</t>
        </is>
      </c>
      <c r="H1024" s="3" t="n">
        <v>172.28</v>
      </c>
      <c r="I1024" s="3" t="n"/>
      <c r="J1024" s="3" t="n"/>
      <c r="K1024" s="3" t="n"/>
      <c r="L1024" s="2" t="inlineStr">
        <is>
          <t>PriceCharting</t>
        </is>
      </c>
      <c r="M1024" s="4" t="inlineStr">
        <is>
          <t>https://www.pricecharting.com/game/pokemon-evolving-skies/hanger-box</t>
        </is>
      </c>
    </row>
    <row r="1025">
      <c r="A1025" s="2" t="inlineStr">
        <is>
          <t>Evolving Skies Jolteon VMAX Premium Collection Box</t>
        </is>
      </c>
      <c r="B1025" s="3">
        <f>IF(H1025&lt;&gt;"",H1025,IF(I1025&lt;&gt;"",I1025,IF(J1025&lt;&gt;"",J1025,K1025)))</f>
        <v>335.79</v>
      </c>
      <c r="C1025" s="3">
        <f>MEDIAN(H1025:K1025)</f>
        <v>335.79</v>
      </c>
      <c r="D1025" s="3">
        <f>ROUND(C1025*(1-Settings!$B$2),2)</f>
        <v>235.05</v>
      </c>
      <c r="E1025" s="2" t="inlineStr">
        <is>
          <t>Pokemon</t>
        </is>
      </c>
      <c r="F1025" s="2" t="inlineStr">
        <is>
          <t>Coffret</t>
        </is>
      </c>
      <c r="G1025" s="2" t="inlineStr">
        <is>
          <t>Evolving Skies</t>
        </is>
      </c>
      <c r="H1025" s="3" t="n">
        <v>335.79</v>
      </c>
      <c r="I1025" s="3" t="n"/>
      <c r="J1025" s="3" t="n"/>
      <c r="K1025" s="3" t="n"/>
      <c r="L1025" s="2" t="inlineStr">
        <is>
          <t>PriceCharting</t>
        </is>
      </c>
      <c r="M1025" s="4" t="inlineStr">
        <is>
          <t>https://www.pricecharting.com/game/pokemon-evolving-skies/jolteon-vmax-premium-collection-box</t>
        </is>
      </c>
    </row>
    <row r="1026">
      <c r="A1026" s="2" t="inlineStr">
        <is>
          <t>Evolving Skies Mythical Squishy Premium Collection</t>
        </is>
      </c>
      <c r="B1026" s="3">
        <f>IF(H1026&lt;&gt;"",H1026,IF(I1026&lt;&gt;"",I1026,IF(J1026&lt;&gt;"",J1026,K1026)))</f>
        <v>258.5</v>
      </c>
      <c r="C1026" s="3">
        <f>MEDIAN(H1026:K1026)</f>
        <v>258.5</v>
      </c>
      <c r="D1026" s="3">
        <f>ROUND(C1026*(1-Settings!$B$2),2)</f>
        <v>180.95</v>
      </c>
      <c r="E1026" s="2" t="inlineStr">
        <is>
          <t>Pokemon</t>
        </is>
      </c>
      <c r="F1026" s="2" t="inlineStr">
        <is>
          <t>Coffret</t>
        </is>
      </c>
      <c r="G1026" s="2" t="inlineStr">
        <is>
          <t>Evolving Skies</t>
        </is>
      </c>
      <c r="H1026" s="3" t="n">
        <v>258.5</v>
      </c>
      <c r="I1026" s="3" t="n"/>
      <c r="J1026" s="3" t="n"/>
      <c r="K1026" s="3" t="n"/>
      <c r="L1026" s="2" t="inlineStr">
        <is>
          <t>PriceCharting</t>
        </is>
      </c>
      <c r="M1026" s="4" t="inlineStr">
        <is>
          <t>https://www.pricecharting.com/game/pokemon-evolving-skies/mythical-squishy-premium-collection</t>
        </is>
      </c>
    </row>
    <row r="1027">
      <c r="A1027" s="2" t="inlineStr">
        <is>
          <t>Evolving Skies Vaporeon VMAX Premium Collection Box</t>
        </is>
      </c>
      <c r="B1027" s="3">
        <f>IF(H1027&lt;&gt;"",H1027,IF(I1027&lt;&gt;"",I1027,IF(J1027&lt;&gt;"",J1027,K1027)))</f>
        <v>385.0</v>
      </c>
      <c r="C1027" s="3">
        <f>MEDIAN(H1027:K1027)</f>
        <v>385.0</v>
      </c>
      <c r="D1027" s="3">
        <f>ROUND(C1027*(1-Settings!$B$2),2)</f>
        <v>269.5</v>
      </c>
      <c r="E1027" s="2" t="inlineStr">
        <is>
          <t>Pokemon</t>
        </is>
      </c>
      <c r="F1027" s="2" t="inlineStr">
        <is>
          <t>Coffret</t>
        </is>
      </c>
      <c r="G1027" s="2" t="inlineStr">
        <is>
          <t>Evolving Skies</t>
        </is>
      </c>
      <c r="H1027" s="3" t="n">
        <v>385</v>
      </c>
      <c r="I1027" s="3" t="n"/>
      <c r="J1027" s="3" t="n"/>
      <c r="K1027" s="3" t="n"/>
      <c r="L1027" s="2" t="inlineStr">
        <is>
          <t>PriceCharting</t>
        </is>
      </c>
      <c r="M1027" s="4" t="inlineStr">
        <is>
          <t>https://www.pricecharting.com/game/pokemon-evolving-skies/vaporeon-vmax-premium-collection-box</t>
        </is>
      </c>
    </row>
    <row r="1028">
      <c r="A1028" s="2" t="inlineStr">
        <is>
          <t>Evolving Skies VMAX Dragons Premium Collection Box</t>
        </is>
      </c>
      <c r="B1028" s="3">
        <f>IF(H1028&lt;&gt;"",H1028,IF(I1028&lt;&gt;"",I1028,IF(J1028&lt;&gt;"",J1028,K1028)))</f>
        <v>283.84</v>
      </c>
      <c r="C1028" s="3">
        <f>MEDIAN(H1028:K1028)</f>
        <v>283.84</v>
      </c>
      <c r="D1028" s="3">
        <f>ROUND(C1028*(1-Settings!$B$2),2)</f>
        <v>198.69</v>
      </c>
      <c r="E1028" s="2" t="inlineStr">
        <is>
          <t>Pokemon</t>
        </is>
      </c>
      <c r="F1028" s="2" t="inlineStr">
        <is>
          <t>Coffret</t>
        </is>
      </c>
      <c r="G1028" s="2" t="inlineStr">
        <is>
          <t>Evolving Skies</t>
        </is>
      </c>
      <c r="H1028" s="3" t="n">
        <v>283.84</v>
      </c>
      <c r="I1028" s="3" t="n"/>
      <c r="J1028" s="3" t="n"/>
      <c r="K1028" s="3" t="n"/>
      <c r="L1028" s="2" t="inlineStr">
        <is>
          <t>PriceCharting</t>
        </is>
      </c>
      <c r="M1028" s="4" t="inlineStr">
        <is>
          <t>https://www.pricecharting.com/game/pokemon-evolving-skies/vmax-dragons-premium-collection-box</t>
        </is>
      </c>
    </row>
    <row r="1029">
      <c r="A1029" s="2" t="inlineStr">
        <is>
          <t>Fates Collide 3-Pack Pin Blister [Mega Alakazam]</t>
        </is>
      </c>
      <c r="B1029" s="3">
        <f>IF(H1029&lt;&gt;"",H1029,IF(I1029&lt;&gt;"",I1029,IF(J1029&lt;&gt;"",J1029,K1029)))</f>
        <v>153.5</v>
      </c>
      <c r="C1029" s="3">
        <f>MEDIAN(H1029:K1029)</f>
        <v>153.5</v>
      </c>
      <c r="D1029" s="3">
        <f>ROUND(C1029*(1-Settings!$B$2),2)</f>
        <v>107.45</v>
      </c>
      <c r="E1029" s="2" t="inlineStr">
        <is>
          <t>Pokemon</t>
        </is>
      </c>
      <c r="F1029" s="2" t="inlineStr">
        <is>
          <t>Coffret</t>
        </is>
      </c>
      <c r="G1029" s="2" t="inlineStr">
        <is>
          <t>Fates Collide</t>
        </is>
      </c>
      <c r="H1029" s="3" t="n">
        <v>153.5</v>
      </c>
      <c r="I1029" s="3" t="n"/>
      <c r="J1029" s="3" t="n"/>
      <c r="K1029" s="3" t="n"/>
      <c r="L1029" s="2" t="inlineStr">
        <is>
          <t>PriceCharting</t>
        </is>
      </c>
      <c r="M1029" s="4" t="inlineStr">
        <is>
          <t>https://www.pricecharting.com/game/pokemon-fates-collide/3-pack-pin-blister-mega-alakazam</t>
        </is>
      </c>
    </row>
    <row r="1030">
      <c r="A1030" s="2" t="inlineStr">
        <is>
          <t>Fates Collide Build Battle Kit [PreRelease]</t>
        </is>
      </c>
      <c r="B1030" s="3">
        <f>IF(H1030&lt;&gt;"",H1030,IF(I1030&lt;&gt;"",I1030,IF(J1030&lt;&gt;"",J1030,K1030)))</f>
        <v>200.0</v>
      </c>
      <c r="C1030" s="3">
        <f>MEDIAN(H1030:K1030)</f>
        <v>200.0</v>
      </c>
      <c r="D1030" s="3">
        <f>ROUND(C1030*(1-Settings!$B$2),2)</f>
        <v>140.0</v>
      </c>
      <c r="E1030" s="2" t="inlineStr">
        <is>
          <t>Pokemon</t>
        </is>
      </c>
      <c r="F1030" s="2" t="inlineStr">
        <is>
          <t>Coffret</t>
        </is>
      </c>
      <c r="G1030" s="2" t="inlineStr">
        <is>
          <t>Fates Collide</t>
        </is>
      </c>
      <c r="H1030" s="3" t="n">
        <v>200</v>
      </c>
      <c r="I1030" s="3" t="n"/>
      <c r="J1030" s="3" t="n"/>
      <c r="K1030" s="3" t="n"/>
      <c r="L1030" s="2" t="inlineStr">
        <is>
          <t>PriceCharting</t>
        </is>
      </c>
      <c r="M1030" s="4" t="inlineStr">
        <is>
          <t>https://www.pricecharting.com/game/pokemon-fates-collide/build-battle-kit-prerelease</t>
        </is>
      </c>
    </row>
    <row r="1031">
      <c r="A1031" s="2" t="inlineStr">
        <is>
          <t>First Partner Collection 2026 Series 1 Booster Pack</t>
        </is>
      </c>
      <c r="B1031" s="3">
        <f>IF(H1031&lt;&gt;"",H1031,IF(I1031&lt;&gt;"",I1031,IF(J1031&lt;&gt;"",J1031,K1031)))</f>
        <v>48.54</v>
      </c>
      <c r="C1031" s="3">
        <f>MEDIAN(H1031:K1031)</f>
        <v>48.54</v>
      </c>
      <c r="D1031" s="3">
        <f>ROUND(C1031*(1-Settings!$B$2),2)</f>
        <v>33.98</v>
      </c>
      <c r="E1031" s="2" t="inlineStr">
        <is>
          <t>Pokemon</t>
        </is>
      </c>
      <c r="F1031" s="2" t="inlineStr">
        <is>
          <t>Coffret</t>
        </is>
      </c>
      <c r="G1031" s="2" t="inlineStr">
        <is>
          <t>First Partner Collection 2026</t>
        </is>
      </c>
      <c r="H1031" s="3" t="n"/>
      <c r="I1031" s="3" t="n">
        <v>48.54</v>
      </c>
      <c r="J1031" s="3" t="n">
        <v>49.99</v>
      </c>
      <c r="K1031" s="3" t="n">
        <v>40</v>
      </c>
      <c r="L1031" s="2" t="inlineStr">
        <is>
          <t>TCGplayer</t>
        </is>
      </c>
      <c r="N1031" s="4" t="inlineStr">
        <is>
          <t>https://www.tcgplayer.com/product/694977</t>
        </is>
      </c>
    </row>
    <row r="1032">
      <c r="A1032" s="2" t="inlineStr">
        <is>
          <t>First Partner Collection 2026 Series 2 Booster Pack</t>
        </is>
      </c>
      <c r="B1032" s="3">
        <f>IF(H1032&lt;&gt;"",H1032,IF(I1032&lt;&gt;"",I1032,IF(J1032&lt;&gt;"",J1032,K1032)))</f>
        <v>20.39</v>
      </c>
      <c r="C1032" s="3">
        <f>MEDIAN(H1032:K1032)</f>
        <v>20.39</v>
      </c>
      <c r="D1032" s="3">
        <f>ROUND(C1032*(1-Settings!$B$2),2)</f>
        <v>14.27</v>
      </c>
      <c r="E1032" s="2" t="inlineStr">
        <is>
          <t>Pokemon</t>
        </is>
      </c>
      <c r="F1032" s="2" t="inlineStr">
        <is>
          <t>Coffret</t>
        </is>
      </c>
      <c r="G1032" s="2" t="inlineStr">
        <is>
          <t>First Partner Collection 2026</t>
        </is>
      </c>
      <c r="H1032" s="3" t="n"/>
      <c r="I1032" s="3" t="n">
        <v>20.39</v>
      </c>
      <c r="J1032" s="3" t="n">
        <v>20.94</v>
      </c>
      <c r="K1032" s="3" t="n">
        <v>15</v>
      </c>
      <c r="L1032" s="2" t="inlineStr">
        <is>
          <t>TCGplayer</t>
        </is>
      </c>
      <c r="N1032" s="4" t="inlineStr">
        <is>
          <t>https://www.tcgplayer.com/product/701484</t>
        </is>
      </c>
    </row>
    <row r="1033">
      <c r="A1033" s="2" t="inlineStr">
        <is>
          <t>First Partner Collection 2026 Series 3 Booster Pack</t>
        </is>
      </c>
      <c r="B1033" s="3">
        <f>IF(H1033&lt;&gt;"",H1033,IF(I1033&lt;&gt;"",I1033,IF(J1033&lt;&gt;"",J1033,K1033)))</f>
        <v>20.98</v>
      </c>
      <c r="C1033" s="3">
        <f>MEDIAN(H1033:K1033)</f>
        <v>20.68</v>
      </c>
      <c r="D1033" s="3">
        <f>ROUND(C1033*(1-Settings!$B$2),2)</f>
        <v>14.48</v>
      </c>
      <c r="E1033" s="2" t="inlineStr">
        <is>
          <t>Pokemon</t>
        </is>
      </c>
      <c r="F1033" s="2" t="inlineStr">
        <is>
          <t>Coffret</t>
        </is>
      </c>
      <c r="G1033" s="2" t="inlineStr">
        <is>
          <t>First Partner Collection 2026</t>
        </is>
      </c>
      <c r="H1033" s="3" t="n"/>
      <c r="I1033" s="3" t="n">
        <v>20.98</v>
      </c>
      <c r="J1033" s="3" t="n">
        <v>20.68</v>
      </c>
      <c r="K1033" s="3" t="n">
        <v>15</v>
      </c>
      <c r="L1033" s="2" t="inlineStr">
        <is>
          <t>TCGplayer</t>
        </is>
      </c>
      <c r="N1033" s="4" t="inlineStr">
        <is>
          <t>https://www.tcgplayer.com/product/701485</t>
        </is>
      </c>
    </row>
    <row r="1034">
      <c r="A1034" s="2" t="inlineStr">
        <is>
          <t>First Partner Illustration Collection (Series 1)</t>
        </is>
      </c>
      <c r="B1034" s="3">
        <f>IF(H1034&lt;&gt;"",H1034,IF(I1034&lt;&gt;"",I1034,IF(J1034&lt;&gt;"",J1034,K1034)))</f>
        <v>64.88</v>
      </c>
      <c r="C1034" s="3">
        <f>MEDIAN(H1034:K1034)</f>
        <v>64.88</v>
      </c>
      <c r="D1034" s="3">
        <f>ROUND(C1034*(1-Settings!$B$2),2)</f>
        <v>45.42</v>
      </c>
      <c r="E1034" s="2" t="inlineStr">
        <is>
          <t>Pokemon</t>
        </is>
      </c>
      <c r="F1034" s="2" t="inlineStr">
        <is>
          <t>Coffret</t>
        </is>
      </c>
      <c r="G1034" s="2" t="inlineStr">
        <is>
          <t>First Partner Collection 2026</t>
        </is>
      </c>
      <c r="H1034" s="3" t="n"/>
      <c r="I1034" s="3" t="n">
        <v>64.88</v>
      </c>
      <c r="J1034" s="3" t="n">
        <v>70</v>
      </c>
      <c r="K1034" s="3" t="n">
        <v>2</v>
      </c>
      <c r="L1034" s="2" t="inlineStr">
        <is>
          <t>TCGplayer</t>
        </is>
      </c>
      <c r="N1034" s="4" t="inlineStr">
        <is>
          <t>https://www.tcgplayer.com/product/673436</t>
        </is>
      </c>
    </row>
    <row r="1035">
      <c r="A1035" s="2" t="inlineStr">
        <is>
          <t>First Partner Illustration Collection (Series 2)</t>
        </is>
      </c>
      <c r="B1035" s="3">
        <f>IF(H1035&lt;&gt;"",H1035,IF(I1035&lt;&gt;"",I1035,IF(J1035&lt;&gt;"",J1035,K1035)))</f>
        <v>25.67</v>
      </c>
      <c r="C1035" s="3">
        <f>MEDIAN(H1035:K1035)</f>
        <v>25.67</v>
      </c>
      <c r="D1035" s="3">
        <f>ROUND(C1035*(1-Settings!$B$2),2)</f>
        <v>17.97</v>
      </c>
      <c r="E1035" s="2" t="inlineStr">
        <is>
          <t>Pokemon</t>
        </is>
      </c>
      <c r="F1035" s="2" t="inlineStr">
        <is>
          <t>Coffret</t>
        </is>
      </c>
      <c r="G1035" s="2" t="inlineStr">
        <is>
          <t>First Partner Collection 2026</t>
        </is>
      </c>
      <c r="H1035" s="3" t="n"/>
      <c r="I1035" s="3" t="n">
        <v>25.67</v>
      </c>
      <c r="J1035" s="3" t="n">
        <v>34.99</v>
      </c>
      <c r="K1035" s="3" t="n">
        <v>2</v>
      </c>
      <c r="L1035" s="2" t="inlineStr">
        <is>
          <t>TCGplayer</t>
        </is>
      </c>
      <c r="N1035" s="4" t="inlineStr">
        <is>
          <t>https://www.tcgplayer.com/product/688712</t>
        </is>
      </c>
    </row>
    <row r="1036">
      <c r="A1036" s="2" t="inlineStr">
        <is>
          <t>First Partner Illustration Collection (Series 3)</t>
        </is>
      </c>
      <c r="B1036" s="3">
        <f>IF(H1036&lt;&gt;"",H1036,IF(I1036&lt;&gt;"",I1036,IF(J1036&lt;&gt;"",J1036,K1036)))</f>
        <v>28.66</v>
      </c>
      <c r="C1036" s="3">
        <f>MEDIAN(H1036:K1036)</f>
        <v>28.66</v>
      </c>
      <c r="D1036" s="3">
        <f>ROUND(C1036*(1-Settings!$B$2),2)</f>
        <v>20.06</v>
      </c>
      <c r="E1036" s="2" t="inlineStr">
        <is>
          <t>Pokemon</t>
        </is>
      </c>
      <c r="F1036" s="2" t="inlineStr">
        <is>
          <t>Coffret</t>
        </is>
      </c>
      <c r="G1036" s="2" t="inlineStr">
        <is>
          <t>First Partner Collection 2026</t>
        </is>
      </c>
      <c r="H1036" s="3" t="n"/>
      <c r="I1036" s="3" t="n">
        <v>28.66</v>
      </c>
      <c r="J1036" s="3" t="n">
        <v>31.13</v>
      </c>
      <c r="K1036" s="3" t="n">
        <v>23.99</v>
      </c>
      <c r="L1036" s="2" t="inlineStr">
        <is>
          <t>TCGplayer</t>
        </is>
      </c>
      <c r="N1036" s="4" t="inlineStr">
        <is>
          <t>https://www.tcgplayer.com/product/695400</t>
        </is>
      </c>
    </row>
    <row r="1037">
      <c r="A1037" s="2" t="inlineStr">
        <is>
          <t>Flashfire Kalos Power Tin: Delphox</t>
        </is>
      </c>
      <c r="B1037" s="3">
        <f>IF(H1037&lt;&gt;"",H1037,IF(I1037&lt;&gt;"",I1037,IF(J1037&lt;&gt;"",J1037,K1037)))</f>
        <v>502.0</v>
      </c>
      <c r="C1037" s="3">
        <f>MEDIAN(H1037:K1037)</f>
        <v>502.0</v>
      </c>
      <c r="D1037" s="3">
        <f>ROUND(C1037*(1-Settings!$B$2),2)</f>
        <v>351.4</v>
      </c>
      <c r="E1037" s="2" t="inlineStr">
        <is>
          <t>Pokemon</t>
        </is>
      </c>
      <c r="F1037" s="2" t="inlineStr">
        <is>
          <t>Coffret</t>
        </is>
      </c>
      <c r="G1037" s="2" t="inlineStr">
        <is>
          <t>Flashfire</t>
        </is>
      </c>
      <c r="H1037" s="3" t="n">
        <v>502</v>
      </c>
      <c r="I1037" s="3" t="n"/>
      <c r="J1037" s="3" t="n"/>
      <c r="K1037" s="3" t="n"/>
      <c r="L1037" s="2" t="inlineStr">
        <is>
          <t>PriceCharting</t>
        </is>
      </c>
      <c r="M1037" s="4" t="inlineStr">
        <is>
          <t>https://www.pricecharting.com/game/pokemon-flashfire/kalos-power-tin-delphox</t>
        </is>
      </c>
    </row>
    <row r="1038">
      <c r="A1038" s="2" t="inlineStr">
        <is>
          <t>Fossil Thunderstorm Gift Box</t>
        </is>
      </c>
      <c r="B1038" s="3">
        <f>IF(H1038&lt;&gt;"",H1038,IF(I1038&lt;&gt;"",I1038,IF(J1038&lt;&gt;"",J1038,K1038)))</f>
        <v>1375.0</v>
      </c>
      <c r="C1038" s="3">
        <f>MEDIAN(H1038:K1038)</f>
        <v>1375.0</v>
      </c>
      <c r="D1038" s="3">
        <f>ROUND(C1038*(1-Settings!$B$2),2)</f>
        <v>962.5</v>
      </c>
      <c r="E1038" s="2" t="inlineStr">
        <is>
          <t>Pokemon</t>
        </is>
      </c>
      <c r="F1038" s="2" t="inlineStr">
        <is>
          <t>Coffret</t>
        </is>
      </c>
      <c r="G1038" s="2" t="inlineStr">
        <is>
          <t>Fossil</t>
        </is>
      </c>
      <c r="H1038" s="3" t="n">
        <v>1375</v>
      </c>
      <c r="I1038" s="3" t="n"/>
      <c r="J1038" s="3" t="n"/>
      <c r="K1038" s="3" t="n"/>
      <c r="L1038" s="2" t="inlineStr">
        <is>
          <t>PriceCharting</t>
        </is>
      </c>
      <c r="M1038" s="4" t="inlineStr">
        <is>
          <t>https://www.pricecharting.com/game/pokemon-fossil/thunderstorm-gift-box</t>
        </is>
      </c>
    </row>
    <row r="1039">
      <c r="A1039" s="2" t="inlineStr">
        <is>
          <t>Furious Fists 2-Pack Blister</t>
        </is>
      </c>
      <c r="B1039" s="3">
        <f>IF(H1039&lt;&gt;"",H1039,IF(I1039&lt;&gt;"",I1039,IF(J1039&lt;&gt;"",J1039,K1039)))</f>
        <v>124.99</v>
      </c>
      <c r="C1039" s="3">
        <f>MEDIAN(H1039:K1039)</f>
        <v>124.99</v>
      </c>
      <c r="D1039" s="3">
        <f>ROUND(C1039*(1-Settings!$B$2),2)</f>
        <v>87.49</v>
      </c>
      <c r="E1039" s="2" t="inlineStr">
        <is>
          <t>Pokemon</t>
        </is>
      </c>
      <c r="F1039" s="2" t="inlineStr">
        <is>
          <t>Coffret</t>
        </is>
      </c>
      <c r="G1039" s="2" t="inlineStr">
        <is>
          <t>Furious Fists</t>
        </is>
      </c>
      <c r="H1039" s="3" t="n">
        <v>124.99</v>
      </c>
      <c r="I1039" s="3" t="n"/>
      <c r="J1039" s="3" t="n"/>
      <c r="K1039" s="3" t="n"/>
      <c r="L1039" s="2" t="inlineStr">
        <is>
          <t>PriceCharting</t>
        </is>
      </c>
      <c r="M1039" s="4" t="inlineStr">
        <is>
          <t>https://www.pricecharting.com/game/pokemon-furious-fists/2-pack-blister</t>
        </is>
      </c>
    </row>
    <row r="1040">
      <c r="A1040" s="2" t="inlineStr">
        <is>
          <t>Furious Fists Slurpuff 3-Pack Blister</t>
        </is>
      </c>
      <c r="B1040" s="3">
        <f>IF(H1040&lt;&gt;"",H1040,IF(I1040&lt;&gt;"",I1040,IF(J1040&lt;&gt;"",J1040,K1040)))</f>
        <v>219.43</v>
      </c>
      <c r="C1040" s="3">
        <f>MEDIAN(H1040:K1040)</f>
        <v>219.43</v>
      </c>
      <c r="D1040" s="3">
        <f>ROUND(C1040*(1-Settings!$B$2),2)</f>
        <v>153.6</v>
      </c>
      <c r="E1040" s="2" t="inlineStr">
        <is>
          <t>Pokemon</t>
        </is>
      </c>
      <c r="F1040" s="2" t="inlineStr">
        <is>
          <t>Coffret</t>
        </is>
      </c>
      <c r="G1040" s="2" t="inlineStr">
        <is>
          <t>Furious Fists</t>
        </is>
      </c>
      <c r="H1040" s="3" t="n">
        <v>219.43</v>
      </c>
      <c r="I1040" s="3" t="n"/>
      <c r="J1040" s="3" t="n"/>
      <c r="K1040" s="3" t="n"/>
      <c r="L1040" s="2" t="inlineStr">
        <is>
          <t>PriceCharting</t>
        </is>
      </c>
      <c r="M1040" s="4" t="inlineStr">
        <is>
          <t>https://www.pricecharting.com/game/pokemon-furious-fists/slurpuff-3-pack-blister</t>
        </is>
      </c>
    </row>
    <row r="1041">
      <c r="A1041" s="2" t="inlineStr">
        <is>
          <t>Fusion Strike Eevee 3-Pack Blister</t>
        </is>
      </c>
      <c r="B1041" s="3">
        <f>IF(H1041&lt;&gt;"",H1041,IF(I1041&lt;&gt;"",I1041,IF(J1041&lt;&gt;"",J1041,K1041)))</f>
        <v>71.32</v>
      </c>
      <c r="C1041" s="3">
        <f>MEDIAN(H1041:K1041)</f>
        <v>71.32</v>
      </c>
      <c r="D1041" s="3">
        <f>ROUND(C1041*(1-Settings!$B$2),2)</f>
        <v>49.92</v>
      </c>
      <c r="E1041" s="2" t="inlineStr">
        <is>
          <t>Pokemon</t>
        </is>
      </c>
      <c r="F1041" s="2" t="inlineStr">
        <is>
          <t>Coffret</t>
        </is>
      </c>
      <c r="G1041" s="2" t="inlineStr">
        <is>
          <t>Fusion Strike</t>
        </is>
      </c>
      <c r="H1041" s="3" t="n">
        <v>71.31999999999999</v>
      </c>
      <c r="I1041" s="3" t="n"/>
      <c r="J1041" s="3" t="n"/>
      <c r="K1041" s="3" t="n"/>
      <c r="L1041" s="2" t="inlineStr">
        <is>
          <t>PriceCharting</t>
        </is>
      </c>
      <c r="M1041" s="4" t="inlineStr">
        <is>
          <t>https://www.pricecharting.com/game/pokemon-fusion-strike/eevee-3-pack-blister</t>
        </is>
      </c>
    </row>
    <row r="1042">
      <c r="A1042" s="2" t="inlineStr">
        <is>
          <t>Fusion Strike Elite Trainer Box [Pokemon Center]</t>
        </is>
      </c>
      <c r="B1042" s="3">
        <f>IF(H1042&lt;&gt;"",H1042,IF(I1042&lt;&gt;"",I1042,IF(J1042&lt;&gt;"",J1042,K1042)))</f>
        <v>460.65</v>
      </c>
      <c r="C1042" s="3">
        <f>MEDIAN(H1042:K1042)</f>
        <v>460.65</v>
      </c>
      <c r="D1042" s="3">
        <f>ROUND(C1042*(1-Settings!$B$2),2)</f>
        <v>322.46</v>
      </c>
      <c r="E1042" s="2" t="inlineStr">
        <is>
          <t>Pokemon</t>
        </is>
      </c>
      <c r="F1042" s="2" t="inlineStr">
        <is>
          <t>Coffret</t>
        </is>
      </c>
      <c r="G1042" s="2" t="inlineStr">
        <is>
          <t>Fusion Strike</t>
        </is>
      </c>
      <c r="H1042" s="3" t="n">
        <v>460.65</v>
      </c>
      <c r="I1042" s="3" t="n"/>
      <c r="J1042" s="3" t="n"/>
      <c r="K1042" s="3" t="n"/>
      <c r="L1042" s="2" t="inlineStr">
        <is>
          <t>PriceCharting</t>
        </is>
      </c>
      <c r="M1042" s="4" t="inlineStr">
        <is>
          <t>https://www.pricecharting.com/game/pokemon-fusion-strike/elite-trainer-box-pokemon-center</t>
        </is>
      </c>
    </row>
    <row r="1043">
      <c r="A1043" s="2" t="inlineStr">
        <is>
          <t>Fusion Strike Espeon 3-Pack Blister</t>
        </is>
      </c>
      <c r="B1043" s="3">
        <f>IF(H1043&lt;&gt;"",H1043,IF(I1043&lt;&gt;"",I1043,IF(J1043&lt;&gt;"",J1043,K1043)))</f>
        <v>69.8</v>
      </c>
      <c r="C1043" s="3">
        <f>MEDIAN(H1043:K1043)</f>
        <v>69.8</v>
      </c>
      <c r="D1043" s="3">
        <f>ROUND(C1043*(1-Settings!$B$2),2)</f>
        <v>48.86</v>
      </c>
      <c r="E1043" s="2" t="inlineStr">
        <is>
          <t>Pokemon</t>
        </is>
      </c>
      <c r="F1043" s="2" t="inlineStr">
        <is>
          <t>Coffret</t>
        </is>
      </c>
      <c r="G1043" s="2" t="inlineStr">
        <is>
          <t>Fusion Strike</t>
        </is>
      </c>
      <c r="H1043" s="3" t="n">
        <v>69.8</v>
      </c>
      <c r="I1043" s="3" t="n"/>
      <c r="J1043" s="3" t="n"/>
      <c r="K1043" s="3" t="n"/>
      <c r="L1043" s="2" t="inlineStr">
        <is>
          <t>PriceCharting</t>
        </is>
      </c>
      <c r="M1043" s="4" t="inlineStr">
        <is>
          <t>https://www.pricecharting.com/game/pokemon-fusion-strike/espeon-3-pack-blister</t>
        </is>
      </c>
    </row>
    <row r="1044">
      <c r="A1044" s="2" t="inlineStr">
        <is>
          <t>Fusion Strike Rapid Strike Urshifu VMAX Premium Collection</t>
        </is>
      </c>
      <c r="B1044" s="3">
        <f>IF(H1044&lt;&gt;"",H1044,IF(I1044&lt;&gt;"",I1044,IF(J1044&lt;&gt;"",J1044,K1044)))</f>
        <v>76.0</v>
      </c>
      <c r="C1044" s="3">
        <f>MEDIAN(H1044:K1044)</f>
        <v>76.0</v>
      </c>
      <c r="D1044" s="3">
        <f>ROUND(C1044*(1-Settings!$B$2),2)</f>
        <v>53.2</v>
      </c>
      <c r="E1044" s="2" t="inlineStr">
        <is>
          <t>Pokemon</t>
        </is>
      </c>
      <c r="F1044" s="2" t="inlineStr">
        <is>
          <t>Coffret</t>
        </is>
      </c>
      <c r="G1044" s="2" t="inlineStr">
        <is>
          <t>Fusion Strike</t>
        </is>
      </c>
      <c r="H1044" s="3" t="n">
        <v>76</v>
      </c>
      <c r="I1044" s="3" t="n"/>
      <c r="J1044" s="3" t="n"/>
      <c r="K1044" s="3" t="n"/>
      <c r="L1044" s="2" t="inlineStr">
        <is>
          <t>PriceCharting</t>
        </is>
      </c>
      <c r="M1044" s="4" t="inlineStr">
        <is>
          <t>https://www.pricecharting.com/game/pokemon-fusion-strike/rapid-strike-urshifu-vmax-premium-collection</t>
        </is>
      </c>
    </row>
    <row r="1045">
      <c r="A1045" s="2" t="inlineStr">
        <is>
          <t>Generations Arceus Mythical Collection Box</t>
        </is>
      </c>
      <c r="B1045" s="3">
        <f>IF(H1045&lt;&gt;"",H1045,IF(I1045&lt;&gt;"",I1045,IF(J1045&lt;&gt;"",J1045,K1045)))</f>
        <v>503.75</v>
      </c>
      <c r="C1045" s="3">
        <f>MEDIAN(H1045:K1045)</f>
        <v>503.75</v>
      </c>
      <c r="D1045" s="3">
        <f>ROUND(C1045*(1-Settings!$B$2),2)</f>
        <v>352.63</v>
      </c>
      <c r="E1045" s="2" t="inlineStr">
        <is>
          <t>Pokemon</t>
        </is>
      </c>
      <c r="F1045" s="2" t="inlineStr">
        <is>
          <t>Coffret</t>
        </is>
      </c>
      <c r="G1045" s="2" t="inlineStr">
        <is>
          <t>Generations</t>
        </is>
      </c>
      <c r="H1045" s="3" t="n">
        <v>503.75</v>
      </c>
      <c r="I1045" s="3" t="n"/>
      <c r="J1045" s="3" t="n"/>
      <c r="K1045" s="3" t="n"/>
      <c r="L1045" s="2" t="inlineStr">
        <is>
          <t>PriceCharting</t>
        </is>
      </c>
      <c r="M1045" s="4" t="inlineStr">
        <is>
          <t>https://www.pricecharting.com/game/pokemon-generations/arceus-mythical-collection-box</t>
        </is>
      </c>
    </row>
    <row r="1046">
      <c r="A1046" s="2" t="inlineStr">
        <is>
          <t>Generations Blastoise EX: Red And Blue Collection</t>
        </is>
      </c>
      <c r="B1046" s="3">
        <f>IF(H1046&lt;&gt;"",H1046,IF(I1046&lt;&gt;"",I1046,IF(J1046&lt;&gt;"",J1046,K1046)))</f>
        <v>1256.38</v>
      </c>
      <c r="C1046" s="3">
        <f>MEDIAN(H1046:K1046)</f>
        <v>1256.38</v>
      </c>
      <c r="D1046" s="3">
        <f>ROUND(C1046*(1-Settings!$B$2),2)</f>
        <v>879.47</v>
      </c>
      <c r="E1046" s="2" t="inlineStr">
        <is>
          <t>Pokemon</t>
        </is>
      </c>
      <c r="F1046" s="2" t="inlineStr">
        <is>
          <t>Coffret</t>
        </is>
      </c>
      <c r="G1046" s="2" t="inlineStr">
        <is>
          <t>Generations</t>
        </is>
      </c>
      <c r="H1046" s="3" t="n">
        <v>1256.38</v>
      </c>
      <c r="I1046" s="3" t="n"/>
      <c r="J1046" s="3" t="n"/>
      <c r="K1046" s="3" t="n"/>
      <c r="L1046" s="2" t="inlineStr">
        <is>
          <t>PriceCharting</t>
        </is>
      </c>
      <c r="M1046" s="4" t="inlineStr">
        <is>
          <t>https://www.pricecharting.com/game/pokemon-generations/blastoise-ex-red-and-blue-collection</t>
        </is>
      </c>
    </row>
    <row r="1047">
      <c r="A1047" s="2" t="inlineStr">
        <is>
          <t>Generations Celebi Mythical Collection Box</t>
        </is>
      </c>
      <c r="B1047" s="3">
        <f>IF(H1047&lt;&gt;"",H1047,IF(I1047&lt;&gt;"",I1047,IF(J1047&lt;&gt;"",J1047,K1047)))</f>
        <v>565.33</v>
      </c>
      <c r="C1047" s="3">
        <f>MEDIAN(H1047:K1047)</f>
        <v>565.33</v>
      </c>
      <c r="D1047" s="3">
        <f>ROUND(C1047*(1-Settings!$B$2),2)</f>
        <v>395.73</v>
      </c>
      <c r="E1047" s="2" t="inlineStr">
        <is>
          <t>Pokemon</t>
        </is>
      </c>
      <c r="F1047" s="2" t="inlineStr">
        <is>
          <t>Coffret</t>
        </is>
      </c>
      <c r="G1047" s="2" t="inlineStr">
        <is>
          <t>Generations</t>
        </is>
      </c>
      <c r="H1047" s="3" t="n">
        <v>565.33</v>
      </c>
      <c r="I1047" s="3" t="n"/>
      <c r="J1047" s="3" t="n"/>
      <c r="K1047" s="3" t="n"/>
      <c r="L1047" s="2" t="inlineStr">
        <is>
          <t>PriceCharting</t>
        </is>
      </c>
      <c r="M1047" s="4" t="inlineStr">
        <is>
          <t>https://www.pricecharting.com/game/pokemon-generations/celebi-mythical-collection-box</t>
        </is>
      </c>
    </row>
    <row r="1048">
      <c r="A1048" s="2" t="inlineStr">
        <is>
          <t>Generations Charizard EX: Red And Blue Collection</t>
        </is>
      </c>
      <c r="B1048" s="3">
        <f>IF(H1048&lt;&gt;"",H1048,IF(I1048&lt;&gt;"",I1048,IF(J1048&lt;&gt;"",J1048,K1048)))</f>
        <v>1332.62</v>
      </c>
      <c r="C1048" s="3">
        <f>MEDIAN(H1048:K1048)</f>
        <v>1332.62</v>
      </c>
      <c r="D1048" s="3">
        <f>ROUND(C1048*(1-Settings!$B$2),2)</f>
        <v>932.83</v>
      </c>
      <c r="E1048" s="2" t="inlineStr">
        <is>
          <t>Pokemon</t>
        </is>
      </c>
      <c r="F1048" s="2" t="inlineStr">
        <is>
          <t>Coffret</t>
        </is>
      </c>
      <c r="G1048" s="2" t="inlineStr">
        <is>
          <t>Generations</t>
        </is>
      </c>
      <c r="H1048" s="3" t="n">
        <v>1332.62</v>
      </c>
      <c r="I1048" s="3" t="n"/>
      <c r="J1048" s="3" t="n"/>
      <c r="K1048" s="3" t="n"/>
      <c r="L1048" s="2" t="inlineStr">
        <is>
          <t>PriceCharting</t>
        </is>
      </c>
      <c r="M1048" s="4" t="inlineStr">
        <is>
          <t>https://www.pricecharting.com/game/pokemon-generations/charizard-ex-red-and-blue-collection</t>
        </is>
      </c>
    </row>
    <row r="1049">
      <c r="A1049" s="2" t="inlineStr">
        <is>
          <t>Generations Charizard EX: Red And Blue Collection [Jumbo]</t>
        </is>
      </c>
      <c r="B1049" s="3">
        <f>IF(H1049&lt;&gt;"",H1049,IF(I1049&lt;&gt;"",I1049,IF(J1049&lt;&gt;"",J1049,K1049)))</f>
        <v>354.72</v>
      </c>
      <c r="C1049" s="3">
        <f>MEDIAN(H1049:K1049)</f>
        <v>354.72</v>
      </c>
      <c r="D1049" s="3">
        <f>ROUND(C1049*(1-Settings!$B$2),2)</f>
        <v>248.3</v>
      </c>
      <c r="E1049" s="2" t="inlineStr">
        <is>
          <t>Pokemon</t>
        </is>
      </c>
      <c r="F1049" s="2" t="inlineStr">
        <is>
          <t>Coffret</t>
        </is>
      </c>
      <c r="G1049" s="2" t="inlineStr">
        <is>
          <t>Generations</t>
        </is>
      </c>
      <c r="H1049" s="3" t="n">
        <v>354.72</v>
      </c>
      <c r="I1049" s="3" t="n"/>
      <c r="J1049" s="3" t="n"/>
      <c r="K1049" s="3" t="n"/>
      <c r="L1049" s="2" t="inlineStr">
        <is>
          <t>PriceCharting</t>
        </is>
      </c>
      <c r="M1049" s="4" t="inlineStr">
        <is>
          <t>https://www.pricecharting.com/game/pokemon-generations/charizard-ex-red-and-blue-collection-jumbo</t>
        </is>
      </c>
    </row>
    <row r="1050">
      <c r="A1050" s="2" t="inlineStr">
        <is>
          <t>Generations Darkrai Mythical Collection Box</t>
        </is>
      </c>
      <c r="B1050" s="3">
        <f>IF(H1050&lt;&gt;"",H1050,IF(I1050&lt;&gt;"",I1050,IF(J1050&lt;&gt;"",J1050,K1050)))</f>
        <v>643.5</v>
      </c>
      <c r="C1050" s="3">
        <f>MEDIAN(H1050:K1050)</f>
        <v>643.5</v>
      </c>
      <c r="D1050" s="3">
        <f>ROUND(C1050*(1-Settings!$B$2),2)</f>
        <v>450.45</v>
      </c>
      <c r="E1050" s="2" t="inlineStr">
        <is>
          <t>Pokemon</t>
        </is>
      </c>
      <c r="F1050" s="2" t="inlineStr">
        <is>
          <t>Coffret</t>
        </is>
      </c>
      <c r="G1050" s="2" t="inlineStr">
        <is>
          <t>Generations</t>
        </is>
      </c>
      <c r="H1050" s="3" t="n">
        <v>643.5</v>
      </c>
      <c r="I1050" s="3" t="n"/>
      <c r="J1050" s="3" t="n"/>
      <c r="K1050" s="3" t="n"/>
      <c r="L1050" s="2" t="inlineStr">
        <is>
          <t>PriceCharting</t>
        </is>
      </c>
      <c r="M1050" s="4" t="inlineStr">
        <is>
          <t>https://www.pricecharting.com/game/pokemon-generations/darkrai-mythical-collection-box</t>
        </is>
      </c>
    </row>
    <row r="1051">
      <c r="A1051" s="2" t="inlineStr">
        <is>
          <t>Generations Elite Trainer Box</t>
        </is>
      </c>
      <c r="B1051" s="3">
        <f>IF(H1051&lt;&gt;"",H1051,IF(I1051&lt;&gt;"",I1051,IF(J1051&lt;&gt;"",J1051,K1051)))</f>
        <v>3508.0</v>
      </c>
      <c r="C1051" s="3">
        <f>MEDIAN(H1051:K1051)</f>
        <v>4003.995</v>
      </c>
      <c r="D1051" s="3">
        <f>ROUND(C1051*(1-Settings!$B$2),2)</f>
        <v>2802.8</v>
      </c>
      <c r="E1051" s="2" t="inlineStr">
        <is>
          <t>Pokemon</t>
        </is>
      </c>
      <c r="F1051" s="2" t="inlineStr">
        <is>
          <t>Coffret</t>
        </is>
      </c>
      <c r="G1051" s="2" t="inlineStr">
        <is>
          <t>Generations</t>
        </is>
      </c>
      <c r="H1051" s="3" t="n">
        <v>3508</v>
      </c>
      <c r="I1051" s="3" t="n">
        <v>2999.19</v>
      </c>
      <c r="J1051" s="3" t="n">
        <v>4499.99</v>
      </c>
      <c r="K1051" s="3" t="n">
        <v>4499.99</v>
      </c>
      <c r="L1051" s="2" t="inlineStr">
        <is>
          <t>PriceCharting + TCGplayer</t>
        </is>
      </c>
      <c r="M1051" s="4" t="inlineStr">
        <is>
          <t>https://www.pricecharting.com/game/pokemon-generations/elite-trainer-box</t>
        </is>
      </c>
      <c r="N1051" s="4" t="inlineStr">
        <is>
          <t>https://www.tcgplayer.com/product/123741</t>
        </is>
      </c>
    </row>
    <row r="1052">
      <c r="A1052" s="2" t="inlineStr">
        <is>
          <t>Generations Jirachi Mythical Collection Box</t>
        </is>
      </c>
      <c r="B1052" s="3">
        <f>IF(H1052&lt;&gt;"",H1052,IF(I1052&lt;&gt;"",I1052,IF(J1052&lt;&gt;"",J1052,K1052)))</f>
        <v>600.0</v>
      </c>
      <c r="C1052" s="3">
        <f>MEDIAN(H1052:K1052)</f>
        <v>600.0</v>
      </c>
      <c r="D1052" s="3">
        <f>ROUND(C1052*(1-Settings!$B$2),2)</f>
        <v>420.0</v>
      </c>
      <c r="E1052" s="2" t="inlineStr">
        <is>
          <t>Pokemon</t>
        </is>
      </c>
      <c r="F1052" s="2" t="inlineStr">
        <is>
          <t>Coffret</t>
        </is>
      </c>
      <c r="G1052" s="2" t="inlineStr">
        <is>
          <t>Generations</t>
        </is>
      </c>
      <c r="H1052" s="3" t="n">
        <v>600</v>
      </c>
      <c r="I1052" s="3" t="n"/>
      <c r="J1052" s="3" t="n"/>
      <c r="K1052" s="3" t="n"/>
      <c r="L1052" s="2" t="inlineStr">
        <is>
          <t>PriceCharting</t>
        </is>
      </c>
      <c r="M1052" s="4" t="inlineStr">
        <is>
          <t>https://www.pricecharting.com/game/pokemon-generations/jirachi-mythical-collection-box</t>
        </is>
      </c>
    </row>
    <row r="1053">
      <c r="A1053" s="2" t="inlineStr">
        <is>
          <t>Generations Mew Mythical Collection Box</t>
        </is>
      </c>
      <c r="B1053" s="3">
        <f>IF(H1053&lt;&gt;"",H1053,IF(I1053&lt;&gt;"",I1053,IF(J1053&lt;&gt;"",J1053,K1053)))</f>
        <v>753.44</v>
      </c>
      <c r="C1053" s="3">
        <f>MEDIAN(H1053:K1053)</f>
        <v>753.44</v>
      </c>
      <c r="D1053" s="3">
        <f>ROUND(C1053*(1-Settings!$B$2),2)</f>
        <v>527.41</v>
      </c>
      <c r="E1053" s="2" t="inlineStr">
        <is>
          <t>Pokemon</t>
        </is>
      </c>
      <c r="F1053" s="2" t="inlineStr">
        <is>
          <t>Coffret</t>
        </is>
      </c>
      <c r="G1053" s="2" t="inlineStr">
        <is>
          <t>Generations</t>
        </is>
      </c>
      <c r="H1053" s="3" t="n">
        <v>753.4400000000001</v>
      </c>
      <c r="I1053" s="3" t="n"/>
      <c r="J1053" s="3" t="n"/>
      <c r="K1053" s="3" t="n"/>
      <c r="L1053" s="2" t="inlineStr">
        <is>
          <t>PriceCharting</t>
        </is>
      </c>
      <c r="M1053" s="4" t="inlineStr">
        <is>
          <t>https://www.pricecharting.com/game/pokemon-generations/mew-mythical-collection-box</t>
        </is>
      </c>
    </row>
    <row r="1054">
      <c r="A1054" s="2" t="inlineStr">
        <is>
          <t>Generations Pikachu EX: Red and Blue Collection</t>
        </is>
      </c>
      <c r="B1054" s="3">
        <f>IF(H1054&lt;&gt;"",H1054,IF(I1054&lt;&gt;"",I1054,IF(J1054&lt;&gt;"",J1054,K1054)))</f>
        <v>2679.91</v>
      </c>
      <c r="C1054" s="3">
        <f>MEDIAN(H1054:K1054)</f>
        <v>2679.91</v>
      </c>
      <c r="D1054" s="3">
        <f>ROUND(C1054*(1-Settings!$B$2),2)</f>
        <v>1875.94</v>
      </c>
      <c r="E1054" s="2" t="inlineStr">
        <is>
          <t>Pokemon</t>
        </is>
      </c>
      <c r="F1054" s="2" t="inlineStr">
        <is>
          <t>Coffret</t>
        </is>
      </c>
      <c r="G1054" s="2" t="inlineStr">
        <is>
          <t>Generations</t>
        </is>
      </c>
      <c r="H1054" s="3" t="n">
        <v>2679.91</v>
      </c>
      <c r="I1054" s="3" t="n"/>
      <c r="J1054" s="3" t="n"/>
      <c r="K1054" s="3" t="n"/>
      <c r="L1054" s="2" t="inlineStr">
        <is>
          <t>PriceCharting</t>
        </is>
      </c>
      <c r="M1054" s="4" t="inlineStr">
        <is>
          <t>https://www.pricecharting.com/game/pokemon-generations/pikachu-ex-red-and-blue-collection</t>
        </is>
      </c>
    </row>
    <row r="1055">
      <c r="A1055" s="2" t="inlineStr">
        <is>
          <t>Generations Shaymin Mythical Collection Box</t>
        </is>
      </c>
      <c r="B1055" s="3">
        <f>IF(H1055&lt;&gt;"",H1055,IF(I1055&lt;&gt;"",I1055,IF(J1055&lt;&gt;"",J1055,K1055)))</f>
        <v>599.63</v>
      </c>
      <c r="C1055" s="3">
        <f>MEDIAN(H1055:K1055)</f>
        <v>599.63</v>
      </c>
      <c r="D1055" s="3">
        <f>ROUND(C1055*(1-Settings!$B$2),2)</f>
        <v>419.74</v>
      </c>
      <c r="E1055" s="2" t="inlineStr">
        <is>
          <t>Pokemon</t>
        </is>
      </c>
      <c r="F1055" s="2" t="inlineStr">
        <is>
          <t>Coffret</t>
        </is>
      </c>
      <c r="G1055" s="2" t="inlineStr">
        <is>
          <t>Generations</t>
        </is>
      </c>
      <c r="H1055" s="3" t="n">
        <v>599.63</v>
      </c>
      <c r="I1055" s="3" t="n"/>
      <c r="J1055" s="3" t="n"/>
      <c r="K1055" s="3" t="n"/>
      <c r="L1055" s="2" t="inlineStr">
        <is>
          <t>PriceCharting</t>
        </is>
      </c>
      <c r="M1055" s="4" t="inlineStr">
        <is>
          <t>https://www.pricecharting.com/game/pokemon-generations/shaymin-mythical-collection-box</t>
        </is>
      </c>
    </row>
    <row r="1056">
      <c r="A1056" s="2" t="inlineStr">
        <is>
          <t>Generations Super-Premium Collection Box: Mew And Mewtwo</t>
        </is>
      </c>
      <c r="B1056" s="3">
        <f>IF(H1056&lt;&gt;"",H1056,IF(I1056&lt;&gt;"",I1056,IF(J1056&lt;&gt;"",J1056,K1056)))</f>
        <v>4011.78</v>
      </c>
      <c r="C1056" s="3">
        <f>MEDIAN(H1056:K1056)</f>
        <v>4011.78</v>
      </c>
      <c r="D1056" s="3">
        <f>ROUND(C1056*(1-Settings!$B$2),2)</f>
        <v>2808.25</v>
      </c>
      <c r="E1056" s="2" t="inlineStr">
        <is>
          <t>Pokemon</t>
        </is>
      </c>
      <c r="F1056" s="2" t="inlineStr">
        <is>
          <t>Coffret</t>
        </is>
      </c>
      <c r="G1056" s="2" t="inlineStr">
        <is>
          <t>Generations</t>
        </is>
      </c>
      <c r="H1056" s="3" t="n">
        <v>4011.78</v>
      </c>
      <c r="I1056" s="3" t="n"/>
      <c r="J1056" s="3" t="n"/>
      <c r="K1056" s="3" t="n"/>
      <c r="L1056" s="2" t="inlineStr">
        <is>
          <t>PriceCharting</t>
        </is>
      </c>
      <c r="M1056" s="4" t="inlineStr">
        <is>
          <t>https://www.pricecharting.com/game/pokemon-generations/super-premium-collection-box-mew-and-mewtwo</t>
        </is>
      </c>
    </row>
    <row r="1057">
      <c r="A1057" s="2" t="inlineStr">
        <is>
          <t>Generations Tag Team Premium Collection Box</t>
        </is>
      </c>
      <c r="B1057" s="3">
        <f>IF(H1057&lt;&gt;"",H1057,IF(I1057&lt;&gt;"",I1057,IF(J1057&lt;&gt;"",J1057,K1057)))</f>
        <v>952.35</v>
      </c>
      <c r="C1057" s="3">
        <f>MEDIAN(H1057:K1057)</f>
        <v>952.35</v>
      </c>
      <c r="D1057" s="3">
        <f>ROUND(C1057*(1-Settings!$B$2),2)</f>
        <v>666.65</v>
      </c>
      <c r="E1057" s="2" t="inlineStr">
        <is>
          <t>Pokemon</t>
        </is>
      </c>
      <c r="F1057" s="2" t="inlineStr">
        <is>
          <t>Coffret</t>
        </is>
      </c>
      <c r="G1057" s="2" t="inlineStr">
        <is>
          <t>Generations</t>
        </is>
      </c>
      <c r="H1057" s="3" t="n">
        <v>952.35</v>
      </c>
      <c r="I1057" s="3" t="n"/>
      <c r="J1057" s="3" t="n"/>
      <c r="K1057" s="3" t="n"/>
      <c r="L1057" s="2" t="inlineStr">
        <is>
          <t>PriceCharting</t>
        </is>
      </c>
      <c r="M1057" s="4" t="inlineStr">
        <is>
          <t>https://www.pricecharting.com/game/pokemon-generations/tag-team-premium-collection-box</t>
        </is>
      </c>
    </row>
    <row r="1058">
      <c r="A1058" s="2" t="inlineStr">
        <is>
          <t>Generations Venusaur EX: Red And Blue Collection</t>
        </is>
      </c>
      <c r="B1058" s="3">
        <f>IF(H1058&lt;&gt;"",H1058,IF(I1058&lt;&gt;"",I1058,IF(J1058&lt;&gt;"",J1058,K1058)))</f>
        <v>1107.12</v>
      </c>
      <c r="C1058" s="3">
        <f>MEDIAN(H1058:K1058)</f>
        <v>1107.12</v>
      </c>
      <c r="D1058" s="3">
        <f>ROUND(C1058*(1-Settings!$B$2),2)</f>
        <v>774.98</v>
      </c>
      <c r="E1058" s="2" t="inlineStr">
        <is>
          <t>Pokemon</t>
        </is>
      </c>
      <c r="F1058" s="2" t="inlineStr">
        <is>
          <t>Coffret</t>
        </is>
      </c>
      <c r="G1058" s="2" t="inlineStr">
        <is>
          <t>Generations</t>
        </is>
      </c>
      <c r="H1058" s="3" t="n">
        <v>1107.12</v>
      </c>
      <c r="I1058" s="3" t="n"/>
      <c r="J1058" s="3" t="n"/>
      <c r="K1058" s="3" t="n"/>
      <c r="L1058" s="2" t="inlineStr">
        <is>
          <t>PriceCharting</t>
        </is>
      </c>
      <c r="M1058" s="4" t="inlineStr">
        <is>
          <t>https://www.pricecharting.com/game/pokemon-generations/venusaur-ex-red-and-blue-collection</t>
        </is>
      </c>
    </row>
    <row r="1059">
      <c r="A1059" s="2" t="inlineStr">
        <is>
          <t>Mythical Pokemon Collection Box [Arceus]</t>
        </is>
      </c>
      <c r="B1059" s="3">
        <f>IF(H1059&lt;&gt;"",H1059,IF(I1059&lt;&gt;"",I1059,IF(J1059&lt;&gt;"",J1059,K1059)))</f>
        <v>777.67</v>
      </c>
      <c r="C1059" s="3">
        <f>MEDIAN(H1059:K1059)</f>
        <v>707.5799999999999</v>
      </c>
      <c r="D1059" s="3">
        <f>ROUND(C1059*(1-Settings!$B$2),2)</f>
        <v>495.31</v>
      </c>
      <c r="E1059" s="2" t="inlineStr">
        <is>
          <t>Pokemon</t>
        </is>
      </c>
      <c r="F1059" s="2" t="inlineStr">
        <is>
          <t>Coffret</t>
        </is>
      </c>
      <c r="G1059" s="2" t="inlineStr">
        <is>
          <t>Generations</t>
        </is>
      </c>
      <c r="H1059" s="3" t="n"/>
      <c r="I1059" s="3" t="n"/>
      <c r="J1059" s="3" t="n">
        <v>777.67</v>
      </c>
      <c r="K1059" s="3" t="n">
        <v>637.49</v>
      </c>
      <c r="L1059" s="2" t="inlineStr">
        <is>
          <t>TCGplayer</t>
        </is>
      </c>
      <c r="N1059" s="4" t="inlineStr">
        <is>
          <t>https://www.tcgplayer.com/product/121363</t>
        </is>
      </c>
    </row>
    <row r="1060">
      <c r="A1060" s="2" t="inlineStr">
        <is>
          <t>Mythical Pokemon Collection Box [Celebi]</t>
        </is>
      </c>
      <c r="B1060" s="3">
        <f>IF(H1060&lt;&gt;"",H1060,IF(I1060&lt;&gt;"",I1060,IF(J1060&lt;&gt;"",J1060,K1060)))</f>
        <v>543.33</v>
      </c>
      <c r="C1060" s="3">
        <f>MEDIAN(H1060:K1060)</f>
        <v>650.0</v>
      </c>
      <c r="D1060" s="3">
        <f>ROUND(C1060*(1-Settings!$B$2),2)</f>
        <v>455.0</v>
      </c>
      <c r="E1060" s="2" t="inlineStr">
        <is>
          <t>Pokemon</t>
        </is>
      </c>
      <c r="F1060" s="2" t="inlineStr">
        <is>
          <t>Coffret</t>
        </is>
      </c>
      <c r="G1060" s="2" t="inlineStr">
        <is>
          <t>Generations</t>
        </is>
      </c>
      <c r="H1060" s="3" t="n"/>
      <c r="I1060" s="3" t="n">
        <v>543.33</v>
      </c>
      <c r="J1060" s="3" t="n">
        <v>672.5</v>
      </c>
      <c r="K1060" s="3" t="n">
        <v>650</v>
      </c>
      <c r="L1060" s="2" t="inlineStr">
        <is>
          <t>TCGplayer</t>
        </is>
      </c>
      <c r="N1060" s="4" t="inlineStr">
        <is>
          <t>https://www.tcgplayer.com/product/114525</t>
        </is>
      </c>
    </row>
    <row r="1061">
      <c r="A1061" s="2" t="inlineStr">
        <is>
          <t>Mythical Pokemon Collection Box [Darkrai]</t>
        </is>
      </c>
      <c r="B1061" s="3">
        <f>IF(H1061&lt;&gt;"",H1061,IF(I1061&lt;&gt;"",I1061,IF(J1061&lt;&gt;"",J1061,K1061)))</f>
        <v>503.25</v>
      </c>
      <c r="C1061" s="3">
        <f>MEDIAN(H1061:K1061)</f>
        <v>765.0</v>
      </c>
      <c r="D1061" s="3">
        <f>ROUND(C1061*(1-Settings!$B$2),2)</f>
        <v>535.5</v>
      </c>
      <c r="E1061" s="2" t="inlineStr">
        <is>
          <t>Pokemon</t>
        </is>
      </c>
      <c r="F1061" s="2" t="inlineStr">
        <is>
          <t>Coffret</t>
        </is>
      </c>
      <c r="G1061" s="2" t="inlineStr">
        <is>
          <t>Generations</t>
        </is>
      </c>
      <c r="H1061" s="3" t="n"/>
      <c r="I1061" s="3" t="n">
        <v>503.25</v>
      </c>
      <c r="J1061" s="3" t="n">
        <v>791.38</v>
      </c>
      <c r="K1061" s="3" t="n">
        <v>765</v>
      </c>
      <c r="L1061" s="2" t="inlineStr">
        <is>
          <t>TCGplayer</t>
        </is>
      </c>
      <c r="N1061" s="4" t="inlineStr">
        <is>
          <t>https://www.tcgplayer.com/product/118342</t>
        </is>
      </c>
    </row>
    <row r="1062">
      <c r="A1062" s="2" t="inlineStr">
        <is>
          <t>Mythical Pokemon Collection Box [Keldeo]</t>
        </is>
      </c>
      <c r="B1062" s="3">
        <f>IF(H1062&lt;&gt;"",H1062,IF(I1062&lt;&gt;"",I1062,IF(J1062&lt;&gt;"",J1062,K1062)))</f>
        <v>1406.75</v>
      </c>
      <c r="C1062" s="3">
        <f>MEDIAN(H1062:K1062)</f>
        <v>1406.75</v>
      </c>
      <c r="D1062" s="3">
        <f>ROUND(C1062*(1-Settings!$B$2),2)</f>
        <v>984.73</v>
      </c>
      <c r="E1062" s="2" t="inlineStr">
        <is>
          <t>Pokemon</t>
        </is>
      </c>
      <c r="F1062" s="2" t="inlineStr">
        <is>
          <t>Coffret</t>
        </is>
      </c>
      <c r="G1062" s="2" t="inlineStr">
        <is>
          <t>Generations</t>
        </is>
      </c>
      <c r="H1062" s="3" t="n"/>
      <c r="I1062" s="3" t="n"/>
      <c r="J1062" s="3" t="n">
        <v>1406.75</v>
      </c>
      <c r="K1062" s="3" t="n">
        <v>1406.75</v>
      </c>
      <c r="L1062" s="2" t="inlineStr">
        <is>
          <t>TCGplayer</t>
        </is>
      </c>
      <c r="N1062" s="4" t="inlineStr">
        <is>
          <t>https://www.tcgplayer.com/product/123740</t>
        </is>
      </c>
    </row>
    <row r="1063">
      <c r="A1063" s="2" t="inlineStr">
        <is>
          <t>Mythical Pokemon Collection Box [Manaphy]</t>
        </is>
      </c>
      <c r="B1063" s="3">
        <f>IF(H1063&lt;&gt;"",H1063,IF(I1063&lt;&gt;"",I1063,IF(J1063&lt;&gt;"",J1063,K1063)))</f>
        <v>555.0</v>
      </c>
      <c r="C1063" s="3">
        <f>MEDIAN(H1063:K1063)</f>
        <v>1000.0</v>
      </c>
      <c r="D1063" s="3">
        <f>ROUND(C1063*(1-Settings!$B$2),2)</f>
        <v>700.0</v>
      </c>
      <c r="E1063" s="2" t="inlineStr">
        <is>
          <t>Pokemon</t>
        </is>
      </c>
      <c r="F1063" s="2" t="inlineStr">
        <is>
          <t>Coffret</t>
        </is>
      </c>
      <c r="G1063" s="2" t="inlineStr">
        <is>
          <t>Generations</t>
        </is>
      </c>
      <c r="H1063" s="3" t="n"/>
      <c r="I1063" s="3" t="n">
        <v>555</v>
      </c>
      <c r="J1063" s="3" t="n">
        <v>1000</v>
      </c>
      <c r="K1063" s="3" t="n">
        <v>1000</v>
      </c>
      <c r="L1063" s="2" t="inlineStr">
        <is>
          <t>TCGplayer</t>
        </is>
      </c>
      <c r="N1063" s="4" t="inlineStr">
        <is>
          <t>https://www.tcgplayer.com/product/118796</t>
        </is>
      </c>
    </row>
    <row r="1064">
      <c r="A1064" s="2" t="inlineStr">
        <is>
          <t>Mythical Pokemon Collection Box [Meloetta]</t>
        </is>
      </c>
      <c r="B1064" s="3">
        <f>IF(H1064&lt;&gt;"",H1064,IF(I1064&lt;&gt;"",I1064,IF(J1064&lt;&gt;"",J1064,K1064)))</f>
        <v>414.99</v>
      </c>
      <c r="C1064" s="3">
        <f>MEDIAN(H1064:K1064)</f>
        <v>675.0</v>
      </c>
      <c r="D1064" s="3">
        <f>ROUND(C1064*(1-Settings!$B$2),2)</f>
        <v>472.5</v>
      </c>
      <c r="E1064" s="2" t="inlineStr">
        <is>
          <t>Pokemon</t>
        </is>
      </c>
      <c r="F1064" s="2" t="inlineStr">
        <is>
          <t>Coffret</t>
        </is>
      </c>
      <c r="G1064" s="2" t="inlineStr">
        <is>
          <t>Generations</t>
        </is>
      </c>
      <c r="H1064" s="3" t="n"/>
      <c r="I1064" s="3" t="n">
        <v>414.99</v>
      </c>
      <c r="J1064" s="3" t="n">
        <v>675</v>
      </c>
      <c r="K1064" s="3" t="n">
        <v>675</v>
      </c>
      <c r="L1064" s="2" t="inlineStr">
        <is>
          <t>TCGplayer</t>
        </is>
      </c>
      <c r="N1064" s="4" t="inlineStr">
        <is>
          <t>https://www.tcgplayer.com/product/126568</t>
        </is>
      </c>
    </row>
    <row r="1065">
      <c r="A1065" s="2" t="inlineStr">
        <is>
          <t>Mythical Pokemon Collection Box [Mew]</t>
        </is>
      </c>
      <c r="B1065" s="3">
        <f>IF(H1065&lt;&gt;"",H1065,IF(I1065&lt;&gt;"",I1065,IF(J1065&lt;&gt;"",J1065,K1065)))</f>
        <v>682.96</v>
      </c>
      <c r="C1065" s="3">
        <f>MEDIAN(H1065:K1065)</f>
        <v>790.0</v>
      </c>
      <c r="D1065" s="3">
        <f>ROUND(C1065*(1-Settings!$B$2),2)</f>
        <v>553.0</v>
      </c>
      <c r="E1065" s="2" t="inlineStr">
        <is>
          <t>Pokemon</t>
        </is>
      </c>
      <c r="F1065" s="2" t="inlineStr">
        <is>
          <t>Coffret</t>
        </is>
      </c>
      <c r="G1065" s="2" t="inlineStr">
        <is>
          <t>Generations</t>
        </is>
      </c>
      <c r="H1065" s="3" t="n"/>
      <c r="I1065" s="3" t="n">
        <v>682.96</v>
      </c>
      <c r="J1065" s="3" t="n">
        <v>808.1</v>
      </c>
      <c r="K1065" s="3" t="n">
        <v>790</v>
      </c>
      <c r="L1065" s="2" t="inlineStr">
        <is>
          <t>TCGplayer</t>
        </is>
      </c>
      <c r="N1065" s="4" t="inlineStr">
        <is>
          <t>https://www.tcgplayer.com/product/113774</t>
        </is>
      </c>
    </row>
    <row r="1066">
      <c r="A1066" s="2" t="inlineStr">
        <is>
          <t>Mythical Pokemon Collection Box [Shaymin]</t>
        </is>
      </c>
      <c r="B1066" s="3">
        <f>IF(H1066&lt;&gt;"",H1066,IF(I1066&lt;&gt;"",I1066,IF(J1066&lt;&gt;"",J1066,K1066)))</f>
        <v>600.0</v>
      </c>
      <c r="C1066" s="3">
        <f>MEDIAN(H1066:K1066)</f>
        <v>685.0</v>
      </c>
      <c r="D1066" s="3">
        <f>ROUND(C1066*(1-Settings!$B$2),2)</f>
        <v>479.5</v>
      </c>
      <c r="E1066" s="2" t="inlineStr">
        <is>
          <t>Pokemon</t>
        </is>
      </c>
      <c r="F1066" s="2" t="inlineStr">
        <is>
          <t>Coffret</t>
        </is>
      </c>
      <c r="G1066" s="2" t="inlineStr">
        <is>
          <t>Generations</t>
        </is>
      </c>
      <c r="H1066" s="3" t="n"/>
      <c r="I1066" s="3" t="n">
        <v>600</v>
      </c>
      <c r="J1066" s="3" t="n">
        <v>702.5</v>
      </c>
      <c r="K1066" s="3" t="n">
        <v>685</v>
      </c>
      <c r="L1066" s="2" t="inlineStr">
        <is>
          <t>TCGplayer</t>
        </is>
      </c>
      <c r="N1066" s="4" t="inlineStr">
        <is>
          <t>https://www.tcgplayer.com/product/120114</t>
        </is>
      </c>
    </row>
    <row r="1067">
      <c r="A1067" s="2" t="inlineStr">
        <is>
          <t>Red &amp; Blue Collection [Blastoise EX]</t>
        </is>
      </c>
      <c r="B1067" s="3">
        <f>IF(H1067&lt;&gt;"",H1067,IF(I1067&lt;&gt;"",I1067,IF(J1067&lt;&gt;"",J1067,K1067)))</f>
        <v>1444.0</v>
      </c>
      <c r="C1067" s="3">
        <f>MEDIAN(H1067:K1067)</f>
        <v>731.995</v>
      </c>
      <c r="D1067" s="3">
        <f>ROUND(C1067*(1-Settings!$B$2),2)</f>
        <v>512.4</v>
      </c>
      <c r="E1067" s="2" t="inlineStr">
        <is>
          <t>Pokemon</t>
        </is>
      </c>
      <c r="F1067" s="2" t="inlineStr">
        <is>
          <t>Coffret</t>
        </is>
      </c>
      <c r="G1067" s="2" t="inlineStr">
        <is>
          <t>Generations</t>
        </is>
      </c>
      <c r="H1067" s="3" t="n"/>
      <c r="I1067" s="3" t="n">
        <v>1444</v>
      </c>
      <c r="J1067" s="3" t="n"/>
      <c r="K1067" s="3" t="n">
        <v>19.99</v>
      </c>
      <c r="L1067" s="2" t="inlineStr">
        <is>
          <t>TCGplayer</t>
        </is>
      </c>
      <c r="N1067" s="4" t="inlineStr">
        <is>
          <t>https://www.tcgplayer.com/product/118795</t>
        </is>
      </c>
    </row>
    <row r="1068">
      <c r="A1068" s="2" t="inlineStr">
        <is>
          <t>Red &amp; Blue Collection [Charizard EX]</t>
        </is>
      </c>
      <c r="B1068" s="3">
        <f>IF(H1068&lt;&gt;"",H1068,IF(I1068&lt;&gt;"",I1068,IF(J1068&lt;&gt;"",J1068,K1068)))</f>
        <v>1033.9</v>
      </c>
      <c r="C1068" s="3">
        <f>MEDIAN(H1068:K1068)</f>
        <v>2100.0</v>
      </c>
      <c r="D1068" s="3">
        <f>ROUND(C1068*(1-Settings!$B$2),2)</f>
        <v>1470.0</v>
      </c>
      <c r="E1068" s="2" t="inlineStr">
        <is>
          <t>Pokemon</t>
        </is>
      </c>
      <c r="F1068" s="2" t="inlineStr">
        <is>
          <t>Coffret</t>
        </is>
      </c>
      <c r="G1068" s="2" t="inlineStr">
        <is>
          <t>Generations</t>
        </is>
      </c>
      <c r="H1068" s="3" t="n"/>
      <c r="I1068" s="3" t="n">
        <v>1033.9</v>
      </c>
      <c r="J1068" s="3" t="n">
        <v>2224.99</v>
      </c>
      <c r="K1068" s="3" t="n">
        <v>2100</v>
      </c>
      <c r="L1068" s="2" t="inlineStr">
        <is>
          <t>TCGplayer</t>
        </is>
      </c>
      <c r="N1068" s="4" t="inlineStr">
        <is>
          <t>https://www.tcgplayer.com/product/115598</t>
        </is>
      </c>
    </row>
    <row r="1069">
      <c r="A1069" s="2" t="inlineStr">
        <is>
          <t>Red &amp; Blue Collection [Pikachu EX]</t>
        </is>
      </c>
      <c r="B1069" s="3">
        <f>IF(H1069&lt;&gt;"",H1069,IF(I1069&lt;&gt;"",I1069,IF(J1069&lt;&gt;"",J1069,K1069)))</f>
        <v>2995.99</v>
      </c>
      <c r="C1069" s="3">
        <f>MEDIAN(H1069:K1069)</f>
        <v>10000.0</v>
      </c>
      <c r="D1069" s="3">
        <f>ROUND(C1069*(1-Settings!$B$2),2)</f>
        <v>7000.0</v>
      </c>
      <c r="E1069" s="2" t="inlineStr">
        <is>
          <t>Pokemon</t>
        </is>
      </c>
      <c r="F1069" s="2" t="inlineStr">
        <is>
          <t>Coffret</t>
        </is>
      </c>
      <c r="G1069" s="2" t="inlineStr">
        <is>
          <t>Generations</t>
        </is>
      </c>
      <c r="H1069" s="3" t="n"/>
      <c r="I1069" s="3" t="n">
        <v>2995.99</v>
      </c>
      <c r="J1069" s="3" t="n">
        <v>10000</v>
      </c>
      <c r="K1069" s="3" t="n">
        <v>10000</v>
      </c>
      <c r="L1069" s="2" t="inlineStr">
        <is>
          <t>TCGplayer</t>
        </is>
      </c>
      <c r="N1069" s="4" t="inlineStr">
        <is>
          <t>https://www.tcgplayer.com/product/123432</t>
        </is>
      </c>
    </row>
    <row r="1070">
      <c r="A1070" s="2" t="inlineStr">
        <is>
          <t>Super-Premium Collection [Mew &amp; Mewtwo]</t>
        </is>
      </c>
      <c r="B1070" s="3">
        <f>IF(H1070&lt;&gt;"",H1070,IF(I1070&lt;&gt;"",I1070,IF(J1070&lt;&gt;"",J1070,K1070)))</f>
        <v>4697.97</v>
      </c>
      <c r="C1070" s="3">
        <f>MEDIAN(H1070:K1070)</f>
        <v>4697.97</v>
      </c>
      <c r="D1070" s="3">
        <f>ROUND(C1070*(1-Settings!$B$2),2)</f>
        <v>3288.58</v>
      </c>
      <c r="E1070" s="2" t="inlineStr">
        <is>
          <t>Pokemon</t>
        </is>
      </c>
      <c r="F1070" s="2" t="inlineStr">
        <is>
          <t>Coffret</t>
        </is>
      </c>
      <c r="G1070" s="2" t="inlineStr">
        <is>
          <t>Generations</t>
        </is>
      </c>
      <c r="H1070" s="3" t="n"/>
      <c r="I1070" s="3" t="n">
        <v>4697.97</v>
      </c>
      <c r="J1070" s="3" t="n">
        <v>6989.99</v>
      </c>
      <c r="K1070" s="3" t="n">
        <v>350</v>
      </c>
      <c r="L1070" s="2" t="inlineStr">
        <is>
          <t>TCGplayer</t>
        </is>
      </c>
      <c r="N1070" s="4" t="inlineStr">
        <is>
          <t>https://www.tcgplayer.com/product/147223</t>
        </is>
      </c>
    </row>
    <row r="1071">
      <c r="A1071" s="2" t="inlineStr">
        <is>
          <t>Go Alolan Exeggutor V Collection Box</t>
        </is>
      </c>
      <c r="B1071" s="3">
        <f>IF(H1071&lt;&gt;"",H1071,IF(I1071&lt;&gt;"",I1071,IF(J1071&lt;&gt;"",J1071,K1071)))</f>
        <v>56.96</v>
      </c>
      <c r="C1071" s="3">
        <f>MEDIAN(H1071:K1071)</f>
        <v>56.96</v>
      </c>
      <c r="D1071" s="3">
        <f>ROUND(C1071*(1-Settings!$B$2),2)</f>
        <v>39.87</v>
      </c>
      <c r="E1071" s="2" t="inlineStr">
        <is>
          <t>Pokemon</t>
        </is>
      </c>
      <c r="F1071" s="2" t="inlineStr">
        <is>
          <t>Coffret</t>
        </is>
      </c>
      <c r="G1071" s="2" t="inlineStr">
        <is>
          <t>Go</t>
        </is>
      </c>
      <c r="H1071" s="3" t="n">
        <v>56.96</v>
      </c>
      <c r="I1071" s="3" t="n"/>
      <c r="J1071" s="3" t="n"/>
      <c r="K1071" s="3" t="n"/>
      <c r="L1071" s="2" t="inlineStr">
        <is>
          <t>PriceCharting</t>
        </is>
      </c>
      <c r="M1071" s="4" t="inlineStr">
        <is>
          <t>https://www.pricecharting.com/game/pokemon-go/alolan-exeggutor-v-collection-box</t>
        </is>
      </c>
    </row>
    <row r="1072">
      <c r="A1072" s="2" t="inlineStr">
        <is>
          <t>Go Blissey Tin</t>
        </is>
      </c>
      <c r="B1072" s="3">
        <f>IF(H1072&lt;&gt;"",H1072,IF(I1072&lt;&gt;"",I1072,IF(J1072&lt;&gt;"",J1072,K1072)))</f>
        <v>40.0</v>
      </c>
      <c r="C1072" s="3">
        <f>MEDIAN(H1072:K1072)</f>
        <v>40.0</v>
      </c>
      <c r="D1072" s="3">
        <f>ROUND(C1072*(1-Settings!$B$2),2)</f>
        <v>28.0</v>
      </c>
      <c r="E1072" s="2" t="inlineStr">
        <is>
          <t>Pokemon</t>
        </is>
      </c>
      <c r="F1072" s="2" t="inlineStr">
        <is>
          <t>Coffret</t>
        </is>
      </c>
      <c r="G1072" s="2" t="inlineStr">
        <is>
          <t>Go</t>
        </is>
      </c>
      <c r="H1072" s="3" t="n">
        <v>40</v>
      </c>
      <c r="I1072" s="3" t="n"/>
      <c r="J1072" s="3" t="n"/>
      <c r="K1072" s="3" t="n"/>
      <c r="L1072" s="2" t="inlineStr">
        <is>
          <t>PriceCharting</t>
        </is>
      </c>
      <c r="M1072" s="4" t="inlineStr">
        <is>
          <t>https://www.pricecharting.com/game/pokemon-go/blissey-tin</t>
        </is>
      </c>
    </row>
    <row r="1073">
      <c r="A1073" s="2" t="inlineStr">
        <is>
          <t>Go Bulbasaur Pin Collection</t>
        </is>
      </c>
      <c r="B1073" s="3">
        <f>IF(H1073&lt;&gt;"",H1073,IF(I1073&lt;&gt;"",I1073,IF(J1073&lt;&gt;"",J1073,K1073)))</f>
        <v>52.74</v>
      </c>
      <c r="C1073" s="3">
        <f>MEDIAN(H1073:K1073)</f>
        <v>52.74</v>
      </c>
      <c r="D1073" s="3">
        <f>ROUND(C1073*(1-Settings!$B$2),2)</f>
        <v>36.92</v>
      </c>
      <c r="E1073" s="2" t="inlineStr">
        <is>
          <t>Pokemon</t>
        </is>
      </c>
      <c r="F1073" s="2" t="inlineStr">
        <is>
          <t>Coffret</t>
        </is>
      </c>
      <c r="G1073" s="2" t="inlineStr">
        <is>
          <t>Go</t>
        </is>
      </c>
      <c r="H1073" s="3" t="n">
        <v>52.74</v>
      </c>
      <c r="I1073" s="3" t="n"/>
      <c r="J1073" s="3" t="n"/>
      <c r="K1073" s="3" t="n"/>
      <c r="L1073" s="2" t="inlineStr">
        <is>
          <t>PriceCharting</t>
        </is>
      </c>
      <c r="M1073" s="4" t="inlineStr">
        <is>
          <t>https://www.pricecharting.com/game/pokemon-go/bulbasaur-pin-collection</t>
        </is>
      </c>
    </row>
    <row r="1074">
      <c r="A1074" s="2" t="inlineStr">
        <is>
          <t>Go Charmander Pin Collection</t>
        </is>
      </c>
      <c r="B1074" s="3">
        <f>IF(H1074&lt;&gt;"",H1074,IF(I1074&lt;&gt;"",I1074,IF(J1074&lt;&gt;"",J1074,K1074)))</f>
        <v>65.93</v>
      </c>
      <c r="C1074" s="3">
        <f>MEDIAN(H1074:K1074)</f>
        <v>65.93</v>
      </c>
      <c r="D1074" s="3">
        <f>ROUND(C1074*(1-Settings!$B$2),2)</f>
        <v>46.15</v>
      </c>
      <c r="E1074" s="2" t="inlineStr">
        <is>
          <t>Pokemon</t>
        </is>
      </c>
      <c r="F1074" s="2" t="inlineStr">
        <is>
          <t>Coffret</t>
        </is>
      </c>
      <c r="G1074" s="2" t="inlineStr">
        <is>
          <t>Go</t>
        </is>
      </c>
      <c r="H1074" s="3" t="n">
        <v>65.93000000000001</v>
      </c>
      <c r="I1074" s="3" t="n"/>
      <c r="J1074" s="3" t="n"/>
      <c r="K1074" s="3" t="n"/>
      <c r="L1074" s="2" t="inlineStr">
        <is>
          <t>PriceCharting</t>
        </is>
      </c>
      <c r="M1074" s="4" t="inlineStr">
        <is>
          <t>https://www.pricecharting.com/game/pokemon-go/charmander-pin-collection</t>
        </is>
      </c>
    </row>
    <row r="1075">
      <c r="A1075" s="2" t="inlineStr">
        <is>
          <t>Go Eevee TIn</t>
        </is>
      </c>
      <c r="B1075" s="3">
        <f>IF(H1075&lt;&gt;"",H1075,IF(I1075&lt;&gt;"",I1075,IF(J1075&lt;&gt;"",J1075,K1075)))</f>
        <v>30.0</v>
      </c>
      <c r="C1075" s="3">
        <f>MEDIAN(H1075:K1075)</f>
        <v>30.0</v>
      </c>
      <c r="D1075" s="3">
        <f>ROUND(C1075*(1-Settings!$B$2),2)</f>
        <v>21.0</v>
      </c>
      <c r="E1075" s="2" t="inlineStr">
        <is>
          <t>Pokemon</t>
        </is>
      </c>
      <c r="F1075" s="2" t="inlineStr">
        <is>
          <t>Coffret</t>
        </is>
      </c>
      <c r="G1075" s="2" t="inlineStr">
        <is>
          <t>Go</t>
        </is>
      </c>
      <c r="H1075" s="3" t="n">
        <v>30</v>
      </c>
      <c r="I1075" s="3" t="n"/>
      <c r="J1075" s="3" t="n"/>
      <c r="K1075" s="3" t="n"/>
      <c r="L1075" s="2" t="inlineStr">
        <is>
          <t>PriceCharting</t>
        </is>
      </c>
      <c r="M1075" s="4" t="inlineStr">
        <is>
          <t>https://www.pricecharting.com/game/pokemon-go/eevee-tin</t>
        </is>
      </c>
    </row>
    <row r="1076">
      <c r="A1076" s="2" t="inlineStr">
        <is>
          <t>Go Elite Trainer Box</t>
        </is>
      </c>
      <c r="B1076" s="3">
        <f>IF(H1076&lt;&gt;"",H1076,IF(I1076&lt;&gt;"",I1076,IF(J1076&lt;&gt;"",J1076,K1076)))</f>
        <v>169.7</v>
      </c>
      <c r="C1076" s="3">
        <f>MEDIAN(H1076:K1076)</f>
        <v>169.7</v>
      </c>
      <c r="D1076" s="3">
        <f>ROUND(C1076*(1-Settings!$B$2),2)</f>
        <v>118.79</v>
      </c>
      <c r="E1076" s="2" t="inlineStr">
        <is>
          <t>Pokemon</t>
        </is>
      </c>
      <c r="F1076" s="2" t="inlineStr">
        <is>
          <t>Coffret</t>
        </is>
      </c>
      <c r="G1076" s="2" t="inlineStr">
        <is>
          <t>Go</t>
        </is>
      </c>
      <c r="H1076" s="3" t="n">
        <v>169.7</v>
      </c>
      <c r="I1076" s="3" t="n"/>
      <c r="J1076" s="3" t="n"/>
      <c r="K1076" s="3" t="n"/>
      <c r="L1076" s="2" t="inlineStr">
        <is>
          <t>PriceCharting</t>
        </is>
      </c>
      <c r="M1076" s="4" t="inlineStr">
        <is>
          <t>https://www.pricecharting.com/game/pokemon-go/elite-trainer-box</t>
        </is>
      </c>
    </row>
    <row r="1077">
      <c r="A1077" s="2" t="inlineStr">
        <is>
          <t>Go Elite Trainer Box Plus [Pokemon Center]</t>
        </is>
      </c>
      <c r="B1077" s="3">
        <f>IF(H1077&lt;&gt;"",H1077,IF(I1077&lt;&gt;"",I1077,IF(J1077&lt;&gt;"",J1077,K1077)))</f>
        <v>245.0</v>
      </c>
      <c r="C1077" s="3">
        <f>MEDIAN(H1077:K1077)</f>
        <v>245.0</v>
      </c>
      <c r="D1077" s="3">
        <f>ROUND(C1077*(1-Settings!$B$2),2)</f>
        <v>171.5</v>
      </c>
      <c r="E1077" s="2" t="inlineStr">
        <is>
          <t>Pokemon</t>
        </is>
      </c>
      <c r="F1077" s="2" t="inlineStr">
        <is>
          <t>Coffret</t>
        </is>
      </c>
      <c r="G1077" s="2" t="inlineStr">
        <is>
          <t>Go</t>
        </is>
      </c>
      <c r="H1077" s="3" t="n">
        <v>245</v>
      </c>
      <c r="I1077" s="3" t="n"/>
      <c r="J1077" s="3" t="n"/>
      <c r="K1077" s="3" t="n"/>
      <c r="L1077" s="2" t="inlineStr">
        <is>
          <t>PriceCharting</t>
        </is>
      </c>
      <c r="M1077" s="4" t="inlineStr">
        <is>
          <t>https://www.pricecharting.com/game/pokemon-go/elite-trainer-box-plus-pokemon-center</t>
        </is>
      </c>
    </row>
    <row r="1078">
      <c r="A1078" s="2" t="inlineStr">
        <is>
          <t>Go Magikarp TIn</t>
        </is>
      </c>
      <c r="B1078" s="3">
        <f>IF(H1078&lt;&gt;"",H1078,IF(I1078&lt;&gt;"",I1078,IF(J1078&lt;&gt;"",J1078,K1078)))</f>
        <v>40.62</v>
      </c>
      <c r="C1078" s="3">
        <f>MEDIAN(H1078:K1078)</f>
        <v>40.62</v>
      </c>
      <c r="D1078" s="3">
        <f>ROUND(C1078*(1-Settings!$B$2),2)</f>
        <v>28.43</v>
      </c>
      <c r="E1078" s="2" t="inlineStr">
        <is>
          <t>Pokemon</t>
        </is>
      </c>
      <c r="F1078" s="2" t="inlineStr">
        <is>
          <t>Coffret</t>
        </is>
      </c>
      <c r="G1078" s="2" t="inlineStr">
        <is>
          <t>Go</t>
        </is>
      </c>
      <c r="H1078" s="3" t="n">
        <v>40.62</v>
      </c>
      <c r="I1078" s="3" t="n"/>
      <c r="J1078" s="3" t="n"/>
      <c r="K1078" s="3" t="n"/>
      <c r="L1078" s="2" t="inlineStr">
        <is>
          <t>PriceCharting</t>
        </is>
      </c>
      <c r="M1078" s="4" t="inlineStr">
        <is>
          <t>https://www.pricecharting.com/game/pokemon-go/magikarp-tin</t>
        </is>
      </c>
    </row>
    <row r="1079">
      <c r="A1079" s="2" t="inlineStr">
        <is>
          <t>Go Mini Tin [Pikachu]</t>
        </is>
      </c>
      <c r="B1079" s="3">
        <f>IF(H1079&lt;&gt;"",H1079,IF(I1079&lt;&gt;"",I1079,IF(J1079&lt;&gt;"",J1079,K1079)))</f>
        <v>28.43</v>
      </c>
      <c r="C1079" s="3">
        <f>MEDIAN(H1079:K1079)</f>
        <v>28.43</v>
      </c>
      <c r="D1079" s="3">
        <f>ROUND(C1079*(1-Settings!$B$2),2)</f>
        <v>19.9</v>
      </c>
      <c r="E1079" s="2" t="inlineStr">
        <is>
          <t>Pokemon</t>
        </is>
      </c>
      <c r="F1079" s="2" t="inlineStr">
        <is>
          <t>Coffret</t>
        </is>
      </c>
      <c r="G1079" s="2" t="inlineStr">
        <is>
          <t>Go</t>
        </is>
      </c>
      <c r="H1079" s="3" t="n">
        <v>28.43</v>
      </c>
      <c r="I1079" s="3" t="n"/>
      <c r="J1079" s="3" t="n"/>
      <c r="K1079" s="3" t="n"/>
      <c r="L1079" s="2" t="inlineStr">
        <is>
          <t>PriceCharting</t>
        </is>
      </c>
      <c r="M1079" s="4" t="inlineStr">
        <is>
          <t>https://www.pricecharting.com/game/pokemon-go/mini-tin-pikachu</t>
        </is>
      </c>
    </row>
    <row r="1080">
      <c r="A1080" s="2" t="inlineStr">
        <is>
          <t>Go Pikachu Tin</t>
        </is>
      </c>
      <c r="B1080" s="3">
        <f>IF(H1080&lt;&gt;"",H1080,IF(I1080&lt;&gt;"",I1080,IF(J1080&lt;&gt;"",J1080,K1080)))</f>
        <v>53.36</v>
      </c>
      <c r="C1080" s="3">
        <f>MEDIAN(H1080:K1080)</f>
        <v>53.36</v>
      </c>
      <c r="D1080" s="3">
        <f>ROUND(C1080*(1-Settings!$B$2),2)</f>
        <v>37.35</v>
      </c>
      <c r="E1080" s="2" t="inlineStr">
        <is>
          <t>Pokemon</t>
        </is>
      </c>
      <c r="F1080" s="2" t="inlineStr">
        <is>
          <t>Coffret</t>
        </is>
      </c>
      <c r="G1080" s="2" t="inlineStr">
        <is>
          <t>Go</t>
        </is>
      </c>
      <c r="H1080" s="3" t="n">
        <v>53.36</v>
      </c>
      <c r="I1080" s="3" t="n"/>
      <c r="J1080" s="3" t="n"/>
      <c r="K1080" s="3" t="n"/>
      <c r="L1080" s="2" t="inlineStr">
        <is>
          <t>PriceCharting</t>
        </is>
      </c>
      <c r="M1080" s="4" t="inlineStr">
        <is>
          <t>https://www.pricecharting.com/game/pokemon-go/pikachu-tin</t>
        </is>
      </c>
    </row>
    <row r="1081">
      <c r="A1081" s="2" t="inlineStr">
        <is>
          <t>Go Poke Ball Tin</t>
        </is>
      </c>
      <c r="B1081" s="3">
        <f>IF(H1081&lt;&gt;"",H1081,IF(I1081&lt;&gt;"",I1081,IF(J1081&lt;&gt;"",J1081,K1081)))</f>
        <v>40.0</v>
      </c>
      <c r="C1081" s="3">
        <f>MEDIAN(H1081:K1081)</f>
        <v>40.0</v>
      </c>
      <c r="D1081" s="3">
        <f>ROUND(C1081*(1-Settings!$B$2),2)</f>
        <v>28.0</v>
      </c>
      <c r="E1081" s="2" t="inlineStr">
        <is>
          <t>Pokemon</t>
        </is>
      </c>
      <c r="F1081" s="2" t="inlineStr">
        <is>
          <t>Coffret</t>
        </is>
      </c>
      <c r="G1081" s="2" t="inlineStr">
        <is>
          <t>Go</t>
        </is>
      </c>
      <c r="H1081" s="3" t="n">
        <v>40</v>
      </c>
      <c r="I1081" s="3" t="n"/>
      <c r="J1081" s="3" t="n"/>
      <c r="K1081" s="3" t="n"/>
      <c r="L1081" s="2" t="inlineStr">
        <is>
          <t>PriceCharting</t>
        </is>
      </c>
      <c r="M1081" s="4" t="inlineStr">
        <is>
          <t>https://www.pricecharting.com/game/pokemon-go/poke-ball-tin</t>
        </is>
      </c>
    </row>
    <row r="1082">
      <c r="A1082" s="2" t="inlineStr">
        <is>
          <t>Go Poke Ball Tin [Ultra Ball]</t>
        </is>
      </c>
      <c r="B1082" s="3">
        <f>IF(H1082&lt;&gt;"",H1082,IF(I1082&lt;&gt;"",I1082,IF(J1082&lt;&gt;"",J1082,K1082)))</f>
        <v>25.38</v>
      </c>
      <c r="C1082" s="3">
        <f>MEDIAN(H1082:K1082)</f>
        <v>25.38</v>
      </c>
      <c r="D1082" s="3">
        <f>ROUND(C1082*(1-Settings!$B$2),2)</f>
        <v>17.77</v>
      </c>
      <c r="E1082" s="2" t="inlineStr">
        <is>
          <t>Pokemon</t>
        </is>
      </c>
      <c r="F1082" s="2" t="inlineStr">
        <is>
          <t>Coffret</t>
        </is>
      </c>
      <c r="G1082" s="2" t="inlineStr">
        <is>
          <t>Go</t>
        </is>
      </c>
      <c r="H1082" s="3" t="n">
        <v>25.38</v>
      </c>
      <c r="I1082" s="3" t="n"/>
      <c r="J1082" s="3" t="n"/>
      <c r="K1082" s="3" t="n"/>
      <c r="L1082" s="2" t="inlineStr">
        <is>
          <t>PriceCharting</t>
        </is>
      </c>
      <c r="M1082" s="4" t="inlineStr">
        <is>
          <t>https://www.pricecharting.com/game/pokemon-go/poke-ball-tin-ultra-ball</t>
        </is>
      </c>
    </row>
    <row r="1083">
      <c r="A1083" s="2" t="inlineStr">
        <is>
          <t>Go Radiant Eevee Premium Collection Box</t>
        </is>
      </c>
      <c r="B1083" s="3">
        <f>IF(H1083&lt;&gt;"",H1083,IF(I1083&lt;&gt;"",I1083,IF(J1083&lt;&gt;"",J1083,K1083)))</f>
        <v>130.0</v>
      </c>
      <c r="C1083" s="3">
        <f>MEDIAN(H1083:K1083)</f>
        <v>130.0</v>
      </c>
      <c r="D1083" s="3">
        <f>ROUND(C1083*(1-Settings!$B$2),2)</f>
        <v>91.0</v>
      </c>
      <c r="E1083" s="2" t="inlineStr">
        <is>
          <t>Pokemon</t>
        </is>
      </c>
      <c r="F1083" s="2" t="inlineStr">
        <is>
          <t>Coffret</t>
        </is>
      </c>
      <c r="G1083" s="2" t="inlineStr">
        <is>
          <t>Go</t>
        </is>
      </c>
      <c r="H1083" s="3" t="n">
        <v>130</v>
      </c>
      <c r="I1083" s="3" t="n"/>
      <c r="J1083" s="3" t="n"/>
      <c r="K1083" s="3" t="n"/>
      <c r="L1083" s="2" t="inlineStr">
        <is>
          <t>PriceCharting</t>
        </is>
      </c>
      <c r="M1083" s="4" t="inlineStr">
        <is>
          <t>https://www.pricecharting.com/game/pokemon-go/radiant-eevee-premium-collection-box</t>
        </is>
      </c>
    </row>
    <row r="1084">
      <c r="A1084" s="2" t="inlineStr">
        <is>
          <t>Go Snorlax Tin</t>
        </is>
      </c>
      <c r="B1084" s="3">
        <f>IF(H1084&lt;&gt;"",H1084,IF(I1084&lt;&gt;"",I1084,IF(J1084&lt;&gt;"",J1084,K1084)))</f>
        <v>64.0</v>
      </c>
      <c r="C1084" s="3">
        <f>MEDIAN(H1084:K1084)</f>
        <v>64.0</v>
      </c>
      <c r="D1084" s="3">
        <f>ROUND(C1084*(1-Settings!$B$2),2)</f>
        <v>44.8</v>
      </c>
      <c r="E1084" s="2" t="inlineStr">
        <is>
          <t>Pokemon</t>
        </is>
      </c>
      <c r="F1084" s="2" t="inlineStr">
        <is>
          <t>Coffret</t>
        </is>
      </c>
      <c r="G1084" s="2" t="inlineStr">
        <is>
          <t>Go</t>
        </is>
      </c>
      <c r="H1084" s="3" t="n">
        <v>64</v>
      </c>
      <c r="I1084" s="3" t="n"/>
      <c r="J1084" s="3" t="n"/>
      <c r="K1084" s="3" t="n"/>
      <c r="L1084" s="2" t="inlineStr">
        <is>
          <t>PriceCharting</t>
        </is>
      </c>
      <c r="M1084" s="4" t="inlineStr">
        <is>
          <t>https://www.pricecharting.com/game/pokemon-go/snorlax-tin</t>
        </is>
      </c>
    </row>
    <row r="1085">
      <c r="A1085" s="2" t="inlineStr">
        <is>
          <t>Go Squirtle Pin Collection</t>
        </is>
      </c>
      <c r="B1085" s="3">
        <f>IF(H1085&lt;&gt;"",H1085,IF(I1085&lt;&gt;"",I1085,IF(J1085&lt;&gt;"",J1085,K1085)))</f>
        <v>51.0</v>
      </c>
      <c r="C1085" s="3">
        <f>MEDIAN(H1085:K1085)</f>
        <v>51.0</v>
      </c>
      <c r="D1085" s="3">
        <f>ROUND(C1085*(1-Settings!$B$2),2)</f>
        <v>35.7</v>
      </c>
      <c r="E1085" s="2" t="inlineStr">
        <is>
          <t>Pokemon</t>
        </is>
      </c>
      <c r="F1085" s="2" t="inlineStr">
        <is>
          <t>Coffret</t>
        </is>
      </c>
      <c r="G1085" s="2" t="inlineStr">
        <is>
          <t>Go</t>
        </is>
      </c>
      <c r="H1085" s="3" t="n">
        <v>51</v>
      </c>
      <c r="I1085" s="3" t="n"/>
      <c r="J1085" s="3" t="n"/>
      <c r="K1085" s="3" t="n"/>
      <c r="L1085" s="2" t="inlineStr">
        <is>
          <t>PriceCharting</t>
        </is>
      </c>
      <c r="M1085" s="4" t="inlineStr">
        <is>
          <t>https://www.pricecharting.com/game/pokemon-go/squirtle-pin-collection</t>
        </is>
      </c>
    </row>
    <row r="1086">
      <c r="A1086" s="2" t="inlineStr">
        <is>
          <t>Go Team Instinct Special Collection Box</t>
        </is>
      </c>
      <c r="B1086" s="3">
        <f>IF(H1086&lt;&gt;"",H1086,IF(I1086&lt;&gt;"",I1086,IF(J1086&lt;&gt;"",J1086,K1086)))</f>
        <v>74.13</v>
      </c>
      <c r="C1086" s="3">
        <f>MEDIAN(H1086:K1086)</f>
        <v>74.13</v>
      </c>
      <c r="D1086" s="3">
        <f>ROUND(C1086*(1-Settings!$B$2),2)</f>
        <v>51.89</v>
      </c>
      <c r="E1086" s="2" t="inlineStr">
        <is>
          <t>Pokemon</t>
        </is>
      </c>
      <c r="F1086" s="2" t="inlineStr">
        <is>
          <t>Coffret</t>
        </is>
      </c>
      <c r="G1086" s="2" t="inlineStr">
        <is>
          <t>Go</t>
        </is>
      </c>
      <c r="H1086" s="3" t="n">
        <v>74.13</v>
      </c>
      <c r="I1086" s="3" t="n"/>
      <c r="J1086" s="3" t="n"/>
      <c r="K1086" s="3" t="n"/>
      <c r="L1086" s="2" t="inlineStr">
        <is>
          <t>PriceCharting</t>
        </is>
      </c>
      <c r="M1086" s="4" t="inlineStr">
        <is>
          <t>https://www.pricecharting.com/game/pokemon-go/team-instinct-special-collection-box</t>
        </is>
      </c>
    </row>
    <row r="1087">
      <c r="A1087" s="2" t="inlineStr">
        <is>
          <t>Go Team Mystic Special Collection Box</t>
        </is>
      </c>
      <c r="B1087" s="3">
        <f>IF(H1087&lt;&gt;"",H1087,IF(I1087&lt;&gt;"",I1087,IF(J1087&lt;&gt;"",J1087,K1087)))</f>
        <v>91.5</v>
      </c>
      <c r="C1087" s="3">
        <f>MEDIAN(H1087:K1087)</f>
        <v>91.5</v>
      </c>
      <c r="D1087" s="3">
        <f>ROUND(C1087*(1-Settings!$B$2),2)</f>
        <v>64.05</v>
      </c>
      <c r="E1087" s="2" t="inlineStr">
        <is>
          <t>Pokemon</t>
        </is>
      </c>
      <c r="F1087" s="2" t="inlineStr">
        <is>
          <t>Coffret</t>
        </is>
      </c>
      <c r="G1087" s="2" t="inlineStr">
        <is>
          <t>Go</t>
        </is>
      </c>
      <c r="H1087" s="3" t="n">
        <v>91.5</v>
      </c>
      <c r="I1087" s="3" t="n"/>
      <c r="J1087" s="3" t="n"/>
      <c r="K1087" s="3" t="n"/>
      <c r="L1087" s="2" t="inlineStr">
        <is>
          <t>PriceCharting</t>
        </is>
      </c>
      <c r="M1087" s="4" t="inlineStr">
        <is>
          <t>https://www.pricecharting.com/game/pokemon-go/team-mystic-special-collection-box</t>
        </is>
      </c>
    </row>
    <row r="1088">
      <c r="A1088" s="2" t="inlineStr">
        <is>
          <t>Go Team Valor Special Collection Box</t>
        </is>
      </c>
      <c r="B1088" s="3">
        <f>IF(H1088&lt;&gt;"",H1088,IF(I1088&lt;&gt;"",I1088,IF(J1088&lt;&gt;"",J1088,K1088)))</f>
        <v>63.64</v>
      </c>
      <c r="C1088" s="3">
        <f>MEDIAN(H1088:K1088)</f>
        <v>63.64</v>
      </c>
      <c r="D1088" s="3">
        <f>ROUND(C1088*(1-Settings!$B$2),2)</f>
        <v>44.55</v>
      </c>
      <c r="E1088" s="2" t="inlineStr">
        <is>
          <t>Pokemon</t>
        </is>
      </c>
      <c r="F1088" s="2" t="inlineStr">
        <is>
          <t>Coffret</t>
        </is>
      </c>
      <c r="G1088" s="2" t="inlineStr">
        <is>
          <t>Go</t>
        </is>
      </c>
      <c r="H1088" s="3" t="n">
        <v>63.64</v>
      </c>
      <c r="I1088" s="3" t="n"/>
      <c r="J1088" s="3" t="n"/>
      <c r="K1088" s="3" t="n"/>
      <c r="L1088" s="2" t="inlineStr">
        <is>
          <t>PriceCharting</t>
        </is>
      </c>
      <c r="M1088" s="4" t="inlineStr">
        <is>
          <t>https://www.pricecharting.com/game/pokemon-go/team-valor-special-collection-box</t>
        </is>
      </c>
    </row>
    <row r="1089">
      <c r="A1089" s="2" t="inlineStr">
        <is>
          <t>Go V Battle Deck Bundle [Mewtwo Vs. Melmetal]</t>
        </is>
      </c>
      <c r="B1089" s="3">
        <f>IF(H1089&lt;&gt;"",H1089,IF(I1089&lt;&gt;"",I1089,IF(J1089&lt;&gt;"",J1089,K1089)))</f>
        <v>43.85</v>
      </c>
      <c r="C1089" s="3">
        <f>MEDIAN(H1089:K1089)</f>
        <v>43.85</v>
      </c>
      <c r="D1089" s="3">
        <f>ROUND(C1089*(1-Settings!$B$2),2)</f>
        <v>30.7</v>
      </c>
      <c r="E1089" s="2" t="inlineStr">
        <is>
          <t>Pokemon</t>
        </is>
      </c>
      <c r="F1089" s="2" t="inlineStr">
        <is>
          <t>Coffret</t>
        </is>
      </c>
      <c r="G1089" s="2" t="inlineStr">
        <is>
          <t>Go</t>
        </is>
      </c>
      <c r="H1089" s="3" t="n">
        <v>43.85</v>
      </c>
      <c r="I1089" s="3" t="n"/>
      <c r="J1089" s="3" t="n"/>
      <c r="K1089" s="3" t="n"/>
      <c r="L1089" s="2" t="inlineStr">
        <is>
          <t>PriceCharting</t>
        </is>
      </c>
      <c r="M1089" s="4" t="inlineStr">
        <is>
          <t>https://www.pricecharting.com/game/pokemon-go/v-battle-deck-bundle-mewtwo-vs-melmetal</t>
        </is>
      </c>
    </row>
    <row r="1090">
      <c r="A1090" s="2" t="inlineStr">
        <is>
          <t>Hidden Fates Booster Pack Art Bundle [Set of 4]</t>
        </is>
      </c>
      <c r="B1090" s="3">
        <f>IF(H1090&lt;&gt;"",H1090,IF(I1090&lt;&gt;"",I1090,IF(J1090&lt;&gt;"",J1090,K1090)))</f>
        <v>179.49</v>
      </c>
      <c r="C1090" s="3">
        <f>MEDIAN(H1090:K1090)</f>
        <v>189.0</v>
      </c>
      <c r="D1090" s="3">
        <f>ROUND(C1090*(1-Settings!$B$2),2)</f>
        <v>132.3</v>
      </c>
      <c r="E1090" s="2" t="inlineStr">
        <is>
          <t>Pokemon</t>
        </is>
      </c>
      <c r="F1090" s="2" t="inlineStr">
        <is>
          <t>Coffret</t>
        </is>
      </c>
      <c r="G1090" s="2" t="inlineStr">
        <is>
          <t>Hidden Fates</t>
        </is>
      </c>
      <c r="H1090" s="3" t="n"/>
      <c r="I1090" s="3" t="n">
        <v>179.49</v>
      </c>
      <c r="J1090" s="3" t="n">
        <v>197.49</v>
      </c>
      <c r="K1090" s="3" t="n">
        <v>189</v>
      </c>
      <c r="L1090" s="2" t="inlineStr">
        <is>
          <t>TCGplayer</t>
        </is>
      </c>
      <c r="N1090" s="4" t="inlineStr">
        <is>
          <t>https://www.tcgplayer.com/product/545766</t>
        </is>
      </c>
    </row>
    <row r="1091">
      <c r="A1091" s="2" t="inlineStr">
        <is>
          <t>Hidden Fates Charizard GX Hidden Fates Tin</t>
        </is>
      </c>
      <c r="B1091" s="3">
        <f>IF(H1091&lt;&gt;"",H1091,IF(I1091&lt;&gt;"",I1091,IF(J1091&lt;&gt;"",J1091,K1091)))</f>
        <v>141.5</v>
      </c>
      <c r="C1091" s="3">
        <f>MEDIAN(H1091:K1091)</f>
        <v>141.5</v>
      </c>
      <c r="D1091" s="3">
        <f>ROUND(C1091*(1-Settings!$B$2),2)</f>
        <v>99.05</v>
      </c>
      <c r="E1091" s="2" t="inlineStr">
        <is>
          <t>Pokemon</t>
        </is>
      </c>
      <c r="F1091" s="2" t="inlineStr">
        <is>
          <t>Coffret</t>
        </is>
      </c>
      <c r="G1091" s="2" t="inlineStr">
        <is>
          <t>Hidden Fates</t>
        </is>
      </c>
      <c r="H1091" s="3" t="n">
        <v>141.5</v>
      </c>
      <c r="I1091" s="3" t="n"/>
      <c r="J1091" s="3" t="n"/>
      <c r="K1091" s="3" t="n"/>
      <c r="L1091" s="2" t="inlineStr">
        <is>
          <t>PriceCharting</t>
        </is>
      </c>
      <c r="M1091" s="4" t="inlineStr">
        <is>
          <t>https://www.pricecharting.com/game/pokemon-hidden-fates/charizard-gx-hidden-fates-tin</t>
        </is>
      </c>
    </row>
    <row r="1092">
      <c r="A1092" s="2" t="inlineStr">
        <is>
          <t>Hidden Fates Collection [Charizard GX]</t>
        </is>
      </c>
      <c r="B1092" s="3">
        <f>IF(H1092&lt;&gt;"",H1092,IF(I1092&lt;&gt;"",I1092,IF(J1092&lt;&gt;"",J1092,K1092)))</f>
        <v>204.6</v>
      </c>
      <c r="C1092" s="3">
        <f>MEDIAN(H1092:K1092)</f>
        <v>227.3</v>
      </c>
      <c r="D1092" s="3">
        <f>ROUND(C1092*(1-Settings!$B$2),2)</f>
        <v>159.11</v>
      </c>
      <c r="E1092" s="2" t="inlineStr">
        <is>
          <t>Pokemon</t>
        </is>
      </c>
      <c r="F1092" s="2" t="inlineStr">
        <is>
          <t>Coffret</t>
        </is>
      </c>
      <c r="G1092" s="2" t="inlineStr">
        <is>
          <t>Hidden Fates</t>
        </is>
      </c>
      <c r="H1092" s="3" t="n">
        <v>204.6</v>
      </c>
      <c r="I1092" s="3" t="n">
        <v>201.99</v>
      </c>
      <c r="J1092" s="3" t="n">
        <v>624.5</v>
      </c>
      <c r="K1092" s="3" t="n">
        <v>250</v>
      </c>
      <c r="L1092" s="2" t="inlineStr">
        <is>
          <t>PriceCharting + TCGplayer</t>
        </is>
      </c>
      <c r="M1092" s="4" t="inlineStr">
        <is>
          <t>https://www.pricecharting.com/game/pokemon-hidden-fates/hidden-fates-collection-charizard-gx</t>
        </is>
      </c>
      <c r="N1092" s="4" t="inlineStr">
        <is>
          <t>https://www.tcgplayer.com/product/205159</t>
        </is>
      </c>
    </row>
    <row r="1093">
      <c r="A1093" s="2" t="inlineStr">
        <is>
          <t>Hidden Fates Collection [Gyarados GX]</t>
        </is>
      </c>
      <c r="B1093" s="3">
        <f>IF(H1093&lt;&gt;"",H1093,IF(I1093&lt;&gt;"",I1093,IF(J1093&lt;&gt;"",J1093,K1093)))</f>
        <v>179.99</v>
      </c>
      <c r="C1093" s="3">
        <f>MEDIAN(H1093:K1093)</f>
        <v>184.56</v>
      </c>
      <c r="D1093" s="3">
        <f>ROUND(C1093*(1-Settings!$B$2),2)</f>
        <v>129.19</v>
      </c>
      <c r="E1093" s="2" t="inlineStr">
        <is>
          <t>Pokemon</t>
        </is>
      </c>
      <c r="F1093" s="2" t="inlineStr">
        <is>
          <t>Coffret</t>
        </is>
      </c>
      <c r="G1093" s="2" t="inlineStr">
        <is>
          <t>Hidden Fates</t>
        </is>
      </c>
      <c r="H1093" s="3" t="n">
        <v>179.99</v>
      </c>
      <c r="I1093" s="3" t="n">
        <v>182.13</v>
      </c>
      <c r="J1093" s="3" t="n">
        <v>199.99</v>
      </c>
      <c r="K1093" s="3" t="n">
        <v>186.99</v>
      </c>
      <c r="L1093" s="2" t="inlineStr">
        <is>
          <t>PriceCharting + TCGplayer</t>
        </is>
      </c>
      <c r="M1093" s="4" t="inlineStr">
        <is>
          <t>https://www.pricecharting.com/game/pokemon-hidden-fates/hidden-fates-collection-gyarados-gx</t>
        </is>
      </c>
      <c r="N1093" s="4" t="inlineStr">
        <is>
          <t>https://www.tcgplayer.com/product/205160</t>
        </is>
      </c>
    </row>
    <row r="1094">
      <c r="A1094" s="2" t="inlineStr">
        <is>
          <t>Hidden Fates Collection [Raichu GX]</t>
        </is>
      </c>
      <c r="B1094" s="3">
        <f>IF(H1094&lt;&gt;"",H1094,IF(I1094&lt;&gt;"",I1094,IF(J1094&lt;&gt;"",J1094,K1094)))</f>
        <v>180.0</v>
      </c>
      <c r="C1094" s="3">
        <f>MEDIAN(H1094:K1094)</f>
        <v>191.16500000000002</v>
      </c>
      <c r="D1094" s="3">
        <f>ROUND(C1094*(1-Settings!$B$2),2)</f>
        <v>133.82</v>
      </c>
      <c r="E1094" s="2" t="inlineStr">
        <is>
          <t>Pokemon</t>
        </is>
      </c>
      <c r="F1094" s="2" t="inlineStr">
        <is>
          <t>Coffret</t>
        </is>
      </c>
      <c r="G1094" s="2" t="inlineStr">
        <is>
          <t>Hidden Fates</t>
        </is>
      </c>
      <c r="H1094" s="3" t="n">
        <v>180</v>
      </c>
      <c r="I1094" s="3" t="n">
        <v>182.33</v>
      </c>
      <c r="J1094" s="3" t="n">
        <v>214</v>
      </c>
      <c r="K1094" s="3" t="n">
        <v>200</v>
      </c>
      <c r="L1094" s="2" t="inlineStr">
        <is>
          <t>PriceCharting + TCGplayer</t>
        </is>
      </c>
      <c r="M1094" s="4" t="inlineStr">
        <is>
          <t>https://www.pricecharting.com/game/pokemon-hidden-fates/hidden-fates-collection-raichu-gx</t>
        </is>
      </c>
      <c r="N1094" s="4" t="inlineStr">
        <is>
          <t>https://www.tcgplayer.com/product/205161</t>
        </is>
      </c>
    </row>
    <row r="1095">
      <c r="A1095" s="2" t="inlineStr">
        <is>
          <t>Hidden Fates Elite Trainer Box</t>
        </is>
      </c>
      <c r="B1095" s="3">
        <f>IF(H1095&lt;&gt;"",H1095,IF(I1095&lt;&gt;"",I1095,IF(J1095&lt;&gt;"",J1095,K1095)))</f>
        <v>510.0</v>
      </c>
      <c r="C1095" s="3">
        <f>MEDIAN(H1095:K1095)</f>
        <v>537.345</v>
      </c>
      <c r="D1095" s="3">
        <f>ROUND(C1095*(1-Settings!$B$2),2)</f>
        <v>376.14</v>
      </c>
      <c r="E1095" s="2" t="inlineStr">
        <is>
          <t>Pokemon</t>
        </is>
      </c>
      <c r="F1095" s="2" t="inlineStr">
        <is>
          <t>Coffret</t>
        </is>
      </c>
      <c r="G1095" s="2" t="inlineStr">
        <is>
          <t>Hidden Fates</t>
        </is>
      </c>
      <c r="H1095" s="3" t="n">
        <v>510</v>
      </c>
      <c r="I1095" s="3" t="n">
        <v>564.6900000000001</v>
      </c>
      <c r="J1095" s="3" t="n">
        <v>600</v>
      </c>
      <c r="K1095" s="3" t="n">
        <v>49.99</v>
      </c>
      <c r="L1095" s="2" t="inlineStr">
        <is>
          <t>PriceCharting + TCGplayer</t>
        </is>
      </c>
      <c r="M1095" s="4" t="inlineStr">
        <is>
          <t>https://www.pricecharting.com/game/pokemon-hidden-fates/elite-trainer-box</t>
        </is>
      </c>
      <c r="N1095" s="4" t="inlineStr">
        <is>
          <t>https://www.tcgplayer.com/product/194729</t>
        </is>
      </c>
    </row>
    <row r="1096">
      <c r="A1096" s="2" t="inlineStr">
        <is>
          <t>Hidden Fates Great Ball Collection</t>
        </is>
      </c>
      <c r="B1096" s="3">
        <f>IF(H1096&lt;&gt;"",H1096,IF(I1096&lt;&gt;"",I1096,IF(J1096&lt;&gt;"",J1096,K1096)))</f>
        <v>380.0</v>
      </c>
      <c r="C1096" s="3">
        <f>MEDIAN(H1096:K1096)</f>
        <v>380.0</v>
      </c>
      <c r="D1096" s="3">
        <f>ROUND(C1096*(1-Settings!$B$2),2)</f>
        <v>266.0</v>
      </c>
      <c r="E1096" s="2" t="inlineStr">
        <is>
          <t>Pokemon</t>
        </is>
      </c>
      <c r="F1096" s="2" t="inlineStr">
        <is>
          <t>Coffret</t>
        </is>
      </c>
      <c r="G1096" s="2" t="inlineStr">
        <is>
          <t>Hidden Fates</t>
        </is>
      </c>
      <c r="H1096" s="3" t="n">
        <v>380</v>
      </c>
      <c r="I1096" s="3" t="n"/>
      <c r="J1096" s="3" t="n"/>
      <c r="K1096" s="3" t="n"/>
      <c r="L1096" s="2" t="inlineStr">
        <is>
          <t>PriceCharting</t>
        </is>
      </c>
      <c r="M1096" s="4" t="inlineStr">
        <is>
          <t>https://www.pricecharting.com/game/pokemon-hidden-fates/great-ball-collection</t>
        </is>
      </c>
    </row>
    <row r="1097">
      <c r="A1097" s="2" t="inlineStr">
        <is>
          <t>Hidden Fates Gyrados GX Hidden Fates Tin</t>
        </is>
      </c>
      <c r="B1097" s="3">
        <f>IF(H1097&lt;&gt;"",H1097,IF(I1097&lt;&gt;"",I1097,IF(J1097&lt;&gt;"",J1097,K1097)))</f>
        <v>97.87</v>
      </c>
      <c r="C1097" s="3">
        <f>MEDIAN(H1097:K1097)</f>
        <v>97.87</v>
      </c>
      <c r="D1097" s="3">
        <f>ROUND(C1097*(1-Settings!$B$2),2)</f>
        <v>68.51</v>
      </c>
      <c r="E1097" s="2" t="inlineStr">
        <is>
          <t>Pokemon</t>
        </is>
      </c>
      <c r="F1097" s="2" t="inlineStr">
        <is>
          <t>Coffret</t>
        </is>
      </c>
      <c r="G1097" s="2" t="inlineStr">
        <is>
          <t>Hidden Fates</t>
        </is>
      </c>
      <c r="H1097" s="3" t="n">
        <v>97.87</v>
      </c>
      <c r="I1097" s="3" t="n"/>
      <c r="J1097" s="3" t="n"/>
      <c r="K1097" s="3" t="n"/>
      <c r="L1097" s="2" t="inlineStr">
        <is>
          <t>PriceCharting</t>
        </is>
      </c>
      <c r="M1097" s="4" t="inlineStr">
        <is>
          <t>https://www.pricecharting.com/game/pokemon-hidden-fates/gyrados-gx-hidden-fates-tin</t>
        </is>
      </c>
    </row>
    <row r="1098">
      <c r="A1098" s="2" t="inlineStr">
        <is>
          <t>Hidden Fates Pin Collection [Mew]</t>
        </is>
      </c>
      <c r="B1098" s="3">
        <f>IF(H1098&lt;&gt;"",H1098,IF(I1098&lt;&gt;"",I1098,IF(J1098&lt;&gt;"",J1098,K1098)))</f>
        <v>274.99</v>
      </c>
      <c r="C1098" s="3">
        <f>MEDIAN(H1098:K1098)</f>
        <v>271.995</v>
      </c>
      <c r="D1098" s="3">
        <f>ROUND(C1098*(1-Settings!$B$2),2)</f>
        <v>190.4</v>
      </c>
      <c r="E1098" s="2" t="inlineStr">
        <is>
          <t>Pokemon</t>
        </is>
      </c>
      <c r="F1098" s="2" t="inlineStr">
        <is>
          <t>Coffret</t>
        </is>
      </c>
      <c r="G1098" s="2" t="inlineStr">
        <is>
          <t>Hidden Fates</t>
        </is>
      </c>
      <c r="H1098" s="3" t="n"/>
      <c r="I1098" s="3" t="n"/>
      <c r="J1098" s="3" t="n">
        <v>274.99</v>
      </c>
      <c r="K1098" s="3" t="n">
        <v>269</v>
      </c>
      <c r="L1098" s="2" t="inlineStr">
        <is>
          <t>TCGplayer</t>
        </is>
      </c>
      <c r="N1098" s="4" t="inlineStr">
        <is>
          <t>https://www.tcgplayer.com/product/193439</t>
        </is>
      </c>
    </row>
    <row r="1099">
      <c r="A1099" s="2" t="inlineStr">
        <is>
          <t>Hidden Fates Pin Collection [Mewtwo]</t>
        </is>
      </c>
      <c r="B1099" s="3">
        <f>IF(H1099&lt;&gt;"",H1099,IF(I1099&lt;&gt;"",I1099,IF(J1099&lt;&gt;"",J1099,K1099)))</f>
        <v>240.0</v>
      </c>
      <c r="C1099" s="3">
        <f>MEDIAN(H1099:K1099)</f>
        <v>327.99</v>
      </c>
      <c r="D1099" s="3">
        <f>ROUND(C1099*(1-Settings!$B$2),2)</f>
        <v>229.59</v>
      </c>
      <c r="E1099" s="2" t="inlineStr">
        <is>
          <t>Pokemon</t>
        </is>
      </c>
      <c r="F1099" s="2" t="inlineStr">
        <is>
          <t>Coffret</t>
        </is>
      </c>
      <c r="G1099" s="2" t="inlineStr">
        <is>
          <t>Hidden Fates</t>
        </is>
      </c>
      <c r="H1099" s="3" t="n"/>
      <c r="I1099" s="3" t="n">
        <v>240</v>
      </c>
      <c r="J1099" s="3" t="n">
        <v>450</v>
      </c>
      <c r="K1099" s="3" t="n">
        <v>327.99</v>
      </c>
      <c r="L1099" s="2" t="inlineStr">
        <is>
          <t>TCGplayer</t>
        </is>
      </c>
      <c r="N1099" s="4" t="inlineStr">
        <is>
          <t>https://www.tcgplayer.com/product/193440</t>
        </is>
      </c>
    </row>
    <row r="1100">
      <c r="A1100" s="2" t="inlineStr">
        <is>
          <t>Hidden Fates Poke Ball Collection [Set of 2]</t>
        </is>
      </c>
      <c r="B1100" s="3">
        <f>IF(H1100&lt;&gt;"",H1100,IF(I1100&lt;&gt;"",I1100,IF(J1100&lt;&gt;"",J1100,K1100)))</f>
        <v>4000.0</v>
      </c>
      <c r="C1100" s="3">
        <f>MEDIAN(H1100:K1100)</f>
        <v>4000.0</v>
      </c>
      <c r="D1100" s="3">
        <f>ROUND(C1100*(1-Settings!$B$2),2)</f>
        <v>2800.0</v>
      </c>
      <c r="E1100" s="2" t="inlineStr">
        <is>
          <t>Pokemon</t>
        </is>
      </c>
      <c r="F1100" s="2" t="inlineStr">
        <is>
          <t>Coffret</t>
        </is>
      </c>
      <c r="G1100" s="2" t="inlineStr">
        <is>
          <t>Hidden Fates</t>
        </is>
      </c>
      <c r="H1100" s="3" t="n"/>
      <c r="I1100" s="3" t="n"/>
      <c r="J1100" s="3" t="n">
        <v>4000</v>
      </c>
      <c r="K1100" s="3" t="n">
        <v>4000</v>
      </c>
      <c r="L1100" s="2" t="inlineStr">
        <is>
          <t>TCGplayer</t>
        </is>
      </c>
      <c r="N1100" s="4" t="inlineStr">
        <is>
          <t>https://www.tcgplayer.com/product/198525</t>
        </is>
      </c>
    </row>
    <row r="1101">
      <c r="A1101" s="2" t="inlineStr">
        <is>
          <t>Hidden Fates Poke Ball Collection [Shiny Metagross]</t>
        </is>
      </c>
      <c r="B1101" s="3">
        <f>IF(H1101&lt;&gt;"",H1101,IF(I1101&lt;&gt;"",I1101,IF(J1101&lt;&gt;"",J1101,K1101)))</f>
        <v>555.16</v>
      </c>
      <c r="C1101" s="3">
        <f>MEDIAN(H1101:K1101)</f>
        <v>599.99</v>
      </c>
      <c r="D1101" s="3">
        <f>ROUND(C1101*(1-Settings!$B$2),2)</f>
        <v>419.99</v>
      </c>
      <c r="E1101" s="2" t="inlineStr">
        <is>
          <t>Pokemon</t>
        </is>
      </c>
      <c r="F1101" s="2" t="inlineStr">
        <is>
          <t>Coffret</t>
        </is>
      </c>
      <c r="G1101" s="2" t="inlineStr">
        <is>
          <t>Hidden Fates</t>
        </is>
      </c>
      <c r="H1101" s="3" t="n"/>
      <c r="I1101" s="3" t="n">
        <v>555.16</v>
      </c>
      <c r="J1101" s="3" t="n">
        <v>600</v>
      </c>
      <c r="K1101" s="3" t="n">
        <v>599.99</v>
      </c>
      <c r="L1101" s="2" t="inlineStr">
        <is>
          <t>TCGplayer</t>
        </is>
      </c>
      <c r="N1101" s="4" t="inlineStr">
        <is>
          <t>https://www.tcgplayer.com/product/198524</t>
        </is>
      </c>
    </row>
    <row r="1102">
      <c r="A1102" s="2" t="inlineStr">
        <is>
          <t>Hidden Fates Poke Ball Collection [Shiny Zoroark]</t>
        </is>
      </c>
      <c r="B1102" s="3">
        <f>IF(H1102&lt;&gt;"",H1102,IF(I1102&lt;&gt;"",I1102,IF(J1102&lt;&gt;"",J1102,K1102)))</f>
        <v>600.0</v>
      </c>
      <c r="C1102" s="3">
        <f>MEDIAN(H1102:K1102)</f>
        <v>592.5</v>
      </c>
      <c r="D1102" s="3">
        <f>ROUND(C1102*(1-Settings!$B$2),2)</f>
        <v>414.75</v>
      </c>
      <c r="E1102" s="2" t="inlineStr">
        <is>
          <t>Pokemon</t>
        </is>
      </c>
      <c r="F1102" s="2" t="inlineStr">
        <is>
          <t>Coffret</t>
        </is>
      </c>
      <c r="G1102" s="2" t="inlineStr">
        <is>
          <t>Hidden Fates</t>
        </is>
      </c>
      <c r="H1102" s="3" t="n"/>
      <c r="I1102" s="3" t="n"/>
      <c r="J1102" s="3" t="n">
        <v>600</v>
      </c>
      <c r="K1102" s="3" t="n">
        <v>585</v>
      </c>
      <c r="L1102" s="2" t="inlineStr">
        <is>
          <t>TCGplayer</t>
        </is>
      </c>
      <c r="N1102" s="4" t="inlineStr">
        <is>
          <t>https://www.tcgplayer.com/product/198523</t>
        </is>
      </c>
    </row>
    <row r="1103">
      <c r="A1103" s="2" t="inlineStr">
        <is>
          <t>Hidden Fates Premium Powers Collection</t>
        </is>
      </c>
      <c r="B1103" s="3">
        <f>IF(H1103&lt;&gt;"",H1103,IF(I1103&lt;&gt;"",I1103,IF(J1103&lt;&gt;"",J1103,K1103)))</f>
        <v>720.0</v>
      </c>
      <c r="C1103" s="3">
        <f>MEDIAN(H1103:K1103)</f>
        <v>803.8199999999999</v>
      </c>
      <c r="D1103" s="3">
        <f>ROUND(C1103*(1-Settings!$B$2),2)</f>
        <v>562.67</v>
      </c>
      <c r="E1103" s="2" t="inlineStr">
        <is>
          <t>Pokemon</t>
        </is>
      </c>
      <c r="F1103" s="2" t="inlineStr">
        <is>
          <t>Coffret</t>
        </is>
      </c>
      <c r="G1103" s="2" t="inlineStr">
        <is>
          <t>Hidden Fates</t>
        </is>
      </c>
      <c r="H1103" s="3" t="n">
        <v>720</v>
      </c>
      <c r="I1103" s="3" t="n">
        <v>751.66</v>
      </c>
      <c r="J1103" s="3" t="n">
        <v>869.99</v>
      </c>
      <c r="K1103" s="3" t="n">
        <v>855.98</v>
      </c>
      <c r="L1103" s="2" t="inlineStr">
        <is>
          <t>PriceCharting + TCGplayer</t>
        </is>
      </c>
      <c r="M1103" s="4" t="inlineStr">
        <is>
          <t>https://www.pricecharting.com/game/pokemon-hidden-fates/premium-powers-collection</t>
        </is>
      </c>
      <c r="N1103" s="4" t="inlineStr">
        <is>
          <t>https://www.tcgplayer.com/product/206302</t>
        </is>
      </c>
    </row>
    <row r="1104">
      <c r="A1104" s="2" t="inlineStr">
        <is>
          <t>Hidden Fates Raichu GX Hidden Fates Tin</t>
        </is>
      </c>
      <c r="B1104" s="3">
        <f>IF(H1104&lt;&gt;"",H1104,IF(I1104&lt;&gt;"",I1104,IF(J1104&lt;&gt;"",J1104,K1104)))</f>
        <v>134.46</v>
      </c>
      <c r="C1104" s="3">
        <f>MEDIAN(H1104:K1104)</f>
        <v>134.46</v>
      </c>
      <c r="D1104" s="3">
        <f>ROUND(C1104*(1-Settings!$B$2),2)</f>
        <v>94.12</v>
      </c>
      <c r="E1104" s="2" t="inlineStr">
        <is>
          <t>Pokemon</t>
        </is>
      </c>
      <c r="F1104" s="2" t="inlineStr">
        <is>
          <t>Coffret</t>
        </is>
      </c>
      <c r="G1104" s="2" t="inlineStr">
        <is>
          <t>Hidden Fates</t>
        </is>
      </c>
      <c r="H1104" s="3" t="n">
        <v>134.46</v>
      </c>
      <c r="I1104" s="3" t="n"/>
      <c r="J1104" s="3" t="n"/>
      <c r="K1104" s="3" t="n"/>
      <c r="L1104" s="2" t="inlineStr">
        <is>
          <t>PriceCharting</t>
        </is>
      </c>
      <c r="M1104" s="4" t="inlineStr">
        <is>
          <t>https://www.pricecharting.com/game/pokemon-hidden-fates/raichu-gx-hidden-fates-tin</t>
        </is>
      </c>
    </row>
    <row r="1105">
      <c r="A1105" s="2" t="inlineStr">
        <is>
          <t>Hidden Fates Tin [Charizard GX]</t>
        </is>
      </c>
      <c r="B1105" s="3">
        <f>IF(H1105&lt;&gt;"",H1105,IF(I1105&lt;&gt;"",I1105,IF(J1105&lt;&gt;"",J1105,K1105)))</f>
        <v>170.84</v>
      </c>
      <c r="C1105" s="3">
        <f>MEDIAN(H1105:K1105)</f>
        <v>170.84</v>
      </c>
      <c r="D1105" s="3">
        <f>ROUND(C1105*(1-Settings!$B$2),2)</f>
        <v>119.59</v>
      </c>
      <c r="E1105" s="2" t="inlineStr">
        <is>
          <t>Pokemon</t>
        </is>
      </c>
      <c r="F1105" s="2" t="inlineStr">
        <is>
          <t>Coffret</t>
        </is>
      </c>
      <c r="G1105" s="2" t="inlineStr">
        <is>
          <t>Hidden Fates</t>
        </is>
      </c>
      <c r="H1105" s="3" t="n"/>
      <c r="I1105" s="3" t="n">
        <v>170.84</v>
      </c>
      <c r="J1105" s="3" t="n">
        <v>237.5</v>
      </c>
      <c r="K1105" s="3" t="n">
        <v>12</v>
      </c>
      <c r="L1105" s="2" t="inlineStr">
        <is>
          <t>TCGplayer</t>
        </is>
      </c>
      <c r="N1105" s="4" t="inlineStr">
        <is>
          <t>https://www.tcgplayer.com/product/193437</t>
        </is>
      </c>
    </row>
    <row r="1106">
      <c r="A1106" s="2" t="inlineStr">
        <is>
          <t>Hidden Fates Tin [Gyarados GX]</t>
        </is>
      </c>
      <c r="B1106" s="3">
        <f>IF(H1106&lt;&gt;"",H1106,IF(I1106&lt;&gt;"",I1106,IF(J1106&lt;&gt;"",J1106,K1106)))</f>
        <v>167.34</v>
      </c>
      <c r="C1106" s="3">
        <f>MEDIAN(H1106:K1106)</f>
        <v>180.0</v>
      </c>
      <c r="D1106" s="3">
        <f>ROUND(C1106*(1-Settings!$B$2),2)</f>
        <v>126.0</v>
      </c>
      <c r="E1106" s="2" t="inlineStr">
        <is>
          <t>Pokemon</t>
        </is>
      </c>
      <c r="F1106" s="2" t="inlineStr">
        <is>
          <t>Coffret</t>
        </is>
      </c>
      <c r="G1106" s="2" t="inlineStr">
        <is>
          <t>Hidden Fates</t>
        </is>
      </c>
      <c r="H1106" s="3" t="n"/>
      <c r="I1106" s="3" t="n">
        <v>167.34</v>
      </c>
      <c r="J1106" s="3" t="n">
        <v>300</v>
      </c>
      <c r="K1106" s="3" t="n">
        <v>180</v>
      </c>
      <c r="L1106" s="2" t="inlineStr">
        <is>
          <t>TCGplayer</t>
        </is>
      </c>
      <c r="N1106" s="4" t="inlineStr">
        <is>
          <t>https://www.tcgplayer.com/product/193436</t>
        </is>
      </c>
    </row>
    <row r="1107">
      <c r="A1107" s="2" t="inlineStr">
        <is>
          <t>Hidden Fates Tin [Raichu GX]</t>
        </is>
      </c>
      <c r="B1107" s="3">
        <f>IF(H1107&lt;&gt;"",H1107,IF(I1107&lt;&gt;"",I1107,IF(J1107&lt;&gt;"",J1107,K1107)))</f>
        <v>178.11</v>
      </c>
      <c r="C1107" s="3">
        <f>MEDIAN(H1107:K1107)</f>
        <v>178.11</v>
      </c>
      <c r="D1107" s="3">
        <f>ROUND(C1107*(1-Settings!$B$2),2)</f>
        <v>124.68</v>
      </c>
      <c r="E1107" s="2" t="inlineStr">
        <is>
          <t>Pokemon</t>
        </is>
      </c>
      <c r="F1107" s="2" t="inlineStr">
        <is>
          <t>Coffret</t>
        </is>
      </c>
      <c r="G1107" s="2" t="inlineStr">
        <is>
          <t>Hidden Fates</t>
        </is>
      </c>
      <c r="H1107" s="3" t="n"/>
      <c r="I1107" s="3" t="n">
        <v>178.11</v>
      </c>
      <c r="J1107" s="3" t="n">
        <v>225</v>
      </c>
      <c r="K1107" s="3" t="n">
        <v>0.75</v>
      </c>
      <c r="L1107" s="2" t="inlineStr">
        <is>
          <t>TCGplayer</t>
        </is>
      </c>
      <c r="N1107" s="4" t="inlineStr">
        <is>
          <t>https://www.tcgplayer.com/product/193438</t>
        </is>
      </c>
    </row>
    <row r="1108">
      <c r="A1108" s="2" t="inlineStr">
        <is>
          <t>Hidden Fates Tin [Set of 3]</t>
        </is>
      </c>
      <c r="B1108" s="3">
        <f>IF(H1108&lt;&gt;"",H1108,IF(I1108&lt;&gt;"",I1108,IF(J1108&lt;&gt;"",J1108,K1108)))</f>
        <v>482.99</v>
      </c>
      <c r="C1108" s="3">
        <f>MEDIAN(H1108:K1108)</f>
        <v>584.99</v>
      </c>
      <c r="D1108" s="3">
        <f>ROUND(C1108*(1-Settings!$B$2),2)</f>
        <v>409.49</v>
      </c>
      <c r="E1108" s="2" t="inlineStr">
        <is>
          <t>Pokemon</t>
        </is>
      </c>
      <c r="F1108" s="2" t="inlineStr">
        <is>
          <t>Coffret</t>
        </is>
      </c>
      <c r="G1108" s="2" t="inlineStr">
        <is>
          <t>Hidden Fates</t>
        </is>
      </c>
      <c r="H1108" s="3" t="n"/>
      <c r="I1108" s="3" t="n">
        <v>482.99</v>
      </c>
      <c r="J1108" s="3" t="n">
        <v>600</v>
      </c>
      <c r="K1108" s="3" t="n">
        <v>584.99</v>
      </c>
      <c r="L1108" s="2" t="inlineStr">
        <is>
          <t>TCGplayer</t>
        </is>
      </c>
      <c r="N1108" s="4" t="inlineStr">
        <is>
          <t>https://www.tcgplayer.com/product/213476</t>
        </is>
      </c>
    </row>
    <row r="1109">
      <c r="A1109" s="2" t="inlineStr">
        <is>
          <t>Hidden Fates Ultra Ball Collection</t>
        </is>
      </c>
      <c r="B1109" s="3">
        <f>IF(H1109&lt;&gt;"",H1109,IF(I1109&lt;&gt;"",I1109,IF(J1109&lt;&gt;"",J1109,K1109)))</f>
        <v>205.41</v>
      </c>
      <c r="C1109" s="3">
        <f>MEDIAN(H1109:K1109)</f>
        <v>205.41</v>
      </c>
      <c r="D1109" s="3">
        <f>ROUND(C1109*(1-Settings!$B$2),2)</f>
        <v>143.79</v>
      </c>
      <c r="E1109" s="2" t="inlineStr">
        <is>
          <t>Pokemon</t>
        </is>
      </c>
      <c r="F1109" s="2" t="inlineStr">
        <is>
          <t>Coffret</t>
        </is>
      </c>
      <c r="G1109" s="2" t="inlineStr">
        <is>
          <t>Hidden Fates</t>
        </is>
      </c>
      <c r="H1109" s="3" t="n">
        <v>205.41</v>
      </c>
      <c r="I1109" s="3" t="n"/>
      <c r="J1109" s="3" t="n"/>
      <c r="K1109" s="3" t="n"/>
      <c r="L1109" s="2" t="inlineStr">
        <is>
          <t>PriceCharting</t>
        </is>
      </c>
      <c r="M1109" s="4" t="inlineStr">
        <is>
          <t>https://www.pricecharting.com/game/pokemon-hidden-fates/ultra-ball-collection</t>
        </is>
      </c>
    </row>
    <row r="1110">
      <c r="A1110" s="2" t="inlineStr">
        <is>
          <t>Hidden Fates Ultra Premium Collection Box</t>
        </is>
      </c>
      <c r="B1110" s="3">
        <f>IF(H1110&lt;&gt;"",H1110,IF(I1110&lt;&gt;"",I1110,IF(J1110&lt;&gt;"",J1110,K1110)))</f>
        <v>1228.7</v>
      </c>
      <c r="C1110" s="3">
        <f>MEDIAN(H1110:K1110)</f>
        <v>1228.7</v>
      </c>
      <c r="D1110" s="3">
        <f>ROUND(C1110*(1-Settings!$B$2),2)</f>
        <v>860.09</v>
      </c>
      <c r="E1110" s="2" t="inlineStr">
        <is>
          <t>Pokemon</t>
        </is>
      </c>
      <c r="F1110" s="2" t="inlineStr">
        <is>
          <t>Coffret</t>
        </is>
      </c>
      <c r="G1110" s="2" t="inlineStr">
        <is>
          <t>Hidden Fates</t>
        </is>
      </c>
      <c r="H1110" s="3" t="n">
        <v>1228.7</v>
      </c>
      <c r="I1110" s="3" t="n"/>
      <c r="J1110" s="3" t="n"/>
      <c r="K1110" s="3" t="n"/>
      <c r="L1110" s="2" t="inlineStr">
        <is>
          <t>PriceCharting</t>
        </is>
      </c>
      <c r="M1110" s="4" t="inlineStr">
        <is>
          <t>https://www.pricecharting.com/game/pokemon-hidden-fates/ultra-premium-collection-box</t>
        </is>
      </c>
    </row>
    <row r="1111">
      <c r="A1111" s="2" t="inlineStr">
        <is>
          <t>Hidden Fates Ultra-Premium Collection</t>
        </is>
      </c>
      <c r="B1111" s="3">
        <f>IF(H1111&lt;&gt;"",H1111,IF(I1111&lt;&gt;"",I1111,IF(J1111&lt;&gt;"",J1111,K1111)))</f>
        <v>1350.0</v>
      </c>
      <c r="C1111" s="3">
        <f>MEDIAN(H1111:K1111)</f>
        <v>1350.0</v>
      </c>
      <c r="D1111" s="3">
        <f>ROUND(C1111*(1-Settings!$B$2),2)</f>
        <v>945.0</v>
      </c>
      <c r="E1111" s="2" t="inlineStr">
        <is>
          <t>Pokemon</t>
        </is>
      </c>
      <c r="F1111" s="2" t="inlineStr">
        <is>
          <t>Coffret</t>
        </is>
      </c>
      <c r="G1111" s="2" t="inlineStr">
        <is>
          <t>Hidden Fates</t>
        </is>
      </c>
      <c r="H1111" s="3" t="n"/>
      <c r="I1111" s="3" t="n">
        <v>1350</v>
      </c>
      <c r="J1111" s="3" t="n"/>
      <c r="K1111" s="3" t="n"/>
      <c r="L1111" s="2" t="inlineStr">
        <is>
          <t>TCGplayer</t>
        </is>
      </c>
      <c r="N1111" s="4" t="inlineStr">
        <is>
          <t>https://www.tcgplayer.com/product/199466</t>
        </is>
      </c>
    </row>
    <row r="1112">
      <c r="A1112" s="2" t="inlineStr">
        <is>
          <t>Japanese 10th Movie Commemoration Promo Commemoration Set</t>
        </is>
      </c>
      <c r="B1112" s="3">
        <f>IF(H1112&lt;&gt;"",H1112,IF(I1112&lt;&gt;"",I1112,IF(J1112&lt;&gt;"",J1112,K1112)))</f>
        <v>781.99</v>
      </c>
      <c r="C1112" s="3">
        <f>MEDIAN(H1112:K1112)</f>
        <v>781.99</v>
      </c>
      <c r="D1112" s="3">
        <f>ROUND(C1112*(1-Settings!$B$2),2)</f>
        <v>547.39</v>
      </c>
      <c r="E1112" s="2" t="inlineStr">
        <is>
          <t>Pokemon</t>
        </is>
      </c>
      <c r="F1112" s="2" t="inlineStr">
        <is>
          <t>Coffret</t>
        </is>
      </c>
      <c r="G1112" s="2" t="inlineStr">
        <is>
          <t>Japanese 10th Movie Commemoration Promo</t>
        </is>
      </c>
      <c r="H1112" s="3" t="n">
        <v>781.99</v>
      </c>
      <c r="I1112" s="3" t="n"/>
      <c r="J1112" s="3" t="n"/>
      <c r="K1112" s="3" t="n"/>
      <c r="L1112" s="2" t="inlineStr">
        <is>
          <t>PriceCharting</t>
        </is>
      </c>
      <c r="M1112" s="4" t="inlineStr">
        <is>
          <t>https://www.pricecharting.com/game/pokemon-japanese-10th-movie-commemoration-promo/commemoration-set</t>
        </is>
      </c>
    </row>
    <row r="1113">
      <c r="A1113" s="2" t="inlineStr">
        <is>
          <t>Japanese 20th Anniversary 3-Pack Blister</t>
        </is>
      </c>
      <c r="B1113" s="3">
        <f>IF(H1113&lt;&gt;"",H1113,IF(I1113&lt;&gt;"",I1113,IF(J1113&lt;&gt;"",J1113,K1113)))</f>
        <v>3110.12</v>
      </c>
      <c r="C1113" s="3">
        <f>MEDIAN(H1113:K1113)</f>
        <v>3110.12</v>
      </c>
      <c r="D1113" s="3">
        <f>ROUND(C1113*(1-Settings!$B$2),2)</f>
        <v>2177.08</v>
      </c>
      <c r="E1113" s="2" t="inlineStr">
        <is>
          <t>Pokemon</t>
        </is>
      </c>
      <c r="F1113" s="2" t="inlineStr">
        <is>
          <t>Coffret</t>
        </is>
      </c>
      <c r="G1113" s="2" t="inlineStr">
        <is>
          <t>Japanese 20th Anniversary</t>
        </is>
      </c>
      <c r="H1113" s="3" t="n">
        <v>3110.12</v>
      </c>
      <c r="I1113" s="3" t="n"/>
      <c r="J1113" s="3" t="n"/>
      <c r="K1113" s="3" t="n"/>
      <c r="L1113" s="2" t="inlineStr">
        <is>
          <t>PriceCharting</t>
        </is>
      </c>
      <c r="M1113" s="4" t="inlineStr">
        <is>
          <t>https://www.pricecharting.com/game/pokemon-japanese-20th-anniversary/3-pack-blister</t>
        </is>
      </c>
    </row>
    <row r="1114">
      <c r="A1114" s="2" t="inlineStr">
        <is>
          <t>Japanese 25th Anniversary Collection Special Collection Box</t>
        </is>
      </c>
      <c r="B1114" s="3">
        <f>IF(H1114&lt;&gt;"",H1114,IF(I1114&lt;&gt;"",I1114,IF(J1114&lt;&gt;"",J1114,K1114)))</f>
        <v>349.99</v>
      </c>
      <c r="C1114" s="3">
        <f>MEDIAN(H1114:K1114)</f>
        <v>349.99</v>
      </c>
      <c r="D1114" s="3">
        <f>ROUND(C1114*(1-Settings!$B$2),2)</f>
        <v>244.99</v>
      </c>
      <c r="E1114" s="2" t="inlineStr">
        <is>
          <t>Pokemon</t>
        </is>
      </c>
      <c r="F1114" s="2" t="inlineStr">
        <is>
          <t>Coffret</t>
        </is>
      </c>
      <c r="G1114" s="2" t="inlineStr">
        <is>
          <t>Japanese 25th Anniversary Collection</t>
        </is>
      </c>
      <c r="H1114" s="3" t="n">
        <v>349.99</v>
      </c>
      <c r="I1114" s="3" t="n"/>
      <c r="J1114" s="3" t="n"/>
      <c r="K1114" s="3" t="n"/>
      <c r="L1114" s="2" t="inlineStr">
        <is>
          <t>PriceCharting</t>
        </is>
      </c>
      <c r="M1114" s="4" t="inlineStr">
        <is>
          <t>https://www.pricecharting.com/game/pokemon-japanese-25th-anniversary-collection/special-collection-box</t>
        </is>
      </c>
    </row>
    <row r="1115">
      <c r="A1115" s="2" t="inlineStr">
        <is>
          <t>Japanese 25th Anniversary Golden Box Sealed 25th Anniversary Golden Box</t>
        </is>
      </c>
      <c r="B1115" s="3">
        <f>IF(H1115&lt;&gt;"",H1115,IF(I1115&lt;&gt;"",I1115,IF(J1115&lt;&gt;"",J1115,K1115)))</f>
        <v>1840.04</v>
      </c>
      <c r="C1115" s="3">
        <f>MEDIAN(H1115:K1115)</f>
        <v>1840.04</v>
      </c>
      <c r="D1115" s="3">
        <f>ROUND(C1115*(1-Settings!$B$2),2)</f>
        <v>1288.03</v>
      </c>
      <c r="E1115" s="2" t="inlineStr">
        <is>
          <t>Pokemon</t>
        </is>
      </c>
      <c r="F1115" s="2" t="inlineStr">
        <is>
          <t>Coffret</t>
        </is>
      </c>
      <c r="G1115" s="2" t="inlineStr">
        <is>
          <t>Japanese 25th Anniversary Golden Box</t>
        </is>
      </c>
      <c r="H1115" s="3" t="n">
        <v>1840.04</v>
      </c>
      <c r="I1115" s="3" t="n"/>
      <c r="J1115" s="3" t="n"/>
      <c r="K1115" s="3" t="n"/>
      <c r="L1115" s="2" t="inlineStr">
        <is>
          <t>PriceCharting</t>
        </is>
      </c>
      <c r="M1115" s="4" t="inlineStr">
        <is>
          <t>https://www.pricecharting.com/game/pokemon-japanese-25th-anniversary-golden-box/sealed-25th-anniversary-golden-box</t>
        </is>
      </c>
    </row>
    <row r="1116">
      <c r="A1116" s="2" t="inlineStr">
        <is>
          <t>Japanese Battle Partners Lillie's File Set Collection</t>
        </is>
      </c>
      <c r="B1116" s="3">
        <f>IF(H1116&lt;&gt;"",H1116,IF(I1116&lt;&gt;"",I1116,IF(J1116&lt;&gt;"",J1116,K1116)))</f>
        <v>49.61</v>
      </c>
      <c r="C1116" s="3">
        <f>MEDIAN(H1116:K1116)</f>
        <v>49.61</v>
      </c>
      <c r="D1116" s="3">
        <f>ROUND(C1116*(1-Settings!$B$2),2)</f>
        <v>34.73</v>
      </c>
      <c r="E1116" s="2" t="inlineStr">
        <is>
          <t>Pokemon</t>
        </is>
      </c>
      <c r="F1116" s="2" t="inlineStr">
        <is>
          <t>Coffret</t>
        </is>
      </c>
      <c r="G1116" s="2" t="inlineStr">
        <is>
          <t>Japanese Battle Partners</t>
        </is>
      </c>
      <c r="H1116" s="3" t="n">
        <v>49.61</v>
      </c>
      <c r="I1116" s="3" t="n"/>
      <c r="J1116" s="3" t="n"/>
      <c r="K1116" s="3" t="n"/>
      <c r="L1116" s="2" t="inlineStr">
        <is>
          <t>PriceCharting</t>
        </is>
      </c>
      <c r="M1116" s="4" t="inlineStr">
        <is>
          <t>https://www.pricecharting.com/game/pokemon-japanese-battle-partners/lillie's-file-set-collection</t>
        </is>
      </c>
    </row>
    <row r="1117">
      <c r="A1117" s="2" t="inlineStr">
        <is>
          <t>Japanese Battle Partners N's File Set Collection</t>
        </is>
      </c>
      <c r="B1117" s="3">
        <f>IF(H1117&lt;&gt;"",H1117,IF(I1117&lt;&gt;"",I1117,IF(J1117&lt;&gt;"",J1117,K1117)))</f>
        <v>58.81</v>
      </c>
      <c r="C1117" s="3">
        <f>MEDIAN(H1117:K1117)</f>
        <v>58.81</v>
      </c>
      <c r="D1117" s="3">
        <f>ROUND(C1117*(1-Settings!$B$2),2)</f>
        <v>41.17</v>
      </c>
      <c r="E1117" s="2" t="inlineStr">
        <is>
          <t>Pokemon</t>
        </is>
      </c>
      <c r="F1117" s="2" t="inlineStr">
        <is>
          <t>Coffret</t>
        </is>
      </c>
      <c r="G1117" s="2" t="inlineStr">
        <is>
          <t>Japanese Battle Partners</t>
        </is>
      </c>
      <c r="H1117" s="3" t="n">
        <v>58.81</v>
      </c>
      <c r="I1117" s="3" t="n"/>
      <c r="J1117" s="3" t="n"/>
      <c r="K1117" s="3" t="n"/>
      <c r="L1117" s="2" t="inlineStr">
        <is>
          <t>PriceCharting</t>
        </is>
      </c>
      <c r="M1117" s="4" t="inlineStr">
        <is>
          <t>https://www.pricecharting.com/game/pokemon-japanese-battle-partners/n's-file-set-collection</t>
        </is>
      </c>
    </row>
    <row r="1118">
      <c r="A1118" s="2" t="inlineStr">
        <is>
          <t>Japanese Darkness And To Light Energy Stadium</t>
        </is>
      </c>
      <c r="B1118" s="3">
        <f>IF(H1118&lt;&gt;"",H1118,IF(I1118&lt;&gt;"",I1118,IF(J1118&lt;&gt;"",J1118,K1118)))</f>
        <v>2.94</v>
      </c>
      <c r="C1118" s="3">
        <f>MEDIAN(H1118:K1118)</f>
        <v>2.94</v>
      </c>
      <c r="D1118" s="3">
        <f>ROUND(C1118*(1-Settings!$B$2),2)</f>
        <v>2.06</v>
      </c>
      <c r="E1118" s="2" t="inlineStr">
        <is>
          <t>Pokemon</t>
        </is>
      </c>
      <c r="F1118" s="2" t="inlineStr">
        <is>
          <t>Coffret</t>
        </is>
      </c>
      <c r="G1118" s="2" t="inlineStr">
        <is>
          <t>Japanese Darkness And To Light</t>
        </is>
      </c>
      <c r="H1118" s="3" t="n">
        <v>2.94</v>
      </c>
      <c r="I1118" s="3" t="n"/>
      <c r="J1118" s="3" t="n"/>
      <c r="K1118" s="3" t="n"/>
      <c r="L1118" s="2" t="inlineStr">
        <is>
          <t>PriceCharting</t>
        </is>
      </c>
      <c r="M1118" s="4" t="inlineStr">
        <is>
          <t>https://www.pricecharting.com/game/pokemon-japanese-darkness-and-to-light/energy-stadium</t>
        </is>
      </c>
    </row>
    <row r="1119">
      <c r="A1119" s="2" t="inlineStr">
        <is>
          <t>Japanese Darkness And To Light Lucky Stadium</t>
        </is>
      </c>
      <c r="B1119" s="3">
        <f>IF(H1119&lt;&gt;"",H1119,IF(I1119&lt;&gt;"",I1119,IF(J1119&lt;&gt;"",J1119,K1119)))</f>
        <v>11.0</v>
      </c>
      <c r="C1119" s="3">
        <f>MEDIAN(H1119:K1119)</f>
        <v>11.0</v>
      </c>
      <c r="D1119" s="3">
        <f>ROUND(C1119*(1-Settings!$B$2),2)</f>
        <v>7.7</v>
      </c>
      <c r="E1119" s="2" t="inlineStr">
        <is>
          <t>Pokemon</t>
        </is>
      </c>
      <c r="F1119" s="2" t="inlineStr">
        <is>
          <t>Coffret</t>
        </is>
      </c>
      <c r="G1119" s="2" t="inlineStr">
        <is>
          <t>Japanese Darkness And To Light</t>
        </is>
      </c>
      <c r="H1119" s="3" t="n">
        <v>11</v>
      </c>
      <c r="I1119" s="3" t="n"/>
      <c r="J1119" s="3" t="n"/>
      <c r="K1119" s="3" t="n"/>
      <c r="L1119" s="2" t="inlineStr">
        <is>
          <t>PriceCharting</t>
        </is>
      </c>
      <c r="M1119" s="4" t="inlineStr">
        <is>
          <t>https://www.pricecharting.com/game/pokemon-japanese-darkness-and-to-light/lucky-stadium</t>
        </is>
      </c>
    </row>
    <row r="1120">
      <c r="A1120" s="2" t="inlineStr">
        <is>
          <t>Japanese Eevee Heroes Gym Box</t>
        </is>
      </c>
      <c r="B1120" s="3">
        <f>IF(H1120&lt;&gt;"",H1120,IF(I1120&lt;&gt;"",I1120,IF(J1120&lt;&gt;"",J1120,K1120)))</f>
        <v>2225.0</v>
      </c>
      <c r="C1120" s="3">
        <f>MEDIAN(H1120:K1120)</f>
        <v>2225.0</v>
      </c>
      <c r="D1120" s="3">
        <f>ROUND(C1120*(1-Settings!$B$2),2)</f>
        <v>1557.5</v>
      </c>
      <c r="E1120" s="2" t="inlineStr">
        <is>
          <t>Pokemon</t>
        </is>
      </c>
      <c r="F1120" s="2" t="inlineStr">
        <is>
          <t>Coffret</t>
        </is>
      </c>
      <c r="G1120" s="2" t="inlineStr">
        <is>
          <t>Japanese Eevee Heroes</t>
        </is>
      </c>
      <c r="H1120" s="3" t="n">
        <v>2225</v>
      </c>
      <c r="I1120" s="3" t="n"/>
      <c r="J1120" s="3" t="n"/>
      <c r="K1120" s="3" t="n"/>
      <c r="L1120" s="2" t="inlineStr">
        <is>
          <t>PriceCharting</t>
        </is>
      </c>
      <c r="M1120" s="4" t="inlineStr">
        <is>
          <t>https://www.pricecharting.com/game/pokemon-japanese-eevee-heroes/gym-box</t>
        </is>
      </c>
    </row>
    <row r="1121">
      <c r="A1121" s="2" t="inlineStr">
        <is>
          <t>Japanese Eevee Heroes Sealed Promo Box</t>
        </is>
      </c>
      <c r="B1121" s="3">
        <f>IF(H1121&lt;&gt;"",H1121,IF(I1121&lt;&gt;"",I1121,IF(J1121&lt;&gt;"",J1121,K1121)))</f>
        <v>60.38</v>
      </c>
      <c r="C1121" s="3">
        <f>MEDIAN(H1121:K1121)</f>
        <v>60.38</v>
      </c>
      <c r="D1121" s="3">
        <f>ROUND(C1121*(1-Settings!$B$2),2)</f>
        <v>42.27</v>
      </c>
      <c r="E1121" s="2" t="inlineStr">
        <is>
          <t>Pokemon</t>
        </is>
      </c>
      <c r="F1121" s="2" t="inlineStr">
        <is>
          <t>Coffret</t>
        </is>
      </c>
      <c r="G1121" s="2" t="inlineStr">
        <is>
          <t>Japanese Eevee Heroes</t>
        </is>
      </c>
      <c r="H1121" s="3" t="n">
        <v>60.38</v>
      </c>
      <c r="I1121" s="3" t="n"/>
      <c r="J1121" s="3" t="n"/>
      <c r="K1121" s="3" t="n"/>
      <c r="L1121" s="2" t="inlineStr">
        <is>
          <t>PriceCharting</t>
        </is>
      </c>
      <c r="M1121" s="4" t="inlineStr">
        <is>
          <t>https://www.pricecharting.com/game/pokemon-japanese-eevee-heroes/sealed-promo-box</t>
        </is>
      </c>
    </row>
    <row r="1122">
      <c r="A1122" s="2" t="inlineStr">
        <is>
          <t>Japanese Go Card File Set</t>
        </is>
      </c>
      <c r="B1122" s="3">
        <f>IF(H1122&lt;&gt;"",H1122,IF(I1122&lt;&gt;"",I1122,IF(J1122&lt;&gt;"",J1122,K1122)))</f>
        <v>100.0</v>
      </c>
      <c r="C1122" s="3">
        <f>MEDIAN(H1122:K1122)</f>
        <v>100.0</v>
      </c>
      <c r="D1122" s="3">
        <f>ROUND(C1122*(1-Settings!$B$2),2)</f>
        <v>70.0</v>
      </c>
      <c r="E1122" s="2" t="inlineStr">
        <is>
          <t>Pokemon</t>
        </is>
      </c>
      <c r="F1122" s="2" t="inlineStr">
        <is>
          <t>Coffret</t>
        </is>
      </c>
      <c r="G1122" s="2" t="inlineStr">
        <is>
          <t>Japanese Go</t>
        </is>
      </c>
      <c r="H1122" s="3" t="n">
        <v>100</v>
      </c>
      <c r="I1122" s="3" t="n"/>
      <c r="J1122" s="3" t="n"/>
      <c r="K1122" s="3" t="n"/>
      <c r="L1122" s="2" t="inlineStr">
        <is>
          <t>PriceCharting</t>
        </is>
      </c>
      <c r="M1122" s="4" t="inlineStr">
        <is>
          <t>https://www.pricecharting.com/game/pokemon-japanese-go/card-file-set</t>
        </is>
      </c>
    </row>
    <row r="1123">
      <c r="A1123" s="2" t="inlineStr">
        <is>
          <t>Japanese Go Sealed Special Set</t>
        </is>
      </c>
      <c r="B1123" s="3">
        <f>IF(H1123&lt;&gt;"",H1123,IF(I1123&lt;&gt;"",I1123,IF(J1123&lt;&gt;"",J1123,K1123)))</f>
        <v>146.89</v>
      </c>
      <c r="C1123" s="3">
        <f>MEDIAN(H1123:K1123)</f>
        <v>146.89</v>
      </c>
      <c r="D1123" s="3">
        <f>ROUND(C1123*(1-Settings!$B$2),2)</f>
        <v>102.82</v>
      </c>
      <c r="E1123" s="2" t="inlineStr">
        <is>
          <t>Pokemon</t>
        </is>
      </c>
      <c r="F1123" s="2" t="inlineStr">
        <is>
          <t>Coffret</t>
        </is>
      </c>
      <c r="G1123" s="2" t="inlineStr">
        <is>
          <t>Japanese Go</t>
        </is>
      </c>
      <c r="H1123" s="3" t="n">
        <v>146.89</v>
      </c>
      <c r="I1123" s="3" t="n"/>
      <c r="J1123" s="3" t="n"/>
      <c r="K1123" s="3" t="n"/>
      <c r="L1123" s="2" t="inlineStr">
        <is>
          <t>PriceCharting</t>
        </is>
      </c>
      <c r="M1123" s="4" t="inlineStr">
        <is>
          <t>https://www.pricecharting.com/game/pokemon-japanese-go/sealed-special-set</t>
        </is>
      </c>
    </row>
    <row r="1124">
      <c r="A1124" s="2" t="inlineStr">
        <is>
          <t>Japanese Mask Of Change Special Jumbo Card Set Ogerpon</t>
        </is>
      </c>
      <c r="B1124" s="3">
        <f>IF(H1124&lt;&gt;"",H1124,IF(I1124&lt;&gt;"",I1124,IF(J1124&lt;&gt;"",J1124,K1124)))</f>
        <v>47.89</v>
      </c>
      <c r="C1124" s="3">
        <f>MEDIAN(H1124:K1124)</f>
        <v>47.89</v>
      </c>
      <c r="D1124" s="3">
        <f>ROUND(C1124*(1-Settings!$B$2),2)</f>
        <v>33.52</v>
      </c>
      <c r="E1124" s="2" t="inlineStr">
        <is>
          <t>Pokemon</t>
        </is>
      </c>
      <c r="F1124" s="2" t="inlineStr">
        <is>
          <t>Coffret</t>
        </is>
      </c>
      <c r="G1124" s="2" t="inlineStr">
        <is>
          <t>Japanese Mask Of Change</t>
        </is>
      </c>
      <c r="H1124" s="3" t="n">
        <v>47.89</v>
      </c>
      <c r="I1124" s="3" t="n"/>
      <c r="J1124" s="3" t="n"/>
      <c r="K1124" s="3" t="n"/>
      <c r="L1124" s="2" t="inlineStr">
        <is>
          <t>PriceCharting</t>
        </is>
      </c>
      <c r="M1124" s="4" t="inlineStr">
        <is>
          <t>https://www.pricecharting.com/game/pokemon-japanese-mask-of-change/special-jumbo-card-set-ogerpon</t>
        </is>
      </c>
    </row>
    <row r="1125">
      <c r="A1125" s="2" t="inlineStr">
        <is>
          <t>Japanese Mega Brave Pokemon Center Set</t>
        </is>
      </c>
      <c r="B1125" s="3">
        <f>IF(H1125&lt;&gt;"",H1125,IF(I1125&lt;&gt;"",I1125,IF(J1125&lt;&gt;"",J1125,K1125)))</f>
        <v>194.96</v>
      </c>
      <c r="C1125" s="3">
        <f>MEDIAN(H1125:K1125)</f>
        <v>194.96</v>
      </c>
      <c r="D1125" s="3">
        <f>ROUND(C1125*(1-Settings!$B$2),2)</f>
        <v>136.47</v>
      </c>
      <c r="E1125" s="2" t="inlineStr">
        <is>
          <t>Pokemon</t>
        </is>
      </c>
      <c r="F1125" s="2" t="inlineStr">
        <is>
          <t>Coffret</t>
        </is>
      </c>
      <c r="G1125" s="2" t="inlineStr">
        <is>
          <t>Japanese Mega Brave</t>
        </is>
      </c>
      <c r="H1125" s="3" t="n">
        <v>194.96</v>
      </c>
      <c r="I1125" s="3" t="n"/>
      <c r="J1125" s="3" t="n"/>
      <c r="K1125" s="3" t="n"/>
      <c r="L1125" s="2" t="inlineStr">
        <is>
          <t>PriceCharting</t>
        </is>
      </c>
      <c r="M1125" s="4" t="inlineStr">
        <is>
          <t>https://www.pricecharting.com/game/pokemon-japanese-mega-brave/pokemon-center-set</t>
        </is>
      </c>
    </row>
    <row r="1126">
      <c r="A1126" s="2" t="inlineStr">
        <is>
          <t>Japanese Mega Brave Premium Trainer Box MEGA</t>
        </is>
      </c>
      <c r="B1126" s="3">
        <f>IF(H1126&lt;&gt;"",H1126,IF(I1126&lt;&gt;"",I1126,IF(J1126&lt;&gt;"",J1126,K1126)))</f>
        <v>103.59</v>
      </c>
      <c r="C1126" s="3">
        <f>MEDIAN(H1126:K1126)</f>
        <v>103.59</v>
      </c>
      <c r="D1126" s="3">
        <f>ROUND(C1126*(1-Settings!$B$2),2)</f>
        <v>72.51</v>
      </c>
      <c r="E1126" s="2" t="inlineStr">
        <is>
          <t>Pokemon</t>
        </is>
      </c>
      <c r="F1126" s="2" t="inlineStr">
        <is>
          <t>Coffret</t>
        </is>
      </c>
      <c r="G1126" s="2" t="inlineStr">
        <is>
          <t>Japanese Mega Brave</t>
        </is>
      </c>
      <c r="H1126" s="3" t="n">
        <v>103.59</v>
      </c>
      <c r="I1126" s="3" t="n"/>
      <c r="J1126" s="3" t="n"/>
      <c r="K1126" s="3" t="n"/>
      <c r="L1126" s="2" t="inlineStr">
        <is>
          <t>PriceCharting</t>
        </is>
      </c>
      <c r="M1126" s="4" t="inlineStr">
        <is>
          <t>https://www.pricecharting.com/game/pokemon-japanese-mega-brave/premium-trainer-box-mega</t>
        </is>
      </c>
    </row>
    <row r="1127">
      <c r="A1127" s="2" t="inlineStr">
        <is>
          <t>Japanese Mega Symphonia Pokemon Center Set</t>
        </is>
      </c>
      <c r="B1127" s="3">
        <f>IF(H1127&lt;&gt;"",H1127,IF(I1127&lt;&gt;"",I1127,IF(J1127&lt;&gt;"",J1127,K1127)))</f>
        <v>199.25</v>
      </c>
      <c r="C1127" s="3">
        <f>MEDIAN(H1127:K1127)</f>
        <v>199.25</v>
      </c>
      <c r="D1127" s="3">
        <f>ROUND(C1127*(1-Settings!$B$2),2)</f>
        <v>139.48</v>
      </c>
      <c r="E1127" s="2" t="inlineStr">
        <is>
          <t>Pokemon</t>
        </is>
      </c>
      <c r="F1127" s="2" t="inlineStr">
        <is>
          <t>Coffret</t>
        </is>
      </c>
      <c r="G1127" s="2" t="inlineStr">
        <is>
          <t>Japanese Mega Symphonia</t>
        </is>
      </c>
      <c r="H1127" s="3" t="n">
        <v>199.25</v>
      </c>
      <c r="I1127" s="3" t="n"/>
      <c r="J1127" s="3" t="n"/>
      <c r="K1127" s="3" t="n"/>
      <c r="L1127" s="2" t="inlineStr">
        <is>
          <t>PriceCharting</t>
        </is>
      </c>
      <c r="M1127" s="4" t="inlineStr">
        <is>
          <t>https://www.pricecharting.com/game/pokemon-japanese-mega-symphonia/pokemon-center-set</t>
        </is>
      </c>
    </row>
    <row r="1128">
      <c r="A1128" s="2" t="inlineStr">
        <is>
          <t>Japanese Neo Premium File Premium File Folder 1</t>
        </is>
      </c>
      <c r="B1128" s="3">
        <f>IF(H1128&lt;&gt;"",H1128,IF(I1128&lt;&gt;"",I1128,IF(J1128&lt;&gt;"",J1128,K1128)))</f>
        <v>174.68</v>
      </c>
      <c r="C1128" s="3">
        <f>MEDIAN(H1128:K1128)</f>
        <v>174.68</v>
      </c>
      <c r="D1128" s="3">
        <f>ROUND(C1128*(1-Settings!$B$2),2)</f>
        <v>122.28</v>
      </c>
      <c r="E1128" s="2" t="inlineStr">
        <is>
          <t>Pokemon</t>
        </is>
      </c>
      <c r="F1128" s="2" t="inlineStr">
        <is>
          <t>Coffret</t>
        </is>
      </c>
      <c r="G1128" s="2" t="inlineStr">
        <is>
          <t>Japanese Neo Premium File</t>
        </is>
      </c>
      <c r="H1128" s="3" t="n">
        <v>174.68</v>
      </c>
      <c r="I1128" s="3" t="n"/>
      <c r="J1128" s="3" t="n"/>
      <c r="K1128" s="3" t="n"/>
      <c r="L1128" s="2" t="inlineStr">
        <is>
          <t>PriceCharting</t>
        </is>
      </c>
      <c r="M1128" s="4" t="inlineStr">
        <is>
          <t>https://www.pricecharting.com/game/pokemon-japanese-neo-premium-file/premium-file-folder-1</t>
        </is>
      </c>
    </row>
    <row r="1129">
      <c r="A1129" s="2" t="inlineStr">
        <is>
          <t>Japanese Neo Premium File Premium File Folder 2</t>
        </is>
      </c>
      <c r="B1129" s="3">
        <f>IF(H1129&lt;&gt;"",H1129,IF(I1129&lt;&gt;"",I1129,IF(J1129&lt;&gt;"",J1129,K1129)))</f>
        <v>763.52</v>
      </c>
      <c r="C1129" s="3">
        <f>MEDIAN(H1129:K1129)</f>
        <v>763.52</v>
      </c>
      <c r="D1129" s="3">
        <f>ROUND(C1129*(1-Settings!$B$2),2)</f>
        <v>534.46</v>
      </c>
      <c r="E1129" s="2" t="inlineStr">
        <is>
          <t>Pokemon</t>
        </is>
      </c>
      <c r="F1129" s="2" t="inlineStr">
        <is>
          <t>Coffret</t>
        </is>
      </c>
      <c r="G1129" s="2" t="inlineStr">
        <is>
          <t>Japanese Neo Premium File</t>
        </is>
      </c>
      <c r="H1129" s="3" t="n">
        <v>763.52</v>
      </c>
      <c r="I1129" s="3" t="n"/>
      <c r="J1129" s="3" t="n"/>
      <c r="K1129" s="3" t="n"/>
      <c r="L1129" s="2" t="inlineStr">
        <is>
          <t>PriceCharting</t>
        </is>
      </c>
      <c r="M1129" s="4" t="inlineStr">
        <is>
          <t>https://www.pricecharting.com/game/pokemon-japanese-neo-premium-file/premium-file-folder-2</t>
        </is>
      </c>
    </row>
    <row r="1130">
      <c r="A1130" s="2" t="inlineStr">
        <is>
          <t>Japanese Neo Premium File Premium File Folder 3</t>
        </is>
      </c>
      <c r="B1130" s="3">
        <f>IF(H1130&lt;&gt;"",H1130,IF(I1130&lt;&gt;"",I1130,IF(J1130&lt;&gt;"",J1130,K1130)))</f>
        <v>552.22</v>
      </c>
      <c r="C1130" s="3">
        <f>MEDIAN(H1130:K1130)</f>
        <v>552.22</v>
      </c>
      <c r="D1130" s="3">
        <f>ROUND(C1130*(1-Settings!$B$2),2)</f>
        <v>386.55</v>
      </c>
      <c r="E1130" s="2" t="inlineStr">
        <is>
          <t>Pokemon</t>
        </is>
      </c>
      <c r="F1130" s="2" t="inlineStr">
        <is>
          <t>Coffret</t>
        </is>
      </c>
      <c r="G1130" s="2" t="inlineStr">
        <is>
          <t>Japanese Neo Premium File</t>
        </is>
      </c>
      <c r="H1130" s="3" t="n">
        <v>552.22</v>
      </c>
      <c r="I1130" s="3" t="n"/>
      <c r="J1130" s="3" t="n"/>
      <c r="K1130" s="3" t="n"/>
      <c r="L1130" s="2" t="inlineStr">
        <is>
          <t>PriceCharting</t>
        </is>
      </c>
      <c r="M1130" s="4" t="inlineStr">
        <is>
          <t>https://www.pricecharting.com/game/pokemon-japanese-neo-premium-file/premium-file-folder-3</t>
        </is>
      </c>
    </row>
    <row r="1131">
      <c r="A1131" s="2" t="inlineStr">
        <is>
          <t>Japanese Nihil Zero Mega Gallade Ex Special Card Set</t>
        </is>
      </c>
      <c r="B1131" s="3">
        <f>IF(H1131&lt;&gt;"",H1131,IF(I1131&lt;&gt;"",I1131,IF(J1131&lt;&gt;"",J1131,K1131)))</f>
        <v>45.0</v>
      </c>
      <c r="C1131" s="3">
        <f>MEDIAN(H1131:K1131)</f>
        <v>45.0</v>
      </c>
      <c r="D1131" s="3">
        <f>ROUND(C1131*(1-Settings!$B$2),2)</f>
        <v>31.5</v>
      </c>
      <c r="E1131" s="2" t="inlineStr">
        <is>
          <t>Pokemon</t>
        </is>
      </c>
      <c r="F1131" s="2" t="inlineStr">
        <is>
          <t>Coffret</t>
        </is>
      </c>
      <c r="G1131" s="2" t="inlineStr">
        <is>
          <t>Japanese Nihil Zero</t>
        </is>
      </c>
      <c r="H1131" s="3" t="n">
        <v>45</v>
      </c>
      <c r="I1131" s="3" t="n"/>
      <c r="J1131" s="3" t="n"/>
      <c r="K1131" s="3" t="n"/>
      <c r="L1131" s="2" t="inlineStr">
        <is>
          <t>PriceCharting</t>
        </is>
      </c>
      <c r="M1131" s="4" t="inlineStr">
        <is>
          <t>https://www.pricecharting.com/game/pokemon-japanese-nihil-zero/mega-gallade-ex-special-card-set</t>
        </is>
      </c>
    </row>
    <row r="1132">
      <c r="A1132" s="2" t="inlineStr">
        <is>
          <t>Japanese Paradigm Trigger Mystery Box</t>
        </is>
      </c>
      <c r="B1132" s="3">
        <f>IF(H1132&lt;&gt;"",H1132,IF(I1132&lt;&gt;"",I1132,IF(J1132&lt;&gt;"",J1132,K1132)))</f>
        <v>118.57</v>
      </c>
      <c r="C1132" s="3">
        <f>MEDIAN(H1132:K1132)</f>
        <v>118.57</v>
      </c>
      <c r="D1132" s="3">
        <f>ROUND(C1132*(1-Settings!$B$2),2)</f>
        <v>83.0</v>
      </c>
      <c r="E1132" s="2" t="inlineStr">
        <is>
          <t>Pokemon</t>
        </is>
      </c>
      <c r="F1132" s="2" t="inlineStr">
        <is>
          <t>Coffret</t>
        </is>
      </c>
      <c r="G1132" s="2" t="inlineStr">
        <is>
          <t>Japanese Paradigm Trigger</t>
        </is>
      </c>
      <c r="H1132" s="3" t="n">
        <v>118.57</v>
      </c>
      <c r="I1132" s="3" t="n"/>
      <c r="J1132" s="3" t="n"/>
      <c r="K1132" s="3" t="n"/>
      <c r="L1132" s="2" t="inlineStr">
        <is>
          <t>PriceCharting</t>
        </is>
      </c>
      <c r="M1132" s="4" t="inlineStr">
        <is>
          <t>https://www.pricecharting.com/game/pokemon-japanese-paradigm-trigger/mystery-box</t>
        </is>
      </c>
    </row>
    <row r="1133">
      <c r="A1133" s="2" t="inlineStr">
        <is>
          <t>Japanese Promo 151 Card File Set</t>
        </is>
      </c>
      <c r="B1133" s="3">
        <f>IF(H1133&lt;&gt;"",H1133,IF(I1133&lt;&gt;"",I1133,IF(J1133&lt;&gt;"",J1133,K1133)))</f>
        <v>300.0</v>
      </c>
      <c r="C1133" s="3">
        <f>MEDIAN(H1133:K1133)</f>
        <v>300.0</v>
      </c>
      <c r="D1133" s="3">
        <f>ROUND(C1133*(1-Settings!$B$2),2)</f>
        <v>210.0</v>
      </c>
      <c r="E1133" s="2" t="inlineStr">
        <is>
          <t>Pokemon</t>
        </is>
      </c>
      <c r="F1133" s="2" t="inlineStr">
        <is>
          <t>Coffret</t>
        </is>
      </c>
      <c r="G1133" s="2" t="inlineStr">
        <is>
          <t>Japanese Promo</t>
        </is>
      </c>
      <c r="H1133" s="3" t="n">
        <v>300</v>
      </c>
      <c r="I1133" s="3" t="n"/>
      <c r="J1133" s="3" t="n"/>
      <c r="K1133" s="3" t="n"/>
      <c r="L1133" s="2" t="inlineStr">
        <is>
          <t>PriceCharting</t>
        </is>
      </c>
      <c r="M1133" s="4" t="inlineStr">
        <is>
          <t>https://www.pricecharting.com/game/pokemon-japanese-promo/151-card-file-set</t>
        </is>
      </c>
    </row>
    <row r="1134">
      <c r="A1134" s="2" t="inlineStr">
        <is>
          <t>Japanese Promo Brock Trainer Battle Box</t>
        </is>
      </c>
      <c r="B1134" s="3">
        <f>IF(H1134&lt;&gt;"",H1134,IF(I1134&lt;&gt;"",I1134,IF(J1134&lt;&gt;"",J1134,K1134)))</f>
        <v>139.99</v>
      </c>
      <c r="C1134" s="3">
        <f>MEDIAN(H1134:K1134)</f>
        <v>139.99</v>
      </c>
      <c r="D1134" s="3">
        <f>ROUND(C1134*(1-Settings!$B$2),2)</f>
        <v>97.99</v>
      </c>
      <c r="E1134" s="2" t="inlineStr">
        <is>
          <t>Pokemon</t>
        </is>
      </c>
      <c r="F1134" s="2" t="inlineStr">
        <is>
          <t>Coffret</t>
        </is>
      </c>
      <c r="G1134" s="2" t="inlineStr">
        <is>
          <t>Japanese Promo</t>
        </is>
      </c>
      <c r="H1134" s="3" t="n">
        <v>139.99</v>
      </c>
      <c r="I1134" s="3" t="n"/>
      <c r="J1134" s="3" t="n"/>
      <c r="K1134" s="3" t="n"/>
      <c r="L1134" s="2" t="inlineStr">
        <is>
          <t>PriceCharting</t>
        </is>
      </c>
      <c r="M1134" s="4" t="inlineStr">
        <is>
          <t>https://www.pricecharting.com/game/pokemon-japanese-promo/brock-trainer-battle-box</t>
        </is>
      </c>
    </row>
    <row r="1135">
      <c r="A1135" s="2" t="inlineStr">
        <is>
          <t>Japanese Promo Ex Generations Special Battle Set</t>
        </is>
      </c>
      <c r="B1135" s="3">
        <f>IF(H1135&lt;&gt;"",H1135,IF(I1135&lt;&gt;"",I1135,IF(J1135&lt;&gt;"",J1135,K1135)))</f>
        <v>163.43</v>
      </c>
      <c r="C1135" s="3">
        <f>MEDIAN(H1135:K1135)</f>
        <v>163.43</v>
      </c>
      <c r="D1135" s="3">
        <f>ROUND(C1135*(1-Settings!$B$2),2)</f>
        <v>114.4</v>
      </c>
      <c r="E1135" s="2" t="inlineStr">
        <is>
          <t>Pokemon</t>
        </is>
      </c>
      <c r="F1135" s="2" t="inlineStr">
        <is>
          <t>Coffret</t>
        </is>
      </c>
      <c r="G1135" s="2" t="inlineStr">
        <is>
          <t>Japanese Promo</t>
        </is>
      </c>
      <c r="H1135" s="3" t="n">
        <v>163.43</v>
      </c>
      <c r="I1135" s="3" t="n"/>
      <c r="J1135" s="3" t="n"/>
      <c r="K1135" s="3" t="n"/>
      <c r="L1135" s="2" t="inlineStr">
        <is>
          <t>PriceCharting</t>
        </is>
      </c>
      <c r="M1135" s="4" t="inlineStr">
        <is>
          <t>https://www.pricecharting.com/game/pokemon-japanese-promo/ex-generations-special-battle-set</t>
        </is>
      </c>
    </row>
    <row r="1136">
      <c r="A1136" s="2" t="inlineStr">
        <is>
          <t>Japanese Promo Lucky Stadium [Chugoku Shikoku]</t>
        </is>
      </c>
      <c r="B1136" s="3">
        <f>IF(H1136&lt;&gt;"",H1136,IF(I1136&lt;&gt;"",I1136,IF(J1136&lt;&gt;"",J1136,K1136)))</f>
        <v>71.5</v>
      </c>
      <c r="C1136" s="3">
        <f>MEDIAN(H1136:K1136)</f>
        <v>71.5</v>
      </c>
      <c r="D1136" s="3">
        <f>ROUND(C1136*(1-Settings!$B$2),2)</f>
        <v>50.05</v>
      </c>
      <c r="E1136" s="2" t="inlineStr">
        <is>
          <t>Pokemon</t>
        </is>
      </c>
      <c r="F1136" s="2" t="inlineStr">
        <is>
          <t>Coffret</t>
        </is>
      </c>
      <c r="G1136" s="2" t="inlineStr">
        <is>
          <t>Japanese Promo</t>
        </is>
      </c>
      <c r="H1136" s="3" t="n">
        <v>71.5</v>
      </c>
      <c r="I1136" s="3" t="n"/>
      <c r="J1136" s="3" t="n"/>
      <c r="K1136" s="3" t="n"/>
      <c r="L1136" s="2" t="inlineStr">
        <is>
          <t>PriceCharting</t>
        </is>
      </c>
      <c r="M1136" s="4" t="inlineStr">
        <is>
          <t>https://www.pricecharting.com/game/pokemon-japanese-promo/lucky-stadium-chugoku-shikoku</t>
        </is>
      </c>
    </row>
    <row r="1137">
      <c r="A1137" s="2" t="inlineStr">
        <is>
          <t>Japanese Promo Lucky Stadium [Chūbu]</t>
        </is>
      </c>
      <c r="B1137" s="3">
        <f>IF(H1137&lt;&gt;"",H1137,IF(I1137&lt;&gt;"",I1137,IF(J1137&lt;&gt;"",J1137,K1137)))</f>
        <v>49.99</v>
      </c>
      <c r="C1137" s="3">
        <f>MEDIAN(H1137:K1137)</f>
        <v>49.99</v>
      </c>
      <c r="D1137" s="3">
        <f>ROUND(C1137*(1-Settings!$B$2),2)</f>
        <v>34.99</v>
      </c>
      <c r="E1137" s="2" t="inlineStr">
        <is>
          <t>Pokemon</t>
        </is>
      </c>
      <c r="F1137" s="2" t="inlineStr">
        <is>
          <t>Coffret</t>
        </is>
      </c>
      <c r="G1137" s="2" t="inlineStr">
        <is>
          <t>Japanese Promo</t>
        </is>
      </c>
      <c r="H1137" s="3" t="n">
        <v>49.99</v>
      </c>
      <c r="I1137" s="3" t="n"/>
      <c r="J1137" s="3" t="n"/>
      <c r="K1137" s="3" t="n"/>
      <c r="L1137" s="2" t="inlineStr">
        <is>
          <t>PriceCharting</t>
        </is>
      </c>
      <c r="M1137" s="4" t="inlineStr">
        <is>
          <t>https://www.pricecharting.com/game/pokemon-japanese-promo/lucky-stadium-chūbu</t>
        </is>
      </c>
    </row>
    <row r="1138">
      <c r="A1138" s="2" t="inlineStr">
        <is>
          <t>Japanese Promo Lucky Stadium [Hokkaidō]</t>
        </is>
      </c>
      <c r="B1138" s="3">
        <f>IF(H1138&lt;&gt;"",H1138,IF(I1138&lt;&gt;"",I1138,IF(J1138&lt;&gt;"",J1138,K1138)))</f>
        <v>80.0</v>
      </c>
      <c r="C1138" s="3">
        <f>MEDIAN(H1138:K1138)</f>
        <v>80.0</v>
      </c>
      <c r="D1138" s="3">
        <f>ROUND(C1138*(1-Settings!$B$2),2)</f>
        <v>56.0</v>
      </c>
      <c r="E1138" s="2" t="inlineStr">
        <is>
          <t>Pokemon</t>
        </is>
      </c>
      <c r="F1138" s="2" t="inlineStr">
        <is>
          <t>Coffret</t>
        </is>
      </c>
      <c r="G1138" s="2" t="inlineStr">
        <is>
          <t>Japanese Promo</t>
        </is>
      </c>
      <c r="H1138" s="3" t="n">
        <v>80</v>
      </c>
      <c r="I1138" s="3" t="n"/>
      <c r="J1138" s="3" t="n"/>
      <c r="K1138" s="3" t="n"/>
      <c r="L1138" s="2" t="inlineStr">
        <is>
          <t>PriceCharting</t>
        </is>
      </c>
      <c r="M1138" s="4" t="inlineStr">
        <is>
          <t>https://www.pricecharting.com/game/pokemon-japanese-promo/lucky-stadium-hokkaidō</t>
        </is>
      </c>
    </row>
    <row r="1139">
      <c r="A1139" s="2" t="inlineStr">
        <is>
          <t>Japanese Promo Lucky Stadium [Kansai]</t>
        </is>
      </c>
      <c r="B1139" s="3">
        <f>IF(H1139&lt;&gt;"",H1139,IF(I1139&lt;&gt;"",I1139,IF(J1139&lt;&gt;"",J1139,K1139)))</f>
        <v>49.99</v>
      </c>
      <c r="C1139" s="3">
        <f>MEDIAN(H1139:K1139)</f>
        <v>49.99</v>
      </c>
      <c r="D1139" s="3">
        <f>ROUND(C1139*(1-Settings!$B$2),2)</f>
        <v>34.99</v>
      </c>
      <c r="E1139" s="2" t="inlineStr">
        <is>
          <t>Pokemon</t>
        </is>
      </c>
      <c r="F1139" s="2" t="inlineStr">
        <is>
          <t>Coffret</t>
        </is>
      </c>
      <c r="G1139" s="2" t="inlineStr">
        <is>
          <t>Japanese Promo</t>
        </is>
      </c>
      <c r="H1139" s="3" t="n">
        <v>49.99</v>
      </c>
      <c r="I1139" s="3" t="n"/>
      <c r="J1139" s="3" t="n"/>
      <c r="K1139" s="3" t="n"/>
      <c r="L1139" s="2" t="inlineStr">
        <is>
          <t>PriceCharting</t>
        </is>
      </c>
      <c r="M1139" s="4" t="inlineStr">
        <is>
          <t>https://www.pricecharting.com/game/pokemon-japanese-promo/lucky-stadium-kansai</t>
        </is>
      </c>
    </row>
    <row r="1140">
      <c r="A1140" s="2" t="inlineStr">
        <is>
          <t>Japanese Promo Lucky Stadium [Kantō]</t>
        </is>
      </c>
      <c r="B1140" s="3">
        <f>IF(H1140&lt;&gt;"",H1140,IF(I1140&lt;&gt;"",I1140,IF(J1140&lt;&gt;"",J1140,K1140)))</f>
        <v>80.3</v>
      </c>
      <c r="C1140" s="3">
        <f>MEDIAN(H1140:K1140)</f>
        <v>80.3</v>
      </c>
      <c r="D1140" s="3">
        <f>ROUND(C1140*(1-Settings!$B$2),2)</f>
        <v>56.21</v>
      </c>
      <c r="E1140" s="2" t="inlineStr">
        <is>
          <t>Pokemon</t>
        </is>
      </c>
      <c r="F1140" s="2" t="inlineStr">
        <is>
          <t>Coffret</t>
        </is>
      </c>
      <c r="G1140" s="2" t="inlineStr">
        <is>
          <t>Japanese Promo</t>
        </is>
      </c>
      <c r="H1140" s="3" t="n">
        <v>80.3</v>
      </c>
      <c r="I1140" s="3" t="n"/>
      <c r="J1140" s="3" t="n"/>
      <c r="K1140" s="3" t="n"/>
      <c r="L1140" s="2" t="inlineStr">
        <is>
          <t>PriceCharting</t>
        </is>
      </c>
      <c r="M1140" s="4" t="inlineStr">
        <is>
          <t>https://www.pricecharting.com/game/pokemon-japanese-promo/lucky-stadium-kantō</t>
        </is>
      </c>
    </row>
    <row r="1141">
      <c r="A1141" s="2" t="inlineStr">
        <is>
          <t>Japanese Promo Lucky Stadium [Kyūshū]</t>
        </is>
      </c>
      <c r="B1141" s="3">
        <f>IF(H1141&lt;&gt;"",H1141,IF(I1141&lt;&gt;"",I1141,IF(J1141&lt;&gt;"",J1141,K1141)))</f>
        <v>63.99</v>
      </c>
      <c r="C1141" s="3">
        <f>MEDIAN(H1141:K1141)</f>
        <v>63.99</v>
      </c>
      <c r="D1141" s="3">
        <f>ROUND(C1141*(1-Settings!$B$2),2)</f>
        <v>44.79</v>
      </c>
      <c r="E1141" s="2" t="inlineStr">
        <is>
          <t>Pokemon</t>
        </is>
      </c>
      <c r="F1141" s="2" t="inlineStr">
        <is>
          <t>Coffret</t>
        </is>
      </c>
      <c r="G1141" s="2" t="inlineStr">
        <is>
          <t>Japanese Promo</t>
        </is>
      </c>
      <c r="H1141" s="3" t="n">
        <v>63.99</v>
      </c>
      <c r="I1141" s="3" t="n"/>
      <c r="J1141" s="3" t="n"/>
      <c r="K1141" s="3" t="n"/>
      <c r="L1141" s="2" t="inlineStr">
        <is>
          <t>PriceCharting</t>
        </is>
      </c>
      <c r="M1141" s="4" t="inlineStr">
        <is>
          <t>https://www.pricecharting.com/game/pokemon-japanese-promo/lucky-stadium-kyūshū</t>
        </is>
      </c>
    </row>
    <row r="1142">
      <c r="A1142" s="2" t="inlineStr">
        <is>
          <t>Japanese Promo Lucky Stadium [Tōhoku]</t>
        </is>
      </c>
      <c r="B1142" s="3">
        <f>IF(H1142&lt;&gt;"",H1142,IF(I1142&lt;&gt;"",I1142,IF(J1142&lt;&gt;"",J1142,K1142)))</f>
        <v>79.79</v>
      </c>
      <c r="C1142" s="3">
        <f>MEDIAN(H1142:K1142)</f>
        <v>79.79</v>
      </c>
      <c r="D1142" s="3">
        <f>ROUND(C1142*(1-Settings!$B$2),2)</f>
        <v>55.85</v>
      </c>
      <c r="E1142" s="2" t="inlineStr">
        <is>
          <t>Pokemon</t>
        </is>
      </c>
      <c r="F1142" s="2" t="inlineStr">
        <is>
          <t>Coffret</t>
        </is>
      </c>
      <c r="G1142" s="2" t="inlineStr">
        <is>
          <t>Japanese Promo</t>
        </is>
      </c>
      <c r="H1142" s="3" t="n">
        <v>79.79000000000001</v>
      </c>
      <c r="I1142" s="3" t="n"/>
      <c r="J1142" s="3" t="n"/>
      <c r="K1142" s="3" t="n"/>
      <c r="L1142" s="2" t="inlineStr">
        <is>
          <t>PriceCharting</t>
        </is>
      </c>
      <c r="M1142" s="4" t="inlineStr">
        <is>
          <t>https://www.pricecharting.com/game/pokemon-japanese-promo/lucky-stadium-tōhoku</t>
        </is>
      </c>
    </row>
    <row r="1143">
      <c r="A1143" s="2" t="inlineStr">
        <is>
          <t>Japanese Promo Lucky Stadium Hokushin'Etsu</t>
        </is>
      </c>
      <c r="B1143" s="3">
        <f>IF(H1143&lt;&gt;"",H1143,IF(I1143&lt;&gt;"",I1143,IF(J1143&lt;&gt;"",J1143,K1143)))</f>
        <v>273.99</v>
      </c>
      <c r="C1143" s="3">
        <f>MEDIAN(H1143:K1143)</f>
        <v>273.99</v>
      </c>
      <c r="D1143" s="3">
        <f>ROUND(C1143*(1-Settings!$B$2),2)</f>
        <v>191.79</v>
      </c>
      <c r="E1143" s="2" t="inlineStr">
        <is>
          <t>Pokemon</t>
        </is>
      </c>
      <c r="F1143" s="2" t="inlineStr">
        <is>
          <t>Coffret</t>
        </is>
      </c>
      <c r="G1143" s="2" t="inlineStr">
        <is>
          <t>Japanese Promo</t>
        </is>
      </c>
      <c r="H1143" s="3" t="n">
        <v>273.99</v>
      </c>
      <c r="I1143" s="3" t="n"/>
      <c r="J1143" s="3" t="n"/>
      <c r="K1143" s="3" t="n"/>
      <c r="L1143" s="2" t="inlineStr">
        <is>
          <t>PriceCharting</t>
        </is>
      </c>
      <c r="M1143" s="4" t="inlineStr">
        <is>
          <t>https://www.pricecharting.com/game/pokemon-japanese-promo/lucky-stadium-hokushin'etsu</t>
        </is>
      </c>
    </row>
    <row r="1144">
      <c r="A1144" s="2" t="inlineStr">
        <is>
          <t>Japanese Promo Sealed Fukuoka SPECIAL Box</t>
        </is>
      </c>
      <c r="B1144" s="3">
        <f>IF(H1144&lt;&gt;"",H1144,IF(I1144&lt;&gt;"",I1144,IF(J1144&lt;&gt;"",J1144,K1144)))</f>
        <v>172.35</v>
      </c>
      <c r="C1144" s="3">
        <f>MEDIAN(H1144:K1144)</f>
        <v>172.35</v>
      </c>
      <c r="D1144" s="3">
        <f>ROUND(C1144*(1-Settings!$B$2),2)</f>
        <v>120.65</v>
      </c>
      <c r="E1144" s="2" t="inlineStr">
        <is>
          <t>Pokemon</t>
        </is>
      </c>
      <c r="F1144" s="2" t="inlineStr">
        <is>
          <t>Coffret</t>
        </is>
      </c>
      <c r="G1144" s="2" t="inlineStr">
        <is>
          <t>Japanese Promo</t>
        </is>
      </c>
      <c r="H1144" s="3" t="n">
        <v>172.35</v>
      </c>
      <c r="I1144" s="3" t="n"/>
      <c r="J1144" s="3" t="n"/>
      <c r="K1144" s="3" t="n"/>
      <c r="L1144" s="2" t="inlineStr">
        <is>
          <t>PriceCharting</t>
        </is>
      </c>
      <c r="M1144" s="4" t="inlineStr">
        <is>
          <t>https://www.pricecharting.com/game/pokemon-japanese-promo/sealed-fukuoka-special-box</t>
        </is>
      </c>
    </row>
    <row r="1145">
      <c r="A1145" s="2" t="inlineStr">
        <is>
          <t>Japanese Promo Sealed Hiroshima SPECIAL Box</t>
        </is>
      </c>
      <c r="B1145" s="3">
        <f>IF(H1145&lt;&gt;"",H1145,IF(I1145&lt;&gt;"",I1145,IF(J1145&lt;&gt;"",J1145,K1145)))</f>
        <v>195.25</v>
      </c>
      <c r="C1145" s="3">
        <f>MEDIAN(H1145:K1145)</f>
        <v>195.25</v>
      </c>
      <c r="D1145" s="3">
        <f>ROUND(C1145*(1-Settings!$B$2),2)</f>
        <v>136.68</v>
      </c>
      <c r="E1145" s="2" t="inlineStr">
        <is>
          <t>Pokemon</t>
        </is>
      </c>
      <c r="F1145" s="2" t="inlineStr">
        <is>
          <t>Coffret</t>
        </is>
      </c>
      <c r="G1145" s="2" t="inlineStr">
        <is>
          <t>Japanese Promo</t>
        </is>
      </c>
      <c r="H1145" s="3" t="n">
        <v>195.25</v>
      </c>
      <c r="I1145" s="3" t="n"/>
      <c r="J1145" s="3" t="n"/>
      <c r="K1145" s="3" t="n"/>
      <c r="L1145" s="2" t="inlineStr">
        <is>
          <t>PriceCharting</t>
        </is>
      </c>
      <c r="M1145" s="4" t="inlineStr">
        <is>
          <t>https://www.pricecharting.com/game/pokemon-japanese-promo/sealed-hiroshima-special-box</t>
        </is>
      </c>
    </row>
    <row r="1146">
      <c r="A1146" s="2" t="inlineStr">
        <is>
          <t>Japanese Promo Sealed Japanese Stamp Box</t>
        </is>
      </c>
      <c r="B1146" s="3">
        <f>IF(H1146&lt;&gt;"",H1146,IF(I1146&lt;&gt;"",I1146,IF(J1146&lt;&gt;"",J1146,K1146)))</f>
        <v>3300.0</v>
      </c>
      <c r="C1146" s="3">
        <f>MEDIAN(H1146:K1146)</f>
        <v>3300.0</v>
      </c>
      <c r="D1146" s="3">
        <f>ROUND(C1146*(1-Settings!$B$2),2)</f>
        <v>2310.0</v>
      </c>
      <c r="E1146" s="2" t="inlineStr">
        <is>
          <t>Pokemon</t>
        </is>
      </c>
      <c r="F1146" s="2" t="inlineStr">
        <is>
          <t>Coffret</t>
        </is>
      </c>
      <c r="G1146" s="2" t="inlineStr">
        <is>
          <t>Japanese Promo</t>
        </is>
      </c>
      <c r="H1146" s="3" t="n">
        <v>3300</v>
      </c>
      <c r="I1146" s="3" t="n"/>
      <c r="J1146" s="3" t="n"/>
      <c r="K1146" s="3" t="n"/>
      <c r="L1146" s="2" t="inlineStr">
        <is>
          <t>PriceCharting</t>
        </is>
      </c>
      <c r="M1146" s="4" t="inlineStr">
        <is>
          <t>https://www.pricecharting.com/game/pokemon-japanese-promo/sealed-japanese-stamp-box</t>
        </is>
      </c>
    </row>
    <row r="1147">
      <c r="A1147" s="2" t="inlineStr">
        <is>
          <t>Japanese Promo Sealed Limited Collection Master Battle Set</t>
        </is>
      </c>
      <c r="B1147" s="3">
        <f>IF(H1147&lt;&gt;"",H1147,IF(I1147&lt;&gt;"",I1147,IF(J1147&lt;&gt;"",J1147,K1147)))</f>
        <v>10999.99</v>
      </c>
      <c r="C1147" s="3">
        <f>MEDIAN(H1147:K1147)</f>
        <v>10999.99</v>
      </c>
      <c r="D1147" s="3">
        <f>ROUND(C1147*(1-Settings!$B$2),2)</f>
        <v>7699.99</v>
      </c>
      <c r="E1147" s="2" t="inlineStr">
        <is>
          <t>Pokemon</t>
        </is>
      </c>
      <c r="F1147" s="2" t="inlineStr">
        <is>
          <t>Coffret</t>
        </is>
      </c>
      <c r="G1147" s="2" t="inlineStr">
        <is>
          <t>Japanese Promo</t>
        </is>
      </c>
      <c r="H1147" s="3" t="n">
        <v>10999.99</v>
      </c>
      <c r="I1147" s="3" t="n"/>
      <c r="J1147" s="3" t="n"/>
      <c r="K1147" s="3" t="n"/>
      <c r="L1147" s="2" t="inlineStr">
        <is>
          <t>PriceCharting</t>
        </is>
      </c>
      <c r="M1147" s="4" t="inlineStr">
        <is>
          <t>https://www.pricecharting.com/game/pokemon-japanese-promo/sealed-limited-collection-master-battle-set</t>
        </is>
      </c>
    </row>
    <row r="1148">
      <c r="A1148" s="2" t="inlineStr">
        <is>
          <t>Japanese Promo Sealed Special Box [Mario Pikachu]</t>
        </is>
      </c>
      <c r="B1148" s="3">
        <f>IF(H1148&lt;&gt;"",H1148,IF(I1148&lt;&gt;"",I1148,IF(J1148&lt;&gt;"",J1148,K1148)))</f>
        <v>17687.5</v>
      </c>
      <c r="C1148" s="3">
        <f>MEDIAN(H1148:K1148)</f>
        <v>17687.5</v>
      </c>
      <c r="D1148" s="3">
        <f>ROUND(C1148*(1-Settings!$B$2),2)</f>
        <v>12381.25</v>
      </c>
      <c r="E1148" s="2" t="inlineStr">
        <is>
          <t>Pokemon</t>
        </is>
      </c>
      <c r="F1148" s="2" t="inlineStr">
        <is>
          <t>Coffret</t>
        </is>
      </c>
      <c r="G1148" s="2" t="inlineStr">
        <is>
          <t>Japanese Promo</t>
        </is>
      </c>
      <c r="H1148" s="3" t="n">
        <v>17687.5</v>
      </c>
      <c r="I1148" s="3" t="n"/>
      <c r="J1148" s="3" t="n"/>
      <c r="K1148" s="3" t="n"/>
      <c r="L1148" s="2" t="inlineStr">
        <is>
          <t>PriceCharting</t>
        </is>
      </c>
      <c r="M1148" s="4" t="inlineStr">
        <is>
          <t>https://www.pricecharting.com/game/pokemon-japanese-promo/sealed-special-box-mario-pikachu</t>
        </is>
      </c>
    </row>
    <row r="1149">
      <c r="A1149" s="2" t="inlineStr">
        <is>
          <t>Japanese Promo Sealed Tohoku SPECIAL Box</t>
        </is>
      </c>
      <c r="B1149" s="3">
        <f>IF(H1149&lt;&gt;"",H1149,IF(I1149&lt;&gt;"",I1149,IF(J1149&lt;&gt;"",J1149,K1149)))</f>
        <v>153.13</v>
      </c>
      <c r="C1149" s="3">
        <f>MEDIAN(H1149:K1149)</f>
        <v>153.13</v>
      </c>
      <c r="D1149" s="3">
        <f>ROUND(C1149*(1-Settings!$B$2),2)</f>
        <v>107.19</v>
      </c>
      <c r="E1149" s="2" t="inlineStr">
        <is>
          <t>Pokemon</t>
        </is>
      </c>
      <c r="F1149" s="2" t="inlineStr">
        <is>
          <t>Coffret</t>
        </is>
      </c>
      <c r="G1149" s="2" t="inlineStr">
        <is>
          <t>Japanese Promo</t>
        </is>
      </c>
      <c r="H1149" s="3" t="n">
        <v>153.13</v>
      </c>
      <c r="I1149" s="3" t="n"/>
      <c r="J1149" s="3" t="n"/>
      <c r="K1149" s="3" t="n"/>
      <c r="L1149" s="2" t="inlineStr">
        <is>
          <t>PriceCharting</t>
        </is>
      </c>
      <c r="M1149" s="4" t="inlineStr">
        <is>
          <t>https://www.pricecharting.com/game/pokemon-japanese-promo/sealed-tohoku-special-box</t>
        </is>
      </c>
    </row>
    <row r="1150">
      <c r="A1150" s="2" t="inlineStr">
        <is>
          <t>Japanese Promo Special Box [15th Anniversary]</t>
        </is>
      </c>
      <c r="B1150" s="3">
        <f>IF(H1150&lt;&gt;"",H1150,IF(I1150&lt;&gt;"",I1150,IF(J1150&lt;&gt;"",J1150,K1150)))</f>
        <v>26347.79</v>
      </c>
      <c r="C1150" s="3">
        <f>MEDIAN(H1150:K1150)</f>
        <v>26347.79</v>
      </c>
      <c r="D1150" s="3">
        <f>ROUND(C1150*(1-Settings!$B$2),2)</f>
        <v>18443.45</v>
      </c>
      <c r="E1150" s="2" t="inlineStr">
        <is>
          <t>Pokemon</t>
        </is>
      </c>
      <c r="F1150" s="2" t="inlineStr">
        <is>
          <t>Coffret</t>
        </is>
      </c>
      <c r="G1150" s="2" t="inlineStr">
        <is>
          <t>Japanese Promo</t>
        </is>
      </c>
      <c r="H1150" s="3" t="n">
        <v>26347.79</v>
      </c>
      <c r="I1150" s="3" t="n"/>
      <c r="J1150" s="3" t="n"/>
      <c r="K1150" s="3" t="n"/>
      <c r="L1150" s="2" t="inlineStr">
        <is>
          <t>PriceCharting</t>
        </is>
      </c>
      <c r="M1150" s="4" t="inlineStr">
        <is>
          <t>https://www.pricecharting.com/game/pokemon-japanese-promo/special-box-15th-anniversary</t>
        </is>
      </c>
    </row>
    <row r="1151">
      <c r="A1151" s="2" t="inlineStr">
        <is>
          <t>Japanese Promo Special Box [Arora &amp; Locon]</t>
        </is>
      </c>
      <c r="B1151" s="3">
        <f>IF(H1151&lt;&gt;"",H1151,IF(I1151&lt;&gt;"",I1151,IF(J1151&lt;&gt;"",J1151,K1151)))</f>
        <v>6364.24</v>
      </c>
      <c r="C1151" s="3">
        <f>MEDIAN(H1151:K1151)</f>
        <v>6364.24</v>
      </c>
      <c r="D1151" s="3">
        <f>ROUND(C1151*(1-Settings!$B$2),2)</f>
        <v>4454.97</v>
      </c>
      <c r="E1151" s="2" t="inlineStr">
        <is>
          <t>Pokemon</t>
        </is>
      </c>
      <c r="F1151" s="2" t="inlineStr">
        <is>
          <t>Coffret</t>
        </is>
      </c>
      <c r="G1151" s="2" t="inlineStr">
        <is>
          <t>Japanese Promo</t>
        </is>
      </c>
      <c r="H1151" s="3" t="n">
        <v>6364.24</v>
      </c>
      <c r="I1151" s="3" t="n"/>
      <c r="J1151" s="3" t="n"/>
      <c r="K1151" s="3" t="n"/>
      <c r="L1151" s="2" t="inlineStr">
        <is>
          <t>PriceCharting</t>
        </is>
      </c>
      <c r="M1151" s="4" t="inlineStr">
        <is>
          <t>https://www.pricecharting.com/game/pokemon-japanese-promo/special-box-arora-&amp;-locon</t>
        </is>
      </c>
    </row>
    <row r="1152">
      <c r="A1152" s="2" t="inlineStr">
        <is>
          <t>Japanese Promo Special Box [Lillie &amp; Cosmog]</t>
        </is>
      </c>
      <c r="B1152" s="3">
        <f>IF(H1152&lt;&gt;"",H1152,IF(I1152&lt;&gt;"",I1152,IF(J1152&lt;&gt;"",J1152,K1152)))</f>
        <v>182.75</v>
      </c>
      <c r="C1152" s="3">
        <f>MEDIAN(H1152:K1152)</f>
        <v>182.75</v>
      </c>
      <c r="D1152" s="3">
        <f>ROUND(C1152*(1-Settings!$B$2),2)</f>
        <v>127.93</v>
      </c>
      <c r="E1152" s="2" t="inlineStr">
        <is>
          <t>Pokemon</t>
        </is>
      </c>
      <c r="F1152" s="2" t="inlineStr">
        <is>
          <t>Coffret</t>
        </is>
      </c>
      <c r="G1152" s="2" t="inlineStr">
        <is>
          <t>Japanese Promo</t>
        </is>
      </c>
      <c r="H1152" s="3" t="n">
        <v>182.75</v>
      </c>
      <c r="I1152" s="3" t="n"/>
      <c r="J1152" s="3" t="n"/>
      <c r="K1152" s="3" t="n"/>
      <c r="L1152" s="2" t="inlineStr">
        <is>
          <t>PriceCharting</t>
        </is>
      </c>
      <c r="M1152" s="4" t="inlineStr">
        <is>
          <t>https://www.pricecharting.com/game/pokemon-japanese-promo/special-box-lillie-&amp;-cosmog</t>
        </is>
      </c>
    </row>
    <row r="1153">
      <c r="A1153" s="2" t="inlineStr">
        <is>
          <t>Japanese Promo Special Box [Luigi Pikachu]</t>
        </is>
      </c>
      <c r="B1153" s="3">
        <f>IF(H1153&lt;&gt;"",H1153,IF(I1153&lt;&gt;"",I1153,IF(J1153&lt;&gt;"",J1153,K1153)))</f>
        <v>6661.7</v>
      </c>
      <c r="C1153" s="3">
        <f>MEDIAN(H1153:K1153)</f>
        <v>6661.7</v>
      </c>
      <c r="D1153" s="3">
        <f>ROUND(C1153*(1-Settings!$B$2),2)</f>
        <v>4663.19</v>
      </c>
      <c r="E1153" s="2" t="inlineStr">
        <is>
          <t>Pokemon</t>
        </is>
      </c>
      <c r="F1153" s="2" t="inlineStr">
        <is>
          <t>Coffret</t>
        </is>
      </c>
      <c r="G1153" s="2" t="inlineStr">
        <is>
          <t>Japanese Promo</t>
        </is>
      </c>
      <c r="H1153" s="3" t="n">
        <v>6661.7</v>
      </c>
      <c r="I1153" s="3" t="n"/>
      <c r="J1153" s="3" t="n"/>
      <c r="K1153" s="3" t="n"/>
      <c r="L1153" s="2" t="inlineStr">
        <is>
          <t>PriceCharting</t>
        </is>
      </c>
      <c r="M1153" s="4" t="inlineStr">
        <is>
          <t>https://www.pricecharting.com/game/pokemon-japanese-promo/special-box-luigi-pikachu</t>
        </is>
      </c>
    </row>
    <row r="1154">
      <c r="A1154" s="2" t="inlineStr">
        <is>
          <t>Japanese Promo Special Box [Mimikyu Dayo]</t>
        </is>
      </c>
      <c r="B1154" s="3">
        <f>IF(H1154&lt;&gt;"",H1154,IF(I1154&lt;&gt;"",I1154,IF(J1154&lt;&gt;"",J1154,K1154)))</f>
        <v>6599.99</v>
      </c>
      <c r="C1154" s="3">
        <f>MEDIAN(H1154:K1154)</f>
        <v>6599.99</v>
      </c>
      <c r="D1154" s="3">
        <f>ROUND(C1154*(1-Settings!$B$2),2)</f>
        <v>4619.99</v>
      </c>
      <c r="E1154" s="2" t="inlineStr">
        <is>
          <t>Pokemon</t>
        </is>
      </c>
      <c r="F1154" s="2" t="inlineStr">
        <is>
          <t>Coffret</t>
        </is>
      </c>
      <c r="G1154" s="2" t="inlineStr">
        <is>
          <t>Japanese Promo</t>
        </is>
      </c>
      <c r="H1154" s="3" t="n">
        <v>6599.99</v>
      </c>
      <c r="I1154" s="3" t="n"/>
      <c r="J1154" s="3" t="n"/>
      <c r="K1154" s="3" t="n"/>
      <c r="L1154" s="2" t="inlineStr">
        <is>
          <t>PriceCharting</t>
        </is>
      </c>
      <c r="M1154" s="4" t="inlineStr">
        <is>
          <t>https://www.pricecharting.com/game/pokemon-japanese-promo/special-box-mimikyu-dayo</t>
        </is>
      </c>
    </row>
    <row r="1155">
      <c r="A1155" s="2" t="inlineStr">
        <is>
          <t>Japanese Promo Special Box [Pokemon Center Kanazawa]</t>
        </is>
      </c>
      <c r="B1155" s="3">
        <f>IF(H1155&lt;&gt;"",H1155,IF(I1155&lt;&gt;"",I1155,IF(J1155&lt;&gt;"",J1155,K1155)))</f>
        <v>882.55</v>
      </c>
      <c r="C1155" s="3">
        <f>MEDIAN(H1155:K1155)</f>
        <v>882.55</v>
      </c>
      <c r="D1155" s="3">
        <f>ROUND(C1155*(1-Settings!$B$2),2)</f>
        <v>617.79</v>
      </c>
      <c r="E1155" s="2" t="inlineStr">
        <is>
          <t>Pokemon</t>
        </is>
      </c>
      <c r="F1155" s="2" t="inlineStr">
        <is>
          <t>Coffret</t>
        </is>
      </c>
      <c r="G1155" s="2" t="inlineStr">
        <is>
          <t>Japanese Promo</t>
        </is>
      </c>
      <c r="H1155" s="3" t="n">
        <v>882.55</v>
      </c>
      <c r="I1155" s="3" t="n"/>
      <c r="J1155" s="3" t="n"/>
      <c r="K1155" s="3" t="n"/>
      <c r="L1155" s="2" t="inlineStr">
        <is>
          <t>PriceCharting</t>
        </is>
      </c>
      <c r="M1155" s="4" t="inlineStr">
        <is>
          <t>https://www.pricecharting.com/game/pokemon-japanese-promo/special-box-pokemon-center-kanazawa</t>
        </is>
      </c>
    </row>
    <row r="1156">
      <c r="A1156" s="2" t="inlineStr">
        <is>
          <t>Japanese Promo Special Box [Pokemon Center Yokohama]</t>
        </is>
      </c>
      <c r="B1156" s="3">
        <f>IF(H1156&lt;&gt;"",H1156,IF(I1156&lt;&gt;"",I1156,IF(J1156&lt;&gt;"",J1156,K1156)))</f>
        <v>4600.0</v>
      </c>
      <c r="C1156" s="3">
        <f>MEDIAN(H1156:K1156)</f>
        <v>4600.0</v>
      </c>
      <c r="D1156" s="3">
        <f>ROUND(C1156*(1-Settings!$B$2),2)</f>
        <v>3220.0</v>
      </c>
      <c r="E1156" s="2" t="inlineStr">
        <is>
          <t>Pokemon</t>
        </is>
      </c>
      <c r="F1156" s="2" t="inlineStr">
        <is>
          <t>Coffret</t>
        </is>
      </c>
      <c r="G1156" s="2" t="inlineStr">
        <is>
          <t>Japanese Promo</t>
        </is>
      </c>
      <c r="H1156" s="3" t="n">
        <v>4600</v>
      </c>
      <c r="I1156" s="3" t="n"/>
      <c r="J1156" s="3" t="n"/>
      <c r="K1156" s="3" t="n"/>
      <c r="L1156" s="2" t="inlineStr">
        <is>
          <t>PriceCharting</t>
        </is>
      </c>
      <c r="M1156" s="4" t="inlineStr">
        <is>
          <t>https://www.pricecharting.com/game/pokemon-japanese-promo/special-box-pokemon-center-yokohama</t>
        </is>
      </c>
    </row>
    <row r="1157">
      <c r="A1157" s="2" t="inlineStr">
        <is>
          <t>Japanese Promo Special Box [Poncho Magikarp &amp; Gyarados]</t>
        </is>
      </c>
      <c r="B1157" s="3">
        <f>IF(H1157&lt;&gt;"",H1157,IF(I1157&lt;&gt;"",I1157,IF(J1157&lt;&gt;"",J1157,K1157)))</f>
        <v>12500.0</v>
      </c>
      <c r="C1157" s="3">
        <f>MEDIAN(H1157:K1157)</f>
        <v>12500.0</v>
      </c>
      <c r="D1157" s="3">
        <f>ROUND(C1157*(1-Settings!$B$2),2)</f>
        <v>8750.0</v>
      </c>
      <c r="E1157" s="2" t="inlineStr">
        <is>
          <t>Pokemon</t>
        </is>
      </c>
      <c r="F1157" s="2" t="inlineStr">
        <is>
          <t>Coffret</t>
        </is>
      </c>
      <c r="G1157" s="2" t="inlineStr">
        <is>
          <t>Japanese Promo</t>
        </is>
      </c>
      <c r="H1157" s="3" t="n">
        <v>12500</v>
      </c>
      <c r="I1157" s="3" t="n"/>
      <c r="J1157" s="3" t="n"/>
      <c r="K1157" s="3" t="n"/>
      <c r="L1157" s="2" t="inlineStr">
        <is>
          <t>PriceCharting</t>
        </is>
      </c>
      <c r="M1157" s="4" t="inlineStr">
        <is>
          <t>https://www.pricecharting.com/game/pokemon-japanese-promo/special-box-poncho-magikarp-&amp;-gyarados</t>
        </is>
      </c>
    </row>
    <row r="1158">
      <c r="A1158" s="2" t="inlineStr">
        <is>
          <t>Japanese Promo Special Box [Poncho Pikachu Mega Charizard X]</t>
        </is>
      </c>
      <c r="B1158" s="3">
        <f>IF(H1158&lt;&gt;"",H1158,IF(I1158&lt;&gt;"",I1158,IF(J1158&lt;&gt;"",J1158,K1158)))</f>
        <v>11050.0</v>
      </c>
      <c r="C1158" s="3">
        <f>MEDIAN(H1158:K1158)</f>
        <v>11050.0</v>
      </c>
      <c r="D1158" s="3">
        <f>ROUND(C1158*(1-Settings!$B$2),2)</f>
        <v>7735.0</v>
      </c>
      <c r="E1158" s="2" t="inlineStr">
        <is>
          <t>Pokemon</t>
        </is>
      </c>
      <c r="F1158" s="2" t="inlineStr">
        <is>
          <t>Coffret</t>
        </is>
      </c>
      <c r="G1158" s="2" t="inlineStr">
        <is>
          <t>Japanese Promo</t>
        </is>
      </c>
      <c r="H1158" s="3" t="n">
        <v>11050</v>
      </c>
      <c r="I1158" s="3" t="n"/>
      <c r="J1158" s="3" t="n"/>
      <c r="K1158" s="3" t="n"/>
      <c r="L1158" s="2" t="inlineStr">
        <is>
          <t>PriceCharting</t>
        </is>
      </c>
      <c r="M1158" s="4" t="inlineStr">
        <is>
          <t>https://www.pricecharting.com/game/pokemon-japanese-promo/special-box-poncho-pikachu-mega-charizard-x</t>
        </is>
      </c>
    </row>
    <row r="1159">
      <c r="A1159" s="2" t="inlineStr">
        <is>
          <t>Japanese Promo Special Box [Poncho Pikachu Mega Charizard Y]</t>
        </is>
      </c>
      <c r="B1159" s="3">
        <f>IF(H1159&lt;&gt;"",H1159,IF(I1159&lt;&gt;"",I1159,IF(J1159&lt;&gt;"",J1159,K1159)))</f>
        <v>21265.05</v>
      </c>
      <c r="C1159" s="3">
        <f>MEDIAN(H1159:K1159)</f>
        <v>21265.05</v>
      </c>
      <c r="D1159" s="3">
        <f>ROUND(C1159*(1-Settings!$B$2),2)</f>
        <v>14885.54</v>
      </c>
      <c r="E1159" s="2" t="inlineStr">
        <is>
          <t>Pokemon</t>
        </is>
      </c>
      <c r="F1159" s="2" t="inlineStr">
        <is>
          <t>Coffret</t>
        </is>
      </c>
      <c r="G1159" s="2" t="inlineStr">
        <is>
          <t>Japanese Promo</t>
        </is>
      </c>
      <c r="H1159" s="3" t="n">
        <v>21265.05</v>
      </c>
      <c r="I1159" s="3" t="n"/>
      <c r="J1159" s="3" t="n"/>
      <c r="K1159" s="3" t="n"/>
      <c r="L1159" s="2" t="inlineStr">
        <is>
          <t>PriceCharting</t>
        </is>
      </c>
      <c r="M1159" s="4" t="inlineStr">
        <is>
          <t>https://www.pricecharting.com/game/pokemon-japanese-promo/special-box-poncho-pikachu-mega-charizard-y</t>
        </is>
      </c>
    </row>
    <row r="1160">
      <c r="A1160" s="2" t="inlineStr">
        <is>
          <t>Japanese Promo Special Box [Poncho Rayquaza]</t>
        </is>
      </c>
      <c r="B1160" s="3">
        <f>IF(H1160&lt;&gt;"",H1160,IF(I1160&lt;&gt;"",I1160,IF(J1160&lt;&gt;"",J1160,K1160)))</f>
        <v>4451.37</v>
      </c>
      <c r="C1160" s="3">
        <f>MEDIAN(H1160:K1160)</f>
        <v>4451.37</v>
      </c>
      <c r="D1160" s="3">
        <f>ROUND(C1160*(1-Settings!$B$2),2)</f>
        <v>3115.96</v>
      </c>
      <c r="E1160" s="2" t="inlineStr">
        <is>
          <t>Pokemon</t>
        </is>
      </c>
      <c r="F1160" s="2" t="inlineStr">
        <is>
          <t>Coffret</t>
        </is>
      </c>
      <c r="G1160" s="2" t="inlineStr">
        <is>
          <t>Japanese Promo</t>
        </is>
      </c>
      <c r="H1160" s="3" t="n">
        <v>4451.37</v>
      </c>
      <c r="I1160" s="3" t="n"/>
      <c r="J1160" s="3" t="n"/>
      <c r="K1160" s="3" t="n"/>
      <c r="L1160" s="2" t="inlineStr">
        <is>
          <t>PriceCharting</t>
        </is>
      </c>
      <c r="M1160" s="4" t="inlineStr">
        <is>
          <t>https://www.pricecharting.com/game/pokemon-japanese-promo/special-box-poncho-rayquaza</t>
        </is>
      </c>
    </row>
    <row r="1161">
      <c r="A1161" s="2" t="inlineStr">
        <is>
          <t>Japanese Promo Special Box [Rokon's Crystal Season]</t>
        </is>
      </c>
      <c r="B1161" s="3">
        <f>IF(H1161&lt;&gt;"",H1161,IF(I1161&lt;&gt;"",I1161,IF(J1161&lt;&gt;"",J1161,K1161)))</f>
        <v>3899.99</v>
      </c>
      <c r="C1161" s="3">
        <f>MEDIAN(H1161:K1161)</f>
        <v>3899.99</v>
      </c>
      <c r="D1161" s="3">
        <f>ROUND(C1161*(1-Settings!$B$2),2)</f>
        <v>2729.99</v>
      </c>
      <c r="E1161" s="2" t="inlineStr">
        <is>
          <t>Pokemon</t>
        </is>
      </c>
      <c r="F1161" s="2" t="inlineStr">
        <is>
          <t>Coffret</t>
        </is>
      </c>
      <c r="G1161" s="2" t="inlineStr">
        <is>
          <t>Japanese Promo</t>
        </is>
      </c>
      <c r="H1161" s="3" t="n">
        <v>3899.99</v>
      </c>
      <c r="I1161" s="3" t="n"/>
      <c r="J1161" s="3" t="n"/>
      <c r="K1161" s="3" t="n"/>
      <c r="L1161" s="2" t="inlineStr">
        <is>
          <t>PriceCharting</t>
        </is>
      </c>
      <c r="M1161" s="4" t="inlineStr">
        <is>
          <t>https://www.pricecharting.com/game/pokemon-japanese-promo/special-box-rokon's-crystal-season</t>
        </is>
      </c>
    </row>
    <row r="1162">
      <c r="A1162" s="2" t="inlineStr">
        <is>
          <t>Japanese Promo Special Box [Tokyo DX]</t>
        </is>
      </c>
      <c r="B1162" s="3">
        <f>IF(H1162&lt;&gt;"",H1162,IF(I1162&lt;&gt;"",I1162,IF(J1162&lt;&gt;"",J1162,K1162)))</f>
        <v>4156.48</v>
      </c>
      <c r="C1162" s="3">
        <f>MEDIAN(H1162:K1162)</f>
        <v>4156.48</v>
      </c>
      <c r="D1162" s="3">
        <f>ROUND(C1162*(1-Settings!$B$2),2)</f>
        <v>2909.54</v>
      </c>
      <c r="E1162" s="2" t="inlineStr">
        <is>
          <t>Pokemon</t>
        </is>
      </c>
      <c r="F1162" s="2" t="inlineStr">
        <is>
          <t>Coffret</t>
        </is>
      </c>
      <c r="G1162" s="2" t="inlineStr">
        <is>
          <t>Japanese Promo</t>
        </is>
      </c>
      <c r="H1162" s="3" t="n">
        <v>4156.48</v>
      </c>
      <c r="I1162" s="3" t="n"/>
      <c r="J1162" s="3" t="n"/>
      <c r="K1162" s="3" t="n"/>
      <c r="L1162" s="2" t="inlineStr">
        <is>
          <t>PriceCharting</t>
        </is>
      </c>
      <c r="M1162" s="4" t="inlineStr">
        <is>
          <t>https://www.pricecharting.com/game/pokemon-japanese-promo/special-box-tokyo-dx</t>
        </is>
      </c>
    </row>
    <row r="1163">
      <c r="A1163" s="2" t="inlineStr">
        <is>
          <t>Japanese Promo Yu Nagaba Eevee's Special Box</t>
        </is>
      </c>
      <c r="B1163" s="3">
        <f>IF(H1163&lt;&gt;"",H1163,IF(I1163&lt;&gt;"",I1163,IF(J1163&lt;&gt;"",J1163,K1163)))</f>
        <v>243.66</v>
      </c>
      <c r="C1163" s="3">
        <f>MEDIAN(H1163:K1163)</f>
        <v>243.66</v>
      </c>
      <c r="D1163" s="3">
        <f>ROUND(C1163*(1-Settings!$B$2),2)</f>
        <v>170.56</v>
      </c>
      <c r="E1163" s="2" t="inlineStr">
        <is>
          <t>Pokemon</t>
        </is>
      </c>
      <c r="F1163" s="2" t="inlineStr">
        <is>
          <t>Coffret</t>
        </is>
      </c>
      <c r="G1163" s="2" t="inlineStr">
        <is>
          <t>Japanese Promo</t>
        </is>
      </c>
      <c r="H1163" s="3" t="n">
        <v>243.66</v>
      </c>
      <c r="I1163" s="3" t="n"/>
      <c r="J1163" s="3" t="n"/>
      <c r="K1163" s="3" t="n"/>
      <c r="L1163" s="2" t="inlineStr">
        <is>
          <t>PriceCharting</t>
        </is>
      </c>
      <c r="M1163" s="4" t="inlineStr">
        <is>
          <t>https://www.pricecharting.com/game/pokemon-japanese-promo/yu-nagaba-eevee's-special-box</t>
        </is>
      </c>
    </row>
    <row r="1164">
      <c r="A1164" s="2" t="inlineStr">
        <is>
          <t>Japanese Promo Yu Nagaba Special Box</t>
        </is>
      </c>
      <c r="B1164" s="3">
        <f>IF(H1164&lt;&gt;"",H1164,IF(I1164&lt;&gt;"",I1164,IF(J1164&lt;&gt;"",J1164,K1164)))</f>
        <v>320.0</v>
      </c>
      <c r="C1164" s="3">
        <f>MEDIAN(H1164:K1164)</f>
        <v>320.0</v>
      </c>
      <c r="D1164" s="3">
        <f>ROUND(C1164*(1-Settings!$B$2),2)</f>
        <v>224.0</v>
      </c>
      <c r="E1164" s="2" t="inlineStr">
        <is>
          <t>Pokemon</t>
        </is>
      </c>
      <c r="F1164" s="2" t="inlineStr">
        <is>
          <t>Coffret</t>
        </is>
      </c>
      <c r="G1164" s="2" t="inlineStr">
        <is>
          <t>Japanese Promo</t>
        </is>
      </c>
      <c r="H1164" s="3" t="n">
        <v>320</v>
      </c>
      <c r="I1164" s="3" t="n"/>
      <c r="J1164" s="3" t="n"/>
      <c r="K1164" s="3" t="n"/>
      <c r="L1164" s="2" t="inlineStr">
        <is>
          <t>PriceCharting</t>
        </is>
      </c>
      <c r="M1164" s="4" t="inlineStr">
        <is>
          <t>https://www.pricecharting.com/game/pokemon-japanese-promo/yu-nagaba-special-box</t>
        </is>
      </c>
    </row>
    <row r="1165">
      <c r="A1165" s="2" t="inlineStr">
        <is>
          <t>Japanese Shiny Star V Crobat V Shiny Box</t>
        </is>
      </c>
      <c r="B1165" s="3">
        <f>IF(H1165&lt;&gt;"",H1165,IF(I1165&lt;&gt;"",I1165,IF(J1165&lt;&gt;"",J1165,K1165)))</f>
        <v>110.55</v>
      </c>
      <c r="C1165" s="3">
        <f>MEDIAN(H1165:K1165)</f>
        <v>110.55</v>
      </c>
      <c r="D1165" s="3">
        <f>ROUND(C1165*(1-Settings!$B$2),2)</f>
        <v>77.39</v>
      </c>
      <c r="E1165" s="2" t="inlineStr">
        <is>
          <t>Pokemon</t>
        </is>
      </c>
      <c r="F1165" s="2" t="inlineStr">
        <is>
          <t>Coffret</t>
        </is>
      </c>
      <c r="G1165" s="2" t="inlineStr">
        <is>
          <t>Japanese Shiny Star V</t>
        </is>
      </c>
      <c r="H1165" s="3" t="n">
        <v>110.55</v>
      </c>
      <c r="I1165" s="3" t="n"/>
      <c r="J1165" s="3" t="n"/>
      <c r="K1165" s="3" t="n"/>
      <c r="L1165" s="2" t="inlineStr">
        <is>
          <t>PriceCharting</t>
        </is>
      </c>
      <c r="M1165" s="4" t="inlineStr">
        <is>
          <t>https://www.pricecharting.com/game/pokemon-japanese-shiny-star-v/crobat-v-shiny-box</t>
        </is>
      </c>
    </row>
    <row r="1166">
      <c r="A1166" s="2" t="inlineStr">
        <is>
          <t>Japanese Shiny Star V Nessa Shiny Star V Set</t>
        </is>
      </c>
      <c r="B1166" s="3">
        <f>IF(H1166&lt;&gt;"",H1166,IF(I1166&lt;&gt;"",I1166,IF(J1166&lt;&gt;"",J1166,K1166)))</f>
        <v>345.0</v>
      </c>
      <c r="C1166" s="3">
        <f>MEDIAN(H1166:K1166)</f>
        <v>345.0</v>
      </c>
      <c r="D1166" s="3">
        <f>ROUND(C1166*(1-Settings!$B$2),2)</f>
        <v>241.5</v>
      </c>
      <c r="E1166" s="2" t="inlineStr">
        <is>
          <t>Pokemon</t>
        </is>
      </c>
      <c r="F1166" s="2" t="inlineStr">
        <is>
          <t>Coffret</t>
        </is>
      </c>
      <c r="G1166" s="2" t="inlineStr">
        <is>
          <t>Japanese Shiny Star V</t>
        </is>
      </c>
      <c r="H1166" s="3" t="n">
        <v>345</v>
      </c>
      <c r="I1166" s="3" t="n"/>
      <c r="J1166" s="3" t="n"/>
      <c r="K1166" s="3" t="n"/>
      <c r="L1166" s="2" t="inlineStr">
        <is>
          <t>PriceCharting</t>
        </is>
      </c>
      <c r="M1166" s="4" t="inlineStr">
        <is>
          <t>https://www.pricecharting.com/game/pokemon-japanese-shiny-star-v/nessa-shiny-star-v-set</t>
        </is>
      </c>
    </row>
    <row r="1167">
      <c r="A1167" s="2" t="inlineStr">
        <is>
          <t>Japanese Snow Hazard Gym Box [Pokemon Center]</t>
        </is>
      </c>
      <c r="B1167" s="3">
        <f>IF(H1167&lt;&gt;"",H1167,IF(I1167&lt;&gt;"",I1167,IF(J1167&lt;&gt;"",J1167,K1167)))</f>
        <v>198.41</v>
      </c>
      <c r="C1167" s="3">
        <f>MEDIAN(H1167:K1167)</f>
        <v>198.41</v>
      </c>
      <c r="D1167" s="3">
        <f>ROUND(C1167*(1-Settings!$B$2),2)</f>
        <v>138.89</v>
      </c>
      <c r="E1167" s="2" t="inlineStr">
        <is>
          <t>Pokemon</t>
        </is>
      </c>
      <c r="F1167" s="2" t="inlineStr">
        <is>
          <t>Coffret</t>
        </is>
      </c>
      <c r="G1167" s="2" t="inlineStr">
        <is>
          <t>Japanese Snow Hazard</t>
        </is>
      </c>
      <c r="H1167" s="3" t="n">
        <v>198.41</v>
      </c>
      <c r="I1167" s="3" t="n"/>
      <c r="J1167" s="3" t="n"/>
      <c r="K1167" s="3" t="n"/>
      <c r="L1167" s="2" t="inlineStr">
        <is>
          <t>PriceCharting</t>
        </is>
      </c>
      <c r="M1167" s="4" t="inlineStr">
        <is>
          <t>https://www.pricecharting.com/game/pokemon-japanese-snow-hazard/gym-box-pokemon-center</t>
        </is>
      </c>
    </row>
    <row r="1168">
      <c r="A1168" s="2" t="inlineStr">
        <is>
          <t>Japanese Southern Islands Tropical Island Beach Box</t>
        </is>
      </c>
      <c r="B1168" s="3">
        <f>IF(H1168&lt;&gt;"",H1168,IF(I1168&lt;&gt;"",I1168,IF(J1168&lt;&gt;"",J1168,K1168)))</f>
        <v>277.78</v>
      </c>
      <c r="C1168" s="3">
        <f>MEDIAN(H1168:K1168)</f>
        <v>277.78</v>
      </c>
      <c r="D1168" s="3">
        <f>ROUND(C1168*(1-Settings!$B$2),2)</f>
        <v>194.45</v>
      </c>
      <c r="E1168" s="2" t="inlineStr">
        <is>
          <t>Pokemon</t>
        </is>
      </c>
      <c r="F1168" s="2" t="inlineStr">
        <is>
          <t>Coffret</t>
        </is>
      </c>
      <c r="G1168" s="2" t="inlineStr">
        <is>
          <t>Japanese Southern Islands</t>
        </is>
      </c>
      <c r="H1168" s="3" t="n">
        <v>277.78</v>
      </c>
      <c r="I1168" s="3" t="n"/>
      <c r="J1168" s="3" t="n"/>
      <c r="K1168" s="3" t="n"/>
      <c r="L1168" s="2" t="inlineStr">
        <is>
          <t>PriceCharting</t>
        </is>
      </c>
      <c r="M1168" s="4" t="inlineStr">
        <is>
          <t>https://www.pricecharting.com/game/pokemon-japanese-southern-islands/tropical-island-beach-box</t>
        </is>
      </c>
    </row>
    <row r="1169">
      <c r="A1169" s="2" t="inlineStr">
        <is>
          <t>Japanese Southern Islands Tropical Island Box</t>
        </is>
      </c>
      <c r="B1169" s="3">
        <f>IF(H1169&lt;&gt;"",H1169,IF(I1169&lt;&gt;"",I1169,IF(J1169&lt;&gt;"",J1169,K1169)))</f>
        <v>185.0</v>
      </c>
      <c r="C1169" s="3">
        <f>MEDIAN(H1169:K1169)</f>
        <v>185.0</v>
      </c>
      <c r="D1169" s="3">
        <f>ROUND(C1169*(1-Settings!$B$2),2)</f>
        <v>129.5</v>
      </c>
      <c r="E1169" s="2" t="inlineStr">
        <is>
          <t>Pokemon</t>
        </is>
      </c>
      <c r="F1169" s="2" t="inlineStr">
        <is>
          <t>Coffret</t>
        </is>
      </c>
      <c r="G1169" s="2" t="inlineStr">
        <is>
          <t>Japanese Southern Islands</t>
        </is>
      </c>
      <c r="H1169" s="3" t="n">
        <v>185</v>
      </c>
      <c r="I1169" s="3" t="n"/>
      <c r="J1169" s="3" t="n"/>
      <c r="K1169" s="3" t="n"/>
      <c r="L1169" s="2" t="inlineStr">
        <is>
          <t>PriceCharting</t>
        </is>
      </c>
      <c r="M1169" s="4" t="inlineStr">
        <is>
          <t>https://www.pricecharting.com/game/pokemon-japanese-southern-islands/tropical-island-box</t>
        </is>
      </c>
    </row>
    <row r="1170">
      <c r="A1170" s="2" t="inlineStr">
        <is>
          <t>Japanese Taruka Sealed Box</t>
        </is>
      </c>
      <c r="B1170" s="3">
        <f>IF(H1170&lt;&gt;"",H1170,IF(I1170&lt;&gt;"",I1170,IF(J1170&lt;&gt;"",J1170,K1170)))</f>
        <v>35.0</v>
      </c>
      <c r="C1170" s="3">
        <f>MEDIAN(H1170:K1170)</f>
        <v>35.0</v>
      </c>
      <c r="D1170" s="3">
        <f>ROUND(C1170*(1-Settings!$B$2),2)</f>
        <v>24.5</v>
      </c>
      <c r="E1170" s="2" t="inlineStr">
        <is>
          <t>Pokemon</t>
        </is>
      </c>
      <c r="F1170" s="2" t="inlineStr">
        <is>
          <t>Coffret</t>
        </is>
      </c>
      <c r="G1170" s="2" t="inlineStr">
        <is>
          <t>Japanese Taruka</t>
        </is>
      </c>
      <c r="H1170" s="3" t="n">
        <v>35</v>
      </c>
      <c r="I1170" s="3" t="n"/>
      <c r="J1170" s="3" t="n"/>
      <c r="K1170" s="3" t="n"/>
      <c r="L1170" s="2" t="inlineStr">
        <is>
          <t>PriceCharting</t>
        </is>
      </c>
      <c r="M1170" s="4" t="inlineStr">
        <is>
          <t>https://www.pricecharting.com/game/pokemon-japanese-taruka/sealed-box</t>
        </is>
      </c>
    </row>
    <row r="1171">
      <c r="A1171" s="2" t="inlineStr">
        <is>
          <t>Japanese Vstar Universe Diamond Clan Special Set</t>
        </is>
      </c>
      <c r="B1171" s="3">
        <f>IF(H1171&lt;&gt;"",H1171,IF(I1171&lt;&gt;"",I1171,IF(J1171&lt;&gt;"",J1171,K1171)))</f>
        <v>112.76</v>
      </c>
      <c r="C1171" s="3">
        <f>MEDIAN(H1171:K1171)</f>
        <v>112.76</v>
      </c>
      <c r="D1171" s="3">
        <f>ROUND(C1171*(1-Settings!$B$2),2)</f>
        <v>78.93</v>
      </c>
      <c r="E1171" s="2" t="inlineStr">
        <is>
          <t>Pokemon</t>
        </is>
      </c>
      <c r="F1171" s="2" t="inlineStr">
        <is>
          <t>Coffret</t>
        </is>
      </c>
      <c r="G1171" s="2" t="inlineStr">
        <is>
          <t>Japanese Vstar Universe</t>
        </is>
      </c>
      <c r="H1171" s="3" t="n">
        <v>112.76</v>
      </c>
      <c r="I1171" s="3" t="n"/>
      <c r="J1171" s="3" t="n"/>
      <c r="K1171" s="3" t="n"/>
      <c r="L1171" s="2" t="inlineStr">
        <is>
          <t>PriceCharting</t>
        </is>
      </c>
      <c r="M1171" s="4" t="inlineStr">
        <is>
          <t>https://www.pricecharting.com/game/pokemon-japanese-vstar-universe/diamond-clan-special-set</t>
        </is>
      </c>
    </row>
    <row r="1172">
      <c r="A1172" s="2" t="inlineStr">
        <is>
          <t>Japanese Vstar Universe Pearl Clan Special Set</t>
        </is>
      </c>
      <c r="B1172" s="3">
        <f>IF(H1172&lt;&gt;"",H1172,IF(I1172&lt;&gt;"",I1172,IF(J1172&lt;&gt;"",J1172,K1172)))</f>
        <v>97.23</v>
      </c>
      <c r="C1172" s="3">
        <f>MEDIAN(H1172:K1172)</f>
        <v>97.23</v>
      </c>
      <c r="D1172" s="3">
        <f>ROUND(C1172*(1-Settings!$B$2),2)</f>
        <v>68.06</v>
      </c>
      <c r="E1172" s="2" t="inlineStr">
        <is>
          <t>Pokemon</t>
        </is>
      </c>
      <c r="F1172" s="2" t="inlineStr">
        <is>
          <t>Coffret</t>
        </is>
      </c>
      <c r="G1172" s="2" t="inlineStr">
        <is>
          <t>Japanese Vstar Universe</t>
        </is>
      </c>
      <c r="H1172" s="3" t="n">
        <v>97.23</v>
      </c>
      <c r="I1172" s="3" t="n"/>
      <c r="J1172" s="3" t="n"/>
      <c r="K1172" s="3" t="n"/>
      <c r="L1172" s="2" t="inlineStr">
        <is>
          <t>PriceCharting</t>
        </is>
      </c>
      <c r="M1172" s="4" t="inlineStr">
        <is>
          <t>https://www.pricecharting.com/game/pokemon-japanese-vstar-universe/pearl-clan-special-set</t>
        </is>
      </c>
    </row>
    <row r="1173">
      <c r="A1173" s="2" t="inlineStr">
        <is>
          <t>Journey Together Elite Trainer Box [Pokemon Center]</t>
        </is>
      </c>
      <c r="B1173" s="3">
        <f>IF(H1173&lt;&gt;"",H1173,IF(I1173&lt;&gt;"",I1173,IF(J1173&lt;&gt;"",J1173,K1173)))</f>
        <v>198.74</v>
      </c>
      <c r="C1173" s="3">
        <f>MEDIAN(H1173:K1173)</f>
        <v>198.74</v>
      </c>
      <c r="D1173" s="3">
        <f>ROUND(C1173*(1-Settings!$B$2),2)</f>
        <v>139.12</v>
      </c>
      <c r="E1173" s="2" t="inlineStr">
        <is>
          <t>Pokemon</t>
        </is>
      </c>
      <c r="F1173" s="2" t="inlineStr">
        <is>
          <t>Coffret</t>
        </is>
      </c>
      <c r="G1173" s="2" t="inlineStr">
        <is>
          <t>Journey Together</t>
        </is>
      </c>
      <c r="H1173" s="3" t="n">
        <v>198.74</v>
      </c>
      <c r="I1173" s="3" t="n"/>
      <c r="J1173" s="3" t="n"/>
      <c r="K1173" s="3" t="n"/>
      <c r="L1173" s="2" t="inlineStr">
        <is>
          <t>PriceCharting</t>
        </is>
      </c>
      <c r="M1173" s="4" t="inlineStr">
        <is>
          <t>https://www.pricecharting.com/game/pokemon-journey-together/elite-trainer-box-pokemon-center</t>
        </is>
      </c>
    </row>
    <row r="1174">
      <c r="A1174" s="2" t="inlineStr">
        <is>
          <t>Journey Together Hops Zacian Ex Sealed Box</t>
        </is>
      </c>
      <c r="B1174" s="3">
        <f>IF(H1174&lt;&gt;"",H1174,IF(I1174&lt;&gt;"",I1174,IF(J1174&lt;&gt;"",J1174,K1174)))</f>
        <v>33.71</v>
      </c>
      <c r="C1174" s="3">
        <f>MEDIAN(H1174:K1174)</f>
        <v>33.71</v>
      </c>
      <c r="D1174" s="3">
        <f>ROUND(C1174*(1-Settings!$B$2),2)</f>
        <v>23.6</v>
      </c>
      <c r="E1174" s="2" t="inlineStr">
        <is>
          <t>Pokemon</t>
        </is>
      </c>
      <c r="F1174" s="2" t="inlineStr">
        <is>
          <t>Coffret</t>
        </is>
      </c>
      <c r="G1174" s="2" t="inlineStr">
        <is>
          <t>Journey Together</t>
        </is>
      </c>
      <c r="H1174" s="3" t="n">
        <v>33.71</v>
      </c>
      <c r="I1174" s="3" t="n"/>
      <c r="J1174" s="3" t="n"/>
      <c r="K1174" s="3" t="n"/>
      <c r="L1174" s="2" t="inlineStr">
        <is>
          <t>PriceCharting</t>
        </is>
      </c>
      <c r="M1174" s="4" t="inlineStr">
        <is>
          <t>https://www.pricecharting.com/game/pokemon-journey-together/hops-zacian-ex-sealed-box</t>
        </is>
      </c>
    </row>
    <row r="1175">
      <c r="A1175" s="2" t="inlineStr">
        <is>
          <t>Journey Together Mimikyu Ex &amp; Alcremie Ex Premium Collection</t>
        </is>
      </c>
      <c r="B1175" s="3">
        <f>IF(H1175&lt;&gt;"",H1175,IF(I1175&lt;&gt;"",I1175,IF(J1175&lt;&gt;"",J1175,K1175)))</f>
        <v>119.0</v>
      </c>
      <c r="C1175" s="3">
        <f>MEDIAN(H1175:K1175)</f>
        <v>119.0</v>
      </c>
      <c r="D1175" s="3">
        <f>ROUND(C1175*(1-Settings!$B$2),2)</f>
        <v>83.3</v>
      </c>
      <c r="E1175" s="2" t="inlineStr">
        <is>
          <t>Pokemon</t>
        </is>
      </c>
      <c r="F1175" s="2" t="inlineStr">
        <is>
          <t>Coffret</t>
        </is>
      </c>
      <c r="G1175" s="2" t="inlineStr">
        <is>
          <t>Journey Together</t>
        </is>
      </c>
      <c r="H1175" s="3" t="n">
        <v>119</v>
      </c>
      <c r="I1175" s="3" t="n"/>
      <c r="J1175" s="3" t="n"/>
      <c r="K1175" s="3" t="n"/>
      <c r="L1175" s="2" t="inlineStr">
        <is>
          <t>PriceCharting</t>
        </is>
      </c>
      <c r="M1175" s="4" t="inlineStr">
        <is>
          <t>https://www.pricecharting.com/game/pokemon-journey-together/mimikyu-ex-&amp;-alcremie-ex-premium-collection</t>
        </is>
      </c>
    </row>
    <row r="1176">
      <c r="A1176" s="2" t="inlineStr">
        <is>
          <t>Lost Origin 3-Pack Blister</t>
        </is>
      </c>
      <c r="B1176" s="3">
        <f>IF(H1176&lt;&gt;"",H1176,IF(I1176&lt;&gt;"",I1176,IF(J1176&lt;&gt;"",J1176,K1176)))</f>
        <v>58.63</v>
      </c>
      <c r="C1176" s="3">
        <f>MEDIAN(H1176:K1176)</f>
        <v>58.63</v>
      </c>
      <c r="D1176" s="3">
        <f>ROUND(C1176*(1-Settings!$B$2),2)</f>
        <v>41.04</v>
      </c>
      <c r="E1176" s="2" t="inlineStr">
        <is>
          <t>Pokemon</t>
        </is>
      </c>
      <c r="F1176" s="2" t="inlineStr">
        <is>
          <t>Coffret</t>
        </is>
      </c>
      <c r="G1176" s="2" t="inlineStr">
        <is>
          <t>Lost Origin</t>
        </is>
      </c>
      <c r="H1176" s="3" t="n">
        <v>58.63</v>
      </c>
      <c r="I1176" s="3" t="n"/>
      <c r="J1176" s="3" t="n"/>
      <c r="K1176" s="3" t="n"/>
      <c r="L1176" s="2" t="inlineStr">
        <is>
          <t>PriceCharting</t>
        </is>
      </c>
      <c r="M1176" s="4" t="inlineStr">
        <is>
          <t>https://www.pricecharting.com/game/pokemon-lost-origin/3-pack-blister</t>
        </is>
      </c>
    </row>
    <row r="1177">
      <c r="A1177" s="2" t="inlineStr">
        <is>
          <t>Lost Origin Booster Bundle</t>
        </is>
      </c>
      <c r="B1177" s="3">
        <f>IF(H1177&lt;&gt;"",H1177,IF(I1177&lt;&gt;"",I1177,IF(J1177&lt;&gt;"",J1177,K1177)))</f>
        <v>159.24</v>
      </c>
      <c r="C1177" s="3">
        <f>MEDIAN(H1177:K1177)</f>
        <v>159.24</v>
      </c>
      <c r="D1177" s="3">
        <f>ROUND(C1177*(1-Settings!$B$2),2)</f>
        <v>111.47</v>
      </c>
      <c r="E1177" s="2" t="inlineStr">
        <is>
          <t>Pokemon</t>
        </is>
      </c>
      <c r="F1177" s="2" t="inlineStr">
        <is>
          <t>Coffret</t>
        </is>
      </c>
      <c r="G1177" s="2" t="inlineStr">
        <is>
          <t>Lost Origin</t>
        </is>
      </c>
      <c r="H1177" s="3" t="n">
        <v>159.24</v>
      </c>
      <c r="I1177" s="3" t="n"/>
      <c r="J1177" s="3" t="n"/>
      <c r="K1177" s="3" t="n"/>
      <c r="L1177" s="2" t="inlineStr">
        <is>
          <t>PriceCharting</t>
        </is>
      </c>
      <c r="M1177" s="4" t="inlineStr">
        <is>
          <t>https://www.pricecharting.com/game/pokemon-lost-origin/booster-bundle</t>
        </is>
      </c>
    </row>
    <row r="1178">
      <c r="A1178" s="2" t="inlineStr">
        <is>
          <t>Lost Origin Darkness Stacking Tin</t>
        </is>
      </c>
      <c r="B1178" s="3">
        <f>IF(H1178&lt;&gt;"",H1178,IF(I1178&lt;&gt;"",I1178,IF(J1178&lt;&gt;"",J1178,K1178)))</f>
        <v>49.99</v>
      </c>
      <c r="C1178" s="3">
        <f>MEDIAN(H1178:K1178)</f>
        <v>49.99</v>
      </c>
      <c r="D1178" s="3">
        <f>ROUND(C1178*(1-Settings!$B$2),2)</f>
        <v>34.99</v>
      </c>
      <c r="E1178" s="2" t="inlineStr">
        <is>
          <t>Pokemon</t>
        </is>
      </c>
      <c r="F1178" s="2" t="inlineStr">
        <is>
          <t>Coffret</t>
        </is>
      </c>
      <c r="G1178" s="2" t="inlineStr">
        <is>
          <t>Lost Origin</t>
        </is>
      </c>
      <c r="H1178" s="3" t="n">
        <v>49.99</v>
      </c>
      <c r="I1178" s="3" t="n"/>
      <c r="J1178" s="3" t="n"/>
      <c r="K1178" s="3" t="n"/>
      <c r="L1178" s="2" t="inlineStr">
        <is>
          <t>PriceCharting</t>
        </is>
      </c>
      <c r="M1178" s="4" t="inlineStr">
        <is>
          <t>https://www.pricecharting.com/game/pokemon-lost-origin/darkness-stacking-tin</t>
        </is>
      </c>
    </row>
    <row r="1179">
      <c r="A1179" s="2" t="inlineStr">
        <is>
          <t>Lost Origin Eevee Evolutions Premium Collection Box</t>
        </is>
      </c>
      <c r="B1179" s="3">
        <f>IF(H1179&lt;&gt;"",H1179,IF(I1179&lt;&gt;"",I1179,IF(J1179&lt;&gt;"",J1179,K1179)))</f>
        <v>285.2</v>
      </c>
      <c r="C1179" s="3">
        <f>MEDIAN(H1179:K1179)</f>
        <v>285.2</v>
      </c>
      <c r="D1179" s="3">
        <f>ROUND(C1179*(1-Settings!$B$2),2)</f>
        <v>199.64</v>
      </c>
      <c r="E1179" s="2" t="inlineStr">
        <is>
          <t>Pokemon</t>
        </is>
      </c>
      <c r="F1179" s="2" t="inlineStr">
        <is>
          <t>Coffret</t>
        </is>
      </c>
      <c r="G1179" s="2" t="inlineStr">
        <is>
          <t>Lost Origin</t>
        </is>
      </c>
      <c r="H1179" s="3" t="n">
        <v>285.2</v>
      </c>
      <c r="I1179" s="3" t="n"/>
      <c r="J1179" s="3" t="n"/>
      <c r="K1179" s="3" t="n"/>
      <c r="L1179" s="2" t="inlineStr">
        <is>
          <t>PriceCharting</t>
        </is>
      </c>
      <c r="M1179" s="4" t="inlineStr">
        <is>
          <t>https://www.pricecharting.com/game/pokemon-lost-origin/eevee-evolutions-premium-collection-box</t>
        </is>
      </c>
    </row>
    <row r="1180">
      <c r="A1180" s="2" t="inlineStr">
        <is>
          <t>Lost Origin Elite Trainer Box [Pokemon Center]</t>
        </is>
      </c>
      <c r="B1180" s="3">
        <f>IF(H1180&lt;&gt;"",H1180,IF(I1180&lt;&gt;"",I1180,IF(J1180&lt;&gt;"",J1180,K1180)))</f>
        <v>375.0</v>
      </c>
      <c r="C1180" s="3">
        <f>MEDIAN(H1180:K1180)</f>
        <v>375.0</v>
      </c>
      <c r="D1180" s="3">
        <f>ROUND(C1180*(1-Settings!$B$2),2)</f>
        <v>262.5</v>
      </c>
      <c r="E1180" s="2" t="inlineStr">
        <is>
          <t>Pokemon</t>
        </is>
      </c>
      <c r="F1180" s="2" t="inlineStr">
        <is>
          <t>Coffret</t>
        </is>
      </c>
      <c r="G1180" s="2" t="inlineStr">
        <is>
          <t>Lost Origin</t>
        </is>
      </c>
      <c r="H1180" s="3" t="n">
        <v>375</v>
      </c>
      <c r="I1180" s="3" t="n"/>
      <c r="J1180" s="3" t="n"/>
      <c r="K1180" s="3" t="n"/>
      <c r="L1180" s="2" t="inlineStr">
        <is>
          <t>PriceCharting</t>
        </is>
      </c>
      <c r="M1180" s="4" t="inlineStr">
        <is>
          <t>https://www.pricecharting.com/game/pokemon-lost-origin/elite-trainer-box-pokemon-center</t>
        </is>
      </c>
    </row>
    <row r="1181">
      <c r="A1181" s="2" t="inlineStr">
        <is>
          <t>Lost Origin Fighting Stacking Tin</t>
        </is>
      </c>
      <c r="B1181" s="3">
        <f>IF(H1181&lt;&gt;"",H1181,IF(I1181&lt;&gt;"",I1181,IF(J1181&lt;&gt;"",J1181,K1181)))</f>
        <v>52.1</v>
      </c>
      <c r="C1181" s="3">
        <f>MEDIAN(H1181:K1181)</f>
        <v>52.1</v>
      </c>
      <c r="D1181" s="3">
        <f>ROUND(C1181*(1-Settings!$B$2),2)</f>
        <v>36.47</v>
      </c>
      <c r="E1181" s="2" t="inlineStr">
        <is>
          <t>Pokemon</t>
        </is>
      </c>
      <c r="F1181" s="2" t="inlineStr">
        <is>
          <t>Coffret</t>
        </is>
      </c>
      <c r="G1181" s="2" t="inlineStr">
        <is>
          <t>Lost Origin</t>
        </is>
      </c>
      <c r="H1181" s="3" t="n">
        <v>52.1</v>
      </c>
      <c r="I1181" s="3" t="n"/>
      <c r="J1181" s="3" t="n"/>
      <c r="K1181" s="3" t="n"/>
      <c r="L1181" s="2" t="inlineStr">
        <is>
          <t>PriceCharting</t>
        </is>
      </c>
      <c r="M1181" s="4" t="inlineStr">
        <is>
          <t>https://www.pricecharting.com/game/pokemon-lost-origin/fighting-stacking-tin</t>
        </is>
      </c>
    </row>
    <row r="1182">
      <c r="A1182" s="2" t="inlineStr">
        <is>
          <t>Lost Origin Fire Stacking Tin</t>
        </is>
      </c>
      <c r="B1182" s="3">
        <f>IF(H1182&lt;&gt;"",H1182,IF(I1182&lt;&gt;"",I1182,IF(J1182&lt;&gt;"",J1182,K1182)))</f>
        <v>49.9</v>
      </c>
      <c r="C1182" s="3">
        <f>MEDIAN(H1182:K1182)</f>
        <v>49.9</v>
      </c>
      <c r="D1182" s="3">
        <f>ROUND(C1182*(1-Settings!$B$2),2)</f>
        <v>34.93</v>
      </c>
      <c r="E1182" s="2" t="inlineStr">
        <is>
          <t>Pokemon</t>
        </is>
      </c>
      <c r="F1182" s="2" t="inlineStr">
        <is>
          <t>Coffret</t>
        </is>
      </c>
      <c r="G1182" s="2" t="inlineStr">
        <is>
          <t>Lost Origin</t>
        </is>
      </c>
      <c r="H1182" s="3" t="n">
        <v>49.9</v>
      </c>
      <c r="I1182" s="3" t="n"/>
      <c r="J1182" s="3" t="n"/>
      <c r="K1182" s="3" t="n"/>
      <c r="L1182" s="2" t="inlineStr">
        <is>
          <t>PriceCharting</t>
        </is>
      </c>
      <c r="M1182" s="4" t="inlineStr">
        <is>
          <t>https://www.pricecharting.com/game/pokemon-lost-origin/fire-stacking-tin</t>
        </is>
      </c>
    </row>
    <row r="1183">
      <c r="A1183" s="2" t="inlineStr">
        <is>
          <t>Lost Origin Infernape V Collection Box</t>
        </is>
      </c>
      <c r="B1183" s="3">
        <f>IF(H1183&lt;&gt;"",H1183,IF(I1183&lt;&gt;"",I1183,IF(J1183&lt;&gt;"",J1183,K1183)))</f>
        <v>69.52</v>
      </c>
      <c r="C1183" s="3">
        <f>MEDIAN(H1183:K1183)</f>
        <v>69.52</v>
      </c>
      <c r="D1183" s="3">
        <f>ROUND(C1183*(1-Settings!$B$2),2)</f>
        <v>48.66</v>
      </c>
      <c r="E1183" s="2" t="inlineStr">
        <is>
          <t>Pokemon</t>
        </is>
      </c>
      <c r="F1183" s="2" t="inlineStr">
        <is>
          <t>Coffret</t>
        </is>
      </c>
      <c r="G1183" s="2" t="inlineStr">
        <is>
          <t>Lost Origin</t>
        </is>
      </c>
      <c r="H1183" s="3" t="n">
        <v>69.52</v>
      </c>
      <c r="I1183" s="3" t="n"/>
      <c r="J1183" s="3" t="n"/>
      <c r="K1183" s="3" t="n"/>
      <c r="L1183" s="2" t="inlineStr">
        <is>
          <t>PriceCharting</t>
        </is>
      </c>
      <c r="M1183" s="4" t="inlineStr">
        <is>
          <t>https://www.pricecharting.com/game/pokemon-lost-origin/infernape-v-collection-box</t>
        </is>
      </c>
    </row>
    <row r="1184">
      <c r="A1184" s="2" t="inlineStr">
        <is>
          <t>Lost Origin Weavile 3-Pack Blister</t>
        </is>
      </c>
      <c r="B1184" s="3">
        <f>IF(H1184&lt;&gt;"",H1184,IF(I1184&lt;&gt;"",I1184,IF(J1184&lt;&gt;"",J1184,K1184)))</f>
        <v>64.99</v>
      </c>
      <c r="C1184" s="3">
        <f>MEDIAN(H1184:K1184)</f>
        <v>64.99</v>
      </c>
      <c r="D1184" s="3">
        <f>ROUND(C1184*(1-Settings!$B$2),2)</f>
        <v>45.49</v>
      </c>
      <c r="E1184" s="2" t="inlineStr">
        <is>
          <t>Pokemon</t>
        </is>
      </c>
      <c r="F1184" s="2" t="inlineStr">
        <is>
          <t>Coffret</t>
        </is>
      </c>
      <c r="G1184" s="2" t="inlineStr">
        <is>
          <t>Lost Origin</t>
        </is>
      </c>
      <c r="H1184" s="3" t="n">
        <v>64.98999999999999</v>
      </c>
      <c r="I1184" s="3" t="n"/>
      <c r="J1184" s="3" t="n"/>
      <c r="K1184" s="3" t="n"/>
      <c r="L1184" s="2" t="inlineStr">
        <is>
          <t>PriceCharting</t>
        </is>
      </c>
      <c r="M1184" s="4" t="inlineStr">
        <is>
          <t>https://www.pricecharting.com/game/pokemon-lost-origin/weavile-3-pack-blister</t>
        </is>
      </c>
    </row>
    <row r="1185">
      <c r="A1185" s="2" t="inlineStr">
        <is>
          <t>Lost Thunder Alolan Exeggutor 3-Pack Blister</t>
        </is>
      </c>
      <c r="B1185" s="3">
        <f>IF(H1185&lt;&gt;"",H1185,IF(I1185&lt;&gt;"",I1185,IF(J1185&lt;&gt;"",J1185,K1185)))</f>
        <v>130.82</v>
      </c>
      <c r="C1185" s="3">
        <f>MEDIAN(H1185:K1185)</f>
        <v>130.82</v>
      </c>
      <c r="D1185" s="3">
        <f>ROUND(C1185*(1-Settings!$B$2),2)</f>
        <v>91.57</v>
      </c>
      <c r="E1185" s="2" t="inlineStr">
        <is>
          <t>Pokemon</t>
        </is>
      </c>
      <c r="F1185" s="2" t="inlineStr">
        <is>
          <t>Coffret</t>
        </is>
      </c>
      <c r="G1185" s="2" t="inlineStr">
        <is>
          <t>Lost Thunder</t>
        </is>
      </c>
      <c r="H1185" s="3" t="n">
        <v>130.82</v>
      </c>
      <c r="I1185" s="3" t="n"/>
      <c r="J1185" s="3" t="n"/>
      <c r="K1185" s="3" t="n"/>
      <c r="L1185" s="2" t="inlineStr">
        <is>
          <t>PriceCharting</t>
        </is>
      </c>
      <c r="M1185" s="4" t="inlineStr">
        <is>
          <t>https://www.pricecharting.com/game/pokemon-lost-thunder/alolan-exeggutor-3-pack-blister</t>
        </is>
      </c>
    </row>
    <row r="1186">
      <c r="A1186" s="2" t="inlineStr">
        <is>
          <t>Lost Thunder Altaria 3-Pack Blister</t>
        </is>
      </c>
      <c r="B1186" s="3">
        <f>IF(H1186&lt;&gt;"",H1186,IF(I1186&lt;&gt;"",I1186,IF(J1186&lt;&gt;"",J1186,K1186)))</f>
        <v>151.05</v>
      </c>
      <c r="C1186" s="3">
        <f>MEDIAN(H1186:K1186)</f>
        <v>151.05</v>
      </c>
      <c r="D1186" s="3">
        <f>ROUND(C1186*(1-Settings!$B$2),2)</f>
        <v>105.74</v>
      </c>
      <c r="E1186" s="2" t="inlineStr">
        <is>
          <t>Pokemon</t>
        </is>
      </c>
      <c r="F1186" s="2" t="inlineStr">
        <is>
          <t>Coffret</t>
        </is>
      </c>
      <c r="G1186" s="2" t="inlineStr">
        <is>
          <t>Lost Thunder</t>
        </is>
      </c>
      <c r="H1186" s="3" t="n">
        <v>151.05</v>
      </c>
      <c r="I1186" s="3" t="n"/>
      <c r="J1186" s="3" t="n"/>
      <c r="K1186" s="3" t="n"/>
      <c r="L1186" s="2" t="inlineStr">
        <is>
          <t>PriceCharting</t>
        </is>
      </c>
      <c r="M1186" s="4" t="inlineStr">
        <is>
          <t>https://www.pricecharting.com/game/pokemon-lost-thunder/altaria-3-pack-blister</t>
        </is>
      </c>
    </row>
    <row r="1187">
      <c r="A1187" s="2" t="inlineStr">
        <is>
          <t>Premium Trainer Box MEGA Brave &amp; Symphonia</t>
        </is>
      </c>
      <c r="B1187" s="3">
        <f>IF(H1187&lt;&gt;"",H1187,IF(I1187&lt;&gt;"",I1187,IF(J1187&lt;&gt;"",J1187,K1187)))</f>
        <v>95.01</v>
      </c>
      <c r="C1187" s="3">
        <f>MEDIAN(H1187:K1187)</f>
        <v>95.95500000000001</v>
      </c>
      <c r="D1187" s="3">
        <f>ROUND(C1187*(1-Settings!$B$2),2)</f>
        <v>67.17</v>
      </c>
      <c r="E1187" s="2" t="inlineStr">
        <is>
          <t>Pokemon</t>
        </is>
      </c>
      <c r="F1187" s="2" t="inlineStr">
        <is>
          <t>Coffret</t>
        </is>
      </c>
      <c r="G1187" s="2" t="inlineStr">
        <is>
          <t>m1L: Mega Brave</t>
        </is>
      </c>
      <c r="H1187" s="3" t="n"/>
      <c r="I1187" s="3" t="n">
        <v>95.01000000000001</v>
      </c>
      <c r="J1187" s="3" t="n"/>
      <c r="K1187" s="3" t="n">
        <v>96.90000000000001</v>
      </c>
      <c r="L1187" s="2" t="inlineStr">
        <is>
          <t>TCGplayer</t>
        </is>
      </c>
      <c r="N1187" s="4" t="inlineStr">
        <is>
          <t>https://www.tcgplayer.com/product/648589</t>
        </is>
      </c>
    </row>
    <row r="1188">
      <c r="A1188" s="2" t="inlineStr">
        <is>
          <t>Mega Special Card Set: Mega Gallade ex</t>
        </is>
      </c>
      <c r="B1188" s="3">
        <f>IF(H1188&lt;&gt;"",H1188,IF(I1188&lt;&gt;"",I1188,IF(J1188&lt;&gt;"",J1188,K1188)))</f>
        <v>49.01</v>
      </c>
      <c r="C1188" s="3">
        <f>MEDIAN(H1188:K1188)</f>
        <v>42.004999999999995</v>
      </c>
      <c r="D1188" s="3">
        <f>ROUND(C1188*(1-Settings!$B$2),2)</f>
        <v>29.4</v>
      </c>
      <c r="E1188" s="2" t="inlineStr">
        <is>
          <t>Pokemon</t>
        </is>
      </c>
      <c r="F1188" s="2" t="inlineStr">
        <is>
          <t>Coffret</t>
        </is>
      </c>
      <c r="G1188" s="2" t="inlineStr">
        <is>
          <t>M3: Nihil Zero</t>
        </is>
      </c>
      <c r="H1188" s="3" t="n"/>
      <c r="I1188" s="3" t="n">
        <v>49.01</v>
      </c>
      <c r="J1188" s="3" t="n"/>
      <c r="K1188" s="3" t="n">
        <v>35</v>
      </c>
      <c r="L1188" s="2" t="inlineStr">
        <is>
          <t>TCGplayer</t>
        </is>
      </c>
      <c r="N1188" s="4" t="inlineStr">
        <is>
          <t>https://www.tcgplayer.com/product/674457</t>
        </is>
      </c>
    </row>
    <row r="1189">
      <c r="A1189" s="2" t="inlineStr">
        <is>
          <t>30th CELEBRATION FUTURISTIC BOX</t>
        </is>
      </c>
      <c r="B1189" s="3">
        <f>IF(H1189&lt;&gt;"",H1189,IF(I1189&lt;&gt;"",I1189,IF(J1189&lt;&gt;"",J1189,K1189)))</f>
        <v>557.52</v>
      </c>
      <c r="C1189" s="3">
        <f>MEDIAN(H1189:K1189)</f>
        <v>353.76</v>
      </c>
      <c r="D1189" s="3">
        <f>ROUND(C1189*(1-Settings!$B$2),2)</f>
        <v>247.63</v>
      </c>
      <c r="E1189" s="2" t="inlineStr">
        <is>
          <t>Pokemon</t>
        </is>
      </c>
      <c r="F1189" s="2" t="inlineStr">
        <is>
          <t>Coffret</t>
        </is>
      </c>
      <c r="G1189" s="2" t="inlineStr">
        <is>
          <t>M6a: MEGA Expansion 30th Celebration</t>
        </is>
      </c>
      <c r="H1189" s="3" t="n"/>
      <c r="I1189" s="3" t="n">
        <v>557.52</v>
      </c>
      <c r="J1189" s="3" t="n"/>
      <c r="K1189" s="3" t="n">
        <v>150</v>
      </c>
      <c r="L1189" s="2" t="inlineStr">
        <is>
          <t>TCGplayer</t>
        </is>
      </c>
      <c r="N1189" s="4" t="inlineStr">
        <is>
          <t>https://www.tcgplayer.com/product/696837</t>
        </is>
      </c>
    </row>
    <row r="1190">
      <c r="A1190" s="2" t="inlineStr">
        <is>
          <t>Mega Evolution Booster Bundle</t>
        </is>
      </c>
      <c r="B1190" s="3">
        <f>IF(H1190&lt;&gt;"",H1190,IF(I1190&lt;&gt;"",I1190,IF(J1190&lt;&gt;"",J1190,K1190)))</f>
        <v>63.62</v>
      </c>
      <c r="C1190" s="3">
        <f>MEDIAN(H1190:K1190)</f>
        <v>63.62</v>
      </c>
      <c r="D1190" s="3">
        <f>ROUND(C1190*(1-Settings!$B$2),2)</f>
        <v>44.53</v>
      </c>
      <c r="E1190" s="2" t="inlineStr">
        <is>
          <t>Pokemon</t>
        </is>
      </c>
      <c r="F1190" s="2" t="inlineStr">
        <is>
          <t>Coffret</t>
        </is>
      </c>
      <c r="G1190" s="2" t="inlineStr">
        <is>
          <t>ME01: Mega Evolution</t>
        </is>
      </c>
      <c r="H1190" s="3" t="n"/>
      <c r="I1190" s="3" t="n">
        <v>63.62</v>
      </c>
      <c r="J1190" s="3" t="n">
        <v>69.89</v>
      </c>
      <c r="K1190" s="3" t="n">
        <v>45</v>
      </c>
      <c r="L1190" s="2" t="inlineStr">
        <is>
          <t>TCGplayer</t>
        </is>
      </c>
      <c r="N1190" s="4" t="inlineStr">
        <is>
          <t>https://www.tcgplayer.com/product/644362</t>
        </is>
      </c>
    </row>
    <row r="1191">
      <c r="A1191" s="2" t="inlineStr">
        <is>
          <t>Mega Evolution Booster Pack Art Bundle [Set of 4]</t>
        </is>
      </c>
      <c r="B1191" s="3">
        <f>IF(H1191&lt;&gt;"",H1191,IF(I1191&lt;&gt;"",I1191,IF(J1191&lt;&gt;"",J1191,K1191)))</f>
        <v>34.59</v>
      </c>
      <c r="C1191" s="3">
        <f>MEDIAN(H1191:K1191)</f>
        <v>34.59</v>
      </c>
      <c r="D1191" s="3">
        <f>ROUND(C1191*(1-Settings!$B$2),2)</f>
        <v>24.21</v>
      </c>
      <c r="E1191" s="2" t="inlineStr">
        <is>
          <t>Pokemon</t>
        </is>
      </c>
      <c r="F1191" s="2" t="inlineStr">
        <is>
          <t>Coffret</t>
        </is>
      </c>
      <c r="G1191" s="2" t="inlineStr">
        <is>
          <t>ME01: Mega Evolution</t>
        </is>
      </c>
      <c r="H1191" s="3" t="n"/>
      <c r="I1191" s="3" t="n">
        <v>34.59</v>
      </c>
      <c r="J1191" s="3" t="n">
        <v>36.49</v>
      </c>
      <c r="K1191" s="3" t="n">
        <v>33.88</v>
      </c>
      <c r="L1191" s="2" t="inlineStr">
        <is>
          <t>TCGplayer</t>
        </is>
      </c>
      <c r="N1191" s="4" t="inlineStr">
        <is>
          <t>https://www.tcgplayer.com/product/657875</t>
        </is>
      </c>
    </row>
    <row r="1192">
      <c r="A1192" s="2" t="inlineStr">
        <is>
          <t>Mega Evolution Build &amp; Battle Box</t>
        </is>
      </c>
      <c r="B1192" s="3">
        <f>IF(H1192&lt;&gt;"",H1192,IF(I1192&lt;&gt;"",I1192,IF(J1192&lt;&gt;"",J1192,K1192)))</f>
        <v>61.13</v>
      </c>
      <c r="C1192" s="3">
        <f>MEDIAN(H1192:K1192)</f>
        <v>63.99</v>
      </c>
      <c r="D1192" s="3">
        <f>ROUND(C1192*(1-Settings!$B$2),2)</f>
        <v>44.79</v>
      </c>
      <c r="E1192" s="2" t="inlineStr">
        <is>
          <t>Pokemon</t>
        </is>
      </c>
      <c r="F1192" s="2" t="inlineStr">
        <is>
          <t>Coffret</t>
        </is>
      </c>
      <c r="G1192" s="2" t="inlineStr">
        <is>
          <t>ME01: Mega Evolution</t>
        </is>
      </c>
      <c r="H1192" s="3" t="n"/>
      <c r="I1192" s="3" t="n">
        <v>61.13</v>
      </c>
      <c r="J1192" s="3" t="n">
        <v>68.2</v>
      </c>
      <c r="K1192" s="3" t="n">
        <v>63.99</v>
      </c>
      <c r="L1192" s="2" t="inlineStr">
        <is>
          <t>TCGplayer</t>
        </is>
      </c>
      <c r="N1192" s="4" t="inlineStr">
        <is>
          <t>https://www.tcgplayer.com/product/644363</t>
        </is>
      </c>
    </row>
    <row r="1193">
      <c r="A1193" s="2" t="inlineStr">
        <is>
          <t>Mega Evolution Elite Trainer Box [Mega Gardevoir]</t>
        </is>
      </c>
      <c r="B1193" s="3">
        <f>IF(H1193&lt;&gt;"",H1193,IF(I1193&lt;&gt;"",I1193,IF(J1193&lt;&gt;"",J1193,K1193)))</f>
        <v>122.49</v>
      </c>
      <c r="C1193" s="3">
        <f>MEDIAN(H1193:K1193)</f>
        <v>122.49</v>
      </c>
      <c r="D1193" s="3">
        <f>ROUND(C1193*(1-Settings!$B$2),2)</f>
        <v>85.74</v>
      </c>
      <c r="E1193" s="2" t="inlineStr">
        <is>
          <t>Pokemon</t>
        </is>
      </c>
      <c r="F1193" s="2" t="inlineStr">
        <is>
          <t>Coffret</t>
        </is>
      </c>
      <c r="G1193" s="2" t="inlineStr">
        <is>
          <t>ME01: Mega Evolution</t>
        </is>
      </c>
      <c r="H1193" s="3" t="n"/>
      <c r="I1193" s="3" t="n">
        <v>122.49</v>
      </c>
      <c r="J1193" s="3" t="n">
        <v>127.72</v>
      </c>
      <c r="K1193" s="3" t="n">
        <v>69.98999999999999</v>
      </c>
      <c r="L1193" s="2" t="inlineStr">
        <is>
          <t>TCGplayer</t>
        </is>
      </c>
      <c r="N1193" s="4" t="inlineStr">
        <is>
          <t>https://www.tcgplayer.com/product/644279</t>
        </is>
      </c>
    </row>
    <row r="1194">
      <c r="A1194" s="2" t="inlineStr">
        <is>
          <t>Mega Evolution Elite Trainer Box [Mega Lucario]</t>
        </is>
      </c>
      <c r="B1194" s="3">
        <f>IF(H1194&lt;&gt;"",H1194,IF(I1194&lt;&gt;"",I1194,IF(J1194&lt;&gt;"",J1194,K1194)))</f>
        <v>126.78</v>
      </c>
      <c r="C1194" s="3">
        <f>MEDIAN(H1194:K1194)</f>
        <v>126.78</v>
      </c>
      <c r="D1194" s="3">
        <f>ROUND(C1194*(1-Settings!$B$2),2)</f>
        <v>88.75</v>
      </c>
      <c r="E1194" s="2" t="inlineStr">
        <is>
          <t>Pokemon</t>
        </is>
      </c>
      <c r="F1194" s="2" t="inlineStr">
        <is>
          <t>Coffret</t>
        </is>
      </c>
      <c r="G1194" s="2" t="inlineStr">
        <is>
          <t>ME01: Mega Evolution</t>
        </is>
      </c>
      <c r="H1194" s="3" t="n"/>
      <c r="I1194" s="3" t="n">
        <v>126.78</v>
      </c>
      <c r="J1194" s="3" t="n">
        <v>149.99</v>
      </c>
      <c r="K1194" s="3" t="n">
        <v>68.98999999999999</v>
      </c>
      <c r="L1194" s="2" t="inlineStr">
        <is>
          <t>TCGplayer</t>
        </is>
      </c>
      <c r="N1194" s="4" t="inlineStr">
        <is>
          <t>https://www.tcgplayer.com/product/648394</t>
        </is>
      </c>
    </row>
    <row r="1195">
      <c r="A1195" s="2" t="inlineStr">
        <is>
          <t>Mega Evolution Pokemon Center Elite Trainer Box (Exclusive) [Mega Gardevoir]</t>
        </is>
      </c>
      <c r="B1195" s="3">
        <f>IF(H1195&lt;&gt;"",H1195,IF(I1195&lt;&gt;"",I1195,IF(J1195&lt;&gt;"",J1195,K1195)))</f>
        <v>192.35</v>
      </c>
      <c r="C1195" s="3">
        <f>MEDIAN(H1195:K1195)</f>
        <v>193.0</v>
      </c>
      <c r="D1195" s="3">
        <f>ROUND(C1195*(1-Settings!$B$2),2)</f>
        <v>135.1</v>
      </c>
      <c r="E1195" s="2" t="inlineStr">
        <is>
          <t>Pokemon</t>
        </is>
      </c>
      <c r="F1195" s="2" t="inlineStr">
        <is>
          <t>Coffret</t>
        </is>
      </c>
      <c r="G1195" s="2" t="inlineStr">
        <is>
          <t>ME01: Mega Evolution</t>
        </is>
      </c>
      <c r="H1195" s="3" t="n"/>
      <c r="I1195" s="3" t="n">
        <v>192.35</v>
      </c>
      <c r="J1195" s="3" t="n">
        <v>230</v>
      </c>
      <c r="K1195" s="3" t="n">
        <v>193</v>
      </c>
      <c r="L1195" s="2" t="inlineStr">
        <is>
          <t>TCGplayer</t>
        </is>
      </c>
      <c r="N1195" s="4" t="inlineStr">
        <is>
          <t>https://www.tcgplayer.com/product/648415</t>
        </is>
      </c>
    </row>
    <row r="1196">
      <c r="A1196" s="2" t="inlineStr">
        <is>
          <t>Mega Evolution Pokemon Center Elite Trainer Box (Exclusive) [Mega Lucario]</t>
        </is>
      </c>
      <c r="B1196" s="3">
        <f>IF(H1196&lt;&gt;"",H1196,IF(I1196&lt;&gt;"",I1196,IF(J1196&lt;&gt;"",J1196,K1196)))</f>
        <v>197.47</v>
      </c>
      <c r="C1196" s="3">
        <f>MEDIAN(H1196:K1196)</f>
        <v>200.0</v>
      </c>
      <c r="D1196" s="3">
        <f>ROUND(C1196*(1-Settings!$B$2),2)</f>
        <v>140.0</v>
      </c>
      <c r="E1196" s="2" t="inlineStr">
        <is>
          <t>Pokemon</t>
        </is>
      </c>
      <c r="F1196" s="2" t="inlineStr">
        <is>
          <t>Coffret</t>
        </is>
      </c>
      <c r="G1196" s="2" t="inlineStr">
        <is>
          <t>ME01: Mega Evolution</t>
        </is>
      </c>
      <c r="H1196" s="3" t="n"/>
      <c r="I1196" s="3" t="n">
        <v>197.47</v>
      </c>
      <c r="J1196" s="3" t="n">
        <v>260</v>
      </c>
      <c r="K1196" s="3" t="n">
        <v>200</v>
      </c>
      <c r="L1196" s="2" t="inlineStr">
        <is>
          <t>TCGplayer</t>
        </is>
      </c>
      <c r="N1196" s="4" t="inlineStr">
        <is>
          <t>https://www.tcgplayer.com/product/644282</t>
        </is>
      </c>
    </row>
    <row r="1197">
      <c r="A1197" s="2" t="inlineStr">
        <is>
          <t>Mega Evolution Sleeved Booster Pack Art Bundle [Set of 4]</t>
        </is>
      </c>
      <c r="B1197" s="3">
        <f>IF(H1197&lt;&gt;"",H1197,IF(I1197&lt;&gt;"",I1197,IF(J1197&lt;&gt;"",J1197,K1197)))</f>
        <v>45.11</v>
      </c>
      <c r="C1197" s="3">
        <f>MEDIAN(H1197:K1197)</f>
        <v>45.11</v>
      </c>
      <c r="D1197" s="3">
        <f>ROUND(C1197*(1-Settings!$B$2),2)</f>
        <v>31.58</v>
      </c>
      <c r="E1197" s="2" t="inlineStr">
        <is>
          <t>Pokemon</t>
        </is>
      </c>
      <c r="F1197" s="2" t="inlineStr">
        <is>
          <t>Coffret</t>
        </is>
      </c>
      <c r="G1197" s="2" t="inlineStr">
        <is>
          <t>ME01: Mega Evolution</t>
        </is>
      </c>
      <c r="H1197" s="3" t="n"/>
      <c r="I1197" s="3" t="n">
        <v>45.11</v>
      </c>
      <c r="J1197" s="3" t="n">
        <v>49.9</v>
      </c>
      <c r="K1197" s="3" t="n">
        <v>39.99</v>
      </c>
      <c r="L1197" s="2" t="inlineStr">
        <is>
          <t>TCGplayer</t>
        </is>
      </c>
      <c r="N1197" s="4" t="inlineStr">
        <is>
          <t>https://www.tcgplayer.com/product/644355</t>
        </is>
      </c>
    </row>
    <row r="1198">
      <c r="A1198" s="2" t="inlineStr">
        <is>
          <t>Mega Heroes Mini Tin [Mega Gardevoir]</t>
        </is>
      </c>
      <c r="B1198" s="3">
        <f>IF(H1198&lt;&gt;"",H1198,IF(I1198&lt;&gt;"",I1198,IF(J1198&lt;&gt;"",J1198,K1198)))</f>
        <v>19.61</v>
      </c>
      <c r="C1198" s="3">
        <f>MEDIAN(H1198:K1198)</f>
        <v>19.61</v>
      </c>
      <c r="D1198" s="3">
        <f>ROUND(C1198*(1-Settings!$B$2),2)</f>
        <v>13.73</v>
      </c>
      <c r="E1198" s="2" t="inlineStr">
        <is>
          <t>Pokemon</t>
        </is>
      </c>
      <c r="F1198" s="2" t="inlineStr">
        <is>
          <t>Coffret</t>
        </is>
      </c>
      <c r="G1198" s="2" t="inlineStr">
        <is>
          <t>ME01: Mega Evolution</t>
        </is>
      </c>
      <c r="H1198" s="3" t="n"/>
      <c r="I1198" s="3" t="n">
        <v>19.61</v>
      </c>
      <c r="J1198" s="3" t="n">
        <v>22.5</v>
      </c>
      <c r="K1198" s="3" t="n">
        <v>19.27</v>
      </c>
      <c r="L1198" s="2" t="inlineStr">
        <is>
          <t>TCGplayer</t>
        </is>
      </c>
      <c r="N1198" s="4" t="inlineStr">
        <is>
          <t>https://www.tcgplayer.com/product/649394</t>
        </is>
      </c>
    </row>
    <row r="1199">
      <c r="A1199" s="2" t="inlineStr">
        <is>
          <t>Mega Heroes Mini Tin [Mega Kangaskhan]</t>
        </is>
      </c>
      <c r="B1199" s="3">
        <f>IF(H1199&lt;&gt;"",H1199,IF(I1199&lt;&gt;"",I1199,IF(J1199&lt;&gt;"",J1199,K1199)))</f>
        <v>20.57</v>
      </c>
      <c r="C1199" s="3">
        <f>MEDIAN(H1199:K1199)</f>
        <v>20.57</v>
      </c>
      <c r="D1199" s="3">
        <f>ROUND(C1199*(1-Settings!$B$2),2)</f>
        <v>14.4</v>
      </c>
      <c r="E1199" s="2" t="inlineStr">
        <is>
          <t>Pokemon</t>
        </is>
      </c>
      <c r="F1199" s="2" t="inlineStr">
        <is>
          <t>Coffret</t>
        </is>
      </c>
      <c r="G1199" s="2" t="inlineStr">
        <is>
          <t>ME01: Mega Evolution</t>
        </is>
      </c>
      <c r="H1199" s="3" t="n"/>
      <c r="I1199" s="3" t="n">
        <v>20.57</v>
      </c>
      <c r="J1199" s="3" t="n">
        <v>23</v>
      </c>
      <c r="K1199" s="3" t="n">
        <v>5</v>
      </c>
      <c r="L1199" s="2" t="inlineStr">
        <is>
          <t>TCGplayer</t>
        </is>
      </c>
      <c r="N1199" s="4" t="inlineStr">
        <is>
          <t>https://www.tcgplayer.com/product/649395</t>
        </is>
      </c>
    </row>
    <row r="1200">
      <c r="A1200" s="2" t="inlineStr">
        <is>
          <t>Mega Heroes Mini Tin [Mega Latias]</t>
        </is>
      </c>
      <c r="B1200" s="3">
        <f>IF(H1200&lt;&gt;"",H1200,IF(I1200&lt;&gt;"",I1200,IF(J1200&lt;&gt;"",J1200,K1200)))</f>
        <v>22.11</v>
      </c>
      <c r="C1200" s="3">
        <f>MEDIAN(H1200:K1200)</f>
        <v>23.0</v>
      </c>
      <c r="D1200" s="3">
        <f>ROUND(C1200*(1-Settings!$B$2),2)</f>
        <v>16.1</v>
      </c>
      <c r="E1200" s="2" t="inlineStr">
        <is>
          <t>Pokemon</t>
        </is>
      </c>
      <c r="F1200" s="2" t="inlineStr">
        <is>
          <t>Coffret</t>
        </is>
      </c>
      <c r="G1200" s="2" t="inlineStr">
        <is>
          <t>ME01: Mega Evolution</t>
        </is>
      </c>
      <c r="H1200" s="3" t="n"/>
      <c r="I1200" s="3" t="n">
        <v>22.11</v>
      </c>
      <c r="J1200" s="3" t="n">
        <v>25.5</v>
      </c>
      <c r="K1200" s="3" t="n">
        <v>23</v>
      </c>
      <c r="L1200" s="2" t="inlineStr">
        <is>
          <t>TCGplayer</t>
        </is>
      </c>
      <c r="N1200" s="4" t="inlineStr">
        <is>
          <t>https://www.tcgplayer.com/product/649397</t>
        </is>
      </c>
    </row>
    <row r="1201">
      <c r="A1201" s="2" t="inlineStr">
        <is>
          <t>Mega Heroes Mini Tin [Mega Lucario]</t>
        </is>
      </c>
      <c r="B1201" s="3">
        <f>IF(H1201&lt;&gt;"",H1201,IF(I1201&lt;&gt;"",I1201,IF(J1201&lt;&gt;"",J1201,K1201)))</f>
        <v>22.32</v>
      </c>
      <c r="C1201" s="3">
        <f>MEDIAN(H1201:K1201)</f>
        <v>22.32</v>
      </c>
      <c r="D1201" s="3">
        <f>ROUND(C1201*(1-Settings!$B$2),2)</f>
        <v>15.62</v>
      </c>
      <c r="E1201" s="2" t="inlineStr">
        <is>
          <t>Pokemon</t>
        </is>
      </c>
      <c r="F1201" s="2" t="inlineStr">
        <is>
          <t>Coffret</t>
        </is>
      </c>
      <c r="G1201" s="2" t="inlineStr">
        <is>
          <t>ME01: Mega Evolution</t>
        </is>
      </c>
      <c r="H1201" s="3" t="n"/>
      <c r="I1201" s="3" t="n">
        <v>22.32</v>
      </c>
      <c r="J1201" s="3" t="n">
        <v>25</v>
      </c>
      <c r="K1201" s="3" t="n">
        <v>19.03</v>
      </c>
      <c r="L1201" s="2" t="inlineStr">
        <is>
          <t>TCGplayer</t>
        </is>
      </c>
      <c r="N1201" s="4" t="inlineStr">
        <is>
          <t>https://www.tcgplayer.com/product/649400</t>
        </is>
      </c>
    </row>
    <row r="1202">
      <c r="A1202" s="2" t="inlineStr">
        <is>
          <t>Mega Heroes Mini Tin [Mega Venusaur]</t>
        </is>
      </c>
      <c r="B1202" s="3">
        <f>IF(H1202&lt;&gt;"",H1202,IF(I1202&lt;&gt;"",I1202,IF(J1202&lt;&gt;"",J1202,K1202)))</f>
        <v>20.85</v>
      </c>
      <c r="C1202" s="3">
        <f>MEDIAN(H1202:K1202)</f>
        <v>20.85</v>
      </c>
      <c r="D1202" s="3">
        <f>ROUND(C1202*(1-Settings!$B$2),2)</f>
        <v>14.6</v>
      </c>
      <c r="E1202" s="2" t="inlineStr">
        <is>
          <t>Pokemon</t>
        </is>
      </c>
      <c r="F1202" s="2" t="inlineStr">
        <is>
          <t>Coffret</t>
        </is>
      </c>
      <c r="G1202" s="2" t="inlineStr">
        <is>
          <t>ME01: Mega Evolution</t>
        </is>
      </c>
      <c r="H1202" s="3" t="n"/>
      <c r="I1202" s="3" t="n">
        <v>20.85</v>
      </c>
      <c r="J1202" s="3" t="n">
        <v>25</v>
      </c>
      <c r="K1202" s="3" t="n">
        <v>19.79</v>
      </c>
      <c r="L1202" s="2" t="inlineStr">
        <is>
          <t>TCGplayer</t>
        </is>
      </c>
      <c r="N1202" s="4" t="inlineStr">
        <is>
          <t>https://www.tcgplayer.com/product/649401</t>
        </is>
      </c>
    </row>
    <row r="1203">
      <c r="A1203" s="2" t="inlineStr">
        <is>
          <t>Phantasmal Flames Booster Bundle</t>
        </is>
      </c>
      <c r="B1203" s="3">
        <f>IF(H1203&lt;&gt;"",H1203,IF(I1203&lt;&gt;"",I1203,IF(J1203&lt;&gt;"",J1203,K1203)))</f>
        <v>87.03</v>
      </c>
      <c r="C1203" s="3">
        <f>MEDIAN(H1203:K1203)</f>
        <v>87.03</v>
      </c>
      <c r="D1203" s="3">
        <f>ROUND(C1203*(1-Settings!$B$2),2)</f>
        <v>60.92</v>
      </c>
      <c r="E1203" s="2" t="inlineStr">
        <is>
          <t>Pokemon</t>
        </is>
      </c>
      <c r="F1203" s="2" t="inlineStr">
        <is>
          <t>Coffret</t>
        </is>
      </c>
      <c r="G1203" s="2" t="inlineStr">
        <is>
          <t>ME02: Phantasmal Flames</t>
        </is>
      </c>
      <c r="H1203" s="3" t="n"/>
      <c r="I1203" s="3" t="n">
        <v>87.03</v>
      </c>
      <c r="J1203" s="3" t="n">
        <v>89.98999999999999</v>
      </c>
      <c r="K1203" s="3" t="n">
        <v>81</v>
      </c>
      <c r="L1203" s="2" t="inlineStr">
        <is>
          <t>TCGplayer</t>
        </is>
      </c>
      <c r="N1203" s="4" t="inlineStr">
        <is>
          <t>https://www.tcgplayer.com/product/654160</t>
        </is>
      </c>
    </row>
    <row r="1204">
      <c r="A1204" s="2" t="inlineStr">
        <is>
          <t>Phantasmal Flames Booster Pack Art Bundle [Set of 4]</t>
        </is>
      </c>
      <c r="B1204" s="3">
        <f>IF(H1204&lt;&gt;"",H1204,IF(I1204&lt;&gt;"",I1204,IF(J1204&lt;&gt;"",J1204,K1204)))</f>
        <v>46.23</v>
      </c>
      <c r="C1204" s="3">
        <f>MEDIAN(H1204:K1204)</f>
        <v>46.23</v>
      </c>
      <c r="D1204" s="3">
        <f>ROUND(C1204*(1-Settings!$B$2),2)</f>
        <v>32.36</v>
      </c>
      <c r="E1204" s="2" t="inlineStr">
        <is>
          <t>Pokemon</t>
        </is>
      </c>
      <c r="F1204" s="2" t="inlineStr">
        <is>
          <t>Coffret</t>
        </is>
      </c>
      <c r="G1204" s="2" t="inlineStr">
        <is>
          <t>ME02: Phantasmal Flames</t>
        </is>
      </c>
      <c r="H1204" s="3" t="n"/>
      <c r="I1204" s="3" t="n">
        <v>46.23</v>
      </c>
      <c r="J1204" s="3" t="n">
        <v>46.71</v>
      </c>
      <c r="K1204" s="3" t="n">
        <v>44.99</v>
      </c>
      <c r="L1204" s="2" t="inlineStr">
        <is>
          <t>TCGplayer</t>
        </is>
      </c>
      <c r="N1204" s="4" t="inlineStr">
        <is>
          <t>https://www.tcgplayer.com/product/654174</t>
        </is>
      </c>
    </row>
    <row r="1205">
      <c r="A1205" s="2" t="inlineStr">
        <is>
          <t>Phantasmal Flames Build &amp; Battle Box</t>
        </is>
      </c>
      <c r="B1205" s="3">
        <f>IF(H1205&lt;&gt;"",H1205,IF(I1205&lt;&gt;"",I1205,IF(J1205&lt;&gt;"",J1205,K1205)))</f>
        <v>64.14</v>
      </c>
      <c r="C1205" s="3">
        <f>MEDIAN(H1205:K1205)</f>
        <v>64.14</v>
      </c>
      <c r="D1205" s="3">
        <f>ROUND(C1205*(1-Settings!$B$2),2)</f>
        <v>44.9</v>
      </c>
      <c r="E1205" s="2" t="inlineStr">
        <is>
          <t>Pokemon</t>
        </is>
      </c>
      <c r="F1205" s="2" t="inlineStr">
        <is>
          <t>Coffret</t>
        </is>
      </c>
      <c r="G1205" s="2" t="inlineStr">
        <is>
          <t>ME02: Phantasmal Flames</t>
        </is>
      </c>
      <c r="H1205" s="3" t="n"/>
      <c r="I1205" s="3" t="n">
        <v>64.14</v>
      </c>
      <c r="J1205" s="3" t="n">
        <v>74.98999999999999</v>
      </c>
      <c r="K1205" s="3" t="n">
        <v>59</v>
      </c>
      <c r="L1205" s="2" t="inlineStr">
        <is>
          <t>TCGplayer</t>
        </is>
      </c>
      <c r="N1205" s="4" t="inlineStr">
        <is>
          <t>https://www.tcgplayer.com/product/662725</t>
        </is>
      </c>
    </row>
    <row r="1206">
      <c r="A1206" s="2" t="inlineStr">
        <is>
          <t>Phantasmal Flames Elite Trainer Box</t>
        </is>
      </c>
      <c r="B1206" s="3">
        <f>IF(H1206&lt;&gt;"",H1206,IF(I1206&lt;&gt;"",I1206,IF(J1206&lt;&gt;"",J1206,K1206)))</f>
        <v>153.55</v>
      </c>
      <c r="C1206" s="3">
        <f>MEDIAN(H1206:K1206)</f>
        <v>153.55</v>
      </c>
      <c r="D1206" s="3">
        <f>ROUND(C1206*(1-Settings!$B$2),2)</f>
        <v>107.49</v>
      </c>
      <c r="E1206" s="2" t="inlineStr">
        <is>
          <t>Pokemon</t>
        </is>
      </c>
      <c r="F1206" s="2" t="inlineStr">
        <is>
          <t>Coffret</t>
        </is>
      </c>
      <c r="G1206" s="2" t="inlineStr">
        <is>
          <t>ME02: Phantasmal Flames</t>
        </is>
      </c>
      <c r="H1206" s="3" t="n"/>
      <c r="I1206" s="3" t="n">
        <v>153.55</v>
      </c>
      <c r="J1206" s="3" t="n">
        <v>165.87</v>
      </c>
      <c r="K1206" s="3" t="n">
        <v>91.98999999999999</v>
      </c>
      <c r="L1206" s="2" t="inlineStr">
        <is>
          <t>TCGplayer</t>
        </is>
      </c>
      <c r="N1206" s="4" t="inlineStr">
        <is>
          <t>https://www.tcgplayer.com/product/654136</t>
        </is>
      </c>
    </row>
    <row r="1207">
      <c r="A1207" s="2" t="inlineStr">
        <is>
          <t>Phantasmal Flames Pokemon Center Elite Trainer Box (Exclusive)</t>
        </is>
      </c>
      <c r="B1207" s="3">
        <f>IF(H1207&lt;&gt;"",H1207,IF(I1207&lt;&gt;"",I1207,IF(J1207&lt;&gt;"",J1207,K1207)))</f>
        <v>287.85</v>
      </c>
      <c r="C1207" s="3">
        <f>MEDIAN(H1207:K1207)</f>
        <v>287.85</v>
      </c>
      <c r="D1207" s="3">
        <f>ROUND(C1207*(1-Settings!$B$2),2)</f>
        <v>201.5</v>
      </c>
      <c r="E1207" s="2" t="inlineStr">
        <is>
          <t>Pokemon</t>
        </is>
      </c>
      <c r="F1207" s="2" t="inlineStr">
        <is>
          <t>Coffret</t>
        </is>
      </c>
      <c r="G1207" s="2" t="inlineStr">
        <is>
          <t>ME02: Phantasmal Flames</t>
        </is>
      </c>
      <c r="H1207" s="3" t="n"/>
      <c r="I1207" s="3" t="n">
        <v>287.85</v>
      </c>
      <c r="J1207" s="3" t="n">
        <v>338.1</v>
      </c>
      <c r="K1207" s="3" t="n">
        <v>272.98</v>
      </c>
      <c r="L1207" s="2" t="inlineStr">
        <is>
          <t>TCGplayer</t>
        </is>
      </c>
      <c r="N1207" s="4" t="inlineStr">
        <is>
          <t>https://www.tcgplayer.com/product/654135</t>
        </is>
      </c>
    </row>
    <row r="1208">
      <c r="A1208" s="2" t="inlineStr">
        <is>
          <t>Phantasmal Flames Sleeved Booster Pack Art Bundle [Set of 4]</t>
        </is>
      </c>
      <c r="B1208" s="3">
        <f>IF(H1208&lt;&gt;"",H1208,IF(I1208&lt;&gt;"",I1208,IF(J1208&lt;&gt;"",J1208,K1208)))</f>
        <v>54.52</v>
      </c>
      <c r="C1208" s="3">
        <f>MEDIAN(H1208:K1208)</f>
        <v>54.52</v>
      </c>
      <c r="D1208" s="3">
        <f>ROUND(C1208*(1-Settings!$B$2),2)</f>
        <v>38.16</v>
      </c>
      <c r="E1208" s="2" t="inlineStr">
        <is>
          <t>Pokemon</t>
        </is>
      </c>
      <c r="F1208" s="2" t="inlineStr">
        <is>
          <t>Coffret</t>
        </is>
      </c>
      <c r="G1208" s="2" t="inlineStr">
        <is>
          <t>ME02: Phantasmal Flames</t>
        </is>
      </c>
      <c r="H1208" s="3" t="n"/>
      <c r="I1208" s="3" t="n">
        <v>54.52</v>
      </c>
      <c r="J1208" s="3" t="n">
        <v>62.7</v>
      </c>
      <c r="K1208" s="3" t="n">
        <v>47</v>
      </c>
      <c r="L1208" s="2" t="inlineStr">
        <is>
          <t>TCGplayer</t>
        </is>
      </c>
      <c r="N1208" s="4" t="inlineStr">
        <is>
          <t>https://www.tcgplayer.com/product/664903</t>
        </is>
      </c>
    </row>
    <row r="1209">
      <c r="A1209" s="2" t="inlineStr">
        <is>
          <t>Perfect Order Booster Bundle</t>
        </is>
      </c>
      <c r="B1209" s="3">
        <f>IF(H1209&lt;&gt;"",H1209,IF(I1209&lt;&gt;"",I1209,IF(J1209&lt;&gt;"",J1209,K1209)))</f>
        <v>39.42</v>
      </c>
      <c r="C1209" s="3">
        <f>MEDIAN(H1209:K1209)</f>
        <v>39.42</v>
      </c>
      <c r="D1209" s="3">
        <f>ROUND(C1209*(1-Settings!$B$2),2)</f>
        <v>27.59</v>
      </c>
      <c r="E1209" s="2" t="inlineStr">
        <is>
          <t>Pokemon</t>
        </is>
      </c>
      <c r="F1209" s="2" t="inlineStr">
        <is>
          <t>Coffret</t>
        </is>
      </c>
      <c r="G1209" s="2" t="inlineStr">
        <is>
          <t>ME03: Perfect Order</t>
        </is>
      </c>
      <c r="H1209" s="3" t="n"/>
      <c r="I1209" s="3" t="n">
        <v>39.42</v>
      </c>
      <c r="J1209" s="3" t="n">
        <v>43.37</v>
      </c>
      <c r="K1209" s="3" t="n">
        <v>32</v>
      </c>
      <c r="L1209" s="2" t="inlineStr">
        <is>
          <t>TCGplayer</t>
        </is>
      </c>
      <c r="N1209" s="4" t="inlineStr">
        <is>
          <t>https://www.tcgplayer.com/product/672396</t>
        </is>
      </c>
    </row>
    <row r="1210">
      <c r="A1210" s="2" t="inlineStr">
        <is>
          <t>Perfect Order Booster Pack Art Bundle [Set of 4]</t>
        </is>
      </c>
      <c r="B1210" s="3">
        <f>IF(H1210&lt;&gt;"",H1210,IF(I1210&lt;&gt;"",I1210,IF(J1210&lt;&gt;"",J1210,K1210)))</f>
        <v>24.0</v>
      </c>
      <c r="C1210" s="3">
        <f>MEDIAN(H1210:K1210)</f>
        <v>24.0</v>
      </c>
      <c r="D1210" s="3">
        <f>ROUND(C1210*(1-Settings!$B$2),2)</f>
        <v>16.8</v>
      </c>
      <c r="E1210" s="2" t="inlineStr">
        <is>
          <t>Pokemon</t>
        </is>
      </c>
      <c r="F1210" s="2" t="inlineStr">
        <is>
          <t>Coffret</t>
        </is>
      </c>
      <c r="G1210" s="2" t="inlineStr">
        <is>
          <t>ME03: Perfect Order</t>
        </is>
      </c>
      <c r="H1210" s="3" t="n"/>
      <c r="I1210" s="3" t="n">
        <v>24</v>
      </c>
      <c r="J1210" s="3" t="n">
        <v>29.47</v>
      </c>
      <c r="K1210" s="3" t="n">
        <v>18.2</v>
      </c>
      <c r="L1210" s="2" t="inlineStr">
        <is>
          <t>TCGplayer</t>
        </is>
      </c>
      <c r="N1210" s="4" t="inlineStr">
        <is>
          <t>https://www.tcgplayer.com/product/672399</t>
        </is>
      </c>
    </row>
    <row r="1211">
      <c r="A1211" s="2" t="inlineStr">
        <is>
          <t>Perfect Order Build &amp; Battle Box</t>
        </is>
      </c>
      <c r="B1211" s="3">
        <f>IF(H1211&lt;&gt;"",H1211,IF(I1211&lt;&gt;"",I1211,IF(J1211&lt;&gt;"",J1211,K1211)))</f>
        <v>38.21</v>
      </c>
      <c r="C1211" s="3">
        <f>MEDIAN(H1211:K1211)</f>
        <v>38.21</v>
      </c>
      <c r="D1211" s="3">
        <f>ROUND(C1211*(1-Settings!$B$2),2)</f>
        <v>26.75</v>
      </c>
      <c r="E1211" s="2" t="inlineStr">
        <is>
          <t>Pokemon</t>
        </is>
      </c>
      <c r="F1211" s="2" t="inlineStr">
        <is>
          <t>Coffret</t>
        </is>
      </c>
      <c r="G1211" s="2" t="inlineStr">
        <is>
          <t>ME03: Perfect Order</t>
        </is>
      </c>
      <c r="H1211" s="3" t="n"/>
      <c r="I1211" s="3" t="n">
        <v>38.21</v>
      </c>
      <c r="J1211" s="3" t="n">
        <v>42.96</v>
      </c>
      <c r="K1211" s="3" t="n">
        <v>34.24</v>
      </c>
      <c r="L1211" s="2" t="inlineStr">
        <is>
          <t>TCGplayer</t>
        </is>
      </c>
      <c r="N1211" s="4" t="inlineStr">
        <is>
          <t>https://www.tcgplayer.com/product/672400</t>
        </is>
      </c>
    </row>
    <row r="1212">
      <c r="A1212" s="2" t="inlineStr">
        <is>
          <t>Perfect Order Elite Trainer Box</t>
        </is>
      </c>
      <c r="B1212" s="3">
        <f>IF(H1212&lt;&gt;"",H1212,IF(I1212&lt;&gt;"",I1212,IF(J1212&lt;&gt;"",J1212,K1212)))</f>
        <v>71.65</v>
      </c>
      <c r="C1212" s="3">
        <f>MEDIAN(H1212:K1212)</f>
        <v>71.65</v>
      </c>
      <c r="D1212" s="3">
        <f>ROUND(C1212*(1-Settings!$B$2),2)</f>
        <v>50.16</v>
      </c>
      <c r="E1212" s="2" t="inlineStr">
        <is>
          <t>Pokemon</t>
        </is>
      </c>
      <c r="F1212" s="2" t="inlineStr">
        <is>
          <t>Coffret</t>
        </is>
      </c>
      <c r="G1212" s="2" t="inlineStr">
        <is>
          <t>ME03: Perfect Order</t>
        </is>
      </c>
      <c r="H1212" s="3" t="n"/>
      <c r="I1212" s="3" t="n">
        <v>71.65000000000001</v>
      </c>
      <c r="J1212" s="3" t="n">
        <v>79.54000000000001</v>
      </c>
      <c r="K1212" s="3" t="n">
        <v>1</v>
      </c>
      <c r="L1212" s="2" t="inlineStr">
        <is>
          <t>TCGplayer</t>
        </is>
      </c>
      <c r="N1212" s="4" t="inlineStr">
        <is>
          <t>https://www.tcgplayer.com/product/672401</t>
        </is>
      </c>
    </row>
    <row r="1213">
      <c r="A1213" s="2" t="inlineStr">
        <is>
          <t>Perfect Order Pokemon Center Elite Trainer Box</t>
        </is>
      </c>
      <c r="B1213" s="3">
        <f>IF(H1213&lt;&gt;"",H1213,IF(I1213&lt;&gt;"",I1213,IF(J1213&lt;&gt;"",J1213,K1213)))</f>
        <v>123.42</v>
      </c>
      <c r="C1213" s="3">
        <f>MEDIAN(H1213:K1213)</f>
        <v>123.42</v>
      </c>
      <c r="D1213" s="3">
        <f>ROUND(C1213*(1-Settings!$B$2),2)</f>
        <v>86.39</v>
      </c>
      <c r="E1213" s="2" t="inlineStr">
        <is>
          <t>Pokemon</t>
        </is>
      </c>
      <c r="F1213" s="2" t="inlineStr">
        <is>
          <t>Coffret</t>
        </is>
      </c>
      <c r="G1213" s="2" t="inlineStr">
        <is>
          <t>ME03: Perfect Order</t>
        </is>
      </c>
      <c r="H1213" s="3" t="n"/>
      <c r="I1213" s="3" t="n">
        <v>123.42</v>
      </c>
      <c r="J1213" s="3" t="n">
        <v>140</v>
      </c>
      <c r="K1213" s="3" t="n">
        <v>100</v>
      </c>
      <c r="L1213" s="2" t="inlineStr">
        <is>
          <t>TCGplayer</t>
        </is>
      </c>
      <c r="N1213" s="4" t="inlineStr">
        <is>
          <t>https://www.tcgplayer.com/product/672404</t>
        </is>
      </c>
    </row>
    <row r="1214">
      <c r="A1214" s="2" t="inlineStr">
        <is>
          <t>Perfect Order Sleeved Booster Pack Art Bundle [Set of 4]</t>
        </is>
      </c>
      <c r="B1214" s="3">
        <f>IF(H1214&lt;&gt;"",H1214,IF(I1214&lt;&gt;"",I1214,IF(J1214&lt;&gt;"",J1214,K1214)))</f>
        <v>30.06</v>
      </c>
      <c r="C1214" s="3">
        <f>MEDIAN(H1214:K1214)</f>
        <v>30.06</v>
      </c>
      <c r="D1214" s="3">
        <f>ROUND(C1214*(1-Settings!$B$2),2)</f>
        <v>21.04</v>
      </c>
      <c r="E1214" s="2" t="inlineStr">
        <is>
          <t>Pokemon</t>
        </is>
      </c>
      <c r="F1214" s="2" t="inlineStr">
        <is>
          <t>Coffret</t>
        </is>
      </c>
      <c r="G1214" s="2" t="inlineStr">
        <is>
          <t>ME03: Perfect Order</t>
        </is>
      </c>
      <c r="H1214" s="3" t="n"/>
      <c r="I1214" s="3" t="n">
        <v>30.06</v>
      </c>
      <c r="J1214" s="3" t="n">
        <v>30.75</v>
      </c>
      <c r="K1214" s="3" t="n">
        <v>27.76</v>
      </c>
      <c r="L1214" s="2" t="inlineStr">
        <is>
          <t>TCGplayer</t>
        </is>
      </c>
      <c r="N1214" s="4" t="inlineStr">
        <is>
          <t>https://www.tcgplayer.com/product/672413</t>
        </is>
      </c>
    </row>
    <row r="1215">
      <c r="A1215" s="2" t="inlineStr">
        <is>
          <t>Chaos Rising 3-Pack Blister [Charmeleon]</t>
        </is>
      </c>
      <c r="B1215" s="3">
        <f>IF(H1215&lt;&gt;"",H1215,IF(I1215&lt;&gt;"",I1215,IF(J1215&lt;&gt;"",J1215,K1215)))</f>
        <v>20.05</v>
      </c>
      <c r="C1215" s="3">
        <f>MEDIAN(H1215:K1215)</f>
        <v>20.05</v>
      </c>
      <c r="D1215" s="3">
        <f>ROUND(C1215*(1-Settings!$B$2),2)</f>
        <v>14.04</v>
      </c>
      <c r="E1215" s="2" t="inlineStr">
        <is>
          <t>Pokemon</t>
        </is>
      </c>
      <c r="F1215" s="2" t="inlineStr">
        <is>
          <t>Coffret</t>
        </is>
      </c>
      <c r="G1215" s="2" t="inlineStr">
        <is>
          <t>ME04: Chaos Rising</t>
        </is>
      </c>
      <c r="H1215" s="3" t="n"/>
      <c r="I1215" s="3" t="n">
        <v>20.05</v>
      </c>
      <c r="J1215" s="3" t="n">
        <v>25</v>
      </c>
      <c r="K1215" s="3" t="n">
        <v>9.99</v>
      </c>
      <c r="L1215" s="2" t="inlineStr">
        <is>
          <t>TCGplayer</t>
        </is>
      </c>
      <c r="N1215" s="4" t="inlineStr">
        <is>
          <t>https://www.tcgplayer.com/product/684458</t>
        </is>
      </c>
    </row>
    <row r="1216">
      <c r="A1216" s="2" t="inlineStr">
        <is>
          <t>Chaos Rising Booster Bundle</t>
        </is>
      </c>
      <c r="B1216" s="3">
        <f>IF(H1216&lt;&gt;"",H1216,IF(I1216&lt;&gt;"",I1216,IF(J1216&lt;&gt;"",J1216,K1216)))</f>
        <v>37.23</v>
      </c>
      <c r="C1216" s="3">
        <f>MEDIAN(H1216:K1216)</f>
        <v>37.23</v>
      </c>
      <c r="D1216" s="3">
        <f>ROUND(C1216*(1-Settings!$B$2),2)</f>
        <v>26.06</v>
      </c>
      <c r="E1216" s="2" t="inlineStr">
        <is>
          <t>Pokemon</t>
        </is>
      </c>
      <c r="F1216" s="2" t="inlineStr">
        <is>
          <t>Coffret</t>
        </is>
      </c>
      <c r="G1216" s="2" t="inlineStr">
        <is>
          <t>ME04: Chaos Rising</t>
        </is>
      </c>
      <c r="H1216" s="3" t="n"/>
      <c r="I1216" s="3" t="n">
        <v>37.23</v>
      </c>
      <c r="J1216" s="3" t="n">
        <v>44.99</v>
      </c>
      <c r="K1216" s="3" t="n">
        <v>5</v>
      </c>
      <c r="L1216" s="2" t="inlineStr">
        <is>
          <t>TCGplayer</t>
        </is>
      </c>
      <c r="N1216" s="4" t="inlineStr">
        <is>
          <t>https://www.tcgplayer.com/product/684456</t>
        </is>
      </c>
    </row>
    <row r="1217">
      <c r="A1217" s="2" t="inlineStr">
        <is>
          <t>Chaos Rising Booster Pack Art Bundle [Set of 4]</t>
        </is>
      </c>
      <c r="B1217" s="3">
        <f>IF(H1217&lt;&gt;"",H1217,IF(I1217&lt;&gt;"",I1217,IF(J1217&lt;&gt;"",J1217,K1217)))</f>
        <v>26.92</v>
      </c>
      <c r="C1217" s="3">
        <f>MEDIAN(H1217:K1217)</f>
        <v>26.92</v>
      </c>
      <c r="D1217" s="3">
        <f>ROUND(C1217*(1-Settings!$B$2),2)</f>
        <v>18.84</v>
      </c>
      <c r="E1217" s="2" t="inlineStr">
        <is>
          <t>Pokemon</t>
        </is>
      </c>
      <c r="F1217" s="2" t="inlineStr">
        <is>
          <t>Coffret</t>
        </is>
      </c>
      <c r="G1217" s="2" t="inlineStr">
        <is>
          <t>ME04: Chaos Rising</t>
        </is>
      </c>
      <c r="H1217" s="3" t="n"/>
      <c r="I1217" s="3" t="n">
        <v>26.92</v>
      </c>
      <c r="J1217" s="3" t="n">
        <v>28.45</v>
      </c>
      <c r="K1217" s="3" t="n">
        <v>20.2</v>
      </c>
      <c r="L1217" s="2" t="inlineStr">
        <is>
          <t>TCGplayer</t>
        </is>
      </c>
      <c r="N1217" s="4" t="inlineStr">
        <is>
          <t>https://www.tcgplayer.com/product/684447</t>
        </is>
      </c>
    </row>
    <row r="1218">
      <c r="A1218" s="2" t="inlineStr">
        <is>
          <t>Chaos Rising Build &amp; Battle Box</t>
        </is>
      </c>
      <c r="B1218" s="3">
        <f>IF(H1218&lt;&gt;"",H1218,IF(I1218&lt;&gt;"",I1218,IF(J1218&lt;&gt;"",J1218,K1218)))</f>
        <v>43.78</v>
      </c>
      <c r="C1218" s="3">
        <f>MEDIAN(H1218:K1218)</f>
        <v>43.78</v>
      </c>
      <c r="D1218" s="3">
        <f>ROUND(C1218*(1-Settings!$B$2),2)</f>
        <v>30.65</v>
      </c>
      <c r="E1218" s="2" t="inlineStr">
        <is>
          <t>Pokemon</t>
        </is>
      </c>
      <c r="F1218" s="2" t="inlineStr">
        <is>
          <t>Coffret</t>
        </is>
      </c>
      <c r="G1218" s="2" t="inlineStr">
        <is>
          <t>ME04: Chaos Rising</t>
        </is>
      </c>
      <c r="H1218" s="3" t="n"/>
      <c r="I1218" s="3" t="n">
        <v>43.78</v>
      </c>
      <c r="J1218" s="3" t="n">
        <v>45.49</v>
      </c>
      <c r="K1218" s="3" t="n">
        <v>37.49</v>
      </c>
      <c r="L1218" s="2" t="inlineStr">
        <is>
          <t>TCGplayer</t>
        </is>
      </c>
      <c r="N1218" s="4" t="inlineStr">
        <is>
          <t>https://www.tcgplayer.com/product/684454</t>
        </is>
      </c>
    </row>
    <row r="1219">
      <c r="A1219" s="2" t="inlineStr">
        <is>
          <t>Chaos Rising Elite Trainer Box</t>
        </is>
      </c>
      <c r="B1219" s="3">
        <f>IF(H1219&lt;&gt;"",H1219,IF(I1219&lt;&gt;"",I1219,IF(J1219&lt;&gt;"",J1219,K1219)))</f>
        <v>66.43</v>
      </c>
      <c r="C1219" s="3">
        <f>MEDIAN(H1219:K1219)</f>
        <v>66.43</v>
      </c>
      <c r="D1219" s="3">
        <f>ROUND(C1219*(1-Settings!$B$2),2)</f>
        <v>46.5</v>
      </c>
      <c r="E1219" s="2" t="inlineStr">
        <is>
          <t>Pokemon</t>
        </is>
      </c>
      <c r="F1219" s="2" t="inlineStr">
        <is>
          <t>Coffret</t>
        </is>
      </c>
      <c r="G1219" s="2" t="inlineStr">
        <is>
          <t>ME04: Chaos Rising</t>
        </is>
      </c>
      <c r="H1219" s="3" t="n"/>
      <c r="I1219" s="3" t="n">
        <v>66.43000000000001</v>
      </c>
      <c r="J1219" s="3" t="n">
        <v>80</v>
      </c>
      <c r="K1219" s="3" t="n">
        <v>1</v>
      </c>
      <c r="L1219" s="2" t="inlineStr">
        <is>
          <t>TCGplayer</t>
        </is>
      </c>
      <c r="N1219" s="4" t="inlineStr">
        <is>
          <t>https://www.tcgplayer.com/product/684450</t>
        </is>
      </c>
    </row>
    <row r="1220">
      <c r="A1220" s="2" t="inlineStr">
        <is>
          <t>Chaos Rising Pokemon Center Elite Trainer Box</t>
        </is>
      </c>
      <c r="B1220" s="3">
        <f>IF(H1220&lt;&gt;"",H1220,IF(I1220&lt;&gt;"",I1220,IF(J1220&lt;&gt;"",J1220,K1220)))</f>
        <v>122.81</v>
      </c>
      <c r="C1220" s="3">
        <f>MEDIAN(H1220:K1220)</f>
        <v>122.81</v>
      </c>
      <c r="D1220" s="3">
        <f>ROUND(C1220*(1-Settings!$B$2),2)</f>
        <v>85.97</v>
      </c>
      <c r="E1220" s="2" t="inlineStr">
        <is>
          <t>Pokemon</t>
        </is>
      </c>
      <c r="F1220" s="2" t="inlineStr">
        <is>
          <t>Coffret</t>
        </is>
      </c>
      <c r="G1220" s="2" t="inlineStr">
        <is>
          <t>ME04: Chaos Rising</t>
        </is>
      </c>
      <c r="H1220" s="3" t="n"/>
      <c r="I1220" s="3" t="n">
        <v>122.81</v>
      </c>
      <c r="J1220" s="3" t="n">
        <v>184.41</v>
      </c>
      <c r="K1220" s="3" t="n">
        <v>108</v>
      </c>
      <c r="L1220" s="2" t="inlineStr">
        <is>
          <t>TCGplayer</t>
        </is>
      </c>
      <c r="N1220" s="4" t="inlineStr">
        <is>
          <t>https://www.tcgplayer.com/product/684452</t>
        </is>
      </c>
    </row>
    <row r="1221">
      <c r="A1221" s="2" t="inlineStr">
        <is>
          <t>Chaos Rising Sleeved Booster Pack Art Bundle [Set of 4]</t>
        </is>
      </c>
      <c r="B1221" s="3">
        <f>IF(H1221&lt;&gt;"",H1221,IF(I1221&lt;&gt;"",I1221,IF(J1221&lt;&gt;"",J1221,K1221)))</f>
        <v>26.26</v>
      </c>
      <c r="C1221" s="3">
        <f>MEDIAN(H1221:K1221)</f>
        <v>26.26</v>
      </c>
      <c r="D1221" s="3">
        <f>ROUND(C1221*(1-Settings!$B$2),2)</f>
        <v>18.38</v>
      </c>
      <c r="E1221" s="2" t="inlineStr">
        <is>
          <t>Pokemon</t>
        </is>
      </c>
      <c r="F1221" s="2" t="inlineStr">
        <is>
          <t>Coffret</t>
        </is>
      </c>
      <c r="G1221" s="2" t="inlineStr">
        <is>
          <t>ME04: Chaos Rising</t>
        </is>
      </c>
      <c r="H1221" s="3" t="n"/>
      <c r="I1221" s="3" t="n">
        <v>26.26</v>
      </c>
      <c r="J1221" s="3" t="n">
        <v>30.9</v>
      </c>
      <c r="K1221" s="3" t="n">
        <v>5</v>
      </c>
      <c r="L1221" s="2" t="inlineStr">
        <is>
          <t>TCGplayer</t>
        </is>
      </c>
      <c r="N1221" s="4" t="inlineStr">
        <is>
          <t>https://www.tcgplayer.com/product/684449</t>
        </is>
      </c>
    </row>
    <row r="1222">
      <c r="A1222" s="2" t="inlineStr">
        <is>
          <t>Pitch Black 3-Pack Blister [Binacle]</t>
        </is>
      </c>
      <c r="B1222" s="3">
        <f>IF(H1222&lt;&gt;"",H1222,IF(I1222&lt;&gt;"",I1222,IF(J1222&lt;&gt;"",J1222,K1222)))</f>
        <v>20.67</v>
      </c>
      <c r="C1222" s="3">
        <f>MEDIAN(H1222:K1222)</f>
        <v>20.67</v>
      </c>
      <c r="D1222" s="3">
        <f>ROUND(C1222*(1-Settings!$B$2),2)</f>
        <v>14.47</v>
      </c>
      <c r="E1222" s="2" t="inlineStr">
        <is>
          <t>Pokemon</t>
        </is>
      </c>
      <c r="F1222" s="2" t="inlineStr">
        <is>
          <t>Coffret</t>
        </is>
      </c>
      <c r="G1222" s="2" t="inlineStr">
        <is>
          <t>ME05: Pitch Black</t>
        </is>
      </c>
      <c r="H1222" s="3" t="n"/>
      <c r="I1222" s="3" t="n">
        <v>20.67</v>
      </c>
      <c r="J1222" s="3" t="n">
        <v>24.64</v>
      </c>
      <c r="K1222" s="3" t="n">
        <v>17.95</v>
      </c>
      <c r="L1222" s="2" t="inlineStr">
        <is>
          <t>TCGplayer</t>
        </is>
      </c>
      <c r="N1222" s="4" t="inlineStr">
        <is>
          <t>https://www.tcgplayer.com/product/692938</t>
        </is>
      </c>
    </row>
    <row r="1223">
      <c r="A1223" s="2" t="inlineStr">
        <is>
          <t>Pitch Black Booster Bundle</t>
        </is>
      </c>
      <c r="B1223" s="3">
        <f>IF(H1223&lt;&gt;"",H1223,IF(I1223&lt;&gt;"",I1223,IF(J1223&lt;&gt;"",J1223,K1223)))</f>
        <v>41.06</v>
      </c>
      <c r="C1223" s="3">
        <f>MEDIAN(H1223:K1223)</f>
        <v>41.06</v>
      </c>
      <c r="D1223" s="3">
        <f>ROUND(C1223*(1-Settings!$B$2),2)</f>
        <v>28.74</v>
      </c>
      <c r="E1223" s="2" t="inlineStr">
        <is>
          <t>Pokemon</t>
        </is>
      </c>
      <c r="F1223" s="2" t="inlineStr">
        <is>
          <t>Coffret</t>
        </is>
      </c>
      <c r="G1223" s="2" t="inlineStr">
        <is>
          <t>ME05: Pitch Black</t>
        </is>
      </c>
      <c r="H1223" s="3" t="n"/>
      <c r="I1223" s="3" t="n">
        <v>41.06</v>
      </c>
      <c r="J1223" s="3" t="n">
        <v>44.99</v>
      </c>
      <c r="K1223" s="3" t="n">
        <v>30</v>
      </c>
      <c r="L1223" s="2" t="inlineStr">
        <is>
          <t>TCGplayer</t>
        </is>
      </c>
      <c r="N1223" s="4" t="inlineStr">
        <is>
          <t>https://www.tcgplayer.com/product/692942</t>
        </is>
      </c>
    </row>
    <row r="1224">
      <c r="A1224" s="2" t="inlineStr">
        <is>
          <t>Pitch Black Booster Pack Art Bundle [Set of 4]</t>
        </is>
      </c>
      <c r="B1224" s="3">
        <f>IF(H1224&lt;&gt;"",H1224,IF(I1224&lt;&gt;"",I1224,IF(J1224&lt;&gt;"",J1224,K1224)))</f>
        <v>27.06</v>
      </c>
      <c r="C1224" s="3">
        <f>MEDIAN(H1224:K1224)</f>
        <v>27.06</v>
      </c>
      <c r="D1224" s="3">
        <f>ROUND(C1224*(1-Settings!$B$2),2)</f>
        <v>18.94</v>
      </c>
      <c r="E1224" s="2" t="inlineStr">
        <is>
          <t>Pokemon</t>
        </is>
      </c>
      <c r="F1224" s="2" t="inlineStr">
        <is>
          <t>Coffret</t>
        </is>
      </c>
      <c r="G1224" s="2" t="inlineStr">
        <is>
          <t>ME05: Pitch Black</t>
        </is>
      </c>
      <c r="H1224" s="3" t="n"/>
      <c r="I1224" s="3" t="n">
        <v>27.06</v>
      </c>
      <c r="J1224" s="3" t="n">
        <v>29.88</v>
      </c>
      <c r="K1224" s="3" t="n">
        <v>22</v>
      </c>
      <c r="L1224" s="2" t="inlineStr">
        <is>
          <t>TCGplayer</t>
        </is>
      </c>
      <c r="N1224" s="4" t="inlineStr">
        <is>
          <t>https://www.tcgplayer.com/product/692945</t>
        </is>
      </c>
    </row>
    <row r="1225">
      <c r="A1225" s="2" t="inlineStr">
        <is>
          <t>Pitch Black Build &amp; Battle Box</t>
        </is>
      </c>
      <c r="B1225" s="3">
        <f>IF(H1225&lt;&gt;"",H1225,IF(I1225&lt;&gt;"",I1225,IF(J1225&lt;&gt;"",J1225,K1225)))</f>
        <v>38.03</v>
      </c>
      <c r="C1225" s="3">
        <f>MEDIAN(H1225:K1225)</f>
        <v>38.03</v>
      </c>
      <c r="D1225" s="3">
        <f>ROUND(C1225*(1-Settings!$B$2),2)</f>
        <v>26.62</v>
      </c>
      <c r="E1225" s="2" t="inlineStr">
        <is>
          <t>Pokemon</t>
        </is>
      </c>
      <c r="F1225" s="2" t="inlineStr">
        <is>
          <t>Coffret</t>
        </is>
      </c>
      <c r="G1225" s="2" t="inlineStr">
        <is>
          <t>ME05: Pitch Black</t>
        </is>
      </c>
      <c r="H1225" s="3" t="n"/>
      <c r="I1225" s="3" t="n">
        <v>38.03</v>
      </c>
      <c r="J1225" s="3" t="n">
        <v>39.98</v>
      </c>
      <c r="K1225" s="3" t="n">
        <v>36.98</v>
      </c>
      <c r="L1225" s="2" t="inlineStr">
        <is>
          <t>TCGplayer</t>
        </is>
      </c>
      <c r="N1225" s="4" t="inlineStr">
        <is>
          <t>https://www.tcgplayer.com/product/692946</t>
        </is>
      </c>
    </row>
    <row r="1226">
      <c r="A1226" s="2" t="inlineStr">
        <is>
          <t>Pitch Black Elite Trainer Box</t>
        </is>
      </c>
      <c r="B1226" s="3">
        <f>IF(H1226&lt;&gt;"",H1226,IF(I1226&lt;&gt;"",I1226,IF(J1226&lt;&gt;"",J1226,K1226)))</f>
        <v>73.02</v>
      </c>
      <c r="C1226" s="3">
        <f>MEDIAN(H1226:K1226)</f>
        <v>73.02</v>
      </c>
      <c r="D1226" s="3">
        <f>ROUND(C1226*(1-Settings!$B$2),2)</f>
        <v>51.11</v>
      </c>
      <c r="E1226" s="2" t="inlineStr">
        <is>
          <t>Pokemon</t>
        </is>
      </c>
      <c r="F1226" s="2" t="inlineStr">
        <is>
          <t>Coffret</t>
        </is>
      </c>
      <c r="G1226" s="2" t="inlineStr">
        <is>
          <t>ME05: Pitch Black</t>
        </is>
      </c>
      <c r="H1226" s="3" t="n"/>
      <c r="I1226" s="3" t="n">
        <v>73.02</v>
      </c>
      <c r="J1226" s="3" t="n">
        <v>83</v>
      </c>
      <c r="K1226" s="3" t="n">
        <v>25</v>
      </c>
      <c r="L1226" s="2" t="inlineStr">
        <is>
          <t>TCGplayer</t>
        </is>
      </c>
      <c r="N1226" s="4" t="inlineStr">
        <is>
          <t>https://www.tcgplayer.com/product/692947</t>
        </is>
      </c>
    </row>
    <row r="1227">
      <c r="A1227" s="2" t="inlineStr">
        <is>
          <t>Pitch Black Pokemon Center Elite Trainer Box (Exclusive)</t>
        </is>
      </c>
      <c r="B1227" s="3">
        <f>IF(H1227&lt;&gt;"",H1227,IF(I1227&lt;&gt;"",I1227,IF(J1227&lt;&gt;"",J1227,K1227)))</f>
        <v>116.67</v>
      </c>
      <c r="C1227" s="3">
        <f>MEDIAN(H1227:K1227)</f>
        <v>116.67</v>
      </c>
      <c r="D1227" s="3">
        <f>ROUND(C1227*(1-Settings!$B$2),2)</f>
        <v>81.67</v>
      </c>
      <c r="E1227" s="2" t="inlineStr">
        <is>
          <t>Pokemon</t>
        </is>
      </c>
      <c r="F1227" s="2" t="inlineStr">
        <is>
          <t>Coffret</t>
        </is>
      </c>
      <c r="G1227" s="2" t="inlineStr">
        <is>
          <t>ME05: Pitch Black</t>
        </is>
      </c>
      <c r="H1227" s="3" t="n"/>
      <c r="I1227" s="3" t="n">
        <v>116.67</v>
      </c>
      <c r="J1227" s="3" t="n">
        <v>200</v>
      </c>
      <c r="K1227" s="3" t="n">
        <v>110</v>
      </c>
      <c r="L1227" s="2" t="inlineStr">
        <is>
          <t>TCGplayer</t>
        </is>
      </c>
      <c r="N1227" s="4" t="inlineStr">
        <is>
          <t>https://www.tcgplayer.com/product/692949</t>
        </is>
      </c>
    </row>
    <row r="1228">
      <c r="A1228" s="2" t="inlineStr">
        <is>
          <t>Pitch Black Sleeved Booster Pack Art Bundle [Set of 4]</t>
        </is>
      </c>
      <c r="B1228" s="3">
        <f>IF(H1228&lt;&gt;"",H1228,IF(I1228&lt;&gt;"",I1228,IF(J1228&lt;&gt;"",J1228,K1228)))</f>
        <v>25.4</v>
      </c>
      <c r="C1228" s="3">
        <f>MEDIAN(H1228:K1228)</f>
        <v>25.4</v>
      </c>
      <c r="D1228" s="3">
        <f>ROUND(C1228*(1-Settings!$B$2),2)</f>
        <v>17.78</v>
      </c>
      <c r="E1228" s="2" t="inlineStr">
        <is>
          <t>Pokemon</t>
        </is>
      </c>
      <c r="F1228" s="2" t="inlineStr">
        <is>
          <t>Coffret</t>
        </is>
      </c>
      <c r="G1228" s="2" t="inlineStr">
        <is>
          <t>ME05: Pitch Black</t>
        </is>
      </c>
      <c r="H1228" s="3" t="n"/>
      <c r="I1228" s="3" t="n">
        <v>25.4</v>
      </c>
      <c r="J1228" s="3" t="n">
        <v>34.74</v>
      </c>
      <c r="K1228" s="3" t="n">
        <v>20.5</v>
      </c>
      <c r="L1228" s="2" t="inlineStr">
        <is>
          <t>TCGplayer</t>
        </is>
      </c>
      <c r="N1228" s="4" t="inlineStr">
        <is>
          <t>https://www.tcgplayer.com/product/692958</t>
        </is>
      </c>
    </row>
    <row r="1229">
      <c r="A1229" s="2" t="inlineStr">
        <is>
          <t>Delta Reign Booster Bundle</t>
        </is>
      </c>
      <c r="B1229" s="3">
        <f>IF(H1229&lt;&gt;"",H1229,IF(I1229&lt;&gt;"",I1229,IF(J1229&lt;&gt;"",J1229,K1229)))</f>
        <v>80.43</v>
      </c>
      <c r="C1229" s="3">
        <f>MEDIAN(H1229:K1229)</f>
        <v>79.94</v>
      </c>
      <c r="D1229" s="3">
        <f>ROUND(C1229*(1-Settings!$B$2),2)</f>
        <v>55.96</v>
      </c>
      <c r="E1229" s="2" t="inlineStr">
        <is>
          <t>Pokemon</t>
        </is>
      </c>
      <c r="F1229" s="2" t="inlineStr">
        <is>
          <t>Coffret</t>
        </is>
      </c>
      <c r="G1229" s="2" t="inlineStr">
        <is>
          <t>ME06: Delta Reign</t>
        </is>
      </c>
      <c r="H1229" s="3" t="n"/>
      <c r="I1229" s="3" t="n">
        <v>80.43000000000001</v>
      </c>
      <c r="J1229" s="3" t="n">
        <v>79.94</v>
      </c>
      <c r="K1229" s="3" t="n">
        <v>74.33</v>
      </c>
      <c r="L1229" s="2" t="inlineStr">
        <is>
          <t>TCGplayer</t>
        </is>
      </c>
      <c r="N1229" s="4" t="inlineStr">
        <is>
          <t>https://www.tcgplayer.com/product/712097</t>
        </is>
      </c>
    </row>
    <row r="1230">
      <c r="A1230" s="2" t="inlineStr">
        <is>
          <t>Delta Reign Booster Pack Art Bundle [Set of 4]</t>
        </is>
      </c>
      <c r="B1230" s="3">
        <f>IF(H1230&lt;&gt;"",H1230,IF(I1230&lt;&gt;"",I1230,IF(J1230&lt;&gt;"",J1230,K1230)))</f>
        <v>75.88</v>
      </c>
      <c r="C1230" s="3">
        <f>MEDIAN(H1230:K1230)</f>
        <v>75.88</v>
      </c>
      <c r="D1230" s="3">
        <f>ROUND(C1230*(1-Settings!$B$2),2)</f>
        <v>53.12</v>
      </c>
      <c r="E1230" s="2" t="inlineStr">
        <is>
          <t>Pokemon</t>
        </is>
      </c>
      <c r="F1230" s="2" t="inlineStr">
        <is>
          <t>Coffret</t>
        </is>
      </c>
      <c r="G1230" s="2" t="inlineStr">
        <is>
          <t>ME06: Delta Reign</t>
        </is>
      </c>
      <c r="H1230" s="3" t="n"/>
      <c r="I1230" s="3" t="n">
        <v>75.88</v>
      </c>
      <c r="J1230" s="3" t="n">
        <v>75.88</v>
      </c>
      <c r="K1230" s="3" t="n">
        <v>75.88</v>
      </c>
      <c r="L1230" s="2" t="inlineStr">
        <is>
          <t>TCGplayer</t>
        </is>
      </c>
      <c r="N1230" s="4" t="inlineStr">
        <is>
          <t>https://www.tcgplayer.com/product/712100</t>
        </is>
      </c>
    </row>
    <row r="1231">
      <c r="A1231" s="2" t="inlineStr">
        <is>
          <t>Delta Reign Build &amp; Battle Box</t>
        </is>
      </c>
      <c r="B1231" s="3">
        <f>IF(H1231&lt;&gt;"",H1231,IF(I1231&lt;&gt;"",I1231,IF(J1231&lt;&gt;"",J1231,K1231)))</f>
        <v>78.45</v>
      </c>
      <c r="C1231" s="3">
        <f>MEDIAN(H1231:K1231)</f>
        <v>78.19</v>
      </c>
      <c r="D1231" s="3">
        <f>ROUND(C1231*(1-Settings!$B$2),2)</f>
        <v>54.73</v>
      </c>
      <c r="E1231" s="2" t="inlineStr">
        <is>
          <t>Pokemon</t>
        </is>
      </c>
      <c r="F1231" s="2" t="inlineStr">
        <is>
          <t>Coffret</t>
        </is>
      </c>
      <c r="G1231" s="2" t="inlineStr">
        <is>
          <t>ME06: Delta Reign</t>
        </is>
      </c>
      <c r="H1231" s="3" t="n"/>
      <c r="I1231" s="3" t="n"/>
      <c r="J1231" s="3" t="n">
        <v>78.45</v>
      </c>
      <c r="K1231" s="3" t="n">
        <v>77.93000000000001</v>
      </c>
      <c r="L1231" s="2" t="inlineStr">
        <is>
          <t>TCGplayer</t>
        </is>
      </c>
      <c r="N1231" s="4" t="inlineStr">
        <is>
          <t>https://www.tcgplayer.com/product/712101</t>
        </is>
      </c>
    </row>
    <row r="1232">
      <c r="A1232" s="2" t="inlineStr">
        <is>
          <t>Delta Reign Elite Trainer Box</t>
        </is>
      </c>
      <c r="B1232" s="3">
        <f>IF(H1232&lt;&gt;"",H1232,IF(I1232&lt;&gt;"",I1232,IF(J1232&lt;&gt;"",J1232,K1232)))</f>
        <v>134.85</v>
      </c>
      <c r="C1232" s="3">
        <f>MEDIAN(H1232:K1232)</f>
        <v>134.85</v>
      </c>
      <c r="D1232" s="3">
        <f>ROUND(C1232*(1-Settings!$B$2),2)</f>
        <v>94.4</v>
      </c>
      <c r="E1232" s="2" t="inlineStr">
        <is>
          <t>Pokemon</t>
        </is>
      </c>
      <c r="F1232" s="2" t="inlineStr">
        <is>
          <t>Coffret</t>
        </is>
      </c>
      <c r="G1232" s="2" t="inlineStr">
        <is>
          <t>ME06: Delta Reign</t>
        </is>
      </c>
      <c r="H1232" s="3" t="n"/>
      <c r="I1232" s="3" t="n">
        <v>134.85</v>
      </c>
      <c r="J1232" s="3" t="n">
        <v>135.79</v>
      </c>
      <c r="K1232" s="3" t="n">
        <v>130.17</v>
      </c>
      <c r="L1232" s="2" t="inlineStr">
        <is>
          <t>TCGplayer</t>
        </is>
      </c>
      <c r="N1232" s="4" t="inlineStr">
        <is>
          <t>https://www.tcgplayer.com/product/712102</t>
        </is>
      </c>
    </row>
    <row r="1233">
      <c r="A1233" s="2" t="inlineStr">
        <is>
          <t>Delta Reign Pokemon Center Elite Trainer Box (Exclusive)</t>
        </is>
      </c>
      <c r="B1233" s="3">
        <f>IF(H1233&lt;&gt;"",H1233,IF(I1233&lt;&gt;"",I1233,IF(J1233&lt;&gt;"",J1233,K1233)))</f>
        <v>569.93</v>
      </c>
      <c r="C1233" s="3">
        <f>MEDIAN(H1233:K1233)</f>
        <v>450.0</v>
      </c>
      <c r="D1233" s="3">
        <f>ROUND(C1233*(1-Settings!$B$2),2)</f>
        <v>315.0</v>
      </c>
      <c r="E1233" s="2" t="inlineStr">
        <is>
          <t>Pokemon</t>
        </is>
      </c>
      <c r="F1233" s="2" t="inlineStr">
        <is>
          <t>Coffret</t>
        </is>
      </c>
      <c r="G1233" s="2" t="inlineStr">
        <is>
          <t>ME06: Delta Reign</t>
        </is>
      </c>
      <c r="H1233" s="3" t="n"/>
      <c r="I1233" s="3" t="n">
        <v>569.9299999999999</v>
      </c>
      <c r="J1233" s="3" t="n">
        <v>450</v>
      </c>
      <c r="K1233" s="3" t="n">
        <v>449.99</v>
      </c>
      <c r="L1233" s="2" t="inlineStr">
        <is>
          <t>TCGplayer</t>
        </is>
      </c>
      <c r="N1233" s="4" t="inlineStr">
        <is>
          <t>https://www.tcgplayer.com/product/712104</t>
        </is>
      </c>
    </row>
    <row r="1234">
      <c r="A1234" s="2" t="inlineStr">
        <is>
          <t>Delta Reign Sleeved Booster Pack Art Bundle [Set of 4]</t>
        </is>
      </c>
      <c r="B1234" s="3">
        <f>IF(H1234&lt;&gt;"",H1234,IF(I1234&lt;&gt;"",I1234,IF(J1234&lt;&gt;"",J1234,K1234)))</f>
        <v>59.95</v>
      </c>
      <c r="C1234" s="3">
        <f>MEDIAN(H1234:K1234)</f>
        <v>59.81</v>
      </c>
      <c r="D1234" s="3">
        <f>ROUND(C1234*(1-Settings!$B$2),2)</f>
        <v>41.87</v>
      </c>
      <c r="E1234" s="2" t="inlineStr">
        <is>
          <t>Pokemon</t>
        </is>
      </c>
      <c r="F1234" s="2" t="inlineStr">
        <is>
          <t>Coffret</t>
        </is>
      </c>
      <c r="G1234" s="2" t="inlineStr">
        <is>
          <t>ME06: Delta Reign</t>
        </is>
      </c>
      <c r="H1234" s="3" t="n"/>
      <c r="I1234" s="3" t="n">
        <v>59.95</v>
      </c>
      <c r="J1234" s="3" t="n">
        <v>59.81</v>
      </c>
      <c r="K1234" s="3" t="n">
        <v>59.34</v>
      </c>
      <c r="L1234" s="2" t="inlineStr">
        <is>
          <t>TCGplayer</t>
        </is>
      </c>
      <c r="N1234" s="4" t="inlineStr">
        <is>
          <t>https://www.tcgplayer.com/product/712113</t>
        </is>
      </c>
    </row>
    <row r="1235">
      <c r="A1235" s="2" t="inlineStr">
        <is>
          <t>30th Celebration 2-Pack Blister</t>
        </is>
      </c>
      <c r="B1235" s="3">
        <f>IF(H1235&lt;&gt;"",H1235,IF(I1235&lt;&gt;"",I1235,IF(J1235&lt;&gt;"",J1235,K1235)))</f>
        <v>47.7</v>
      </c>
      <c r="C1235" s="3">
        <f>MEDIAN(H1235:K1235)</f>
        <v>52.085</v>
      </c>
      <c r="D1235" s="3">
        <f>ROUND(C1235*(1-Settings!$B$2),2)</f>
        <v>36.46</v>
      </c>
      <c r="E1235" s="2" t="inlineStr">
        <is>
          <t>Pokemon</t>
        </is>
      </c>
      <c r="F1235" s="2" t="inlineStr">
        <is>
          <t>Coffret</t>
        </is>
      </c>
      <c r="G1235" s="2" t="inlineStr">
        <is>
          <t>ME: 30th Celebration</t>
        </is>
      </c>
      <c r="H1235" s="3" t="n">
        <v>47.7</v>
      </c>
      <c r="I1235" s="3" t="n">
        <v>56.47</v>
      </c>
      <c r="J1235" s="3" t="n"/>
      <c r="K1235" s="3" t="n"/>
      <c r="L1235" s="2" t="inlineStr">
        <is>
          <t>PriceCharting + TCGplayer</t>
        </is>
      </c>
      <c r="M1235" s="4" t="inlineStr">
        <is>
          <t>https://www.pricecharting.com/game/pokemon-30th-celebration/2-pack-blister</t>
        </is>
      </c>
      <c r="N1235" s="4" t="inlineStr">
        <is>
          <t>https://www.tcgplayer.com/product/704148</t>
        </is>
      </c>
    </row>
    <row r="1236">
      <c r="A1236" s="2" t="inlineStr">
        <is>
          <t>30th Celebration Binder Collection</t>
        </is>
      </c>
      <c r="B1236" s="3">
        <f>IF(H1236&lt;&gt;"",H1236,IF(I1236&lt;&gt;"",I1236,IF(J1236&lt;&gt;"",J1236,K1236)))</f>
        <v>92.08</v>
      </c>
      <c r="C1236" s="3">
        <f>MEDIAN(H1236:K1236)</f>
        <v>92.52000000000001</v>
      </c>
      <c r="D1236" s="3">
        <f>ROUND(C1236*(1-Settings!$B$2),2)</f>
        <v>64.76</v>
      </c>
      <c r="E1236" s="2" t="inlineStr">
        <is>
          <t>Pokemon</t>
        </is>
      </c>
      <c r="F1236" s="2" t="inlineStr">
        <is>
          <t>Coffret</t>
        </is>
      </c>
      <c r="G1236" s="2" t="inlineStr">
        <is>
          <t>ME: 30th Celebration</t>
        </is>
      </c>
      <c r="H1236" s="3" t="n">
        <v>92.08</v>
      </c>
      <c r="I1236" s="3" t="n">
        <v>92.84</v>
      </c>
      <c r="J1236" s="3" t="n">
        <v>120.47</v>
      </c>
      <c r="K1236" s="3" t="n">
        <v>92.2</v>
      </c>
      <c r="L1236" s="2" t="inlineStr">
        <is>
          <t>PriceCharting + TCGplayer</t>
        </is>
      </c>
      <c r="M1236" s="4" t="inlineStr">
        <is>
          <t>https://www.pricecharting.com/game/pokemon-30th-celebration/binder-collection</t>
        </is>
      </c>
      <c r="N1236" s="4" t="inlineStr">
        <is>
          <t>https://www.tcgplayer.com/product/704169</t>
        </is>
      </c>
    </row>
    <row r="1237">
      <c r="A1237" s="2" t="inlineStr">
        <is>
          <t>30th Celebration Booster Bundle</t>
        </is>
      </c>
      <c r="B1237" s="3">
        <f>IF(H1237&lt;&gt;"",H1237,IF(I1237&lt;&gt;"",I1237,IF(J1237&lt;&gt;"",J1237,K1237)))</f>
        <v>87.5</v>
      </c>
      <c r="C1237" s="3">
        <f>MEDIAN(H1237:K1237)</f>
        <v>105.005</v>
      </c>
      <c r="D1237" s="3">
        <f>ROUND(C1237*(1-Settings!$B$2),2)</f>
        <v>73.5</v>
      </c>
      <c r="E1237" s="2" t="inlineStr">
        <is>
          <t>Pokemon</t>
        </is>
      </c>
      <c r="F1237" s="2" t="inlineStr">
        <is>
          <t>Coffret</t>
        </is>
      </c>
      <c r="G1237" s="2" t="inlineStr">
        <is>
          <t>ME: 30th Celebration</t>
        </is>
      </c>
      <c r="H1237" s="3" t="n">
        <v>87.5</v>
      </c>
      <c r="I1237" s="3" t="n">
        <v>109.01</v>
      </c>
      <c r="J1237" s="3" t="n">
        <v>110.9</v>
      </c>
      <c r="K1237" s="3" t="n">
        <v>101</v>
      </c>
      <c r="L1237" s="2" t="inlineStr">
        <is>
          <t>PriceCharting + TCGplayer</t>
        </is>
      </c>
      <c r="M1237" s="4" t="inlineStr">
        <is>
          <t>https://www.pricecharting.com/game/pokemon-30th-celebration/booster-bundle</t>
        </is>
      </c>
      <c r="N1237" s="4" t="inlineStr">
        <is>
          <t>https://www.tcgplayer.com/product/704171</t>
        </is>
      </c>
    </row>
    <row r="1238">
      <c r="A1238" s="2" t="inlineStr">
        <is>
          <t>30th Celebration Classic Collection Pack</t>
        </is>
      </c>
      <c r="B1238" s="3">
        <f>IF(H1238&lt;&gt;"",H1238,IF(I1238&lt;&gt;"",I1238,IF(J1238&lt;&gt;"",J1238,K1238)))</f>
        <v>352.45</v>
      </c>
      <c r="C1238" s="3">
        <f>MEDIAN(H1238:K1238)</f>
        <v>373.525</v>
      </c>
      <c r="D1238" s="3">
        <f>ROUND(C1238*(1-Settings!$B$2),2)</f>
        <v>261.47</v>
      </c>
      <c r="E1238" s="2" t="inlineStr">
        <is>
          <t>Pokemon</t>
        </is>
      </c>
      <c r="F1238" s="2" t="inlineStr">
        <is>
          <t>Coffret</t>
        </is>
      </c>
      <c r="G1238" s="2" t="inlineStr">
        <is>
          <t>ME: 30th Celebration</t>
        </is>
      </c>
      <c r="H1238" s="3" t="n">
        <v>352.45</v>
      </c>
      <c r="I1238" s="3" t="n">
        <v>307.59</v>
      </c>
      <c r="J1238" s="3" t="n">
        <v>399.29</v>
      </c>
      <c r="K1238" s="3" t="n">
        <v>394.6</v>
      </c>
      <c r="L1238" s="2" t="inlineStr">
        <is>
          <t>PriceCharting + TCGplayer</t>
        </is>
      </c>
      <c r="M1238" s="4" t="inlineStr">
        <is>
          <t>https://www.pricecharting.com/game/pokemon-30th-celebration/classic-collection-pack</t>
        </is>
      </c>
      <c r="N1238" s="4" t="inlineStr">
        <is>
          <t>https://www.tcgplayer.com/product/704192</t>
        </is>
      </c>
    </row>
    <row r="1239">
      <c r="A1239" s="2" t="inlineStr">
        <is>
          <t>30th Celebration Ditto Premium Collection</t>
        </is>
      </c>
      <c r="B1239" s="3">
        <f>IF(H1239&lt;&gt;"",H1239,IF(I1239&lt;&gt;"",I1239,IF(J1239&lt;&gt;"",J1239,K1239)))</f>
        <v>189.06</v>
      </c>
      <c r="C1239" s="3">
        <f>MEDIAN(H1239:K1239)</f>
        <v>193.315</v>
      </c>
      <c r="D1239" s="3">
        <f>ROUND(C1239*(1-Settings!$B$2),2)</f>
        <v>135.32</v>
      </c>
      <c r="E1239" s="2" t="inlineStr">
        <is>
          <t>Pokemon</t>
        </is>
      </c>
      <c r="F1239" s="2" t="inlineStr">
        <is>
          <t>Coffret</t>
        </is>
      </c>
      <c r="G1239" s="2" t="inlineStr">
        <is>
          <t>ME: 30th Celebration</t>
        </is>
      </c>
      <c r="H1239" s="3" t="n">
        <v>189.06</v>
      </c>
      <c r="I1239" s="3" t="n">
        <v>193.7</v>
      </c>
      <c r="J1239" s="3" t="n">
        <v>194.23</v>
      </c>
      <c r="K1239" s="3" t="n">
        <v>192.93</v>
      </c>
      <c r="L1239" s="2" t="inlineStr">
        <is>
          <t>PriceCharting + TCGplayer</t>
        </is>
      </c>
      <c r="M1239" s="4" t="inlineStr">
        <is>
          <t>https://www.pricecharting.com/game/pokemon-30th-celebration/ditto-premium-collection</t>
        </is>
      </c>
      <c r="N1239" s="4" t="inlineStr">
        <is>
          <t>https://www.tcgplayer.com/product/704189</t>
        </is>
      </c>
    </row>
    <row r="1240">
      <c r="A1240" s="2" t="inlineStr">
        <is>
          <t>30th Celebration Elite Trainer Box</t>
        </is>
      </c>
      <c r="B1240" s="3">
        <f>IF(H1240&lt;&gt;"",H1240,IF(I1240&lt;&gt;"",I1240,IF(J1240&lt;&gt;"",J1240,K1240)))</f>
        <v>158.26</v>
      </c>
      <c r="C1240" s="3">
        <f>MEDIAN(H1240:K1240)</f>
        <v>160.74</v>
      </c>
      <c r="D1240" s="3">
        <f>ROUND(C1240*(1-Settings!$B$2),2)</f>
        <v>112.52</v>
      </c>
      <c r="E1240" s="2" t="inlineStr">
        <is>
          <t>Pokemon</t>
        </is>
      </c>
      <c r="F1240" s="2" t="inlineStr">
        <is>
          <t>Coffret</t>
        </is>
      </c>
      <c r="G1240" s="2" t="inlineStr">
        <is>
          <t>ME: 30th Celebration</t>
        </is>
      </c>
      <c r="H1240" s="3" t="n">
        <v>158.26</v>
      </c>
      <c r="I1240" s="3" t="n">
        <v>161.49</v>
      </c>
      <c r="J1240" s="3" t="n">
        <v>178.9</v>
      </c>
      <c r="K1240" s="3" t="n">
        <v>159.99</v>
      </c>
      <c r="L1240" s="2" t="inlineStr">
        <is>
          <t>PriceCharting + TCGplayer</t>
        </is>
      </c>
      <c r="M1240" s="4" t="inlineStr">
        <is>
          <t>https://www.pricecharting.com/game/pokemon-30th-celebration/elite-trainer-box</t>
        </is>
      </c>
      <c r="N1240" s="4" t="inlineStr">
        <is>
          <t>https://www.tcgplayer.com/product/704143</t>
        </is>
      </c>
    </row>
    <row r="1241">
      <c r="A1241" s="2" t="inlineStr">
        <is>
          <t>30th Celebration ex Tin [Greninja ex] (International Version)</t>
        </is>
      </c>
      <c r="B1241" s="3">
        <f>IF(H1241&lt;&gt;"",H1241,IF(I1241&lt;&gt;"",I1241,IF(J1241&lt;&gt;"",J1241,K1241)))</f>
        <v>55.65</v>
      </c>
      <c r="C1241" s="3">
        <f>MEDIAN(H1241:K1241)</f>
        <v>94.79</v>
      </c>
      <c r="D1241" s="3">
        <f>ROUND(C1241*(1-Settings!$B$2),2)</f>
        <v>66.35</v>
      </c>
      <c r="E1241" s="2" t="inlineStr">
        <is>
          <t>Pokemon</t>
        </is>
      </c>
      <c r="F1241" s="2" t="inlineStr">
        <is>
          <t>Coffret</t>
        </is>
      </c>
      <c r="G1241" s="2" t="inlineStr">
        <is>
          <t>ME: 30th Celebration</t>
        </is>
      </c>
      <c r="H1241" s="3" t="n"/>
      <c r="I1241" s="3" t="n">
        <v>55.65</v>
      </c>
      <c r="J1241" s="3" t="n">
        <v>94.8</v>
      </c>
      <c r="K1241" s="3" t="n">
        <v>94.79000000000001</v>
      </c>
      <c r="L1241" s="2" t="inlineStr">
        <is>
          <t>TCGplayer</t>
        </is>
      </c>
      <c r="N1241" s="4" t="inlineStr">
        <is>
          <t>https://www.tcgplayer.com/product/704150</t>
        </is>
      </c>
    </row>
    <row r="1242">
      <c r="A1242" s="2" t="inlineStr">
        <is>
          <t>30th Celebration ex Tin [Greninja ex] (Retail Version)</t>
        </is>
      </c>
      <c r="B1242" s="3">
        <f>IF(H1242&lt;&gt;"",H1242,IF(I1242&lt;&gt;"",I1242,IF(J1242&lt;&gt;"",J1242,K1242)))</f>
        <v>61.24</v>
      </c>
      <c r="C1242" s="3">
        <f>MEDIAN(H1242:K1242)</f>
        <v>61.24</v>
      </c>
      <c r="D1242" s="3">
        <f>ROUND(C1242*(1-Settings!$B$2),2)</f>
        <v>42.87</v>
      </c>
      <c r="E1242" s="2" t="inlineStr">
        <is>
          <t>Pokemon</t>
        </is>
      </c>
      <c r="F1242" s="2" t="inlineStr">
        <is>
          <t>Coffret</t>
        </is>
      </c>
      <c r="G1242" s="2" t="inlineStr">
        <is>
          <t>ME: 30th Celebration</t>
        </is>
      </c>
      <c r="H1242" s="3" t="n"/>
      <c r="I1242" s="3" t="n">
        <v>61.24</v>
      </c>
      <c r="J1242" s="3" t="n">
        <v>68</v>
      </c>
      <c r="K1242" s="3" t="n">
        <v>56</v>
      </c>
      <c r="L1242" s="2" t="inlineStr">
        <is>
          <t>TCGplayer</t>
        </is>
      </c>
      <c r="N1242" s="4" t="inlineStr">
        <is>
          <t>https://www.tcgplayer.com/product/718673</t>
        </is>
      </c>
    </row>
    <row r="1243">
      <c r="A1243" s="2" t="inlineStr">
        <is>
          <t>30th Celebration ex Tin [Set of 2] (International Version)</t>
        </is>
      </c>
      <c r="B1243" s="3">
        <f>IF(H1243&lt;&gt;"",H1243,IF(I1243&lt;&gt;"",I1243,IF(J1243&lt;&gt;"",J1243,K1243)))</f>
        <v>127.39</v>
      </c>
      <c r="C1243" s="3">
        <f>MEDIAN(H1243:K1243)</f>
        <v>349.89</v>
      </c>
      <c r="D1243" s="3">
        <f>ROUND(C1243*(1-Settings!$B$2),2)</f>
        <v>244.92</v>
      </c>
      <c r="E1243" s="2" t="inlineStr">
        <is>
          <t>Pokemon</t>
        </is>
      </c>
      <c r="F1243" s="2" t="inlineStr">
        <is>
          <t>Coffret</t>
        </is>
      </c>
      <c r="G1243" s="2" t="inlineStr">
        <is>
          <t>ME: 30th Celebration</t>
        </is>
      </c>
      <c r="H1243" s="3" t="n"/>
      <c r="I1243" s="3" t="n">
        <v>127.39</v>
      </c>
      <c r="J1243" s="3" t="n">
        <v>349.89</v>
      </c>
      <c r="K1243" s="3" t="n">
        <v>349.89</v>
      </c>
      <c r="L1243" s="2" t="inlineStr">
        <is>
          <t>TCGplayer</t>
        </is>
      </c>
      <c r="N1243" s="4" t="inlineStr">
        <is>
          <t>https://www.tcgplayer.com/product/704151</t>
        </is>
      </c>
    </row>
    <row r="1244">
      <c r="A1244" s="2" t="inlineStr">
        <is>
          <t>30th Celebration ex Tin [Set of 2] (Retail Version)</t>
        </is>
      </c>
      <c r="B1244" s="3">
        <f>IF(H1244&lt;&gt;"",H1244,IF(I1244&lt;&gt;"",I1244,IF(J1244&lt;&gt;"",J1244,K1244)))</f>
        <v>140.0</v>
      </c>
      <c r="C1244" s="3">
        <f>MEDIAN(H1244:K1244)</f>
        <v>140.0</v>
      </c>
      <c r="D1244" s="3">
        <f>ROUND(C1244*(1-Settings!$B$2),2)</f>
        <v>98.0</v>
      </c>
      <c r="E1244" s="2" t="inlineStr">
        <is>
          <t>Pokemon</t>
        </is>
      </c>
      <c r="F1244" s="2" t="inlineStr">
        <is>
          <t>Coffret</t>
        </is>
      </c>
      <c r="G1244" s="2" t="inlineStr">
        <is>
          <t>ME: 30th Celebration</t>
        </is>
      </c>
      <c r="H1244" s="3" t="n"/>
      <c r="I1244" s="3" t="n">
        <v>140</v>
      </c>
      <c r="J1244" s="3" t="n">
        <v>156.98</v>
      </c>
      <c r="K1244" s="3" t="n">
        <v>122.98</v>
      </c>
      <c r="L1244" s="2" t="inlineStr">
        <is>
          <t>TCGplayer</t>
        </is>
      </c>
      <c r="N1244" s="4" t="inlineStr">
        <is>
          <t>https://www.tcgplayer.com/product/718675</t>
        </is>
      </c>
    </row>
    <row r="1245">
      <c r="A1245" s="2" t="inlineStr">
        <is>
          <t>30th Celebration ex Tin [Sylveon ex] (International Version)</t>
        </is>
      </c>
      <c r="B1245" s="3">
        <f>IF(H1245&lt;&gt;"",H1245,IF(I1245&lt;&gt;"",I1245,IF(J1245&lt;&gt;"",J1245,K1245)))</f>
        <v>68.68</v>
      </c>
      <c r="C1245" s="3">
        <f>MEDIAN(H1245:K1245)</f>
        <v>94.39</v>
      </c>
      <c r="D1245" s="3">
        <f>ROUND(C1245*(1-Settings!$B$2),2)</f>
        <v>66.07</v>
      </c>
      <c r="E1245" s="2" t="inlineStr">
        <is>
          <t>Pokemon</t>
        </is>
      </c>
      <c r="F1245" s="2" t="inlineStr">
        <is>
          <t>Coffret</t>
        </is>
      </c>
      <c r="G1245" s="2" t="inlineStr">
        <is>
          <t>ME: 30th Celebration</t>
        </is>
      </c>
      <c r="H1245" s="3" t="n"/>
      <c r="I1245" s="3" t="n">
        <v>68.68000000000001</v>
      </c>
      <c r="J1245" s="3" t="n">
        <v>107.53</v>
      </c>
      <c r="K1245" s="3" t="n">
        <v>94.39</v>
      </c>
      <c r="L1245" s="2" t="inlineStr">
        <is>
          <t>TCGplayer</t>
        </is>
      </c>
      <c r="N1245" s="4" t="inlineStr">
        <is>
          <t>https://www.tcgplayer.com/product/704149</t>
        </is>
      </c>
    </row>
    <row r="1246">
      <c r="A1246" s="2" t="inlineStr">
        <is>
          <t>30th Celebration ex Tin [Sylveon ex] (Retail Version)</t>
        </is>
      </c>
      <c r="B1246" s="3">
        <f>IF(H1246&lt;&gt;"",H1246,IF(I1246&lt;&gt;"",I1246,IF(J1246&lt;&gt;"",J1246,K1246)))</f>
        <v>58.78</v>
      </c>
      <c r="C1246" s="3">
        <f>MEDIAN(H1246:K1246)</f>
        <v>58.78</v>
      </c>
      <c r="D1246" s="3">
        <f>ROUND(C1246*(1-Settings!$B$2),2)</f>
        <v>41.15</v>
      </c>
      <c r="E1246" s="2" t="inlineStr">
        <is>
          <t>Pokemon</t>
        </is>
      </c>
      <c r="F1246" s="2" t="inlineStr">
        <is>
          <t>Coffret</t>
        </is>
      </c>
      <c r="G1246" s="2" t="inlineStr">
        <is>
          <t>ME: 30th Celebration</t>
        </is>
      </c>
      <c r="H1246" s="3" t="n"/>
      <c r="I1246" s="3" t="n">
        <v>58.78</v>
      </c>
      <c r="J1246" s="3" t="n">
        <v>70</v>
      </c>
      <c r="K1246" s="3" t="n">
        <v>56</v>
      </c>
      <c r="L1246" s="2" t="inlineStr">
        <is>
          <t>TCGplayer</t>
        </is>
      </c>
      <c r="N1246" s="4" t="inlineStr">
        <is>
          <t>https://www.tcgplayer.com/product/718674</t>
        </is>
      </c>
    </row>
    <row r="1247">
      <c r="A1247" s="2" t="inlineStr">
        <is>
          <t>30th Celebration Figure Collection [Mew]</t>
        </is>
      </c>
      <c r="B1247" s="3">
        <f>IF(H1247&lt;&gt;"",H1247,IF(I1247&lt;&gt;"",I1247,IF(J1247&lt;&gt;"",J1247,K1247)))</f>
        <v>124.85</v>
      </c>
      <c r="C1247" s="3">
        <f>MEDIAN(H1247:K1247)</f>
        <v>124.845</v>
      </c>
      <c r="D1247" s="3">
        <f>ROUND(C1247*(1-Settings!$B$2),2)</f>
        <v>87.39</v>
      </c>
      <c r="E1247" s="2" t="inlineStr">
        <is>
          <t>Pokemon</t>
        </is>
      </c>
      <c r="F1247" s="2" t="inlineStr">
        <is>
          <t>Coffret</t>
        </is>
      </c>
      <c r="G1247" s="2" t="inlineStr">
        <is>
          <t>ME: 30th Celebration</t>
        </is>
      </c>
      <c r="H1247" s="3" t="n">
        <v>124.85</v>
      </c>
      <c r="I1247" s="3" t="n">
        <v>124.84</v>
      </c>
      <c r="J1247" s="3" t="n">
        <v>127.71</v>
      </c>
      <c r="K1247" s="3" t="n">
        <v>124.84</v>
      </c>
      <c r="L1247" s="2" t="inlineStr">
        <is>
          <t>PriceCharting + TCGplayer</t>
        </is>
      </c>
      <c r="M1247" s="4" t="inlineStr">
        <is>
          <t>https://www.pricecharting.com/game/pokemon-30th-celebration/figure-collection-mew</t>
        </is>
      </c>
      <c r="N1247" s="4" t="inlineStr">
        <is>
          <t>https://www.tcgplayer.com/product/704193</t>
        </is>
      </c>
    </row>
    <row r="1248">
      <c r="A1248" s="2" t="inlineStr">
        <is>
          <t>30th Celebration Figure Collection [Mewtwo]</t>
        </is>
      </c>
      <c r="B1248" s="3">
        <f>IF(H1248&lt;&gt;"",H1248,IF(I1248&lt;&gt;"",I1248,IF(J1248&lt;&gt;"",J1248,K1248)))</f>
        <v>96.83</v>
      </c>
      <c r="C1248" s="3">
        <f>MEDIAN(H1248:K1248)</f>
        <v>127.03999999999999</v>
      </c>
      <c r="D1248" s="3">
        <f>ROUND(C1248*(1-Settings!$B$2),2)</f>
        <v>88.93</v>
      </c>
      <c r="E1248" s="2" t="inlineStr">
        <is>
          <t>Pokemon</t>
        </is>
      </c>
      <c r="F1248" s="2" t="inlineStr">
        <is>
          <t>Coffret</t>
        </is>
      </c>
      <c r="G1248" s="2" t="inlineStr">
        <is>
          <t>ME: 30th Celebration</t>
        </is>
      </c>
      <c r="H1248" s="3" t="n">
        <v>96.83</v>
      </c>
      <c r="I1248" s="3" t="n">
        <v>116.13</v>
      </c>
      <c r="J1248" s="3" t="n">
        <v>201.47</v>
      </c>
      <c r="K1248" s="3" t="n">
        <v>137.95</v>
      </c>
      <c r="L1248" s="2" t="inlineStr">
        <is>
          <t>PriceCharting + TCGplayer</t>
        </is>
      </c>
      <c r="M1248" s="4" t="inlineStr">
        <is>
          <t>https://www.pricecharting.com/game/pokemon-30th-celebration/figure-collection-mewtwo</t>
        </is>
      </c>
      <c r="N1248" s="4" t="inlineStr">
        <is>
          <t>https://www.tcgplayer.com/product/704194</t>
        </is>
      </c>
    </row>
    <row r="1249">
      <c r="A1249" s="2" t="inlineStr">
        <is>
          <t>30th Celebration Greninja ex Box</t>
        </is>
      </c>
      <c r="B1249" s="3">
        <f>IF(H1249&lt;&gt;"",H1249,IF(I1249&lt;&gt;"",I1249,IF(J1249&lt;&gt;"",J1249,K1249)))</f>
        <v>56.3</v>
      </c>
      <c r="C1249" s="3">
        <f>MEDIAN(H1249:K1249)</f>
        <v>59.105</v>
      </c>
      <c r="D1249" s="3">
        <f>ROUND(C1249*(1-Settings!$B$2),2)</f>
        <v>41.37</v>
      </c>
      <c r="E1249" s="2" t="inlineStr">
        <is>
          <t>Pokemon</t>
        </is>
      </c>
      <c r="F1249" s="2" t="inlineStr">
        <is>
          <t>Coffret</t>
        </is>
      </c>
      <c r="G1249" s="2" t="inlineStr">
        <is>
          <t>ME: 30th Celebration</t>
        </is>
      </c>
      <c r="H1249" s="3" t="n">
        <v>56.3</v>
      </c>
      <c r="I1249" s="3" t="n">
        <v>61.91</v>
      </c>
      <c r="J1249" s="3" t="n">
        <v>67.47</v>
      </c>
      <c r="K1249" s="3" t="n">
        <v>51</v>
      </c>
      <c r="L1249" s="2" t="inlineStr">
        <is>
          <t>PriceCharting + TCGplayer</t>
        </is>
      </c>
      <c r="M1249" s="4" t="inlineStr">
        <is>
          <t>https://www.pricecharting.com/game/pokemon-30th-celebration/greninja-ex-box</t>
        </is>
      </c>
      <c r="N1249" s="4" t="inlineStr">
        <is>
          <t>https://www.tcgplayer.com/product/704168</t>
        </is>
      </c>
    </row>
    <row r="1250">
      <c r="A1250" s="2" t="inlineStr">
        <is>
          <t>30th Celebration Knock Out Collection</t>
        </is>
      </c>
      <c r="B1250" s="3">
        <f>IF(H1250&lt;&gt;"",H1250,IF(I1250&lt;&gt;"",I1250,IF(J1250&lt;&gt;"",J1250,K1250)))</f>
        <v>30.17</v>
      </c>
      <c r="C1250" s="3">
        <f>MEDIAN(H1250:K1250)</f>
        <v>31.04</v>
      </c>
      <c r="D1250" s="3">
        <f>ROUND(C1250*(1-Settings!$B$2),2)</f>
        <v>21.73</v>
      </c>
      <c r="E1250" s="2" t="inlineStr">
        <is>
          <t>Pokemon</t>
        </is>
      </c>
      <c r="F1250" s="2" t="inlineStr">
        <is>
          <t>Coffret</t>
        </is>
      </c>
      <c r="G1250" s="2" t="inlineStr">
        <is>
          <t>ME: 30th Celebration</t>
        </is>
      </c>
      <c r="H1250" s="3" t="n">
        <v>30.17</v>
      </c>
      <c r="I1250" s="3" t="n">
        <v>31.91</v>
      </c>
      <c r="J1250" s="3" t="n">
        <v>35</v>
      </c>
      <c r="K1250" s="3" t="n">
        <v>7</v>
      </c>
      <c r="L1250" s="2" t="inlineStr">
        <is>
          <t>PriceCharting + TCGplayer</t>
        </is>
      </c>
      <c r="M1250" s="4" t="inlineStr">
        <is>
          <t>https://www.pricecharting.com/game/pokemon-30th-celebration/knock-out-collection</t>
        </is>
      </c>
      <c r="N1250" s="4" t="inlineStr">
        <is>
          <t>https://www.tcgplayer.com/product/704152</t>
        </is>
      </c>
    </row>
    <row r="1251">
      <c r="A1251" s="2" t="inlineStr">
        <is>
          <t>30th Celebration Mini Tin [Day Pikachu]</t>
        </is>
      </c>
      <c r="B1251" s="3">
        <f>IF(H1251&lt;&gt;"",H1251,IF(I1251&lt;&gt;"",I1251,IF(J1251&lt;&gt;"",J1251,K1251)))</f>
        <v>49.49</v>
      </c>
      <c r="C1251" s="3">
        <f>MEDIAN(H1251:K1251)</f>
        <v>49.485</v>
      </c>
      <c r="D1251" s="3">
        <f>ROUND(C1251*(1-Settings!$B$2),2)</f>
        <v>34.64</v>
      </c>
      <c r="E1251" s="2" t="inlineStr">
        <is>
          <t>Pokemon</t>
        </is>
      </c>
      <c r="F1251" s="2" t="inlineStr">
        <is>
          <t>Coffret</t>
        </is>
      </c>
      <c r="G1251" s="2" t="inlineStr">
        <is>
          <t>ME: 30th Celebration</t>
        </is>
      </c>
      <c r="H1251" s="3" t="n">
        <v>49.49</v>
      </c>
      <c r="I1251" s="3" t="n">
        <v>49.24</v>
      </c>
      <c r="J1251" s="3" t="n">
        <v>49.49</v>
      </c>
      <c r="K1251" s="3" t="n">
        <v>49.48</v>
      </c>
      <c r="L1251" s="2" t="inlineStr">
        <is>
          <t>PriceCharting + TCGplayer</t>
        </is>
      </c>
      <c r="M1251" s="4" t="inlineStr">
        <is>
          <t>https://www.pricecharting.com/game/pokemon-30th-celebration/mini-tin-day-pikachu</t>
        </is>
      </c>
      <c r="N1251" s="4" t="inlineStr">
        <is>
          <t>https://www.tcgplayer.com/product/704177</t>
        </is>
      </c>
    </row>
    <row r="1252">
      <c r="A1252" s="2" t="inlineStr">
        <is>
          <t>30th Celebration Mini Tin [Espeon]</t>
        </is>
      </c>
      <c r="B1252" s="3">
        <f>IF(H1252&lt;&gt;"",H1252,IF(I1252&lt;&gt;"",I1252,IF(J1252&lt;&gt;"",J1252,K1252)))</f>
        <v>49.41</v>
      </c>
      <c r="C1252" s="3">
        <f>MEDIAN(H1252:K1252)</f>
        <v>49.43</v>
      </c>
      <c r="D1252" s="3">
        <f>ROUND(C1252*(1-Settings!$B$2),2)</f>
        <v>34.6</v>
      </c>
      <c r="E1252" s="2" t="inlineStr">
        <is>
          <t>Pokemon</t>
        </is>
      </c>
      <c r="F1252" s="2" t="inlineStr">
        <is>
          <t>Coffret</t>
        </is>
      </c>
      <c r="G1252" s="2" t="inlineStr">
        <is>
          <t>ME: 30th Celebration</t>
        </is>
      </c>
      <c r="H1252" s="3" t="n">
        <v>49.41</v>
      </c>
      <c r="I1252" s="3" t="n">
        <v>50</v>
      </c>
      <c r="J1252" s="3" t="n">
        <v>49.45</v>
      </c>
      <c r="K1252" s="3" t="n">
        <v>49.35</v>
      </c>
      <c r="L1252" s="2" t="inlineStr">
        <is>
          <t>PriceCharting + TCGplayer</t>
        </is>
      </c>
      <c r="M1252" s="4" t="inlineStr">
        <is>
          <t>https://www.pricecharting.com/game/pokemon-30th-celebration/mini-tin-espeon</t>
        </is>
      </c>
      <c r="N1252" s="4" t="inlineStr">
        <is>
          <t>https://www.tcgplayer.com/product/704176</t>
        </is>
      </c>
    </row>
    <row r="1253">
      <c r="A1253" s="2" t="inlineStr">
        <is>
          <t>30th Celebration Mini Tin [Greninja]</t>
        </is>
      </c>
      <c r="B1253" s="3">
        <f>IF(H1253&lt;&gt;"",H1253,IF(I1253&lt;&gt;"",I1253,IF(J1253&lt;&gt;"",J1253,K1253)))</f>
        <v>46.78</v>
      </c>
      <c r="C1253" s="3">
        <f>MEDIAN(H1253:K1253)</f>
        <v>46.855000000000004</v>
      </c>
      <c r="D1253" s="3">
        <f>ROUND(C1253*(1-Settings!$B$2),2)</f>
        <v>32.8</v>
      </c>
      <c r="E1253" s="2" t="inlineStr">
        <is>
          <t>Pokemon</t>
        </is>
      </c>
      <c r="F1253" s="2" t="inlineStr">
        <is>
          <t>Coffret</t>
        </is>
      </c>
      <c r="G1253" s="2" t="inlineStr">
        <is>
          <t>ME: 30th Celebration</t>
        </is>
      </c>
      <c r="H1253" s="3" t="n">
        <v>46.78</v>
      </c>
      <c r="I1253" s="3" t="n">
        <v>50.76</v>
      </c>
      <c r="J1253" s="3" t="n">
        <v>46.93</v>
      </c>
      <c r="K1253" s="3" t="n">
        <v>45.84</v>
      </c>
      <c r="L1253" s="2" t="inlineStr">
        <is>
          <t>PriceCharting + TCGplayer</t>
        </is>
      </c>
      <c r="M1253" s="4" t="inlineStr">
        <is>
          <t>https://www.pricecharting.com/game/pokemon-30th-celebration/mini-tin-greninja</t>
        </is>
      </c>
      <c r="N1253" s="4" t="inlineStr">
        <is>
          <t>https://www.tcgplayer.com/product/704185</t>
        </is>
      </c>
    </row>
    <row r="1254">
      <c r="A1254" s="2" t="inlineStr">
        <is>
          <t>30th Celebration Mini Tin [Lapras]</t>
        </is>
      </c>
      <c r="B1254" s="3">
        <f>IF(H1254&lt;&gt;"",H1254,IF(I1254&lt;&gt;"",I1254,IF(J1254&lt;&gt;"",J1254,K1254)))</f>
        <v>46.68</v>
      </c>
      <c r="C1254" s="3">
        <f>MEDIAN(H1254:K1254)</f>
        <v>46.78</v>
      </c>
      <c r="D1254" s="3">
        <f>ROUND(C1254*(1-Settings!$B$2),2)</f>
        <v>32.75</v>
      </c>
      <c r="E1254" s="2" t="inlineStr">
        <is>
          <t>Pokemon</t>
        </is>
      </c>
      <c r="F1254" s="2" t="inlineStr">
        <is>
          <t>Coffret</t>
        </is>
      </c>
      <c r="G1254" s="2" t="inlineStr">
        <is>
          <t>ME: 30th Celebration</t>
        </is>
      </c>
      <c r="H1254" s="3" t="n">
        <v>46.68</v>
      </c>
      <c r="I1254" s="3" t="n">
        <v>50.1</v>
      </c>
      <c r="J1254" s="3" t="n">
        <v>46.88</v>
      </c>
      <c r="K1254" s="3" t="n">
        <v>45.92</v>
      </c>
      <c r="L1254" s="2" t="inlineStr">
        <is>
          <t>PriceCharting + TCGplayer</t>
        </is>
      </c>
      <c r="M1254" s="4" t="inlineStr">
        <is>
          <t>https://www.pricecharting.com/game/pokemon-30th-celebration/mini-tin-lapras</t>
        </is>
      </c>
      <c r="N1254" s="4" t="inlineStr">
        <is>
          <t>https://www.tcgplayer.com/product/704179</t>
        </is>
      </c>
    </row>
    <row r="1255">
      <c r="A1255" s="2" t="inlineStr">
        <is>
          <t>30th Celebration Mini Tin [Mew]</t>
        </is>
      </c>
      <c r="B1255" s="3">
        <f>IF(H1255&lt;&gt;"",H1255,IF(I1255&lt;&gt;"",I1255,IF(J1255&lt;&gt;"",J1255,K1255)))</f>
        <v>48.94</v>
      </c>
      <c r="C1255" s="3">
        <f>MEDIAN(H1255:K1255)</f>
        <v>48.94</v>
      </c>
      <c r="D1255" s="3">
        <f>ROUND(C1255*(1-Settings!$B$2),2)</f>
        <v>34.26</v>
      </c>
      <c r="E1255" s="2" t="inlineStr">
        <is>
          <t>Pokemon</t>
        </is>
      </c>
      <c r="F1255" s="2" t="inlineStr">
        <is>
          <t>Coffret</t>
        </is>
      </c>
      <c r="G1255" s="2" t="inlineStr">
        <is>
          <t>ME: 30th Celebration</t>
        </is>
      </c>
      <c r="H1255" s="3" t="n">
        <v>48.94</v>
      </c>
      <c r="I1255" s="3" t="n">
        <v>48.87</v>
      </c>
      <c r="J1255" s="3" t="n">
        <v>48.98</v>
      </c>
      <c r="K1255" s="3" t="n">
        <v>48.94</v>
      </c>
      <c r="L1255" s="2" t="inlineStr">
        <is>
          <t>PriceCharting + TCGplayer</t>
        </is>
      </c>
      <c r="M1255" s="4" t="inlineStr">
        <is>
          <t>https://www.pricecharting.com/game/pokemon-30th-celebration/mini-tin-mew</t>
        </is>
      </c>
      <c r="N1255" s="4" t="inlineStr">
        <is>
          <t>https://www.tcgplayer.com/product/704178</t>
        </is>
      </c>
    </row>
    <row r="1256">
      <c r="A1256" s="2" t="inlineStr">
        <is>
          <t>30th Celebration Mini Tin [Mewtwo]</t>
        </is>
      </c>
      <c r="B1256" s="3">
        <f>IF(H1256&lt;&gt;"",H1256,IF(I1256&lt;&gt;"",I1256,IF(J1256&lt;&gt;"",J1256,K1256)))</f>
        <v>48.5</v>
      </c>
      <c r="C1256" s="3">
        <f>MEDIAN(H1256:K1256)</f>
        <v>48.575</v>
      </c>
      <c r="D1256" s="3">
        <f>ROUND(C1256*(1-Settings!$B$2),2)</f>
        <v>34.0</v>
      </c>
      <c r="E1256" s="2" t="inlineStr">
        <is>
          <t>Pokemon</t>
        </is>
      </c>
      <c r="F1256" s="2" t="inlineStr">
        <is>
          <t>Coffret</t>
        </is>
      </c>
      <c r="G1256" s="2" t="inlineStr">
        <is>
          <t>ME: 30th Celebration</t>
        </is>
      </c>
      <c r="H1256" s="3" t="n">
        <v>48.5</v>
      </c>
      <c r="I1256" s="3" t="n">
        <v>52.5</v>
      </c>
      <c r="J1256" s="3" t="n">
        <v>48.65</v>
      </c>
      <c r="K1256" s="3" t="n">
        <v>47.99</v>
      </c>
      <c r="L1256" s="2" t="inlineStr">
        <is>
          <t>PriceCharting + TCGplayer</t>
        </is>
      </c>
      <c r="M1256" s="4" t="inlineStr">
        <is>
          <t>https://www.pricecharting.com/game/pokemon-30th-celebration/mini-tin-mewtwo</t>
        </is>
      </c>
      <c r="N1256" s="4" t="inlineStr">
        <is>
          <t>https://www.tcgplayer.com/product/704183</t>
        </is>
      </c>
    </row>
    <row r="1257">
      <c r="A1257" s="2" t="inlineStr">
        <is>
          <t>30th Celebration Mini Tin [Moltres]</t>
        </is>
      </c>
      <c r="B1257" s="3">
        <f>IF(H1257&lt;&gt;"",H1257,IF(I1257&lt;&gt;"",I1257,IF(J1257&lt;&gt;"",J1257,K1257)))</f>
        <v>47.79</v>
      </c>
      <c r="C1257" s="3">
        <f>MEDIAN(H1257:K1257)</f>
        <v>47.91</v>
      </c>
      <c r="D1257" s="3">
        <f>ROUND(C1257*(1-Settings!$B$2),2)</f>
        <v>33.54</v>
      </c>
      <c r="E1257" s="2" t="inlineStr">
        <is>
          <t>Pokemon</t>
        </is>
      </c>
      <c r="F1257" s="2" t="inlineStr">
        <is>
          <t>Coffret</t>
        </is>
      </c>
      <c r="G1257" s="2" t="inlineStr">
        <is>
          <t>ME: 30th Celebration</t>
        </is>
      </c>
      <c r="H1257" s="3" t="n">
        <v>47.79</v>
      </c>
      <c r="I1257" s="3" t="n">
        <v>52.74</v>
      </c>
      <c r="J1257" s="3" t="n">
        <v>48.03</v>
      </c>
      <c r="K1257" s="3" t="n">
        <v>44.98</v>
      </c>
      <c r="L1257" s="2" t="inlineStr">
        <is>
          <t>PriceCharting + TCGplayer</t>
        </is>
      </c>
      <c r="M1257" s="4" t="inlineStr">
        <is>
          <t>https://www.pricecharting.com/game/pokemon-30th-celebration/mini-tin-moltres</t>
        </is>
      </c>
      <c r="N1257" s="4" t="inlineStr">
        <is>
          <t>https://www.tcgplayer.com/product/704180</t>
        </is>
      </c>
    </row>
    <row r="1258">
      <c r="A1258" s="2" t="inlineStr">
        <is>
          <t>30th Celebration Mini Tin [Night Pikachu]</t>
        </is>
      </c>
      <c r="B1258" s="3">
        <f>IF(H1258&lt;&gt;"",H1258,IF(I1258&lt;&gt;"",I1258,IF(J1258&lt;&gt;"",J1258,K1258)))</f>
        <v>46.48</v>
      </c>
      <c r="C1258" s="3">
        <f>MEDIAN(H1258:K1258)</f>
        <v>46.815</v>
      </c>
      <c r="D1258" s="3">
        <f>ROUND(C1258*(1-Settings!$B$2),2)</f>
        <v>32.77</v>
      </c>
      <c r="E1258" s="2" t="inlineStr">
        <is>
          <t>Pokemon</t>
        </is>
      </c>
      <c r="F1258" s="2" t="inlineStr">
        <is>
          <t>Coffret</t>
        </is>
      </c>
      <c r="G1258" s="2" t="inlineStr">
        <is>
          <t>ME: 30th Celebration</t>
        </is>
      </c>
      <c r="H1258" s="3" t="n">
        <v>46.48</v>
      </c>
      <c r="I1258" s="3" t="n">
        <v>49.68</v>
      </c>
      <c r="J1258" s="3" t="n">
        <v>47.15</v>
      </c>
      <c r="K1258" s="3" t="n">
        <v>45.99</v>
      </c>
      <c r="L1258" s="2" t="inlineStr">
        <is>
          <t>PriceCharting + TCGplayer</t>
        </is>
      </c>
      <c r="M1258" s="4" t="inlineStr">
        <is>
          <t>https://www.pricecharting.com/game/pokemon-30th-celebration/mini-tin-night-pikachu</t>
        </is>
      </c>
      <c r="N1258" s="4" t="inlineStr">
        <is>
          <t>https://www.tcgplayer.com/product/704184</t>
        </is>
      </c>
    </row>
    <row r="1259">
      <c r="A1259" s="2" t="inlineStr">
        <is>
          <t>30th Celebration Mini Tin [Umbreon]</t>
        </is>
      </c>
      <c r="B1259" s="3">
        <f>IF(H1259&lt;&gt;"",H1259,IF(I1259&lt;&gt;"",I1259,IF(J1259&lt;&gt;"",J1259,K1259)))</f>
        <v>49.49</v>
      </c>
      <c r="C1259" s="3">
        <f>MEDIAN(H1259:K1259)</f>
        <v>49.81</v>
      </c>
      <c r="D1259" s="3">
        <f>ROUND(C1259*(1-Settings!$B$2),2)</f>
        <v>34.87</v>
      </c>
      <c r="E1259" s="2" t="inlineStr">
        <is>
          <t>Pokemon</t>
        </is>
      </c>
      <c r="F1259" s="2" t="inlineStr">
        <is>
          <t>Coffret</t>
        </is>
      </c>
      <c r="G1259" s="2" t="inlineStr">
        <is>
          <t>ME: 30th Celebration</t>
        </is>
      </c>
      <c r="H1259" s="3" t="n">
        <v>49.49</v>
      </c>
      <c r="I1259" s="3" t="n">
        <v>49.63</v>
      </c>
      <c r="J1259" s="3" t="n">
        <v>63.24</v>
      </c>
      <c r="K1259" s="3" t="n">
        <v>49.99</v>
      </c>
      <c r="L1259" s="2" t="inlineStr">
        <is>
          <t>PriceCharting + TCGplayer</t>
        </is>
      </c>
      <c r="M1259" s="4" t="inlineStr">
        <is>
          <t>https://www.pricecharting.com/game/pokemon-30th-celebration/mini-tin-umbreon</t>
        </is>
      </c>
      <c r="N1259" s="4" t="inlineStr">
        <is>
          <t>https://www.tcgplayer.com/product/704182</t>
        </is>
      </c>
    </row>
    <row r="1260">
      <c r="A1260" s="2" t="inlineStr">
        <is>
          <t>30th Celebration Mini Tin [Zapdos]</t>
        </is>
      </c>
      <c r="B1260" s="3">
        <f>IF(H1260&lt;&gt;"",H1260,IF(I1260&lt;&gt;"",I1260,IF(J1260&lt;&gt;"",J1260,K1260)))</f>
        <v>46.23</v>
      </c>
      <c r="C1260" s="3">
        <f>MEDIAN(H1260:K1260)</f>
        <v>46.31</v>
      </c>
      <c r="D1260" s="3">
        <f>ROUND(C1260*(1-Settings!$B$2),2)</f>
        <v>32.42</v>
      </c>
      <c r="E1260" s="2" t="inlineStr">
        <is>
          <t>Pokemon</t>
        </is>
      </c>
      <c r="F1260" s="2" t="inlineStr">
        <is>
          <t>Coffret</t>
        </is>
      </c>
      <c r="G1260" s="2" t="inlineStr">
        <is>
          <t>ME: 30th Celebration</t>
        </is>
      </c>
      <c r="H1260" s="3" t="n">
        <v>46.23</v>
      </c>
      <c r="I1260" s="3" t="n">
        <v>54.88</v>
      </c>
      <c r="J1260" s="3" t="n">
        <v>46.39</v>
      </c>
      <c r="K1260" s="3" t="n">
        <v>44.98</v>
      </c>
      <c r="L1260" s="2" t="inlineStr">
        <is>
          <t>PriceCharting + TCGplayer</t>
        </is>
      </c>
      <c r="M1260" s="4" t="inlineStr">
        <is>
          <t>https://www.pricecharting.com/game/pokemon-30th-celebration/mini-tin-zapdos</t>
        </is>
      </c>
      <c r="N1260" s="4" t="inlineStr">
        <is>
          <t>https://www.tcgplayer.com/product/704181</t>
        </is>
      </c>
    </row>
    <row r="1261">
      <c r="A1261" s="2" t="inlineStr">
        <is>
          <t>30th Celebration Pokemon Center Elite Trainer Box</t>
        </is>
      </c>
      <c r="B1261" s="3">
        <f>IF(H1261&lt;&gt;"",H1261,IF(I1261&lt;&gt;"",I1261,IF(J1261&lt;&gt;"",J1261,K1261)))</f>
        <v>313.57</v>
      </c>
      <c r="C1261" s="3">
        <f>MEDIAN(H1261:K1261)</f>
        <v>313.57</v>
      </c>
      <c r="D1261" s="3">
        <f>ROUND(C1261*(1-Settings!$B$2),2)</f>
        <v>219.5</v>
      </c>
      <c r="E1261" s="2" t="inlineStr">
        <is>
          <t>Pokemon</t>
        </is>
      </c>
      <c r="F1261" s="2" t="inlineStr">
        <is>
          <t>Coffret</t>
        </is>
      </c>
      <c r="G1261" s="2" t="inlineStr">
        <is>
          <t>ME: 30th Celebration</t>
        </is>
      </c>
      <c r="H1261" s="3" t="n"/>
      <c r="I1261" s="3" t="n">
        <v>313.57</v>
      </c>
      <c r="J1261" s="3" t="n">
        <v>399.43</v>
      </c>
      <c r="K1261" s="3" t="n">
        <v>175</v>
      </c>
      <c r="L1261" s="2" t="inlineStr">
        <is>
          <t>TCGplayer</t>
        </is>
      </c>
      <c r="N1261" s="4" t="inlineStr">
        <is>
          <t>https://www.tcgplayer.com/product/704144</t>
        </is>
      </c>
    </row>
    <row r="1262">
      <c r="A1262" s="2" t="inlineStr">
        <is>
          <t>30th Celebration Poster Collection</t>
        </is>
      </c>
      <c r="B1262" s="3">
        <f>IF(H1262&lt;&gt;"",H1262,IF(I1262&lt;&gt;"",I1262,IF(J1262&lt;&gt;"",J1262,K1262)))</f>
        <v>48.33</v>
      </c>
      <c r="C1262" s="3">
        <f>MEDIAN(H1262:K1262)</f>
        <v>42.67</v>
      </c>
      <c r="D1262" s="3">
        <f>ROUND(C1262*(1-Settings!$B$2),2)</f>
        <v>29.87</v>
      </c>
      <c r="E1262" s="2" t="inlineStr">
        <is>
          <t>Pokemon</t>
        </is>
      </c>
      <c r="F1262" s="2" t="inlineStr">
        <is>
          <t>Coffret</t>
        </is>
      </c>
      <c r="G1262" s="2" t="inlineStr">
        <is>
          <t>ME: 30th Celebration</t>
        </is>
      </c>
      <c r="H1262" s="3" t="n">
        <v>48.33</v>
      </c>
      <c r="I1262" s="3" t="n">
        <v>38.34</v>
      </c>
      <c r="J1262" s="3" t="n">
        <v>47</v>
      </c>
      <c r="K1262" s="3" t="n">
        <v>33.49</v>
      </c>
      <c r="L1262" s="2" t="inlineStr">
        <is>
          <t>PriceCharting + TCGplayer</t>
        </is>
      </c>
      <c r="M1262" s="4" t="inlineStr">
        <is>
          <t>https://www.pricecharting.com/game/pokemon-30th-celebration/poster-collection</t>
        </is>
      </c>
      <c r="N1262" s="4" t="inlineStr">
        <is>
          <t>https://www.tcgplayer.com/product/704153</t>
        </is>
      </c>
    </row>
    <row r="1263">
      <c r="A1263" s="2" t="inlineStr">
        <is>
          <t>30th Celebration Sylveon ex Box</t>
        </is>
      </c>
      <c r="B1263" s="3">
        <f>IF(H1263&lt;&gt;"",H1263,IF(I1263&lt;&gt;"",I1263,IF(J1263&lt;&gt;"",J1263,K1263)))</f>
        <v>59.07</v>
      </c>
      <c r="C1263" s="3">
        <f>MEDIAN(H1263:K1263)</f>
        <v>60.480000000000004</v>
      </c>
      <c r="D1263" s="3">
        <f>ROUND(C1263*(1-Settings!$B$2),2)</f>
        <v>42.34</v>
      </c>
      <c r="E1263" s="2" t="inlineStr">
        <is>
          <t>Pokemon</t>
        </is>
      </c>
      <c r="F1263" s="2" t="inlineStr">
        <is>
          <t>Coffret</t>
        </is>
      </c>
      <c r="G1263" s="2" t="inlineStr">
        <is>
          <t>ME: 30th Celebration</t>
        </is>
      </c>
      <c r="H1263" s="3" t="n">
        <v>59.07</v>
      </c>
      <c r="I1263" s="3" t="n">
        <v>61.89</v>
      </c>
      <c r="J1263" s="3" t="n">
        <v>70</v>
      </c>
      <c r="K1263" s="3" t="n">
        <v>2</v>
      </c>
      <c r="L1263" s="2" t="inlineStr">
        <is>
          <t>PriceCharting + TCGplayer</t>
        </is>
      </c>
      <c r="M1263" s="4" t="inlineStr">
        <is>
          <t>https://www.pricecharting.com/game/pokemon-30th-celebration/sylveon-ex-box</t>
        </is>
      </c>
      <c r="N1263" s="4" t="inlineStr">
        <is>
          <t>https://www.tcgplayer.com/product/704155</t>
        </is>
      </c>
    </row>
    <row r="1264">
      <c r="A1264" s="2" t="inlineStr">
        <is>
          <t>30th Celebration Tech Sticker Collection [Alolan Exeggutor]</t>
        </is>
      </c>
      <c r="B1264" s="3">
        <f>IF(H1264&lt;&gt;"",H1264,IF(I1264&lt;&gt;"",I1264,IF(J1264&lt;&gt;"",J1264,K1264)))</f>
        <v>39.9</v>
      </c>
      <c r="C1264" s="3">
        <f>MEDIAN(H1264:K1264)</f>
        <v>39.845</v>
      </c>
      <c r="D1264" s="3">
        <f>ROUND(C1264*(1-Settings!$B$2),2)</f>
        <v>27.89</v>
      </c>
      <c r="E1264" s="2" t="inlineStr">
        <is>
          <t>Pokemon</t>
        </is>
      </c>
      <c r="F1264" s="2" t="inlineStr">
        <is>
          <t>Coffret</t>
        </is>
      </c>
      <c r="G1264" s="2" t="inlineStr">
        <is>
          <t>ME: 30th Celebration</t>
        </is>
      </c>
      <c r="H1264" s="3" t="n">
        <v>39.9</v>
      </c>
      <c r="I1264" s="3" t="n">
        <v>39.79</v>
      </c>
      <c r="J1264" s="3" t="n">
        <v>44.99</v>
      </c>
      <c r="K1264" s="3" t="n">
        <v>30</v>
      </c>
      <c r="L1264" s="2" t="inlineStr">
        <is>
          <t>PriceCharting + TCGplayer</t>
        </is>
      </c>
      <c r="M1264" s="4" t="inlineStr">
        <is>
          <t>https://www.pricecharting.com/game/pokemon-30th-celebration/tech-sticker-collection-alolan-exeggutor</t>
        </is>
      </c>
      <c r="N1264" s="4" t="inlineStr">
        <is>
          <t>https://www.tcgplayer.com/product/704145</t>
        </is>
      </c>
    </row>
    <row r="1265">
      <c r="A1265" s="2" t="inlineStr">
        <is>
          <t>30th Celebration Tech Sticker Collection [Lucario]</t>
        </is>
      </c>
      <c r="B1265" s="3">
        <f>IF(H1265&lt;&gt;"",H1265,IF(I1265&lt;&gt;"",I1265,IF(J1265&lt;&gt;"",J1265,K1265)))</f>
        <v>47.17</v>
      </c>
      <c r="C1265" s="3">
        <f>MEDIAN(H1265:K1265)</f>
        <v>44.41</v>
      </c>
      <c r="D1265" s="3">
        <f>ROUND(C1265*(1-Settings!$B$2),2)</f>
        <v>31.09</v>
      </c>
      <c r="E1265" s="2" t="inlineStr">
        <is>
          <t>Pokemon</t>
        </is>
      </c>
      <c r="F1265" s="2" t="inlineStr">
        <is>
          <t>Coffret</t>
        </is>
      </c>
      <c r="G1265" s="2" t="inlineStr">
        <is>
          <t>ME: 30th Celebration</t>
        </is>
      </c>
      <c r="H1265" s="3" t="n">
        <v>47.17</v>
      </c>
      <c r="I1265" s="3" t="n">
        <v>41.65</v>
      </c>
      <c r="J1265" s="3" t="n">
        <v>49.99</v>
      </c>
      <c r="K1265" s="3" t="n">
        <v>35.5</v>
      </c>
      <c r="L1265" s="2" t="inlineStr">
        <is>
          <t>PriceCharting + TCGplayer</t>
        </is>
      </c>
      <c r="M1265" s="4" t="inlineStr">
        <is>
          <t>https://www.pricecharting.com/game/pokemon-30th-celebration/tech-sticker-collection-lucario</t>
        </is>
      </c>
      <c r="N1265" s="4" t="inlineStr">
        <is>
          <t>https://www.tcgplayer.com/product/704146</t>
        </is>
      </c>
    </row>
    <row r="1266">
      <c r="A1266" s="2" t="inlineStr">
        <is>
          <t>30th Celebration Tech Sticker Collection [Set of 2]</t>
        </is>
      </c>
      <c r="B1266" s="3">
        <f>IF(H1266&lt;&gt;"",H1266,IF(I1266&lt;&gt;"",I1266,IF(J1266&lt;&gt;"",J1266,K1266)))</f>
        <v>85.53</v>
      </c>
      <c r="C1266" s="3">
        <f>MEDIAN(H1266:K1266)</f>
        <v>85.53</v>
      </c>
      <c r="D1266" s="3">
        <f>ROUND(C1266*(1-Settings!$B$2),2)</f>
        <v>59.87</v>
      </c>
      <c r="E1266" s="2" t="inlineStr">
        <is>
          <t>Pokemon</t>
        </is>
      </c>
      <c r="F1266" s="2" t="inlineStr">
        <is>
          <t>Coffret</t>
        </is>
      </c>
      <c r="G1266" s="2" t="inlineStr">
        <is>
          <t>ME: 30th Celebration</t>
        </is>
      </c>
      <c r="H1266" s="3" t="n"/>
      <c r="I1266" s="3" t="n">
        <v>85.53</v>
      </c>
      <c r="J1266" s="3" t="n">
        <v>85.84</v>
      </c>
      <c r="K1266" s="3" t="n">
        <v>80.95</v>
      </c>
      <c r="L1266" s="2" t="inlineStr">
        <is>
          <t>TCGplayer</t>
        </is>
      </c>
      <c r="N1266" s="4" t="inlineStr">
        <is>
          <t>https://www.tcgplayer.com/product/704147</t>
        </is>
      </c>
    </row>
    <row r="1267">
      <c r="A1267" s="2" t="inlineStr">
        <is>
          <t>30th Celebration Ultra-Premium Collection [Day]</t>
        </is>
      </c>
      <c r="B1267" s="3">
        <f>IF(H1267&lt;&gt;"",H1267,IF(I1267&lt;&gt;"",I1267,IF(J1267&lt;&gt;"",J1267,K1267)))</f>
        <v>610.61</v>
      </c>
      <c r="C1267" s="3">
        <f>MEDIAN(H1267:K1267)</f>
        <v>588.56</v>
      </c>
      <c r="D1267" s="3">
        <f>ROUND(C1267*(1-Settings!$B$2),2)</f>
        <v>411.99</v>
      </c>
      <c r="E1267" s="2" t="inlineStr">
        <is>
          <t>Pokemon</t>
        </is>
      </c>
      <c r="F1267" s="2" t="inlineStr">
        <is>
          <t>Coffret</t>
        </is>
      </c>
      <c r="G1267" s="2" t="inlineStr">
        <is>
          <t>ME: 30th Celebration</t>
        </is>
      </c>
      <c r="H1267" s="3" t="n">
        <v>610.61</v>
      </c>
      <c r="I1267" s="3" t="n">
        <v>566.51</v>
      </c>
      <c r="J1267" s="3" t="n">
        <v>614.99</v>
      </c>
      <c r="K1267" s="3" t="n">
        <v>566.1799999999999</v>
      </c>
      <c r="L1267" s="2" t="inlineStr">
        <is>
          <t>PriceCharting + TCGplayer</t>
        </is>
      </c>
      <c r="M1267" s="4" t="inlineStr">
        <is>
          <t>https://www.pricecharting.com/game/pokemon-30th-celebration/ultra-premium-collection-day</t>
        </is>
      </c>
      <c r="N1267" s="4" t="inlineStr">
        <is>
          <t>https://www.tcgplayer.com/product/704190</t>
        </is>
      </c>
    </row>
    <row r="1268">
      <c r="A1268" s="2" t="inlineStr">
        <is>
          <t>30th Celebration Ultra-Premium Collection [Night]</t>
        </is>
      </c>
      <c r="B1268" s="3">
        <f>IF(H1268&lt;&gt;"",H1268,IF(I1268&lt;&gt;"",I1268,IF(J1268&lt;&gt;"",J1268,K1268)))</f>
        <v>710.15</v>
      </c>
      <c r="C1268" s="3">
        <f>MEDIAN(H1268:K1268)</f>
        <v>721.765</v>
      </c>
      <c r="D1268" s="3">
        <f>ROUND(C1268*(1-Settings!$B$2),2)</f>
        <v>505.24</v>
      </c>
      <c r="E1268" s="2" t="inlineStr">
        <is>
          <t>Pokemon</t>
        </is>
      </c>
      <c r="F1268" s="2" t="inlineStr">
        <is>
          <t>Coffret</t>
        </is>
      </c>
      <c r="G1268" s="2" t="inlineStr">
        <is>
          <t>ME: 30th Celebration</t>
        </is>
      </c>
      <c r="H1268" s="3" t="n">
        <v>710.15</v>
      </c>
      <c r="I1268" s="3" t="n">
        <v>723.54</v>
      </c>
      <c r="J1268" s="3" t="n">
        <v>724.99</v>
      </c>
      <c r="K1268" s="3" t="n">
        <v>719.99</v>
      </c>
      <c r="L1268" s="2" t="inlineStr">
        <is>
          <t>PriceCharting + TCGplayer</t>
        </is>
      </c>
      <c r="M1268" s="4" t="inlineStr">
        <is>
          <t>https://www.pricecharting.com/game/pokemon-30th-celebration/ultra-premium-collection-night</t>
        </is>
      </c>
      <c r="N1268" s="4" t="inlineStr">
        <is>
          <t>https://www.tcgplayer.com/product/704191</t>
        </is>
      </c>
    </row>
    <row r="1269">
      <c r="A1269" s="2" t="inlineStr">
        <is>
          <t>Ascended Heroes Booster Bundle</t>
        </is>
      </c>
      <c r="B1269" s="3">
        <f>IF(H1269&lt;&gt;"",H1269,IF(I1269&lt;&gt;"",I1269,IF(J1269&lt;&gt;"",J1269,K1269)))</f>
        <v>84.42</v>
      </c>
      <c r="C1269" s="3">
        <f>MEDIAN(H1269:K1269)</f>
        <v>82.965</v>
      </c>
      <c r="D1269" s="3">
        <f>ROUND(C1269*(1-Settings!$B$2),2)</f>
        <v>58.08</v>
      </c>
      <c r="E1269" s="2" t="inlineStr">
        <is>
          <t>Pokemon</t>
        </is>
      </c>
      <c r="F1269" s="2" t="inlineStr">
        <is>
          <t>Coffret</t>
        </is>
      </c>
      <c r="G1269" s="2" t="inlineStr">
        <is>
          <t>ME: Ascended Heroes</t>
        </is>
      </c>
      <c r="H1269" s="3" t="n">
        <v>84.42</v>
      </c>
      <c r="I1269" s="3" t="n">
        <v>81.51000000000001</v>
      </c>
      <c r="J1269" s="3" t="n">
        <v>91.98999999999999</v>
      </c>
      <c r="K1269" s="3" t="n">
        <v>72.98999999999999</v>
      </c>
      <c r="L1269" s="2" t="inlineStr">
        <is>
          <t>PriceCharting + TCGplayer</t>
        </is>
      </c>
      <c r="M1269" s="4" t="inlineStr">
        <is>
          <t>https://www.pricecharting.com/game/pokemon-ascended-heroes/booster-bundle</t>
        </is>
      </c>
      <c r="N1269" s="4" t="inlineStr">
        <is>
          <t>https://www.tcgplayer.com/product/668541</t>
        </is>
      </c>
    </row>
    <row r="1270">
      <c r="A1270" s="2" t="inlineStr">
        <is>
          <t>Ascended Heroes Elite Trainer Box</t>
        </is>
      </c>
      <c r="B1270" s="3">
        <f>IF(H1270&lt;&gt;"",H1270,IF(I1270&lt;&gt;"",I1270,IF(J1270&lt;&gt;"",J1270,K1270)))</f>
        <v>155.0</v>
      </c>
      <c r="C1270" s="3">
        <f>MEDIAN(H1270:K1270)</f>
        <v>153.64499999999998</v>
      </c>
      <c r="D1270" s="3">
        <f>ROUND(C1270*(1-Settings!$B$2),2)</f>
        <v>107.55</v>
      </c>
      <c r="E1270" s="2" t="inlineStr">
        <is>
          <t>Pokemon</t>
        </is>
      </c>
      <c r="F1270" s="2" t="inlineStr">
        <is>
          <t>Coffret</t>
        </is>
      </c>
      <c r="G1270" s="2" t="inlineStr">
        <is>
          <t>ME: Ascended Heroes</t>
        </is>
      </c>
      <c r="H1270" s="3" t="n">
        <v>155</v>
      </c>
      <c r="I1270" s="3" t="n">
        <v>152.29</v>
      </c>
      <c r="J1270" s="3" t="n">
        <v>179.99</v>
      </c>
      <c r="K1270" s="3" t="n">
        <v>1</v>
      </c>
      <c r="L1270" s="2" t="inlineStr">
        <is>
          <t>PriceCharting + TCGplayer</t>
        </is>
      </c>
      <c r="M1270" s="4" t="inlineStr">
        <is>
          <t>https://www.pricecharting.com/game/pokemon-ascended-heroes/elite-trainer-box</t>
        </is>
      </c>
      <c r="N1270" s="4" t="inlineStr">
        <is>
          <t>https://www.tcgplayer.com/product/668496</t>
        </is>
      </c>
    </row>
    <row r="1271">
      <c r="A1271" s="2" t="inlineStr">
        <is>
          <t>Ascended Heroes First Partners Deluxe Pin Collection</t>
        </is>
      </c>
      <c r="B1271" s="3">
        <f>IF(H1271&lt;&gt;"",H1271,IF(I1271&lt;&gt;"",I1271,IF(J1271&lt;&gt;"",J1271,K1271)))</f>
        <v>67.82</v>
      </c>
      <c r="C1271" s="3">
        <f>MEDIAN(H1271:K1271)</f>
        <v>67.305</v>
      </c>
      <c r="D1271" s="3">
        <f>ROUND(C1271*(1-Settings!$B$2),2)</f>
        <v>47.11</v>
      </c>
      <c r="E1271" s="2" t="inlineStr">
        <is>
          <t>Pokemon</t>
        </is>
      </c>
      <c r="F1271" s="2" t="inlineStr">
        <is>
          <t>Coffret</t>
        </is>
      </c>
      <c r="G1271" s="2" t="inlineStr">
        <is>
          <t>ME: Ascended Heroes</t>
        </is>
      </c>
      <c r="H1271" s="3" t="n">
        <v>67.81999999999999</v>
      </c>
      <c r="I1271" s="3" t="n">
        <v>66.79000000000001</v>
      </c>
      <c r="J1271" s="3" t="n">
        <v>70</v>
      </c>
      <c r="K1271" s="3" t="n">
        <v>1</v>
      </c>
      <c r="L1271" s="2" t="inlineStr">
        <is>
          <t>PriceCharting + TCGplayer</t>
        </is>
      </c>
      <c r="M1271" s="4" t="inlineStr">
        <is>
          <t>https://www.pricecharting.com/game/pokemon-ascended-heroes/first-partners-deluxe-pin-collection</t>
        </is>
      </c>
      <c r="N1271" s="4" t="inlineStr">
        <is>
          <t>https://www.tcgplayer.com/product/672391</t>
        </is>
      </c>
    </row>
    <row r="1272">
      <c r="A1272" s="2" t="inlineStr">
        <is>
          <t>Ascended Heroes Focused Fighters Premium Collection (Sam's Club)</t>
        </is>
      </c>
      <c r="B1272" s="3">
        <f>IF(H1272&lt;&gt;"",H1272,IF(I1272&lt;&gt;"",I1272,IF(J1272&lt;&gt;"",J1272,K1272)))</f>
        <v>197.81</v>
      </c>
      <c r="C1272" s="3">
        <f>MEDIAN(H1272:K1272)</f>
        <v>197.81</v>
      </c>
      <c r="D1272" s="3">
        <f>ROUND(C1272*(1-Settings!$B$2),2)</f>
        <v>138.47</v>
      </c>
      <c r="E1272" s="2" t="inlineStr">
        <is>
          <t>Pokemon</t>
        </is>
      </c>
      <c r="F1272" s="2" t="inlineStr">
        <is>
          <t>Coffret</t>
        </is>
      </c>
      <c r="G1272" s="2" t="inlineStr">
        <is>
          <t>ME: Ascended Heroes</t>
        </is>
      </c>
      <c r="H1272" s="3" t="n"/>
      <c r="I1272" s="3" t="n">
        <v>197.81</v>
      </c>
      <c r="J1272" s="3" t="n">
        <v>225</v>
      </c>
      <c r="K1272" s="3" t="n">
        <v>193</v>
      </c>
      <c r="L1272" s="2" t="inlineStr">
        <is>
          <t>TCGplayer</t>
        </is>
      </c>
      <c r="N1272" s="4" t="inlineStr">
        <is>
          <t>https://www.tcgplayer.com/product/706959</t>
        </is>
      </c>
    </row>
    <row r="1273">
      <c r="A1273" s="2" t="inlineStr">
        <is>
          <t>Ascended Heroes Mega Emboar ex Box</t>
        </is>
      </c>
      <c r="B1273" s="3">
        <f>IF(H1273&lt;&gt;"",H1273,IF(I1273&lt;&gt;"",I1273,IF(J1273&lt;&gt;"",J1273,K1273)))</f>
        <v>57.37</v>
      </c>
      <c r="C1273" s="3">
        <f>MEDIAN(H1273:K1273)</f>
        <v>57.295</v>
      </c>
      <c r="D1273" s="3">
        <f>ROUND(C1273*(1-Settings!$B$2),2)</f>
        <v>40.11</v>
      </c>
      <c r="E1273" s="2" t="inlineStr">
        <is>
          <t>Pokemon</t>
        </is>
      </c>
      <c r="F1273" s="2" t="inlineStr">
        <is>
          <t>Coffret</t>
        </is>
      </c>
      <c r="G1273" s="2" t="inlineStr">
        <is>
          <t>ME: Ascended Heroes</t>
        </is>
      </c>
      <c r="H1273" s="3" t="n">
        <v>57.37</v>
      </c>
      <c r="I1273" s="3" t="n">
        <v>57.22</v>
      </c>
      <c r="J1273" s="3" t="n">
        <v>60</v>
      </c>
      <c r="K1273" s="3" t="n">
        <v>44.77</v>
      </c>
      <c r="L1273" s="2" t="inlineStr">
        <is>
          <t>PriceCharting + TCGplayer</t>
        </is>
      </c>
      <c r="M1273" s="4" t="inlineStr">
        <is>
          <t>https://www.pricecharting.com/game/pokemon-ascended-heroes/mega-emboar-ex-box</t>
        </is>
      </c>
      <c r="N1273" s="4" t="inlineStr">
        <is>
          <t>https://www.tcgplayer.com/product/672734</t>
        </is>
      </c>
    </row>
    <row r="1274">
      <c r="A1274" s="2" t="inlineStr">
        <is>
          <t>Ascended Heroes Mega Feraligatr ex Box</t>
        </is>
      </c>
      <c r="B1274" s="3">
        <f>IF(H1274&lt;&gt;"",H1274,IF(I1274&lt;&gt;"",I1274,IF(J1274&lt;&gt;"",J1274,K1274)))</f>
        <v>52.67</v>
      </c>
      <c r="C1274" s="3">
        <f>MEDIAN(H1274:K1274)</f>
        <v>55.35</v>
      </c>
      <c r="D1274" s="3">
        <f>ROUND(C1274*(1-Settings!$B$2),2)</f>
        <v>38.75</v>
      </c>
      <c r="E1274" s="2" t="inlineStr">
        <is>
          <t>Pokemon</t>
        </is>
      </c>
      <c r="F1274" s="2" t="inlineStr">
        <is>
          <t>Coffret</t>
        </is>
      </c>
      <c r="G1274" s="2" t="inlineStr">
        <is>
          <t>ME: Ascended Heroes</t>
        </is>
      </c>
      <c r="H1274" s="3" t="n">
        <v>52.67</v>
      </c>
      <c r="I1274" s="3" t="n">
        <v>58.03</v>
      </c>
      <c r="J1274" s="3" t="n">
        <v>60</v>
      </c>
      <c r="K1274" s="3" t="n">
        <v>44</v>
      </c>
      <c r="L1274" s="2" t="inlineStr">
        <is>
          <t>PriceCharting + TCGplayer</t>
        </is>
      </c>
      <c r="M1274" s="4" t="inlineStr">
        <is>
          <t>https://www.pricecharting.com/game/pokemon-ascended-heroes/mega-feraligatr-ex-box</t>
        </is>
      </c>
      <c r="N1274" s="4" t="inlineStr">
        <is>
          <t>https://www.tcgplayer.com/product/672735</t>
        </is>
      </c>
    </row>
    <row r="1275">
      <c r="A1275" s="2" t="inlineStr">
        <is>
          <t>Ascended Heroes Mega Meganium ex Box</t>
        </is>
      </c>
      <c r="B1275" s="3">
        <f>IF(H1275&lt;&gt;"",H1275,IF(I1275&lt;&gt;"",I1275,IF(J1275&lt;&gt;"",J1275,K1275)))</f>
        <v>52.21</v>
      </c>
      <c r="C1275" s="3">
        <f>MEDIAN(H1275:K1275)</f>
        <v>53.83</v>
      </c>
      <c r="D1275" s="3">
        <f>ROUND(C1275*(1-Settings!$B$2),2)</f>
        <v>37.68</v>
      </c>
      <c r="E1275" s="2" t="inlineStr">
        <is>
          <t>Pokemon</t>
        </is>
      </c>
      <c r="F1275" s="2" t="inlineStr">
        <is>
          <t>Coffret</t>
        </is>
      </c>
      <c r="G1275" s="2" t="inlineStr">
        <is>
          <t>ME: Ascended Heroes</t>
        </is>
      </c>
      <c r="H1275" s="3" t="n">
        <v>52.21</v>
      </c>
      <c r="I1275" s="3" t="n">
        <v>55.45</v>
      </c>
      <c r="J1275" s="3" t="n">
        <v>60</v>
      </c>
      <c r="K1275" s="3" t="n">
        <v>44</v>
      </c>
      <c r="L1275" s="2" t="inlineStr">
        <is>
          <t>PriceCharting + TCGplayer</t>
        </is>
      </c>
      <c r="M1275" s="4" t="inlineStr">
        <is>
          <t>https://www.pricecharting.com/game/pokemon-ascended-heroes/mega-meganium-ex-box</t>
        </is>
      </c>
      <c r="N1275" s="4" t="inlineStr">
        <is>
          <t>https://www.tcgplayer.com/product/672733</t>
        </is>
      </c>
    </row>
    <row r="1276">
      <c r="A1276" s="2" t="inlineStr">
        <is>
          <t>Ascended Heroes Mini Tin [Clefairy &amp; Chikorita]</t>
        </is>
      </c>
      <c r="B1276" s="3">
        <f>IF(H1276&lt;&gt;"",H1276,IF(I1276&lt;&gt;"",I1276,IF(J1276&lt;&gt;"",J1276,K1276)))</f>
        <v>32.48</v>
      </c>
      <c r="C1276" s="3">
        <f>MEDIAN(H1276:K1276)</f>
        <v>33.84</v>
      </c>
      <c r="D1276" s="3">
        <f>ROUND(C1276*(1-Settings!$B$2),2)</f>
        <v>23.69</v>
      </c>
      <c r="E1276" s="2" t="inlineStr">
        <is>
          <t>Pokemon</t>
        </is>
      </c>
      <c r="F1276" s="2" t="inlineStr">
        <is>
          <t>Coffret</t>
        </is>
      </c>
      <c r="G1276" s="2" t="inlineStr">
        <is>
          <t>ME: Ascended Heroes</t>
        </is>
      </c>
      <c r="H1276" s="3" t="n">
        <v>32.48</v>
      </c>
      <c r="I1276" s="3" t="n">
        <v>35.2</v>
      </c>
      <c r="J1276" s="3" t="n">
        <v>35.87</v>
      </c>
      <c r="K1276" s="3" t="n">
        <v>25.97</v>
      </c>
      <c r="L1276" s="2" t="inlineStr">
        <is>
          <t>PriceCharting + TCGplayer</t>
        </is>
      </c>
      <c r="M1276" s="4" t="inlineStr">
        <is>
          <t>https://www.pricecharting.com/game/pokemon-ascended-heroes/mini-tin-clefairy-&amp;-chikorita</t>
        </is>
      </c>
      <c r="N1276" s="4" t="inlineStr">
        <is>
          <t>https://www.tcgplayer.com/product/668535</t>
        </is>
      </c>
    </row>
    <row r="1277">
      <c r="A1277" s="2" t="inlineStr">
        <is>
          <t>Ascended Heroes Mini Tin [Pikachu &amp; Tepig]</t>
        </is>
      </c>
      <c r="B1277" s="3">
        <f>IF(H1277&lt;&gt;"",H1277,IF(I1277&lt;&gt;"",I1277,IF(J1277&lt;&gt;"",J1277,K1277)))</f>
        <v>33.99</v>
      </c>
      <c r="C1277" s="3">
        <f>MEDIAN(H1277:K1277)</f>
        <v>34.485</v>
      </c>
      <c r="D1277" s="3">
        <f>ROUND(C1277*(1-Settings!$B$2),2)</f>
        <v>24.14</v>
      </c>
      <c r="E1277" s="2" t="inlineStr">
        <is>
          <t>Pokemon</t>
        </is>
      </c>
      <c r="F1277" s="2" t="inlineStr">
        <is>
          <t>Coffret</t>
        </is>
      </c>
      <c r="G1277" s="2" t="inlineStr">
        <is>
          <t>ME: Ascended Heroes</t>
        </is>
      </c>
      <c r="H1277" s="3" t="n">
        <v>33.99</v>
      </c>
      <c r="I1277" s="3" t="n">
        <v>35.09</v>
      </c>
      <c r="J1277" s="3" t="n">
        <v>34.98</v>
      </c>
      <c r="K1277" s="3" t="n">
        <v>8.99</v>
      </c>
      <c r="L1277" s="2" t="inlineStr">
        <is>
          <t>PriceCharting + TCGplayer</t>
        </is>
      </c>
      <c r="M1277" s="4" t="inlineStr">
        <is>
          <t>https://www.pricecharting.com/game/pokemon-ascended-heroes/mini-tin-pikachu-&amp;-tepig</t>
        </is>
      </c>
      <c r="N1277" s="4" t="inlineStr">
        <is>
          <t>https://www.tcgplayer.com/product/668531</t>
        </is>
      </c>
    </row>
    <row r="1278">
      <c r="A1278" s="2" t="inlineStr">
        <is>
          <t>Ascended Heroes Mini Tin [Riolu &amp; Darumaka]</t>
        </is>
      </c>
      <c r="B1278" s="3">
        <f>IF(H1278&lt;&gt;"",H1278,IF(I1278&lt;&gt;"",I1278,IF(J1278&lt;&gt;"",J1278,K1278)))</f>
        <v>32.27</v>
      </c>
      <c r="C1278" s="3">
        <f>MEDIAN(H1278:K1278)</f>
        <v>32.185</v>
      </c>
      <c r="D1278" s="3">
        <f>ROUND(C1278*(1-Settings!$B$2),2)</f>
        <v>22.53</v>
      </c>
      <c r="E1278" s="2" t="inlineStr">
        <is>
          <t>Pokemon</t>
        </is>
      </c>
      <c r="F1278" s="2" t="inlineStr">
        <is>
          <t>Coffret</t>
        </is>
      </c>
      <c r="G1278" s="2" t="inlineStr">
        <is>
          <t>ME: Ascended Heroes</t>
        </is>
      </c>
      <c r="H1278" s="3" t="n">
        <v>32.27</v>
      </c>
      <c r="I1278" s="3" t="n">
        <v>32.1</v>
      </c>
      <c r="J1278" s="3" t="n">
        <v>33.99</v>
      </c>
      <c r="K1278" s="3" t="n">
        <v>25.99</v>
      </c>
      <c r="L1278" s="2" t="inlineStr">
        <is>
          <t>PriceCharting + TCGplayer</t>
        </is>
      </c>
      <c r="M1278" s="4" t="inlineStr">
        <is>
          <t>https://www.pricecharting.com/game/pokemon-ascended-heroes/mini-tin-riolu-&amp;-darumaka</t>
        </is>
      </c>
      <c r="N1278" s="4" t="inlineStr">
        <is>
          <t>https://www.tcgplayer.com/product/668532</t>
        </is>
      </c>
    </row>
    <row r="1279">
      <c r="A1279" s="2" t="inlineStr">
        <is>
          <t>Ascended Heroes Mini Tin [Togepi &amp; Totodile]</t>
        </is>
      </c>
      <c r="B1279" s="3">
        <f>IF(H1279&lt;&gt;"",H1279,IF(I1279&lt;&gt;"",I1279,IF(J1279&lt;&gt;"",J1279,K1279)))</f>
        <v>35.37</v>
      </c>
      <c r="C1279" s="3">
        <f>MEDIAN(H1279:K1279)</f>
        <v>35.435</v>
      </c>
      <c r="D1279" s="3">
        <f>ROUND(C1279*(1-Settings!$B$2),2)</f>
        <v>24.8</v>
      </c>
      <c r="E1279" s="2" t="inlineStr">
        <is>
          <t>Pokemon</t>
        </is>
      </c>
      <c r="F1279" s="2" t="inlineStr">
        <is>
          <t>Coffret</t>
        </is>
      </c>
      <c r="G1279" s="2" t="inlineStr">
        <is>
          <t>ME: Ascended Heroes</t>
        </is>
      </c>
      <c r="H1279" s="3" t="n">
        <v>35.37</v>
      </c>
      <c r="I1279" s="3" t="n">
        <v>35.97</v>
      </c>
      <c r="J1279" s="3" t="n">
        <v>35.5</v>
      </c>
      <c r="K1279" s="3" t="n">
        <v>28</v>
      </c>
      <c r="L1279" s="2" t="inlineStr">
        <is>
          <t>PriceCharting + TCGplayer</t>
        </is>
      </c>
      <c r="M1279" s="4" t="inlineStr">
        <is>
          <t>https://www.pricecharting.com/game/pokemon-ascended-heroes/mini-tin-togepi-&amp;-totodile</t>
        </is>
      </c>
      <c r="N1279" s="4" t="inlineStr">
        <is>
          <t>https://www.tcgplayer.com/product/668534</t>
        </is>
      </c>
    </row>
    <row r="1280">
      <c r="A1280" s="2" t="inlineStr">
        <is>
          <t>Ascended Heroes Mini Tin [Zorua &amp; Cramorant]</t>
        </is>
      </c>
      <c r="B1280" s="3">
        <f>IF(H1280&lt;&gt;"",H1280,IF(I1280&lt;&gt;"",I1280,IF(J1280&lt;&gt;"",J1280,K1280)))</f>
        <v>34.72</v>
      </c>
      <c r="C1280" s="3">
        <f>MEDIAN(H1280:K1280)</f>
        <v>34.335</v>
      </c>
      <c r="D1280" s="3">
        <f>ROUND(C1280*(1-Settings!$B$2),2)</f>
        <v>24.03</v>
      </c>
      <c r="E1280" s="2" t="inlineStr">
        <is>
          <t>Pokemon</t>
        </is>
      </c>
      <c r="F1280" s="2" t="inlineStr">
        <is>
          <t>Coffret</t>
        </is>
      </c>
      <c r="G1280" s="2" t="inlineStr">
        <is>
          <t>ME: Ascended Heroes</t>
        </is>
      </c>
      <c r="H1280" s="3" t="n">
        <v>34.72</v>
      </c>
      <c r="I1280" s="3" t="n">
        <v>33.95</v>
      </c>
      <c r="J1280" s="3" t="n">
        <v>36.7</v>
      </c>
      <c r="K1280" s="3" t="n">
        <v>28.88</v>
      </c>
      <c r="L1280" s="2" t="inlineStr">
        <is>
          <t>PriceCharting + TCGplayer</t>
        </is>
      </c>
      <c r="M1280" s="4" t="inlineStr">
        <is>
          <t>https://www.pricecharting.com/game/pokemon-ascended-heroes/mini-tin-zorua-&amp;-cramorant</t>
        </is>
      </c>
      <c r="N1280" s="4" t="inlineStr">
        <is>
          <t>https://www.tcgplayer.com/product/668533</t>
        </is>
      </c>
    </row>
    <row r="1281">
      <c r="A1281" s="2" t="inlineStr">
        <is>
          <t>Ascended Heroes Mini Tins 5-Pack</t>
        </is>
      </c>
      <c r="B1281" s="3">
        <f>IF(H1281&lt;&gt;"",H1281,IF(I1281&lt;&gt;"",I1281,IF(J1281&lt;&gt;"",J1281,K1281)))</f>
        <v>166.28</v>
      </c>
      <c r="C1281" s="3">
        <f>MEDIAN(H1281:K1281)</f>
        <v>165.64</v>
      </c>
      <c r="D1281" s="3">
        <f>ROUND(C1281*(1-Settings!$B$2),2)</f>
        <v>115.95</v>
      </c>
      <c r="E1281" s="2" t="inlineStr">
        <is>
          <t>Pokemon</t>
        </is>
      </c>
      <c r="F1281" s="2" t="inlineStr">
        <is>
          <t>Coffret</t>
        </is>
      </c>
      <c r="G1281" s="2" t="inlineStr">
        <is>
          <t>ME: Ascended Heroes</t>
        </is>
      </c>
      <c r="H1281" s="3" t="n"/>
      <c r="I1281" s="3" t="n">
        <v>166.28</v>
      </c>
      <c r="J1281" s="3" t="n">
        <v>165.64</v>
      </c>
      <c r="K1281" s="3" t="n">
        <v>135</v>
      </c>
      <c r="L1281" s="2" t="inlineStr">
        <is>
          <t>TCGplayer</t>
        </is>
      </c>
      <c r="N1281" s="4" t="inlineStr">
        <is>
          <t>https://www.tcgplayer.com/product/668530</t>
        </is>
      </c>
    </row>
    <row r="1282">
      <c r="A1282" s="2" t="inlineStr">
        <is>
          <t>Ascended Heroes Pokemon Center Elite Trainer Box (Exclusive)</t>
        </is>
      </c>
      <c r="B1282" s="3">
        <f>IF(H1282&lt;&gt;"",H1282,IF(I1282&lt;&gt;"",I1282,IF(J1282&lt;&gt;"",J1282,K1282)))</f>
        <v>357.59</v>
      </c>
      <c r="C1282" s="3">
        <f>MEDIAN(H1282:K1282)</f>
        <v>357.59</v>
      </c>
      <c r="D1282" s="3">
        <f>ROUND(C1282*(1-Settings!$B$2),2)</f>
        <v>250.31</v>
      </c>
      <c r="E1282" s="2" t="inlineStr">
        <is>
          <t>Pokemon</t>
        </is>
      </c>
      <c r="F1282" s="2" t="inlineStr">
        <is>
          <t>Coffret</t>
        </is>
      </c>
      <c r="G1282" s="2" t="inlineStr">
        <is>
          <t>ME: Ascended Heroes</t>
        </is>
      </c>
      <c r="H1282" s="3" t="n"/>
      <c r="I1282" s="3" t="n">
        <v>357.59</v>
      </c>
      <c r="J1282" s="3" t="n">
        <v>463.5</v>
      </c>
      <c r="K1282" s="3" t="n">
        <v>319.99</v>
      </c>
      <c r="L1282" s="2" t="inlineStr">
        <is>
          <t>TCGplayer</t>
        </is>
      </c>
      <c r="N1282" s="4" t="inlineStr">
        <is>
          <t>https://www.tcgplayer.com/product/668497</t>
        </is>
      </c>
    </row>
    <row r="1283">
      <c r="A1283" s="2" t="inlineStr">
        <is>
          <t>Ascended Heroes Tin [Mega Emboar ex]</t>
        </is>
      </c>
      <c r="B1283" s="3">
        <f>IF(H1283&lt;&gt;"",H1283,IF(I1283&lt;&gt;"",I1283,IF(J1283&lt;&gt;"",J1283,K1283)))</f>
        <v>46.6</v>
      </c>
      <c r="C1283" s="3">
        <f>MEDIAN(H1283:K1283)</f>
        <v>46.6</v>
      </c>
      <c r="D1283" s="3">
        <f>ROUND(C1283*(1-Settings!$B$2),2)</f>
        <v>32.62</v>
      </c>
      <c r="E1283" s="2" t="inlineStr">
        <is>
          <t>Pokemon</t>
        </is>
      </c>
      <c r="F1283" s="2" t="inlineStr">
        <is>
          <t>Coffret</t>
        </is>
      </c>
      <c r="G1283" s="2" t="inlineStr">
        <is>
          <t>ME: Ascended Heroes</t>
        </is>
      </c>
      <c r="H1283" s="3" t="n"/>
      <c r="I1283" s="3" t="n">
        <v>46.6</v>
      </c>
      <c r="J1283" s="3" t="n">
        <v>50</v>
      </c>
      <c r="K1283" s="3" t="n">
        <v>42</v>
      </c>
      <c r="L1283" s="2" t="inlineStr">
        <is>
          <t>TCGplayer</t>
        </is>
      </c>
      <c r="N1283" s="4" t="inlineStr">
        <is>
          <t>https://www.tcgplayer.com/product/702496</t>
        </is>
      </c>
    </row>
    <row r="1284">
      <c r="A1284" s="2" t="inlineStr">
        <is>
          <t>Ascended Heroes Tin [Mega Feraligatr ex]</t>
        </is>
      </c>
      <c r="B1284" s="3">
        <f>IF(H1284&lt;&gt;"",H1284,IF(I1284&lt;&gt;"",I1284,IF(J1284&lt;&gt;"",J1284,K1284)))</f>
        <v>45.8</v>
      </c>
      <c r="C1284" s="3">
        <f>MEDIAN(H1284:K1284)</f>
        <v>45.8</v>
      </c>
      <c r="D1284" s="3">
        <f>ROUND(C1284*(1-Settings!$B$2),2)</f>
        <v>32.06</v>
      </c>
      <c r="E1284" s="2" t="inlineStr">
        <is>
          <t>Pokemon</t>
        </is>
      </c>
      <c r="F1284" s="2" t="inlineStr">
        <is>
          <t>Coffret</t>
        </is>
      </c>
      <c r="G1284" s="2" t="inlineStr">
        <is>
          <t>ME: Ascended Heroes</t>
        </is>
      </c>
      <c r="H1284" s="3" t="n"/>
      <c r="I1284" s="3" t="n">
        <v>45.8</v>
      </c>
      <c r="J1284" s="3" t="n">
        <v>52.61</v>
      </c>
      <c r="K1284" s="3" t="n">
        <v>42.01</v>
      </c>
      <c r="L1284" s="2" t="inlineStr">
        <is>
          <t>TCGplayer</t>
        </is>
      </c>
      <c r="N1284" s="4" t="inlineStr">
        <is>
          <t>https://www.tcgplayer.com/product/702497</t>
        </is>
      </c>
    </row>
    <row r="1285">
      <c r="A1285" s="2" t="inlineStr">
        <is>
          <t>Ascended Heroes Tin [Mega Meganium ex]</t>
        </is>
      </c>
      <c r="B1285" s="3">
        <f>IF(H1285&lt;&gt;"",H1285,IF(I1285&lt;&gt;"",I1285,IF(J1285&lt;&gt;"",J1285,K1285)))</f>
        <v>46.14</v>
      </c>
      <c r="C1285" s="3">
        <f>MEDIAN(H1285:K1285)</f>
        <v>46.14</v>
      </c>
      <c r="D1285" s="3">
        <f>ROUND(C1285*(1-Settings!$B$2),2)</f>
        <v>32.3</v>
      </c>
      <c r="E1285" s="2" t="inlineStr">
        <is>
          <t>Pokemon</t>
        </is>
      </c>
      <c r="F1285" s="2" t="inlineStr">
        <is>
          <t>Coffret</t>
        </is>
      </c>
      <c r="G1285" s="2" t="inlineStr">
        <is>
          <t>ME: Ascended Heroes</t>
        </is>
      </c>
      <c r="H1285" s="3" t="n"/>
      <c r="I1285" s="3" t="n">
        <v>46.14</v>
      </c>
      <c r="J1285" s="3" t="n">
        <v>50.5</v>
      </c>
      <c r="K1285" s="3" t="n">
        <v>40</v>
      </c>
      <c r="L1285" s="2" t="inlineStr">
        <is>
          <t>TCGplayer</t>
        </is>
      </c>
      <c r="N1285" s="4" t="inlineStr">
        <is>
          <t>https://www.tcgplayer.com/product/702498</t>
        </is>
      </c>
    </row>
    <row r="1286">
      <c r="A1286" s="2" t="inlineStr">
        <is>
          <t>Ascended Heroes Tin [Set of 3]</t>
        </is>
      </c>
      <c r="B1286" s="3">
        <f>IF(H1286&lt;&gt;"",H1286,IF(I1286&lt;&gt;"",I1286,IF(J1286&lt;&gt;"",J1286,K1286)))</f>
        <v>146.76</v>
      </c>
      <c r="C1286" s="3">
        <f>MEDIAN(H1286:K1286)</f>
        <v>146.76</v>
      </c>
      <c r="D1286" s="3">
        <f>ROUND(C1286*(1-Settings!$B$2),2)</f>
        <v>102.73</v>
      </c>
      <c r="E1286" s="2" t="inlineStr">
        <is>
          <t>Pokemon</t>
        </is>
      </c>
      <c r="F1286" s="2" t="inlineStr">
        <is>
          <t>Coffret</t>
        </is>
      </c>
      <c r="G1286" s="2" t="inlineStr">
        <is>
          <t>ME: Ascended Heroes</t>
        </is>
      </c>
      <c r="H1286" s="3" t="n"/>
      <c r="I1286" s="3" t="n">
        <v>146.76</v>
      </c>
      <c r="J1286" s="3" t="n">
        <v>149.99</v>
      </c>
      <c r="K1286" s="3" t="n">
        <v>136.48</v>
      </c>
      <c r="L1286" s="2" t="inlineStr">
        <is>
          <t>TCGplayer</t>
        </is>
      </c>
      <c r="N1286" s="4" t="inlineStr">
        <is>
          <t>https://www.tcgplayer.com/product/702500</t>
        </is>
      </c>
    </row>
    <row r="1287">
      <c r="A1287" s="2" t="inlineStr">
        <is>
          <t>Costco Ascended Heroes Mega ex Box Bundle</t>
        </is>
      </c>
      <c r="B1287" s="3">
        <f>IF(H1287&lt;&gt;"",H1287,IF(I1287&lt;&gt;"",I1287,IF(J1287&lt;&gt;"",J1287,K1287)))</f>
        <v>189.94</v>
      </c>
      <c r="C1287" s="3">
        <f>MEDIAN(H1287:K1287)</f>
        <v>189.94</v>
      </c>
      <c r="D1287" s="3">
        <f>ROUND(C1287*(1-Settings!$B$2),2)</f>
        <v>132.96</v>
      </c>
      <c r="E1287" s="2" t="inlineStr">
        <is>
          <t>Pokemon</t>
        </is>
      </c>
      <c r="F1287" s="2" t="inlineStr">
        <is>
          <t>Coffret</t>
        </is>
      </c>
      <c r="G1287" s="2" t="inlineStr">
        <is>
          <t>ME: Ascended Heroes</t>
        </is>
      </c>
      <c r="H1287" s="3" t="n"/>
      <c r="I1287" s="3" t="n">
        <v>189.94</v>
      </c>
      <c r="J1287" s="3" t="n">
        <v>199.99</v>
      </c>
      <c r="K1287" s="3" t="n">
        <v>164.99</v>
      </c>
      <c r="L1287" s="2" t="inlineStr">
        <is>
          <t>TCGplayer</t>
        </is>
      </c>
      <c r="N1287" s="4" t="inlineStr">
        <is>
          <t>https://www.tcgplayer.com/product/692541</t>
        </is>
      </c>
    </row>
    <row r="1288">
      <c r="A1288" s="2" t="inlineStr">
        <is>
          <t>Mega Evolution: Ascended Heroes Collection - Erika (3-Tab)</t>
        </is>
      </c>
      <c r="B1288" s="3">
        <f>IF(H1288&lt;&gt;"",H1288,IF(I1288&lt;&gt;"",I1288,IF(J1288&lt;&gt;"",J1288,K1288)))</f>
        <v>30.61</v>
      </c>
      <c r="C1288" s="3">
        <f>MEDIAN(H1288:K1288)</f>
        <v>30.61</v>
      </c>
      <c r="D1288" s="3">
        <f>ROUND(C1288*(1-Settings!$B$2),2)</f>
        <v>21.43</v>
      </c>
      <c r="E1288" s="2" t="inlineStr">
        <is>
          <t>Pokemon</t>
        </is>
      </c>
      <c r="F1288" s="2" t="inlineStr">
        <is>
          <t>Coffret</t>
        </is>
      </c>
      <c r="G1288" s="2" t="inlineStr">
        <is>
          <t>ME: Ascended Heroes</t>
        </is>
      </c>
      <c r="H1288" s="3" t="n"/>
      <c r="I1288" s="3" t="n">
        <v>30.61</v>
      </c>
      <c r="J1288" s="3" t="n">
        <v>31.89</v>
      </c>
      <c r="K1288" s="3" t="n">
        <v>2</v>
      </c>
      <c r="L1288" s="2" t="inlineStr">
        <is>
          <t>TCGplayer</t>
        </is>
      </c>
      <c r="N1288" s="4" t="inlineStr">
        <is>
          <t>https://www.tcgplayer.com/product/666906</t>
        </is>
      </c>
    </row>
    <row r="1289">
      <c r="A1289" s="2" t="inlineStr">
        <is>
          <t>Mega Evolution: Ascended Heroes Collection - Larry (1-Tab)</t>
        </is>
      </c>
      <c r="B1289" s="3">
        <f>IF(H1289&lt;&gt;"",H1289,IF(I1289&lt;&gt;"",I1289,IF(J1289&lt;&gt;"",J1289,K1289)))</f>
        <v>25.09</v>
      </c>
      <c r="C1289" s="3">
        <f>MEDIAN(H1289:K1289)</f>
        <v>33.99</v>
      </c>
      <c r="D1289" s="3">
        <f>ROUND(C1289*(1-Settings!$B$2),2)</f>
        <v>23.79</v>
      </c>
      <c r="E1289" s="2" t="inlineStr">
        <is>
          <t>Pokemon</t>
        </is>
      </c>
      <c r="F1289" s="2" t="inlineStr">
        <is>
          <t>Coffret</t>
        </is>
      </c>
      <c r="G1289" s="2" t="inlineStr">
        <is>
          <t>ME: Ascended Heroes</t>
        </is>
      </c>
      <c r="H1289" s="3" t="n"/>
      <c r="I1289" s="3" t="n">
        <v>25.09</v>
      </c>
      <c r="J1289" s="3" t="n">
        <v>37.96</v>
      </c>
      <c r="K1289" s="3" t="n">
        <v>33.99</v>
      </c>
      <c r="L1289" s="2" t="inlineStr">
        <is>
          <t>TCGplayer</t>
        </is>
      </c>
      <c r="N1289" s="4" t="inlineStr">
        <is>
          <t>https://www.tcgplayer.com/product/709097</t>
        </is>
      </c>
    </row>
    <row r="1290">
      <c r="A1290" s="2" t="inlineStr">
        <is>
          <t>Mega Evolution: Ascended Heroes Collection - Larry (3-Tab)</t>
        </is>
      </c>
      <c r="B1290" s="3">
        <f>IF(H1290&lt;&gt;"",H1290,IF(I1290&lt;&gt;"",I1290,IF(J1290&lt;&gt;"",J1290,K1290)))</f>
        <v>30.45</v>
      </c>
      <c r="C1290" s="3">
        <f>MEDIAN(H1290:K1290)</f>
        <v>30.45</v>
      </c>
      <c r="D1290" s="3">
        <f>ROUND(C1290*(1-Settings!$B$2),2)</f>
        <v>21.32</v>
      </c>
      <c r="E1290" s="2" t="inlineStr">
        <is>
          <t>Pokemon</t>
        </is>
      </c>
      <c r="F1290" s="2" t="inlineStr">
        <is>
          <t>Coffret</t>
        </is>
      </c>
      <c r="G1290" s="2" t="inlineStr">
        <is>
          <t>ME: Ascended Heroes</t>
        </is>
      </c>
      <c r="H1290" s="3" t="n"/>
      <c r="I1290" s="3" t="n">
        <v>30.45</v>
      </c>
      <c r="J1290" s="3" t="n">
        <v>32.64</v>
      </c>
      <c r="K1290" s="3" t="n">
        <v>2</v>
      </c>
      <c r="L1290" s="2" t="inlineStr">
        <is>
          <t>TCGplayer</t>
        </is>
      </c>
      <c r="N1290" s="4" t="inlineStr">
        <is>
          <t>https://www.tcgplayer.com/product/666907</t>
        </is>
      </c>
    </row>
    <row r="1291">
      <c r="A1291" s="2" t="inlineStr">
        <is>
          <t>Mega Evolution: Ascended Heroes Collection [Set of 2]</t>
        </is>
      </c>
      <c r="B1291" s="3">
        <f>IF(H1291&lt;&gt;"",H1291,IF(I1291&lt;&gt;"",I1291,IF(J1291&lt;&gt;"",J1291,K1291)))</f>
        <v>57.25</v>
      </c>
      <c r="C1291" s="3">
        <f>MEDIAN(H1291:K1291)</f>
        <v>57.25</v>
      </c>
      <c r="D1291" s="3">
        <f>ROUND(C1291*(1-Settings!$B$2),2)</f>
        <v>40.08</v>
      </c>
      <c r="E1291" s="2" t="inlineStr">
        <is>
          <t>Pokemon</t>
        </is>
      </c>
      <c r="F1291" s="2" t="inlineStr">
        <is>
          <t>Coffret</t>
        </is>
      </c>
      <c r="G1291" s="2" t="inlineStr">
        <is>
          <t>ME: Ascended Heroes</t>
        </is>
      </c>
      <c r="H1291" s="3" t="n"/>
      <c r="I1291" s="3" t="n">
        <v>57.25</v>
      </c>
      <c r="J1291" s="3" t="n">
        <v>61.98</v>
      </c>
      <c r="K1291" s="3" t="n">
        <v>52.98</v>
      </c>
      <c r="L1291" s="2" t="inlineStr">
        <is>
          <t>TCGplayer</t>
        </is>
      </c>
      <c r="N1291" s="4" t="inlineStr">
        <is>
          <t>https://www.tcgplayer.com/product/691923</t>
        </is>
      </c>
    </row>
    <row r="1292">
      <c r="A1292" s="2" t="inlineStr">
        <is>
          <t>Mega Evolution: Ascended Heroes Tech Sticker Collection - Charmander</t>
        </is>
      </c>
      <c r="B1292" s="3">
        <f>IF(H1292&lt;&gt;"",H1292,IF(I1292&lt;&gt;"",I1292,IF(J1292&lt;&gt;"",J1292,K1292)))</f>
        <v>42.6</v>
      </c>
      <c r="C1292" s="3">
        <f>MEDIAN(H1292:K1292)</f>
        <v>42.6</v>
      </c>
      <c r="D1292" s="3">
        <f>ROUND(C1292*(1-Settings!$B$2),2)</f>
        <v>29.82</v>
      </c>
      <c r="E1292" s="2" t="inlineStr">
        <is>
          <t>Pokemon</t>
        </is>
      </c>
      <c r="F1292" s="2" t="inlineStr">
        <is>
          <t>Coffret</t>
        </is>
      </c>
      <c r="G1292" s="2" t="inlineStr">
        <is>
          <t>ME: Ascended Heroes</t>
        </is>
      </c>
      <c r="H1292" s="3" t="n"/>
      <c r="I1292" s="3" t="n">
        <v>42.6</v>
      </c>
      <c r="J1292" s="3" t="n">
        <v>46.81</v>
      </c>
      <c r="K1292" s="3" t="n">
        <v>4.19</v>
      </c>
      <c r="L1292" s="2" t="inlineStr">
        <is>
          <t>TCGplayer</t>
        </is>
      </c>
      <c r="N1292" s="4" t="inlineStr">
        <is>
          <t>https://www.tcgplayer.com/product/666908</t>
        </is>
      </c>
    </row>
    <row r="1293">
      <c r="A1293" s="2" t="inlineStr">
        <is>
          <t>Mega Evolution: Ascended Heroes Tech Sticker Collection - Gastly</t>
        </is>
      </c>
      <c r="B1293" s="3">
        <f>IF(H1293&lt;&gt;"",H1293,IF(I1293&lt;&gt;"",I1293,IF(J1293&lt;&gt;"",J1293,K1293)))</f>
        <v>42.57</v>
      </c>
      <c r="C1293" s="3">
        <f>MEDIAN(H1293:K1293)</f>
        <v>42.57</v>
      </c>
      <c r="D1293" s="3">
        <f>ROUND(C1293*(1-Settings!$B$2),2)</f>
        <v>29.8</v>
      </c>
      <c r="E1293" s="2" t="inlineStr">
        <is>
          <t>Pokemon</t>
        </is>
      </c>
      <c r="F1293" s="2" t="inlineStr">
        <is>
          <t>Coffret</t>
        </is>
      </c>
      <c r="G1293" s="2" t="inlineStr">
        <is>
          <t>ME: Ascended Heroes</t>
        </is>
      </c>
      <c r="H1293" s="3" t="n"/>
      <c r="I1293" s="3" t="n">
        <v>42.57</v>
      </c>
      <c r="J1293" s="3" t="n">
        <v>45.32</v>
      </c>
      <c r="K1293" s="3" t="n">
        <v>2</v>
      </c>
      <c r="L1293" s="2" t="inlineStr">
        <is>
          <t>TCGplayer</t>
        </is>
      </c>
      <c r="N1293" s="4" t="inlineStr">
        <is>
          <t>https://www.tcgplayer.com/product/666909</t>
        </is>
      </c>
    </row>
    <row r="1294">
      <c r="A1294" s="2" t="inlineStr">
        <is>
          <t>Premium Poster Collection: Mega Gardevoir</t>
        </is>
      </c>
      <c r="B1294" s="3">
        <f>IF(H1294&lt;&gt;"",H1294,IF(I1294&lt;&gt;"",I1294,IF(J1294&lt;&gt;"",J1294,K1294)))</f>
        <v>143.77</v>
      </c>
      <c r="C1294" s="3">
        <f>MEDIAN(H1294:K1294)</f>
        <v>143.77</v>
      </c>
      <c r="D1294" s="3">
        <f>ROUND(C1294*(1-Settings!$B$2),2)</f>
        <v>100.64</v>
      </c>
      <c r="E1294" s="2" t="inlineStr">
        <is>
          <t>Pokemon</t>
        </is>
      </c>
      <c r="F1294" s="2" t="inlineStr">
        <is>
          <t>Coffret</t>
        </is>
      </c>
      <c r="G1294" s="2" t="inlineStr">
        <is>
          <t>ME: Ascended Heroes</t>
        </is>
      </c>
      <c r="H1294" s="3" t="n"/>
      <c r="I1294" s="3" t="n">
        <v>143.77</v>
      </c>
      <c r="J1294" s="3" t="n">
        <v>157.07</v>
      </c>
      <c r="K1294" s="3" t="n">
        <v>9.99</v>
      </c>
      <c r="L1294" s="2" t="inlineStr">
        <is>
          <t>TCGplayer</t>
        </is>
      </c>
      <c r="N1294" s="4" t="inlineStr">
        <is>
          <t>https://www.tcgplayer.com/product/668537</t>
        </is>
      </c>
    </row>
    <row r="1295">
      <c r="A1295" s="2" t="inlineStr">
        <is>
          <t>Premium Poster Collection: Mega Lucario</t>
        </is>
      </c>
      <c r="B1295" s="3">
        <f>IF(H1295&lt;&gt;"",H1295,IF(I1295&lt;&gt;"",I1295,IF(J1295&lt;&gt;"",J1295,K1295)))</f>
        <v>140.2</v>
      </c>
      <c r="C1295" s="3">
        <f>MEDIAN(H1295:K1295)</f>
        <v>146.665</v>
      </c>
      <c r="D1295" s="3">
        <f>ROUND(C1295*(1-Settings!$B$2),2)</f>
        <v>102.67</v>
      </c>
      <c r="E1295" s="2" t="inlineStr">
        <is>
          <t>Pokemon</t>
        </is>
      </c>
      <c r="F1295" s="2" t="inlineStr">
        <is>
          <t>Coffret</t>
        </is>
      </c>
      <c r="G1295" s="2" t="inlineStr">
        <is>
          <t>ME: Ascended Heroes</t>
        </is>
      </c>
      <c r="H1295" s="3" t="n">
        <v>140.2</v>
      </c>
      <c r="I1295" s="3" t="n">
        <v>153.13</v>
      </c>
      <c r="J1295" s="3" t="n">
        <v>165.94</v>
      </c>
      <c r="K1295" s="3" t="n">
        <v>8.99</v>
      </c>
      <c r="L1295" s="2" t="inlineStr">
        <is>
          <t>PriceCharting + TCGplayer</t>
        </is>
      </c>
      <c r="M1295" s="4" t="inlineStr">
        <is>
          <t>https://www.pricecharting.com/game/pokemon-ascended-heroes/premium-poster-collection-mega-lucario</t>
        </is>
      </c>
      <c r="N1295" s="4" t="inlineStr">
        <is>
          <t>https://www.tcgplayer.com/product/668536</t>
        </is>
      </c>
    </row>
    <row r="1296">
      <c r="A1296" s="2" t="inlineStr">
        <is>
          <t>Mega Evolution Booster Bundle</t>
        </is>
      </c>
      <c r="B1296" s="3">
        <f>IF(H1296&lt;&gt;"",H1296,IF(I1296&lt;&gt;"",I1296,IF(J1296&lt;&gt;"",J1296,K1296)))</f>
        <v>63.78</v>
      </c>
      <c r="C1296" s="3">
        <f>MEDIAN(H1296:K1296)</f>
        <v>63.78</v>
      </c>
      <c r="D1296" s="3">
        <f>ROUND(C1296*(1-Settings!$B$2),2)</f>
        <v>44.65</v>
      </c>
      <c r="E1296" s="2" t="inlineStr">
        <is>
          <t>Pokemon</t>
        </is>
      </c>
      <c r="F1296" s="2" t="inlineStr">
        <is>
          <t>Coffret</t>
        </is>
      </c>
      <c r="G1296" s="2" t="inlineStr">
        <is>
          <t>Mega Evolution</t>
        </is>
      </c>
      <c r="H1296" s="3" t="n">
        <v>63.78</v>
      </c>
      <c r="I1296" s="3" t="n"/>
      <c r="J1296" s="3" t="n"/>
      <c r="K1296" s="3" t="n"/>
      <c r="L1296" s="2" t="inlineStr">
        <is>
          <t>PriceCharting</t>
        </is>
      </c>
      <c r="M1296" s="4" t="inlineStr">
        <is>
          <t>https://www.pricecharting.com/game/pokemon-mega-evolution/booster-bundle</t>
        </is>
      </c>
    </row>
    <row r="1297">
      <c r="A1297" s="2" t="inlineStr">
        <is>
          <t>Mega Evolution Build &amp; Battle Box</t>
        </is>
      </c>
      <c r="B1297" s="3">
        <f>IF(H1297&lt;&gt;"",H1297,IF(I1297&lt;&gt;"",I1297,IF(J1297&lt;&gt;"",J1297,K1297)))</f>
        <v>63.5</v>
      </c>
      <c r="C1297" s="3">
        <f>MEDIAN(H1297:K1297)</f>
        <v>63.5</v>
      </c>
      <c r="D1297" s="3">
        <f>ROUND(C1297*(1-Settings!$B$2),2)</f>
        <v>44.45</v>
      </c>
      <c r="E1297" s="2" t="inlineStr">
        <is>
          <t>Pokemon</t>
        </is>
      </c>
      <c r="F1297" s="2" t="inlineStr">
        <is>
          <t>Coffret</t>
        </is>
      </c>
      <c r="G1297" s="2" t="inlineStr">
        <is>
          <t>Mega Evolution</t>
        </is>
      </c>
      <c r="H1297" s="3" t="n">
        <v>63.5</v>
      </c>
      <c r="I1297" s="3" t="n"/>
      <c r="J1297" s="3" t="n"/>
      <c r="K1297" s="3" t="n"/>
      <c r="L1297" s="2" t="inlineStr">
        <is>
          <t>PriceCharting</t>
        </is>
      </c>
      <c r="M1297" s="4" t="inlineStr">
        <is>
          <t>https://www.pricecharting.com/game/pokemon-mega-evolution/build-&amp;-battle-box</t>
        </is>
      </c>
    </row>
    <row r="1298">
      <c r="A1298" s="2" t="inlineStr">
        <is>
          <t>Mega Evolution Elite Trainer Box [Mega Gardevoir]</t>
        </is>
      </c>
      <c r="B1298" s="3">
        <f>IF(H1298&lt;&gt;"",H1298,IF(I1298&lt;&gt;"",I1298,IF(J1298&lt;&gt;"",J1298,K1298)))</f>
        <v>120.19</v>
      </c>
      <c r="C1298" s="3">
        <f>MEDIAN(H1298:K1298)</f>
        <v>120.19</v>
      </c>
      <c r="D1298" s="3">
        <f>ROUND(C1298*(1-Settings!$B$2),2)</f>
        <v>84.13</v>
      </c>
      <c r="E1298" s="2" t="inlineStr">
        <is>
          <t>Pokemon</t>
        </is>
      </c>
      <c r="F1298" s="2" t="inlineStr">
        <is>
          <t>Coffret</t>
        </is>
      </c>
      <c r="G1298" s="2" t="inlineStr">
        <is>
          <t>Mega Evolution</t>
        </is>
      </c>
      <c r="H1298" s="3" t="n">
        <v>120.19</v>
      </c>
      <c r="I1298" s="3" t="n"/>
      <c r="J1298" s="3" t="n"/>
      <c r="K1298" s="3" t="n"/>
      <c r="L1298" s="2" t="inlineStr">
        <is>
          <t>PriceCharting</t>
        </is>
      </c>
      <c r="M1298" s="4" t="inlineStr">
        <is>
          <t>https://www.pricecharting.com/game/pokemon-mega-evolution/elite-trainer-box-mega-gardevoir</t>
        </is>
      </c>
    </row>
    <row r="1299">
      <c r="A1299" s="2" t="inlineStr">
        <is>
          <t>Mega Evolution Elite Trainer Box [Mega Lucario]</t>
        </is>
      </c>
      <c r="B1299" s="3">
        <f>IF(H1299&lt;&gt;"",H1299,IF(I1299&lt;&gt;"",I1299,IF(J1299&lt;&gt;"",J1299,K1299)))</f>
        <v>120.0</v>
      </c>
      <c r="C1299" s="3">
        <f>MEDIAN(H1299:K1299)</f>
        <v>120.0</v>
      </c>
      <c r="D1299" s="3">
        <f>ROUND(C1299*(1-Settings!$B$2),2)</f>
        <v>84.0</v>
      </c>
      <c r="E1299" s="2" t="inlineStr">
        <is>
          <t>Pokemon</t>
        </is>
      </c>
      <c r="F1299" s="2" t="inlineStr">
        <is>
          <t>Coffret</t>
        </is>
      </c>
      <c r="G1299" s="2" t="inlineStr">
        <is>
          <t>Mega Evolution</t>
        </is>
      </c>
      <c r="H1299" s="3" t="n">
        <v>120</v>
      </c>
      <c r="I1299" s="3" t="n"/>
      <c r="J1299" s="3" t="n"/>
      <c r="K1299" s="3" t="n"/>
      <c r="L1299" s="2" t="inlineStr">
        <is>
          <t>PriceCharting</t>
        </is>
      </c>
      <c r="M1299" s="4" t="inlineStr">
        <is>
          <t>https://www.pricecharting.com/game/pokemon-mega-evolution/elite-trainer-box-mega-lucario</t>
        </is>
      </c>
    </row>
    <row r="1300">
      <c r="A1300" s="2" t="inlineStr">
        <is>
          <t>Mega Evolution Elite Trainer Box [Pokemon Center Gardevoir]</t>
        </is>
      </c>
      <c r="B1300" s="3">
        <f>IF(H1300&lt;&gt;"",H1300,IF(I1300&lt;&gt;"",I1300,IF(J1300&lt;&gt;"",J1300,K1300)))</f>
        <v>200.0</v>
      </c>
      <c r="C1300" s="3">
        <f>MEDIAN(H1300:K1300)</f>
        <v>200.0</v>
      </c>
      <c r="D1300" s="3">
        <f>ROUND(C1300*(1-Settings!$B$2),2)</f>
        <v>140.0</v>
      </c>
      <c r="E1300" s="2" t="inlineStr">
        <is>
          <t>Pokemon</t>
        </is>
      </c>
      <c r="F1300" s="2" t="inlineStr">
        <is>
          <t>Coffret</t>
        </is>
      </c>
      <c r="G1300" s="2" t="inlineStr">
        <is>
          <t>Mega Evolution</t>
        </is>
      </c>
      <c r="H1300" s="3" t="n">
        <v>200</v>
      </c>
      <c r="I1300" s="3" t="n"/>
      <c r="J1300" s="3" t="n"/>
      <c r="K1300" s="3" t="n"/>
      <c r="L1300" s="2" t="inlineStr">
        <is>
          <t>PriceCharting</t>
        </is>
      </c>
      <c r="M1300" s="4" t="inlineStr">
        <is>
          <t>https://www.pricecharting.com/game/pokemon-mega-evolution/elite-trainer-box-pokemon-center-gardevoir</t>
        </is>
      </c>
    </row>
    <row r="1301">
      <c r="A1301" s="2" t="inlineStr">
        <is>
          <t>Mega Evolution Elite Trainer Box [Pokemon Center Lucario]</t>
        </is>
      </c>
      <c r="B1301" s="3">
        <f>IF(H1301&lt;&gt;"",H1301,IF(I1301&lt;&gt;"",I1301,IF(J1301&lt;&gt;"",J1301,K1301)))</f>
        <v>200.96</v>
      </c>
      <c r="C1301" s="3">
        <f>MEDIAN(H1301:K1301)</f>
        <v>200.96</v>
      </c>
      <c r="D1301" s="3">
        <f>ROUND(C1301*(1-Settings!$B$2),2)</f>
        <v>140.67</v>
      </c>
      <c r="E1301" s="2" t="inlineStr">
        <is>
          <t>Pokemon</t>
        </is>
      </c>
      <c r="F1301" s="2" t="inlineStr">
        <is>
          <t>Coffret</t>
        </is>
      </c>
      <c r="G1301" s="2" t="inlineStr">
        <is>
          <t>Mega Evolution</t>
        </is>
      </c>
      <c r="H1301" s="3" t="n">
        <v>200.96</v>
      </c>
      <c r="I1301" s="3" t="n"/>
      <c r="J1301" s="3" t="n"/>
      <c r="K1301" s="3" t="n"/>
      <c r="L1301" s="2" t="inlineStr">
        <is>
          <t>PriceCharting</t>
        </is>
      </c>
      <c r="M1301" s="4" t="inlineStr">
        <is>
          <t>https://www.pricecharting.com/game/pokemon-mega-evolution/elite-trainer-box-pokemon-center-lucario</t>
        </is>
      </c>
    </row>
    <row r="1302">
      <c r="A1302" s="2" t="inlineStr">
        <is>
          <t>Mega Evolution Mega Heroes Mini Tin: Mega Gardevoir</t>
        </is>
      </c>
      <c r="B1302" s="3">
        <f>IF(H1302&lt;&gt;"",H1302,IF(I1302&lt;&gt;"",I1302,IF(J1302&lt;&gt;"",J1302,K1302)))</f>
        <v>19.8</v>
      </c>
      <c r="C1302" s="3">
        <f>MEDIAN(H1302:K1302)</f>
        <v>19.8</v>
      </c>
      <c r="D1302" s="3">
        <f>ROUND(C1302*(1-Settings!$B$2),2)</f>
        <v>13.86</v>
      </c>
      <c r="E1302" s="2" t="inlineStr">
        <is>
          <t>Pokemon</t>
        </is>
      </c>
      <c r="F1302" s="2" t="inlineStr">
        <is>
          <t>Coffret</t>
        </is>
      </c>
      <c r="G1302" s="2" t="inlineStr">
        <is>
          <t>Mega Evolution</t>
        </is>
      </c>
      <c r="H1302" s="3" t="n">
        <v>19.8</v>
      </c>
      <c r="I1302" s="3" t="n"/>
      <c r="J1302" s="3" t="n"/>
      <c r="K1302" s="3" t="n"/>
      <c r="L1302" s="2" t="inlineStr">
        <is>
          <t>PriceCharting</t>
        </is>
      </c>
      <c r="M1302" s="4" t="inlineStr">
        <is>
          <t>https://www.pricecharting.com/game/pokemon-mega-evolution/mega-heroes-mini-tin-mega-gardevoir</t>
        </is>
      </c>
    </row>
    <row r="1303">
      <c r="A1303" s="2" t="inlineStr">
        <is>
          <t>Mega Evolution Mega Heroes Mini Tin: Mega Kangaskhan</t>
        </is>
      </c>
      <c r="B1303" s="3">
        <f>IF(H1303&lt;&gt;"",H1303,IF(I1303&lt;&gt;"",I1303,IF(J1303&lt;&gt;"",J1303,K1303)))</f>
        <v>21.0</v>
      </c>
      <c r="C1303" s="3">
        <f>MEDIAN(H1303:K1303)</f>
        <v>21.0</v>
      </c>
      <c r="D1303" s="3">
        <f>ROUND(C1303*(1-Settings!$B$2),2)</f>
        <v>14.7</v>
      </c>
      <c r="E1303" s="2" t="inlineStr">
        <is>
          <t>Pokemon</t>
        </is>
      </c>
      <c r="F1303" s="2" t="inlineStr">
        <is>
          <t>Coffret</t>
        </is>
      </c>
      <c r="G1303" s="2" t="inlineStr">
        <is>
          <t>Mega Evolution</t>
        </is>
      </c>
      <c r="H1303" s="3" t="n">
        <v>21</v>
      </c>
      <c r="I1303" s="3" t="n"/>
      <c r="J1303" s="3" t="n"/>
      <c r="K1303" s="3" t="n"/>
      <c r="L1303" s="2" t="inlineStr">
        <is>
          <t>PriceCharting</t>
        </is>
      </c>
      <c r="M1303" s="4" t="inlineStr">
        <is>
          <t>https://www.pricecharting.com/game/pokemon-mega-evolution/mega-heroes-mini-tin-mega-kangaskhan</t>
        </is>
      </c>
    </row>
    <row r="1304">
      <c r="A1304" s="2" t="inlineStr">
        <is>
          <t>Mega Evolution Mega Heroes Mini Tin: Mega Latias</t>
        </is>
      </c>
      <c r="B1304" s="3">
        <f>IF(H1304&lt;&gt;"",H1304,IF(I1304&lt;&gt;"",I1304,IF(J1304&lt;&gt;"",J1304,K1304)))</f>
        <v>21.9</v>
      </c>
      <c r="C1304" s="3">
        <f>MEDIAN(H1304:K1304)</f>
        <v>21.9</v>
      </c>
      <c r="D1304" s="3">
        <f>ROUND(C1304*(1-Settings!$B$2),2)</f>
        <v>15.33</v>
      </c>
      <c r="E1304" s="2" t="inlineStr">
        <is>
          <t>Pokemon</t>
        </is>
      </c>
      <c r="F1304" s="2" t="inlineStr">
        <is>
          <t>Coffret</t>
        </is>
      </c>
      <c r="G1304" s="2" t="inlineStr">
        <is>
          <t>Mega Evolution</t>
        </is>
      </c>
      <c r="H1304" s="3" t="n">
        <v>21.9</v>
      </c>
      <c r="I1304" s="3" t="n"/>
      <c r="J1304" s="3" t="n"/>
      <c r="K1304" s="3" t="n"/>
      <c r="L1304" s="2" t="inlineStr">
        <is>
          <t>PriceCharting</t>
        </is>
      </c>
      <c r="M1304" s="4" t="inlineStr">
        <is>
          <t>https://www.pricecharting.com/game/pokemon-mega-evolution/mega-heroes-mini-tin-mega-latias</t>
        </is>
      </c>
    </row>
    <row r="1305">
      <c r="A1305" s="2" t="inlineStr">
        <is>
          <t>Mega Evolution Mega Heroes Mini Tin: Mega Lucario</t>
        </is>
      </c>
      <c r="B1305" s="3">
        <f>IF(H1305&lt;&gt;"",H1305,IF(I1305&lt;&gt;"",I1305,IF(J1305&lt;&gt;"",J1305,K1305)))</f>
        <v>23.74</v>
      </c>
      <c r="C1305" s="3">
        <f>MEDIAN(H1305:K1305)</f>
        <v>23.74</v>
      </c>
      <c r="D1305" s="3">
        <f>ROUND(C1305*(1-Settings!$B$2),2)</f>
        <v>16.62</v>
      </c>
      <c r="E1305" s="2" t="inlineStr">
        <is>
          <t>Pokemon</t>
        </is>
      </c>
      <c r="F1305" s="2" t="inlineStr">
        <is>
          <t>Coffret</t>
        </is>
      </c>
      <c r="G1305" s="2" t="inlineStr">
        <is>
          <t>Mega Evolution</t>
        </is>
      </c>
      <c r="H1305" s="3" t="n">
        <v>23.74</v>
      </c>
      <c r="I1305" s="3" t="n"/>
      <c r="J1305" s="3" t="n"/>
      <c r="K1305" s="3" t="n"/>
      <c r="L1305" s="2" t="inlineStr">
        <is>
          <t>PriceCharting</t>
        </is>
      </c>
      <c r="M1305" s="4" t="inlineStr">
        <is>
          <t>https://www.pricecharting.com/game/pokemon-mega-evolution/mega-heroes-mini-tin-mega-lucario</t>
        </is>
      </c>
    </row>
    <row r="1306">
      <c r="A1306" s="2" t="inlineStr">
        <is>
          <t>Mega Evolution Mega Heroes Mini Tin: Mega Venusaur</t>
        </is>
      </c>
      <c r="B1306" s="3">
        <f>IF(H1306&lt;&gt;"",H1306,IF(I1306&lt;&gt;"",I1306,IF(J1306&lt;&gt;"",J1306,K1306)))</f>
        <v>20.87</v>
      </c>
      <c r="C1306" s="3">
        <f>MEDIAN(H1306:K1306)</f>
        <v>20.87</v>
      </c>
      <c r="D1306" s="3">
        <f>ROUND(C1306*(1-Settings!$B$2),2)</f>
        <v>14.61</v>
      </c>
      <c r="E1306" s="2" t="inlineStr">
        <is>
          <t>Pokemon</t>
        </is>
      </c>
      <c r="F1306" s="2" t="inlineStr">
        <is>
          <t>Coffret</t>
        </is>
      </c>
      <c r="G1306" s="2" t="inlineStr">
        <is>
          <t>Mega Evolution</t>
        </is>
      </c>
      <c r="H1306" s="3" t="n">
        <v>20.87</v>
      </c>
      <c r="I1306" s="3" t="n"/>
      <c r="J1306" s="3" t="n"/>
      <c r="K1306" s="3" t="n"/>
      <c r="L1306" s="2" t="inlineStr">
        <is>
          <t>PriceCharting</t>
        </is>
      </c>
      <c r="M1306" s="4" t="inlineStr">
        <is>
          <t>https://www.pricecharting.com/game/pokemon-mega-evolution/mega-heroes-mini-tin-mega-venusaur</t>
        </is>
      </c>
    </row>
    <row r="1307">
      <c r="A1307" s="2" t="inlineStr">
        <is>
          <t>Mega Evolution Mega Lucario Ex Premium Figure Collection</t>
        </is>
      </c>
      <c r="B1307" s="3">
        <f>IF(H1307&lt;&gt;"",H1307,IF(I1307&lt;&gt;"",I1307,IF(J1307&lt;&gt;"",J1307,K1307)))</f>
        <v>55.74</v>
      </c>
      <c r="C1307" s="3">
        <f>MEDIAN(H1307:K1307)</f>
        <v>55.74</v>
      </c>
      <c r="D1307" s="3">
        <f>ROUND(C1307*(1-Settings!$B$2),2)</f>
        <v>39.02</v>
      </c>
      <c r="E1307" s="2" t="inlineStr">
        <is>
          <t>Pokemon</t>
        </is>
      </c>
      <c r="F1307" s="2" t="inlineStr">
        <is>
          <t>Coffret</t>
        </is>
      </c>
      <c r="G1307" s="2" t="inlineStr">
        <is>
          <t>Mega Evolution</t>
        </is>
      </c>
      <c r="H1307" s="3" t="n">
        <v>55.74</v>
      </c>
      <c r="I1307" s="3" t="n"/>
      <c r="J1307" s="3" t="n"/>
      <c r="K1307" s="3" t="n"/>
      <c r="L1307" s="2" t="inlineStr">
        <is>
          <t>PriceCharting</t>
        </is>
      </c>
      <c r="M1307" s="4" t="inlineStr">
        <is>
          <t>https://www.pricecharting.com/game/pokemon-mega-evolution/mega-lucario-ex-premium-figure-collection</t>
        </is>
      </c>
    </row>
    <row r="1308">
      <c r="A1308" s="2" t="inlineStr">
        <is>
          <t>2-Pack Blister [Raikou] (1-tab)</t>
        </is>
      </c>
      <c r="B1308" s="3">
        <f>IF(H1308&lt;&gt;"",H1308,IF(I1308&lt;&gt;"",I1308,IF(J1308&lt;&gt;"",J1308,K1308)))</f>
        <v>17.38</v>
      </c>
      <c r="C1308" s="3">
        <f>MEDIAN(H1308:K1308)</f>
        <v>17.38</v>
      </c>
      <c r="D1308" s="3">
        <f>ROUND(C1308*(1-Settings!$B$2),2)</f>
        <v>12.17</v>
      </c>
      <c r="E1308" s="2" t="inlineStr">
        <is>
          <t>Pokemon</t>
        </is>
      </c>
      <c r="F1308" s="2" t="inlineStr">
        <is>
          <t>Coffret</t>
        </is>
      </c>
      <c r="G1308" s="2" t="inlineStr">
        <is>
          <t>Miscellaneous Cards &amp; Products</t>
        </is>
      </c>
      <c r="H1308" s="3" t="n"/>
      <c r="I1308" s="3" t="n">
        <v>17.38</v>
      </c>
      <c r="J1308" s="3" t="n">
        <v>19.99</v>
      </c>
      <c r="K1308" s="3" t="n">
        <v>17</v>
      </c>
      <c r="L1308" s="2" t="inlineStr">
        <is>
          <t>TCGplayer</t>
        </is>
      </c>
      <c r="N1308" s="4" t="inlineStr">
        <is>
          <t>https://www.tcgplayer.com/product/671274</t>
        </is>
      </c>
    </row>
    <row r="1309">
      <c r="A1309" s="2" t="inlineStr">
        <is>
          <t>2-Pack Blister [Raikou] (3-tab)</t>
        </is>
      </c>
      <c r="B1309" s="3">
        <f>IF(H1309&lt;&gt;"",H1309,IF(I1309&lt;&gt;"",I1309,IF(J1309&lt;&gt;"",J1309,K1309)))</f>
        <v>20.23</v>
      </c>
      <c r="C1309" s="3">
        <f>MEDIAN(H1309:K1309)</f>
        <v>20.23</v>
      </c>
      <c r="D1309" s="3">
        <f>ROUND(C1309*(1-Settings!$B$2),2)</f>
        <v>14.16</v>
      </c>
      <c r="E1309" s="2" t="inlineStr">
        <is>
          <t>Pokemon</t>
        </is>
      </c>
      <c r="F1309" s="2" t="inlineStr">
        <is>
          <t>Coffret</t>
        </is>
      </c>
      <c r="G1309" s="2" t="inlineStr">
        <is>
          <t>Miscellaneous Cards &amp; Products</t>
        </is>
      </c>
      <c r="H1309" s="3" t="n"/>
      <c r="I1309" s="3" t="n">
        <v>20.23</v>
      </c>
      <c r="J1309" s="3" t="n">
        <v>20.7</v>
      </c>
      <c r="K1309" s="3" t="n">
        <v>17</v>
      </c>
      <c r="L1309" s="2" t="inlineStr">
        <is>
          <t>TCGplayer</t>
        </is>
      </c>
      <c r="N1309" s="4" t="inlineStr">
        <is>
          <t>https://www.tcgplayer.com/product/671271</t>
        </is>
      </c>
    </row>
    <row r="1310">
      <c r="A1310" s="2" t="inlineStr">
        <is>
          <t>2-Pack Blister [Zarude] (1-Tab)</t>
        </is>
      </c>
      <c r="B1310" s="3">
        <f>IF(H1310&lt;&gt;"",H1310,IF(I1310&lt;&gt;"",I1310,IF(J1310&lt;&gt;"",J1310,K1310)))</f>
        <v>19.63</v>
      </c>
      <c r="C1310" s="3">
        <f>MEDIAN(H1310:K1310)</f>
        <v>19.49</v>
      </c>
      <c r="D1310" s="3">
        <f>ROUND(C1310*(1-Settings!$B$2),2)</f>
        <v>13.64</v>
      </c>
      <c r="E1310" s="2" t="inlineStr">
        <is>
          <t>Pokemon</t>
        </is>
      </c>
      <c r="F1310" s="2" t="inlineStr">
        <is>
          <t>Coffret</t>
        </is>
      </c>
      <c r="G1310" s="2" t="inlineStr">
        <is>
          <t>Miscellaneous Cards &amp; Products</t>
        </is>
      </c>
      <c r="H1310" s="3" t="n"/>
      <c r="I1310" s="3" t="n">
        <v>19.63</v>
      </c>
      <c r="J1310" s="3" t="n">
        <v>19.49</v>
      </c>
      <c r="K1310" s="3" t="n">
        <v>16.99</v>
      </c>
      <c r="L1310" s="2" t="inlineStr">
        <is>
          <t>TCGplayer</t>
        </is>
      </c>
      <c r="N1310" s="4" t="inlineStr">
        <is>
          <t>https://www.tcgplayer.com/product/714504</t>
        </is>
      </c>
    </row>
    <row r="1311">
      <c r="A1311" s="2" t="inlineStr">
        <is>
          <t>2-Pack Blister [Zarude] (3-Tab)</t>
        </is>
      </c>
      <c r="B1311" s="3">
        <f>IF(H1311&lt;&gt;"",H1311,IF(I1311&lt;&gt;"",I1311,IF(J1311&lt;&gt;"",J1311,K1311)))</f>
        <v>19.26</v>
      </c>
      <c r="C1311" s="3">
        <f>MEDIAN(H1311:K1311)</f>
        <v>19.26</v>
      </c>
      <c r="D1311" s="3">
        <f>ROUND(C1311*(1-Settings!$B$2),2)</f>
        <v>13.48</v>
      </c>
      <c r="E1311" s="2" t="inlineStr">
        <is>
          <t>Pokemon</t>
        </is>
      </c>
      <c r="F1311" s="2" t="inlineStr">
        <is>
          <t>Coffret</t>
        </is>
      </c>
      <c r="G1311" s="2" t="inlineStr">
        <is>
          <t>Miscellaneous Cards &amp; Products</t>
        </is>
      </c>
      <c r="H1311" s="3" t="n"/>
      <c r="I1311" s="3" t="n">
        <v>19.26</v>
      </c>
      <c r="J1311" s="3" t="n">
        <v>19.99</v>
      </c>
      <c r="K1311" s="3" t="n">
        <v>5.88</v>
      </c>
      <c r="L1311" s="2" t="inlineStr">
        <is>
          <t>TCGplayer</t>
        </is>
      </c>
      <c r="N1311" s="4" t="inlineStr">
        <is>
          <t>https://www.tcgplayer.com/product/706250</t>
        </is>
      </c>
    </row>
    <row r="1312">
      <c r="A1312" s="2" t="inlineStr">
        <is>
          <t>2-Pack Blister Pack [Meganium, Typhlosion &amp; Feraligatr]</t>
        </is>
      </c>
      <c r="B1312" s="3">
        <f>IF(H1312&lt;&gt;"",H1312,IF(I1312&lt;&gt;"",I1312,IF(J1312&lt;&gt;"",J1312,K1312)))</f>
        <v>116.74</v>
      </c>
      <c r="C1312" s="3">
        <f>MEDIAN(H1312:K1312)</f>
        <v>160.0</v>
      </c>
      <c r="D1312" s="3">
        <f>ROUND(C1312*(1-Settings!$B$2),2)</f>
        <v>112.0</v>
      </c>
      <c r="E1312" s="2" t="inlineStr">
        <is>
          <t>Pokemon</t>
        </is>
      </c>
      <c r="F1312" s="2" t="inlineStr">
        <is>
          <t>Coffret</t>
        </is>
      </c>
      <c r="G1312" s="2" t="inlineStr">
        <is>
          <t>Miscellaneous Cards &amp; Products</t>
        </is>
      </c>
      <c r="H1312" s="3" t="n"/>
      <c r="I1312" s="3" t="n">
        <v>116.74</v>
      </c>
      <c r="J1312" s="3" t="n">
        <v>163.99</v>
      </c>
      <c r="K1312" s="3" t="n">
        <v>160</v>
      </c>
      <c r="L1312" s="2" t="inlineStr">
        <is>
          <t>TCGplayer</t>
        </is>
      </c>
      <c r="N1312" s="4" t="inlineStr">
        <is>
          <t>https://www.tcgplayer.com/product/482320</t>
        </is>
      </c>
    </row>
    <row r="1313">
      <c r="A1313" s="2" t="inlineStr">
        <is>
          <t>2-Pack Blister Pack [Oddish, Gloom, &amp; Vileplume]</t>
        </is>
      </c>
      <c r="B1313" s="3">
        <f>IF(H1313&lt;&gt;"",H1313,IF(I1313&lt;&gt;"",I1313,IF(J1313&lt;&gt;"",J1313,K1313)))</f>
        <v>18.73</v>
      </c>
      <c r="C1313" s="3">
        <f>MEDIAN(H1313:K1313)</f>
        <v>18.73</v>
      </c>
      <c r="D1313" s="3">
        <f>ROUND(C1313*(1-Settings!$B$2),2)</f>
        <v>13.11</v>
      </c>
      <c r="E1313" s="2" t="inlineStr">
        <is>
          <t>Pokemon</t>
        </is>
      </c>
      <c r="F1313" s="2" t="inlineStr">
        <is>
          <t>Coffret</t>
        </is>
      </c>
      <c r="G1313" s="2" t="inlineStr">
        <is>
          <t>Miscellaneous Cards &amp; Products</t>
        </is>
      </c>
      <c r="H1313" s="3" t="n"/>
      <c r="I1313" s="3" t="n">
        <v>18.73</v>
      </c>
      <c r="J1313" s="3" t="n">
        <v>19.99</v>
      </c>
      <c r="K1313" s="3" t="n">
        <v>15</v>
      </c>
      <c r="L1313" s="2" t="inlineStr">
        <is>
          <t>TCGplayer</t>
        </is>
      </c>
      <c r="N1313" s="4" t="inlineStr">
        <is>
          <t>https://www.tcgplayer.com/product/683264</t>
        </is>
      </c>
    </row>
    <row r="1314">
      <c r="A1314" s="2" t="inlineStr">
        <is>
          <t>2-Pack Blister Pack [Raikou, Entei, &amp; Suicune]</t>
        </is>
      </c>
      <c r="B1314" s="3">
        <f>IF(H1314&lt;&gt;"",H1314,IF(I1314&lt;&gt;"",I1314,IF(J1314&lt;&gt;"",J1314,K1314)))</f>
        <v>250.0</v>
      </c>
      <c r="C1314" s="3">
        <f>MEDIAN(H1314:K1314)</f>
        <v>250.0</v>
      </c>
      <c r="D1314" s="3">
        <f>ROUND(C1314*(1-Settings!$B$2),2)</f>
        <v>175.0</v>
      </c>
      <c r="E1314" s="2" t="inlineStr">
        <is>
          <t>Pokemon</t>
        </is>
      </c>
      <c r="F1314" s="2" t="inlineStr">
        <is>
          <t>Coffret</t>
        </is>
      </c>
      <c r="G1314" s="2" t="inlineStr">
        <is>
          <t>Miscellaneous Cards &amp; Products</t>
        </is>
      </c>
      <c r="H1314" s="3" t="n"/>
      <c r="I1314" s="3" t="n"/>
      <c r="J1314" s="3" t="n">
        <v>250</v>
      </c>
      <c r="K1314" s="3" t="n">
        <v>250</v>
      </c>
      <c r="L1314" s="2" t="inlineStr">
        <is>
          <t>TCGplayer</t>
        </is>
      </c>
      <c r="N1314" s="4" t="inlineStr">
        <is>
          <t>https://www.tcgplayer.com/product/477178</t>
        </is>
      </c>
    </row>
    <row r="1315">
      <c r="A1315" s="2" t="inlineStr">
        <is>
          <t>2-Pack Blister Pack [Team Rocket's Articuno, Zapdos &amp; Tyranitar]</t>
        </is>
      </c>
      <c r="B1315" s="3">
        <f>IF(H1315&lt;&gt;"",H1315,IF(I1315&lt;&gt;"",I1315,IF(J1315&lt;&gt;"",J1315,K1315)))</f>
        <v>21.85</v>
      </c>
      <c r="C1315" s="3">
        <f>MEDIAN(H1315:K1315)</f>
        <v>21.85</v>
      </c>
      <c r="D1315" s="3">
        <f>ROUND(C1315*(1-Settings!$B$2),2)</f>
        <v>15.3</v>
      </c>
      <c r="E1315" s="2" t="inlineStr">
        <is>
          <t>Pokemon</t>
        </is>
      </c>
      <c r="F1315" s="2" t="inlineStr">
        <is>
          <t>Coffret</t>
        </is>
      </c>
      <c r="G1315" s="2" t="inlineStr">
        <is>
          <t>Miscellaneous Cards &amp; Products</t>
        </is>
      </c>
      <c r="H1315" s="3" t="n"/>
      <c r="I1315" s="3" t="n">
        <v>21.85</v>
      </c>
      <c r="J1315" s="3" t="n">
        <v>21.99</v>
      </c>
      <c r="K1315" s="3" t="n">
        <v>12.99</v>
      </c>
      <c r="L1315" s="2" t="inlineStr">
        <is>
          <t>TCGplayer</t>
        </is>
      </c>
      <c r="N1315" s="4" t="inlineStr">
        <is>
          <t>https://www.tcgplayer.com/product/656995</t>
        </is>
      </c>
    </row>
    <row r="1316">
      <c r="A1316" s="2" t="inlineStr">
        <is>
          <t>Alolan Raichu Box</t>
        </is>
      </c>
      <c r="B1316" s="3">
        <f>IF(H1316&lt;&gt;"",H1316,IF(I1316&lt;&gt;"",I1316,IF(J1316&lt;&gt;"",J1316,K1316)))</f>
        <v>159.48</v>
      </c>
      <c r="C1316" s="3">
        <f>MEDIAN(H1316:K1316)</f>
        <v>214.95</v>
      </c>
      <c r="D1316" s="3">
        <f>ROUND(C1316*(1-Settings!$B$2),2)</f>
        <v>150.47</v>
      </c>
      <c r="E1316" s="2" t="inlineStr">
        <is>
          <t>Pokemon</t>
        </is>
      </c>
      <c r="F1316" s="2" t="inlineStr">
        <is>
          <t>Coffret</t>
        </is>
      </c>
      <c r="G1316" s="2" t="inlineStr">
        <is>
          <t>Miscellaneous Cards &amp; Products</t>
        </is>
      </c>
      <c r="H1316" s="3" t="n"/>
      <c r="I1316" s="3" t="n">
        <v>159.48</v>
      </c>
      <c r="J1316" s="3" t="n">
        <v>214.95</v>
      </c>
      <c r="K1316" s="3" t="n">
        <v>214.95</v>
      </c>
      <c r="L1316" s="2" t="inlineStr">
        <is>
          <t>TCGplayer</t>
        </is>
      </c>
      <c r="N1316" s="4" t="inlineStr">
        <is>
          <t>https://www.tcgplayer.com/product/264259</t>
        </is>
      </c>
    </row>
    <row r="1317">
      <c r="A1317" s="2" t="inlineStr">
        <is>
          <t>Alolan Sandslash GX Box</t>
        </is>
      </c>
      <c r="B1317" s="3">
        <f>IF(H1317&lt;&gt;"",H1317,IF(I1317&lt;&gt;"",I1317,IF(J1317&lt;&gt;"",J1317,K1317)))</f>
        <v>370.0</v>
      </c>
      <c r="C1317" s="3">
        <f>MEDIAN(H1317:K1317)</f>
        <v>370.0</v>
      </c>
      <c r="D1317" s="3">
        <f>ROUND(C1317*(1-Settings!$B$2),2)</f>
        <v>259.0</v>
      </c>
      <c r="E1317" s="2" t="inlineStr">
        <is>
          <t>Pokemon</t>
        </is>
      </c>
      <c r="F1317" s="2" t="inlineStr">
        <is>
          <t>Coffret</t>
        </is>
      </c>
      <c r="G1317" s="2" t="inlineStr">
        <is>
          <t>Miscellaneous Cards &amp; Products</t>
        </is>
      </c>
      <c r="H1317" s="3" t="n"/>
      <c r="I1317" s="3" t="n">
        <v>370</v>
      </c>
      <c r="J1317" s="3" t="n"/>
      <c r="K1317" s="3" t="n"/>
      <c r="L1317" s="2" t="inlineStr">
        <is>
          <t>TCGplayer</t>
        </is>
      </c>
      <c r="N1317" s="4" t="inlineStr">
        <is>
          <t>https://www.tcgplayer.com/product/205384</t>
        </is>
      </c>
    </row>
    <row r="1318">
      <c r="A1318" s="2" t="inlineStr">
        <is>
          <t>Annihilape ex Box</t>
        </is>
      </c>
      <c r="B1318" s="3">
        <f>IF(H1318&lt;&gt;"",H1318,IF(I1318&lt;&gt;"",I1318,IF(J1318&lt;&gt;"",J1318,K1318)))</f>
        <v>53.14</v>
      </c>
      <c r="C1318" s="3">
        <f>MEDIAN(H1318:K1318)</f>
        <v>53.14</v>
      </c>
      <c r="D1318" s="3">
        <f>ROUND(C1318*(1-Settings!$B$2),2)</f>
        <v>37.2</v>
      </c>
      <c r="E1318" s="2" t="inlineStr">
        <is>
          <t>Pokemon</t>
        </is>
      </c>
      <c r="F1318" s="2" t="inlineStr">
        <is>
          <t>Coffret</t>
        </is>
      </c>
      <c r="G1318" s="2" t="inlineStr">
        <is>
          <t>Miscellaneous Cards &amp; Products</t>
        </is>
      </c>
      <c r="H1318" s="3" t="n"/>
      <c r="I1318" s="3" t="n">
        <v>53.14</v>
      </c>
      <c r="J1318" s="3" t="n">
        <v>74.98999999999999</v>
      </c>
      <c r="K1318" s="3" t="n">
        <v>52.49</v>
      </c>
      <c r="L1318" s="2" t="inlineStr">
        <is>
          <t>TCGplayer</t>
        </is>
      </c>
      <c r="N1318" s="4" t="inlineStr">
        <is>
          <t>https://www.tcgplayer.com/product/497177</t>
        </is>
      </c>
    </row>
    <row r="1319">
      <c r="A1319" s="2" t="inlineStr">
        <is>
          <t>Archaludon ex Box</t>
        </is>
      </c>
      <c r="B1319" s="3">
        <f>IF(H1319&lt;&gt;"",H1319,IF(I1319&lt;&gt;"",I1319,IF(J1319&lt;&gt;"",J1319,K1319)))</f>
        <v>39.06</v>
      </c>
      <c r="C1319" s="3">
        <f>MEDIAN(H1319:K1319)</f>
        <v>40.0</v>
      </c>
      <c r="D1319" s="3">
        <f>ROUND(C1319*(1-Settings!$B$2),2)</f>
        <v>28.0</v>
      </c>
      <c r="E1319" s="2" t="inlineStr">
        <is>
          <t>Pokemon</t>
        </is>
      </c>
      <c r="F1319" s="2" t="inlineStr">
        <is>
          <t>Coffret</t>
        </is>
      </c>
      <c r="G1319" s="2" t="inlineStr">
        <is>
          <t>Miscellaneous Cards &amp; Products</t>
        </is>
      </c>
      <c r="H1319" s="3" t="n"/>
      <c r="I1319" s="3" t="n">
        <v>39.06</v>
      </c>
      <c r="J1319" s="3" t="n">
        <v>50</v>
      </c>
      <c r="K1319" s="3" t="n">
        <v>40</v>
      </c>
      <c r="L1319" s="2" t="inlineStr">
        <is>
          <t>TCGplayer</t>
        </is>
      </c>
      <c r="N1319" s="4" t="inlineStr">
        <is>
          <t>https://www.tcgplayer.com/product/656955</t>
        </is>
      </c>
    </row>
    <row r="1320">
      <c r="A1320" s="2" t="inlineStr">
        <is>
          <t>Armarouge ex Premium Collection</t>
        </is>
      </c>
      <c r="B1320" s="3">
        <f>IF(H1320&lt;&gt;"",H1320,IF(I1320&lt;&gt;"",I1320,IF(J1320&lt;&gt;"",J1320,K1320)))</f>
        <v>59.99</v>
      </c>
      <c r="C1320" s="3">
        <f>MEDIAN(H1320:K1320)</f>
        <v>63.74</v>
      </c>
      <c r="D1320" s="3">
        <f>ROUND(C1320*(1-Settings!$B$2),2)</f>
        <v>44.62</v>
      </c>
      <c r="E1320" s="2" t="inlineStr">
        <is>
          <t>Pokemon</t>
        </is>
      </c>
      <c r="F1320" s="2" t="inlineStr">
        <is>
          <t>Coffret</t>
        </is>
      </c>
      <c r="G1320" s="2" t="inlineStr">
        <is>
          <t>Miscellaneous Cards &amp; Products</t>
        </is>
      </c>
      <c r="H1320" s="3" t="n"/>
      <c r="I1320" s="3" t="n">
        <v>59.99</v>
      </c>
      <c r="J1320" s="3" t="n">
        <v>76.5</v>
      </c>
      <c r="K1320" s="3" t="n">
        <v>63.74</v>
      </c>
      <c r="L1320" s="2" t="inlineStr">
        <is>
          <t>TCGplayer</t>
        </is>
      </c>
      <c r="N1320" s="4" t="inlineStr">
        <is>
          <t>https://www.tcgplayer.com/product/539305</t>
        </is>
      </c>
    </row>
    <row r="1321">
      <c r="A1321" s="2" t="inlineStr">
        <is>
          <t>Azure Legends Tin [Dialga ex]</t>
        </is>
      </c>
      <c r="B1321" s="3">
        <f>IF(H1321&lt;&gt;"",H1321,IF(I1321&lt;&gt;"",I1321,IF(J1321&lt;&gt;"",J1321,K1321)))</f>
        <v>39.13</v>
      </c>
      <c r="C1321" s="3">
        <f>MEDIAN(H1321:K1321)</f>
        <v>42.0</v>
      </c>
      <c r="D1321" s="3">
        <f>ROUND(C1321*(1-Settings!$B$2),2)</f>
        <v>29.4</v>
      </c>
      <c r="E1321" s="2" t="inlineStr">
        <is>
          <t>Pokemon</t>
        </is>
      </c>
      <c r="F1321" s="2" t="inlineStr">
        <is>
          <t>Coffret</t>
        </is>
      </c>
      <c r="G1321" s="2" t="inlineStr">
        <is>
          <t>Miscellaneous Cards &amp; Products</t>
        </is>
      </c>
      <c r="H1321" s="3" t="n"/>
      <c r="I1321" s="3" t="n">
        <v>39.13</v>
      </c>
      <c r="J1321" s="3" t="n">
        <v>48.95</v>
      </c>
      <c r="K1321" s="3" t="n">
        <v>42</v>
      </c>
      <c r="L1321" s="2" t="inlineStr">
        <is>
          <t>TCGplayer</t>
        </is>
      </c>
      <c r="N1321" s="4" t="inlineStr">
        <is>
          <t>https://www.tcgplayer.com/product/616291</t>
        </is>
      </c>
    </row>
    <row r="1322">
      <c r="A1322" s="2" t="inlineStr">
        <is>
          <t>Azure Legends Tin [Dialga ex] (International Version)</t>
        </is>
      </c>
      <c r="B1322" s="3">
        <f>IF(H1322&lt;&gt;"",H1322,IF(I1322&lt;&gt;"",I1322,IF(J1322&lt;&gt;"",J1322,K1322)))</f>
        <v>33.55</v>
      </c>
      <c r="C1322" s="3">
        <f>MEDIAN(H1322:K1322)</f>
        <v>33.55</v>
      </c>
      <c r="D1322" s="3">
        <f>ROUND(C1322*(1-Settings!$B$2),2)</f>
        <v>23.49</v>
      </c>
      <c r="E1322" s="2" t="inlineStr">
        <is>
          <t>Pokemon</t>
        </is>
      </c>
      <c r="F1322" s="2" t="inlineStr">
        <is>
          <t>Coffret</t>
        </is>
      </c>
      <c r="G1322" s="2" t="inlineStr">
        <is>
          <t>Miscellaneous Cards &amp; Products</t>
        </is>
      </c>
      <c r="H1322" s="3" t="n"/>
      <c r="I1322" s="3" t="n">
        <v>33.55</v>
      </c>
      <c r="J1322" s="3" t="n">
        <v>42.98</v>
      </c>
      <c r="K1322" s="3" t="n">
        <v>33.21</v>
      </c>
      <c r="L1322" s="2" t="inlineStr">
        <is>
          <t>TCGplayer</t>
        </is>
      </c>
      <c r="N1322" s="4" t="inlineStr">
        <is>
          <t>https://www.tcgplayer.com/product/628094</t>
        </is>
      </c>
    </row>
    <row r="1323">
      <c r="A1323" s="2" t="inlineStr">
        <is>
          <t>Azure Legends Tin [Kyogre ex]</t>
        </is>
      </c>
      <c r="B1323" s="3">
        <f>IF(H1323&lt;&gt;"",H1323,IF(I1323&lt;&gt;"",I1323,IF(J1323&lt;&gt;"",J1323,K1323)))</f>
        <v>46.58</v>
      </c>
      <c r="C1323" s="3">
        <f>MEDIAN(H1323:K1323)</f>
        <v>46.58</v>
      </c>
      <c r="D1323" s="3">
        <f>ROUND(C1323*(1-Settings!$B$2),2)</f>
        <v>32.61</v>
      </c>
      <c r="E1323" s="2" t="inlineStr">
        <is>
          <t>Pokemon</t>
        </is>
      </c>
      <c r="F1323" s="2" t="inlineStr">
        <is>
          <t>Coffret</t>
        </is>
      </c>
      <c r="G1323" s="2" t="inlineStr">
        <is>
          <t>Miscellaneous Cards &amp; Products</t>
        </is>
      </c>
      <c r="H1323" s="3" t="n"/>
      <c r="I1323" s="3" t="n">
        <v>46.58</v>
      </c>
      <c r="J1323" s="3" t="n">
        <v>55.5</v>
      </c>
      <c r="K1323" s="3" t="n">
        <v>42.5</v>
      </c>
      <c r="L1323" s="2" t="inlineStr">
        <is>
          <t>TCGplayer</t>
        </is>
      </c>
      <c r="N1323" s="4" t="inlineStr">
        <is>
          <t>https://www.tcgplayer.com/product/616292</t>
        </is>
      </c>
    </row>
    <row r="1324">
      <c r="A1324" s="2" t="inlineStr">
        <is>
          <t>Azure Legends Tin [Kyogre ex] (International Version)</t>
        </is>
      </c>
      <c r="B1324" s="3">
        <f>IF(H1324&lt;&gt;"",H1324,IF(I1324&lt;&gt;"",I1324,IF(J1324&lt;&gt;"",J1324,K1324)))</f>
        <v>35.82</v>
      </c>
      <c r="C1324" s="3">
        <f>MEDIAN(H1324:K1324)</f>
        <v>35.82</v>
      </c>
      <c r="D1324" s="3">
        <f>ROUND(C1324*(1-Settings!$B$2),2)</f>
        <v>25.07</v>
      </c>
      <c r="E1324" s="2" t="inlineStr">
        <is>
          <t>Pokemon</t>
        </is>
      </c>
      <c r="F1324" s="2" t="inlineStr">
        <is>
          <t>Coffret</t>
        </is>
      </c>
      <c r="G1324" s="2" t="inlineStr">
        <is>
          <t>Miscellaneous Cards &amp; Products</t>
        </is>
      </c>
      <c r="H1324" s="3" t="n"/>
      <c r="I1324" s="3" t="n">
        <v>35.82</v>
      </c>
      <c r="J1324" s="3" t="n">
        <v>40.98</v>
      </c>
      <c r="K1324" s="3" t="n">
        <v>34</v>
      </c>
      <c r="L1324" s="2" t="inlineStr">
        <is>
          <t>TCGplayer</t>
        </is>
      </c>
      <c r="N1324" s="4" t="inlineStr">
        <is>
          <t>https://www.tcgplayer.com/product/633082</t>
        </is>
      </c>
    </row>
    <row r="1325">
      <c r="A1325" s="2" t="inlineStr">
        <is>
          <t>Azure Legends Tin [Xerneas ex]</t>
        </is>
      </c>
      <c r="B1325" s="3">
        <f>IF(H1325&lt;&gt;"",H1325,IF(I1325&lt;&gt;"",I1325,IF(J1325&lt;&gt;"",J1325,K1325)))</f>
        <v>38.82</v>
      </c>
      <c r="C1325" s="3">
        <f>MEDIAN(H1325:K1325)</f>
        <v>40.45</v>
      </c>
      <c r="D1325" s="3">
        <f>ROUND(C1325*(1-Settings!$B$2),2)</f>
        <v>28.32</v>
      </c>
      <c r="E1325" s="2" t="inlineStr">
        <is>
          <t>Pokemon</t>
        </is>
      </c>
      <c r="F1325" s="2" t="inlineStr">
        <is>
          <t>Coffret</t>
        </is>
      </c>
      <c r="G1325" s="2" t="inlineStr">
        <is>
          <t>Miscellaneous Cards &amp; Products</t>
        </is>
      </c>
      <c r="H1325" s="3" t="n"/>
      <c r="I1325" s="3" t="n">
        <v>38.82</v>
      </c>
      <c r="J1325" s="3" t="n">
        <v>59.48</v>
      </c>
      <c r="K1325" s="3" t="n">
        <v>40.45</v>
      </c>
      <c r="L1325" s="2" t="inlineStr">
        <is>
          <t>TCGplayer</t>
        </is>
      </c>
      <c r="N1325" s="4" t="inlineStr">
        <is>
          <t>https://www.tcgplayer.com/product/616293</t>
        </is>
      </c>
    </row>
    <row r="1326">
      <c r="A1326" s="2" t="inlineStr">
        <is>
          <t>Azure Legends Tin [Xerneas ex] (International Version)</t>
        </is>
      </c>
      <c r="B1326" s="3">
        <f>IF(H1326&lt;&gt;"",H1326,IF(I1326&lt;&gt;"",I1326,IF(J1326&lt;&gt;"",J1326,K1326)))</f>
        <v>33.74</v>
      </c>
      <c r="C1326" s="3">
        <f>MEDIAN(H1326:K1326)</f>
        <v>33.74</v>
      </c>
      <c r="D1326" s="3">
        <f>ROUND(C1326*(1-Settings!$B$2),2)</f>
        <v>23.62</v>
      </c>
      <c r="E1326" s="2" t="inlineStr">
        <is>
          <t>Pokemon</t>
        </is>
      </c>
      <c r="F1326" s="2" t="inlineStr">
        <is>
          <t>Coffret</t>
        </is>
      </c>
      <c r="G1326" s="2" t="inlineStr">
        <is>
          <t>Miscellaneous Cards &amp; Products</t>
        </is>
      </c>
      <c r="H1326" s="3" t="n"/>
      <c r="I1326" s="3" t="n">
        <v>33.74</v>
      </c>
      <c r="J1326" s="3" t="n">
        <v>39.99</v>
      </c>
      <c r="K1326" s="3" t="n">
        <v>30.85</v>
      </c>
      <c r="L1326" s="2" t="inlineStr">
        <is>
          <t>TCGplayer</t>
        </is>
      </c>
      <c r="N1326" s="4" t="inlineStr">
        <is>
          <t>https://www.tcgplayer.com/product/633083</t>
        </is>
      </c>
    </row>
    <row r="1327">
      <c r="A1327" s="2" t="inlineStr">
        <is>
          <t>Azure Legends Tins [Set of 3]</t>
        </is>
      </c>
      <c r="B1327" s="3">
        <f>IF(H1327&lt;&gt;"",H1327,IF(I1327&lt;&gt;"",I1327,IF(J1327&lt;&gt;"",J1327,K1327)))</f>
        <v>119.2</v>
      </c>
      <c r="C1327" s="3">
        <f>MEDIAN(H1327:K1327)</f>
        <v>157.0</v>
      </c>
      <c r="D1327" s="3">
        <f>ROUND(C1327*(1-Settings!$B$2),2)</f>
        <v>109.9</v>
      </c>
      <c r="E1327" s="2" t="inlineStr">
        <is>
          <t>Pokemon</t>
        </is>
      </c>
      <c r="F1327" s="2" t="inlineStr">
        <is>
          <t>Coffret</t>
        </is>
      </c>
      <c r="G1327" s="2" t="inlineStr">
        <is>
          <t>Miscellaneous Cards &amp; Products</t>
        </is>
      </c>
      <c r="H1327" s="3" t="n"/>
      <c r="I1327" s="3" t="n">
        <v>119.2</v>
      </c>
      <c r="J1327" s="3" t="n">
        <v>168.5</v>
      </c>
      <c r="K1327" s="3" t="n">
        <v>157</v>
      </c>
      <c r="L1327" s="2" t="inlineStr">
        <is>
          <t>TCGplayer</t>
        </is>
      </c>
      <c r="N1327" s="4" t="inlineStr">
        <is>
          <t>https://www.tcgplayer.com/product/619075</t>
        </is>
      </c>
    </row>
    <row r="1328">
      <c r="A1328" s="2" t="inlineStr">
        <is>
          <t>Azure Legends Tins [Set of 3] (International Version)</t>
        </is>
      </c>
      <c r="B1328" s="3">
        <f>IF(H1328&lt;&gt;"",H1328,IF(I1328&lt;&gt;"",I1328,IF(J1328&lt;&gt;"",J1328,K1328)))</f>
        <v>106.07</v>
      </c>
      <c r="C1328" s="3">
        <f>MEDIAN(H1328:K1328)</f>
        <v>106.07</v>
      </c>
      <c r="D1328" s="3">
        <f>ROUND(C1328*(1-Settings!$B$2),2)</f>
        <v>74.25</v>
      </c>
      <c r="E1328" s="2" t="inlineStr">
        <is>
          <t>Pokemon</t>
        </is>
      </c>
      <c r="F1328" s="2" t="inlineStr">
        <is>
          <t>Coffret</t>
        </is>
      </c>
      <c r="G1328" s="2" t="inlineStr">
        <is>
          <t>Miscellaneous Cards &amp; Products</t>
        </is>
      </c>
      <c r="H1328" s="3" t="n"/>
      <c r="I1328" s="3" t="n">
        <v>106.07</v>
      </c>
      <c r="J1328" s="3" t="n">
        <v>106.81</v>
      </c>
      <c r="K1328" s="3" t="n">
        <v>98</v>
      </c>
      <c r="L1328" s="2" t="inlineStr">
        <is>
          <t>TCGplayer</t>
        </is>
      </c>
      <c r="N1328" s="4" t="inlineStr">
        <is>
          <t>https://www.tcgplayer.com/product/633084</t>
        </is>
      </c>
    </row>
    <row r="1329">
      <c r="A1329" s="2" t="inlineStr">
        <is>
          <t>Back-to-School 2024 Collector Chest</t>
        </is>
      </c>
      <c r="B1329" s="3">
        <f>IF(H1329&lt;&gt;"",H1329,IF(I1329&lt;&gt;"",I1329,IF(J1329&lt;&gt;"",J1329,K1329)))</f>
        <v>49.17</v>
      </c>
      <c r="C1329" s="3">
        <f>MEDIAN(H1329:K1329)</f>
        <v>49.17</v>
      </c>
      <c r="D1329" s="3">
        <f>ROUND(C1329*(1-Settings!$B$2),2)</f>
        <v>34.42</v>
      </c>
      <c r="E1329" s="2" t="inlineStr">
        <is>
          <t>Pokemon</t>
        </is>
      </c>
      <c r="F1329" s="2" t="inlineStr">
        <is>
          <t>Coffret</t>
        </is>
      </c>
      <c r="G1329" s="2" t="inlineStr">
        <is>
          <t>Miscellaneous Cards &amp; Products</t>
        </is>
      </c>
      <c r="H1329" s="3" t="n"/>
      <c r="I1329" s="3" t="n">
        <v>49.17</v>
      </c>
      <c r="J1329" s="3" t="n">
        <v>51.42</v>
      </c>
      <c r="K1329" s="3" t="n">
        <v>43.89</v>
      </c>
      <c r="L1329" s="2" t="inlineStr">
        <is>
          <t>TCGplayer</t>
        </is>
      </c>
      <c r="N1329" s="4" t="inlineStr">
        <is>
          <t>https://www.tcgplayer.com/product/549454</t>
        </is>
      </c>
    </row>
    <row r="1330">
      <c r="A1330" s="2" t="inlineStr">
        <is>
          <t>Black Kyurem ex Box</t>
        </is>
      </c>
      <c r="B1330" s="3">
        <f>IF(H1330&lt;&gt;"",H1330,IF(I1330&lt;&gt;"",I1330,IF(J1330&lt;&gt;"",J1330,K1330)))</f>
        <v>39.29</v>
      </c>
      <c r="C1330" s="3">
        <f>MEDIAN(H1330:K1330)</f>
        <v>39.29</v>
      </c>
      <c r="D1330" s="3">
        <f>ROUND(C1330*(1-Settings!$B$2),2)</f>
        <v>27.5</v>
      </c>
      <c r="E1330" s="2" t="inlineStr">
        <is>
          <t>Pokemon</t>
        </is>
      </c>
      <c r="F1330" s="2" t="inlineStr">
        <is>
          <t>Coffret</t>
        </is>
      </c>
      <c r="G1330" s="2" t="inlineStr">
        <is>
          <t>Miscellaneous Cards &amp; Products</t>
        </is>
      </c>
      <c r="H1330" s="3" t="n"/>
      <c r="I1330" s="3" t="n">
        <v>39.29</v>
      </c>
      <c r="J1330" s="3" t="n">
        <v>42.99</v>
      </c>
      <c r="K1330" s="3" t="n">
        <v>37.22</v>
      </c>
      <c r="L1330" s="2" t="inlineStr">
        <is>
          <t>TCGplayer</t>
        </is>
      </c>
      <c r="N1330" s="4" t="inlineStr">
        <is>
          <t>https://www.tcgplayer.com/product/662745</t>
        </is>
      </c>
    </row>
    <row r="1331">
      <c r="A1331" s="2" t="inlineStr">
        <is>
          <t>Blastoise VMAX Battle Box</t>
        </is>
      </c>
      <c r="B1331" s="3">
        <f>IF(H1331&lt;&gt;"",H1331,IF(I1331&lt;&gt;"",I1331,IF(J1331&lt;&gt;"",J1331,K1331)))</f>
        <v>105.27</v>
      </c>
      <c r="C1331" s="3">
        <f>MEDIAN(H1331:K1331)</f>
        <v>105.27</v>
      </c>
      <c r="D1331" s="3">
        <f>ROUND(C1331*(1-Settings!$B$2),2)</f>
        <v>73.69</v>
      </c>
      <c r="E1331" s="2" t="inlineStr">
        <is>
          <t>Pokemon</t>
        </is>
      </c>
      <c r="F1331" s="2" t="inlineStr">
        <is>
          <t>Coffret</t>
        </is>
      </c>
      <c r="G1331" s="2" t="inlineStr">
        <is>
          <t>Miscellaneous Cards &amp; Products</t>
        </is>
      </c>
      <c r="H1331" s="3" t="n"/>
      <c r="I1331" s="3" t="n">
        <v>105.27</v>
      </c>
      <c r="J1331" s="3" t="n">
        <v>127</v>
      </c>
      <c r="K1331" s="3" t="n">
        <v>99.98</v>
      </c>
      <c r="L1331" s="2" t="inlineStr">
        <is>
          <t>TCGplayer</t>
        </is>
      </c>
      <c r="N1331" s="4" t="inlineStr">
        <is>
          <t>https://www.tcgplayer.com/product/231295</t>
        </is>
      </c>
    </row>
    <row r="1332">
      <c r="A1332" s="2" t="inlineStr">
        <is>
          <t>Blaziken ex &amp; Volcanion ex Premium Collection</t>
        </is>
      </c>
      <c r="B1332" s="3">
        <f>IF(H1332&lt;&gt;"",H1332,IF(I1332&lt;&gt;"",I1332,IF(J1332&lt;&gt;"",J1332,K1332)))</f>
        <v>88.09</v>
      </c>
      <c r="C1332" s="3">
        <f>MEDIAN(H1332:K1332)</f>
        <v>88.09</v>
      </c>
      <c r="D1332" s="3">
        <f>ROUND(C1332*(1-Settings!$B$2),2)</f>
        <v>61.66</v>
      </c>
      <c r="E1332" s="2" t="inlineStr">
        <is>
          <t>Pokemon</t>
        </is>
      </c>
      <c r="F1332" s="2" t="inlineStr">
        <is>
          <t>Coffret</t>
        </is>
      </c>
      <c r="G1332" s="2" t="inlineStr">
        <is>
          <t>Miscellaneous Cards &amp; Products</t>
        </is>
      </c>
      <c r="H1332" s="3" t="n"/>
      <c r="I1332" s="3" t="n">
        <v>88.09</v>
      </c>
      <c r="J1332" s="3" t="n">
        <v>91</v>
      </c>
      <c r="K1332" s="3" t="n">
        <v>85</v>
      </c>
      <c r="L1332" s="2" t="inlineStr">
        <is>
          <t>TCGplayer</t>
        </is>
      </c>
      <c r="N1332" s="4" t="inlineStr">
        <is>
          <t>https://www.tcgplayer.com/product/650229</t>
        </is>
      </c>
    </row>
    <row r="1333">
      <c r="A1333" s="2" t="inlineStr">
        <is>
          <t>Bloodmoon Ursaluna ex Box</t>
        </is>
      </c>
      <c r="B1333" s="3">
        <f>IF(H1333&lt;&gt;"",H1333,IF(I1333&lt;&gt;"",I1333,IF(J1333&lt;&gt;"",J1333,K1333)))</f>
        <v>38.58</v>
      </c>
      <c r="C1333" s="3">
        <f>MEDIAN(H1333:K1333)</f>
        <v>38.58</v>
      </c>
      <c r="D1333" s="3">
        <f>ROUND(C1333*(1-Settings!$B$2),2)</f>
        <v>27.01</v>
      </c>
      <c r="E1333" s="2" t="inlineStr">
        <is>
          <t>Pokemon</t>
        </is>
      </c>
      <c r="F1333" s="2" t="inlineStr">
        <is>
          <t>Coffret</t>
        </is>
      </c>
      <c r="G1333" s="2" t="inlineStr">
        <is>
          <t>Miscellaneous Cards &amp; Products</t>
        </is>
      </c>
      <c r="H1333" s="3" t="n"/>
      <c r="I1333" s="3" t="n">
        <v>38.58</v>
      </c>
      <c r="J1333" s="3" t="n">
        <v>45.99</v>
      </c>
      <c r="K1333" s="3" t="n">
        <v>5.99</v>
      </c>
      <c r="L1333" s="2" t="inlineStr">
        <is>
          <t>TCGplayer</t>
        </is>
      </c>
      <c r="N1333" s="4" t="inlineStr">
        <is>
          <t>https://www.tcgplayer.com/product/575897</t>
        </is>
      </c>
    </row>
    <row r="1334">
      <c r="A1334" s="2" t="inlineStr">
        <is>
          <t>Boltund V Box</t>
        </is>
      </c>
      <c r="B1334" s="3">
        <f>IF(H1334&lt;&gt;"",H1334,IF(I1334&lt;&gt;"",I1334,IF(J1334&lt;&gt;"",J1334,K1334)))</f>
        <v>77.22</v>
      </c>
      <c r="C1334" s="3">
        <f>MEDIAN(H1334:K1334)</f>
        <v>77.22</v>
      </c>
      <c r="D1334" s="3">
        <f>ROUND(C1334*(1-Settings!$B$2),2)</f>
        <v>54.05</v>
      </c>
      <c r="E1334" s="2" t="inlineStr">
        <is>
          <t>Pokemon</t>
        </is>
      </c>
      <c r="F1334" s="2" t="inlineStr">
        <is>
          <t>Coffret</t>
        </is>
      </c>
      <c r="G1334" s="2" t="inlineStr">
        <is>
          <t>Miscellaneous Cards &amp; Products</t>
        </is>
      </c>
      <c r="H1334" s="3" t="n"/>
      <c r="I1334" s="3" t="n">
        <v>77.22</v>
      </c>
      <c r="J1334" s="3" t="n">
        <v>96.90000000000001</v>
      </c>
      <c r="K1334" s="3" t="n">
        <v>74.98</v>
      </c>
      <c r="L1334" s="2" t="inlineStr">
        <is>
          <t>TCGplayer</t>
        </is>
      </c>
      <c r="N1334" s="4" t="inlineStr">
        <is>
          <t>https://www.tcgplayer.com/product/262968</t>
        </is>
      </c>
    </row>
    <row r="1335">
      <c r="A1335" s="2" t="inlineStr">
        <is>
          <t>Charizard ex Premium Collection</t>
        </is>
      </c>
      <c r="B1335" s="3">
        <f>IF(H1335&lt;&gt;"",H1335,IF(I1335&lt;&gt;"",I1335,IF(J1335&lt;&gt;"",J1335,K1335)))</f>
        <v>110.91</v>
      </c>
      <c r="C1335" s="3">
        <f>MEDIAN(H1335:K1335)</f>
        <v>110.91</v>
      </c>
      <c r="D1335" s="3">
        <f>ROUND(C1335*(1-Settings!$B$2),2)</f>
        <v>77.64</v>
      </c>
      <c r="E1335" s="2" t="inlineStr">
        <is>
          <t>Pokemon</t>
        </is>
      </c>
      <c r="F1335" s="2" t="inlineStr">
        <is>
          <t>Coffret</t>
        </is>
      </c>
      <c r="G1335" s="2" t="inlineStr">
        <is>
          <t>Miscellaneous Cards &amp; Products</t>
        </is>
      </c>
      <c r="H1335" s="3" t="n"/>
      <c r="I1335" s="3" t="n">
        <v>110.91</v>
      </c>
      <c r="J1335" s="3" t="n">
        <v>120</v>
      </c>
      <c r="K1335" s="3" t="n">
        <v>99.81</v>
      </c>
      <c r="L1335" s="2" t="inlineStr">
        <is>
          <t>TCGplayer</t>
        </is>
      </c>
      <c r="N1335" s="4" t="inlineStr">
        <is>
          <t>https://www.tcgplayer.com/product/516576</t>
        </is>
      </c>
    </row>
    <row r="1336">
      <c r="A1336" s="2" t="inlineStr">
        <is>
          <t>Charizard ex Special Collection</t>
        </is>
      </c>
      <c r="B1336" s="3">
        <f>IF(H1336&lt;&gt;"",H1336,IF(I1336&lt;&gt;"",I1336,IF(J1336&lt;&gt;"",J1336,K1336)))</f>
        <v>60.77</v>
      </c>
      <c r="C1336" s="3">
        <f>MEDIAN(H1336:K1336)</f>
        <v>60.77</v>
      </c>
      <c r="D1336" s="3">
        <f>ROUND(C1336*(1-Settings!$B$2),2)</f>
        <v>42.54</v>
      </c>
      <c r="E1336" s="2" t="inlineStr">
        <is>
          <t>Pokemon</t>
        </is>
      </c>
      <c r="F1336" s="2" t="inlineStr">
        <is>
          <t>Coffret</t>
        </is>
      </c>
      <c r="G1336" s="2" t="inlineStr">
        <is>
          <t>Miscellaneous Cards &amp; Products</t>
        </is>
      </c>
      <c r="H1336" s="3" t="n"/>
      <c r="I1336" s="3" t="n">
        <v>60.77</v>
      </c>
      <c r="J1336" s="3" t="n">
        <v>68.5</v>
      </c>
      <c r="K1336" s="3" t="n">
        <v>54.72</v>
      </c>
      <c r="L1336" s="2" t="inlineStr">
        <is>
          <t>TCGplayer</t>
        </is>
      </c>
      <c r="N1336" s="4" t="inlineStr">
        <is>
          <t>https://www.tcgplayer.com/product/616305</t>
        </is>
      </c>
    </row>
    <row r="1337">
      <c r="A1337" s="2" t="inlineStr">
        <is>
          <t>Charizard ex Super-Premium Collection</t>
        </is>
      </c>
      <c r="B1337" s="3">
        <f>IF(H1337&lt;&gt;"",H1337,IF(I1337&lt;&gt;"",I1337,IF(J1337&lt;&gt;"",J1337,K1337)))</f>
        <v>129.58</v>
      </c>
      <c r="C1337" s="3">
        <f>MEDIAN(H1337:K1337)</f>
        <v>129.58</v>
      </c>
      <c r="D1337" s="3">
        <f>ROUND(C1337*(1-Settings!$B$2),2)</f>
        <v>90.71</v>
      </c>
      <c r="E1337" s="2" t="inlineStr">
        <is>
          <t>Pokemon</t>
        </is>
      </c>
      <c r="F1337" s="2" t="inlineStr">
        <is>
          <t>Coffret</t>
        </is>
      </c>
      <c r="G1337" s="2" t="inlineStr">
        <is>
          <t>Miscellaneous Cards &amp; Products</t>
        </is>
      </c>
      <c r="H1337" s="3" t="n"/>
      <c r="I1337" s="3" t="n">
        <v>129.58</v>
      </c>
      <c r="J1337" s="3" t="n">
        <v>147</v>
      </c>
      <c r="K1337" s="3" t="n">
        <v>115.67</v>
      </c>
      <c r="L1337" s="2" t="inlineStr">
        <is>
          <t>TCGplayer</t>
        </is>
      </c>
      <c r="N1337" s="4" t="inlineStr">
        <is>
          <t>https://www.tcgplayer.com/product/560625</t>
        </is>
      </c>
    </row>
    <row r="1338">
      <c r="A1338" s="2" t="inlineStr">
        <is>
          <t>Checklane 2-Pack Blister [Pawmot] (1-tab)</t>
        </is>
      </c>
      <c r="B1338" s="3">
        <f>IF(H1338&lt;&gt;"",H1338,IF(I1338&lt;&gt;"",I1338,IF(J1338&lt;&gt;"",J1338,K1338)))</f>
        <v>14.86</v>
      </c>
      <c r="C1338" s="3">
        <f>MEDIAN(H1338:K1338)</f>
        <v>14.86</v>
      </c>
      <c r="D1338" s="3">
        <f>ROUND(C1338*(1-Settings!$B$2),2)</f>
        <v>10.4</v>
      </c>
      <c r="E1338" s="2" t="inlineStr">
        <is>
          <t>Pokemon</t>
        </is>
      </c>
      <c r="F1338" s="2" t="inlineStr">
        <is>
          <t>Coffret</t>
        </is>
      </c>
      <c r="G1338" s="2" t="inlineStr">
        <is>
          <t>Miscellaneous Cards &amp; Products</t>
        </is>
      </c>
      <c r="H1338" s="3" t="n"/>
      <c r="I1338" s="3" t="n">
        <v>14.86</v>
      </c>
      <c r="J1338" s="3" t="n">
        <v>89.98999999999999</v>
      </c>
      <c r="K1338" s="3" t="n">
        <v>0.99</v>
      </c>
      <c r="L1338" s="2" t="inlineStr">
        <is>
          <t>TCGplayer</t>
        </is>
      </c>
      <c r="N1338" s="4" t="inlineStr">
        <is>
          <t>https://www.tcgplayer.com/product/598499</t>
        </is>
      </c>
    </row>
    <row r="1339">
      <c r="A1339" s="2" t="inlineStr">
        <is>
          <t>Checklane 2-Pack Blister [Pawmot] (3-tab)</t>
        </is>
      </c>
      <c r="B1339" s="3">
        <f>IF(H1339&lt;&gt;"",H1339,IF(I1339&lt;&gt;"",I1339,IF(J1339&lt;&gt;"",J1339,K1339)))</f>
        <v>21.67</v>
      </c>
      <c r="C1339" s="3">
        <f>MEDIAN(H1339:K1339)</f>
        <v>30.0</v>
      </c>
      <c r="D1339" s="3">
        <f>ROUND(C1339*(1-Settings!$B$2),2)</f>
        <v>21.0</v>
      </c>
      <c r="E1339" s="2" t="inlineStr">
        <is>
          <t>Pokemon</t>
        </is>
      </c>
      <c r="F1339" s="2" t="inlineStr">
        <is>
          <t>Coffret</t>
        </is>
      </c>
      <c r="G1339" s="2" t="inlineStr">
        <is>
          <t>Miscellaneous Cards &amp; Products</t>
        </is>
      </c>
      <c r="H1339" s="3" t="n"/>
      <c r="I1339" s="3" t="n">
        <v>21.67</v>
      </c>
      <c r="J1339" s="3" t="n">
        <v>60.48</v>
      </c>
      <c r="K1339" s="3" t="n">
        <v>30</v>
      </c>
      <c r="L1339" s="2" t="inlineStr">
        <is>
          <t>TCGplayer</t>
        </is>
      </c>
      <c r="N1339" s="4" t="inlineStr">
        <is>
          <t>https://www.tcgplayer.com/product/653625</t>
        </is>
      </c>
    </row>
    <row r="1340">
      <c r="A1340" s="2" t="inlineStr">
        <is>
          <t>Checklane 2-Pack Pin Blister [Arceus]</t>
        </is>
      </c>
      <c r="B1340" s="3">
        <f>IF(H1340&lt;&gt;"",H1340,IF(I1340&lt;&gt;"",I1340,IF(J1340&lt;&gt;"",J1340,K1340)))</f>
        <v>43.66</v>
      </c>
      <c r="C1340" s="3">
        <f>MEDIAN(H1340:K1340)</f>
        <v>43.495</v>
      </c>
      <c r="D1340" s="3">
        <f>ROUND(C1340*(1-Settings!$B$2),2)</f>
        <v>30.45</v>
      </c>
      <c r="E1340" s="2" t="inlineStr">
        <is>
          <t>Pokemon</t>
        </is>
      </c>
      <c r="F1340" s="2" t="inlineStr">
        <is>
          <t>Coffret</t>
        </is>
      </c>
      <c r="G1340" s="2" t="inlineStr">
        <is>
          <t>Miscellaneous Cards &amp; Products</t>
        </is>
      </c>
      <c r="H1340" s="3" t="n"/>
      <c r="I1340" s="3" t="n"/>
      <c r="J1340" s="3" t="n">
        <v>43.66</v>
      </c>
      <c r="K1340" s="3" t="n">
        <v>43.33</v>
      </c>
      <c r="L1340" s="2" t="inlineStr">
        <is>
          <t>TCGplayer</t>
        </is>
      </c>
      <c r="N1340" s="4" t="inlineStr">
        <is>
          <t>https://www.tcgplayer.com/product/650144</t>
        </is>
      </c>
    </row>
    <row r="1341">
      <c r="A1341" s="2" t="inlineStr">
        <is>
          <t>Checklane 2-Pack Pin Blister [Celebi]</t>
        </is>
      </c>
      <c r="B1341" s="3">
        <f>IF(H1341&lt;&gt;"",H1341,IF(I1341&lt;&gt;"",I1341,IF(J1341&lt;&gt;"",J1341,K1341)))</f>
        <v>79.41</v>
      </c>
      <c r="C1341" s="3">
        <f>MEDIAN(H1341:K1341)</f>
        <v>100.0</v>
      </c>
      <c r="D1341" s="3">
        <f>ROUND(C1341*(1-Settings!$B$2),2)</f>
        <v>70.0</v>
      </c>
      <c r="E1341" s="2" t="inlineStr">
        <is>
          <t>Pokemon</t>
        </is>
      </c>
      <c r="F1341" s="2" t="inlineStr">
        <is>
          <t>Coffret</t>
        </is>
      </c>
      <c r="G1341" s="2" t="inlineStr">
        <is>
          <t>Miscellaneous Cards &amp; Products</t>
        </is>
      </c>
      <c r="H1341" s="3" t="n"/>
      <c r="I1341" s="3" t="n">
        <v>79.41</v>
      </c>
      <c r="J1341" s="3" t="n">
        <v>107</v>
      </c>
      <c r="K1341" s="3" t="n">
        <v>100</v>
      </c>
      <c r="L1341" s="2" t="inlineStr">
        <is>
          <t>TCGplayer</t>
        </is>
      </c>
      <c r="N1341" s="4" t="inlineStr">
        <is>
          <t>https://www.tcgplayer.com/product/489632</t>
        </is>
      </c>
    </row>
    <row r="1342">
      <c r="A1342" s="2" t="inlineStr">
        <is>
          <t>Checklane 2-Pack Pin Blister [Darkrai]</t>
        </is>
      </c>
      <c r="B1342" s="3">
        <f>IF(H1342&lt;&gt;"",H1342,IF(I1342&lt;&gt;"",I1342,IF(J1342&lt;&gt;"",J1342,K1342)))</f>
        <v>59.99</v>
      </c>
      <c r="C1342" s="3">
        <f>MEDIAN(H1342:K1342)</f>
        <v>59.99</v>
      </c>
      <c r="D1342" s="3">
        <f>ROUND(C1342*(1-Settings!$B$2),2)</f>
        <v>41.99</v>
      </c>
      <c r="E1342" s="2" t="inlineStr">
        <is>
          <t>Pokemon</t>
        </is>
      </c>
      <c r="F1342" s="2" t="inlineStr">
        <is>
          <t>Coffret</t>
        </is>
      </c>
      <c r="G1342" s="2" t="inlineStr">
        <is>
          <t>Miscellaneous Cards &amp; Products</t>
        </is>
      </c>
      <c r="H1342" s="3" t="n"/>
      <c r="I1342" s="3" t="n"/>
      <c r="J1342" s="3" t="n">
        <v>59.99</v>
      </c>
      <c r="K1342" s="3" t="n">
        <v>59.99</v>
      </c>
      <c r="L1342" s="2" t="inlineStr">
        <is>
          <t>TCGplayer</t>
        </is>
      </c>
      <c r="N1342" s="4" t="inlineStr">
        <is>
          <t>https://www.tcgplayer.com/product/650148</t>
        </is>
      </c>
    </row>
    <row r="1343">
      <c r="A1343" s="2" t="inlineStr">
        <is>
          <t>Checklane 2-Pack Pin Blister [Latias]</t>
        </is>
      </c>
      <c r="B1343" s="3">
        <f>IF(H1343&lt;&gt;"",H1343,IF(I1343&lt;&gt;"",I1343,IF(J1343&lt;&gt;"",J1343,K1343)))</f>
        <v>93.0</v>
      </c>
      <c r="C1343" s="3">
        <f>MEDIAN(H1343:K1343)</f>
        <v>95.0</v>
      </c>
      <c r="D1343" s="3">
        <f>ROUND(C1343*(1-Settings!$B$2),2)</f>
        <v>66.5</v>
      </c>
      <c r="E1343" s="2" t="inlineStr">
        <is>
          <t>Pokemon</t>
        </is>
      </c>
      <c r="F1343" s="2" t="inlineStr">
        <is>
          <t>Coffret</t>
        </is>
      </c>
      <c r="G1343" s="2" t="inlineStr">
        <is>
          <t>Miscellaneous Cards &amp; Products</t>
        </is>
      </c>
      <c r="H1343" s="3" t="n"/>
      <c r="I1343" s="3" t="n">
        <v>93</v>
      </c>
      <c r="J1343" s="3" t="n">
        <v>105.67</v>
      </c>
      <c r="K1343" s="3" t="n">
        <v>95</v>
      </c>
      <c r="L1343" s="2" t="inlineStr">
        <is>
          <t>TCGplayer</t>
        </is>
      </c>
      <c r="N1343" s="4" t="inlineStr">
        <is>
          <t>https://www.tcgplayer.com/product/456111</t>
        </is>
      </c>
    </row>
    <row r="1344">
      <c r="A1344" s="2" t="inlineStr">
        <is>
          <t>Checklane 2-Pack Pin Blister [Latios]</t>
        </is>
      </c>
      <c r="B1344" s="3">
        <f>IF(H1344&lt;&gt;"",H1344,IF(I1344&lt;&gt;"",I1344,IF(J1344&lt;&gt;"",J1344,K1344)))</f>
        <v>69.95</v>
      </c>
      <c r="C1344" s="3">
        <f>MEDIAN(H1344:K1344)</f>
        <v>79.99</v>
      </c>
      <c r="D1344" s="3">
        <f>ROUND(C1344*(1-Settings!$B$2),2)</f>
        <v>55.99</v>
      </c>
      <c r="E1344" s="2" t="inlineStr">
        <is>
          <t>Pokemon</t>
        </is>
      </c>
      <c r="F1344" s="2" t="inlineStr">
        <is>
          <t>Coffret</t>
        </is>
      </c>
      <c r="G1344" s="2" t="inlineStr">
        <is>
          <t>Miscellaneous Cards &amp; Products</t>
        </is>
      </c>
      <c r="H1344" s="3" t="n"/>
      <c r="I1344" s="3" t="n">
        <v>69.95</v>
      </c>
      <c r="J1344" s="3" t="n">
        <v>97</v>
      </c>
      <c r="K1344" s="3" t="n">
        <v>79.98999999999999</v>
      </c>
      <c r="L1344" s="2" t="inlineStr">
        <is>
          <t>TCGplayer</t>
        </is>
      </c>
      <c r="N1344" s="4" t="inlineStr">
        <is>
          <t>https://www.tcgplayer.com/product/456118</t>
        </is>
      </c>
    </row>
    <row r="1345">
      <c r="A1345" s="2" t="inlineStr">
        <is>
          <t>Checklane 2-Pack Pin Blister [Mega Alakazam]</t>
        </is>
      </c>
      <c r="B1345" s="3">
        <f>IF(H1345&lt;&gt;"",H1345,IF(I1345&lt;&gt;"",I1345,IF(J1345&lt;&gt;"",J1345,K1345)))</f>
        <v>249.99</v>
      </c>
      <c r="C1345" s="3">
        <f>MEDIAN(H1345:K1345)</f>
        <v>249.99</v>
      </c>
      <c r="D1345" s="3">
        <f>ROUND(C1345*(1-Settings!$B$2),2)</f>
        <v>174.99</v>
      </c>
      <c r="E1345" s="2" t="inlineStr">
        <is>
          <t>Pokemon</t>
        </is>
      </c>
      <c r="F1345" s="2" t="inlineStr">
        <is>
          <t>Coffret</t>
        </is>
      </c>
      <c r="G1345" s="2" t="inlineStr">
        <is>
          <t>Miscellaneous Cards &amp; Products</t>
        </is>
      </c>
      <c r="H1345" s="3" t="n"/>
      <c r="I1345" s="3" t="n"/>
      <c r="J1345" s="3" t="n">
        <v>249.99</v>
      </c>
      <c r="K1345" s="3" t="n">
        <v>249.99</v>
      </c>
      <c r="L1345" s="2" t="inlineStr">
        <is>
          <t>TCGplayer</t>
        </is>
      </c>
      <c r="N1345" s="4" t="inlineStr">
        <is>
          <t>https://www.tcgplayer.com/product/713198</t>
        </is>
      </c>
    </row>
    <row r="1346">
      <c r="A1346" s="2" t="inlineStr">
        <is>
          <t>Combined Powers Premium Collection</t>
        </is>
      </c>
      <c r="B1346" s="3">
        <f>IF(H1346&lt;&gt;"",H1346,IF(I1346&lt;&gt;"",I1346,IF(J1346&lt;&gt;"",J1346,K1346)))</f>
        <v>122.27</v>
      </c>
      <c r="C1346" s="3">
        <f>MEDIAN(H1346:K1346)</f>
        <v>122.27</v>
      </c>
      <c r="D1346" s="3">
        <f>ROUND(C1346*(1-Settings!$B$2),2)</f>
        <v>85.59</v>
      </c>
      <c r="E1346" s="2" t="inlineStr">
        <is>
          <t>Pokemon</t>
        </is>
      </c>
      <c r="F1346" s="2" t="inlineStr">
        <is>
          <t>Coffret</t>
        </is>
      </c>
      <c r="G1346" s="2" t="inlineStr">
        <is>
          <t>Miscellaneous Cards &amp; Products</t>
        </is>
      </c>
      <c r="H1346" s="3" t="n"/>
      <c r="I1346" s="3" t="n">
        <v>122.27</v>
      </c>
      <c r="J1346" s="3" t="n">
        <v>125</v>
      </c>
      <c r="K1346" s="3" t="n">
        <v>116.99</v>
      </c>
      <c r="L1346" s="2" t="inlineStr">
        <is>
          <t>TCGplayer</t>
        </is>
      </c>
      <c r="N1346" s="4" t="inlineStr">
        <is>
          <t>https://www.tcgplayer.com/product/532385</t>
        </is>
      </c>
    </row>
    <row r="1347">
      <c r="A1347" s="2" t="inlineStr">
        <is>
          <t>Costco 6-Pack Poke balls</t>
        </is>
      </c>
      <c r="B1347" s="3">
        <f>IF(H1347&lt;&gt;"",H1347,IF(I1347&lt;&gt;"",I1347,IF(J1347&lt;&gt;"",J1347,K1347)))</f>
        <v>121.87</v>
      </c>
      <c r="C1347" s="3">
        <f>MEDIAN(H1347:K1347)</f>
        <v>121.87</v>
      </c>
      <c r="D1347" s="3">
        <f>ROUND(C1347*(1-Settings!$B$2),2)</f>
        <v>85.31</v>
      </c>
      <c r="E1347" s="2" t="inlineStr">
        <is>
          <t>Pokemon</t>
        </is>
      </c>
      <c r="F1347" s="2" t="inlineStr">
        <is>
          <t>Coffret</t>
        </is>
      </c>
      <c r="G1347" s="2" t="inlineStr">
        <is>
          <t>Miscellaneous Cards &amp; Products</t>
        </is>
      </c>
      <c r="H1347" s="3" t="n"/>
      <c r="I1347" s="3" t="n">
        <v>121.87</v>
      </c>
      <c r="J1347" s="3" t="n">
        <v>139.49</v>
      </c>
      <c r="K1347" s="3" t="n">
        <v>115</v>
      </c>
      <c r="L1347" s="2" t="inlineStr">
        <is>
          <t>TCGplayer</t>
        </is>
      </c>
      <c r="N1347" s="4" t="inlineStr">
        <is>
          <t>https://www.tcgplayer.com/product/685924</t>
        </is>
      </c>
    </row>
    <row r="1348">
      <c r="A1348" s="2" t="inlineStr">
        <is>
          <t>Costco Ascended Heroes Mini Tins 5-Pack</t>
        </is>
      </c>
      <c r="B1348" s="3">
        <f>IF(H1348&lt;&gt;"",H1348,IF(I1348&lt;&gt;"",I1348,IF(J1348&lt;&gt;"",J1348,K1348)))</f>
        <v>121.33</v>
      </c>
      <c r="C1348" s="3">
        <f>MEDIAN(H1348:K1348)</f>
        <v>121.33</v>
      </c>
      <c r="D1348" s="3">
        <f>ROUND(C1348*(1-Settings!$B$2),2)</f>
        <v>84.93</v>
      </c>
      <c r="E1348" s="2" t="inlineStr">
        <is>
          <t>Pokemon</t>
        </is>
      </c>
      <c r="F1348" s="2" t="inlineStr">
        <is>
          <t>Coffret</t>
        </is>
      </c>
      <c r="G1348" s="2" t="inlineStr">
        <is>
          <t>Miscellaneous Cards &amp; Products</t>
        </is>
      </c>
      <c r="H1348" s="3" t="n"/>
      <c r="I1348" s="3" t="n">
        <v>121.33</v>
      </c>
      <c r="J1348" s="3" t="n">
        <v>130</v>
      </c>
      <c r="K1348" s="3" t="n">
        <v>115</v>
      </c>
      <c r="L1348" s="2" t="inlineStr">
        <is>
          <t>TCGplayer</t>
        </is>
      </c>
      <c r="N1348" s="4" t="inlineStr">
        <is>
          <t>https://www.tcgplayer.com/product/719650</t>
        </is>
      </c>
    </row>
    <row r="1349">
      <c r="A1349" s="2" t="inlineStr">
        <is>
          <t>Costco Exclusive 4-Tin Bundle: V Heroes Tin [Set of 3] + V Strikers [Empoleon]</t>
        </is>
      </c>
      <c r="B1349" s="3">
        <f>IF(H1349&lt;&gt;"",H1349,IF(I1349&lt;&gt;"",I1349,IF(J1349&lt;&gt;"",J1349,K1349)))</f>
        <v>650.0</v>
      </c>
      <c r="C1349" s="3">
        <f>MEDIAN(H1349:K1349)</f>
        <v>650.0</v>
      </c>
      <c r="D1349" s="3">
        <f>ROUND(C1349*(1-Settings!$B$2),2)</f>
        <v>455.0</v>
      </c>
      <c r="E1349" s="2" t="inlineStr">
        <is>
          <t>Pokemon</t>
        </is>
      </c>
      <c r="F1349" s="2" t="inlineStr">
        <is>
          <t>Coffret</t>
        </is>
      </c>
      <c r="G1349" s="2" t="inlineStr">
        <is>
          <t>Miscellaneous Cards &amp; Products</t>
        </is>
      </c>
      <c r="H1349" s="3" t="n"/>
      <c r="I1349" s="3" t="n"/>
      <c r="J1349" s="3" t="n">
        <v>650</v>
      </c>
      <c r="K1349" s="3" t="n">
        <v>650</v>
      </c>
      <c r="L1349" s="2" t="inlineStr">
        <is>
          <t>TCGplayer</t>
        </is>
      </c>
      <c r="N1349" s="4" t="inlineStr">
        <is>
          <t>https://www.tcgplayer.com/product/702637</t>
        </is>
      </c>
    </row>
    <row r="1350">
      <c r="A1350" s="2" t="inlineStr">
        <is>
          <t>Costco Exclusive 4-Tin Bundle: V Powers Tin [Set of 3] + V Strikers [Tyranitar]</t>
        </is>
      </c>
      <c r="B1350" s="3">
        <f>IF(H1350&lt;&gt;"",H1350,IF(I1350&lt;&gt;"",I1350,IF(J1350&lt;&gt;"",J1350,K1350)))</f>
        <v>650.0</v>
      </c>
      <c r="C1350" s="3">
        <f>MEDIAN(H1350:K1350)</f>
        <v>650.0</v>
      </c>
      <c r="D1350" s="3">
        <f>ROUND(C1350*(1-Settings!$B$2),2)</f>
        <v>455.0</v>
      </c>
      <c r="E1350" s="2" t="inlineStr">
        <is>
          <t>Pokemon</t>
        </is>
      </c>
      <c r="F1350" s="2" t="inlineStr">
        <is>
          <t>Coffret</t>
        </is>
      </c>
      <c r="G1350" s="2" t="inlineStr">
        <is>
          <t>Miscellaneous Cards &amp; Products</t>
        </is>
      </c>
      <c r="H1350" s="3" t="n"/>
      <c r="I1350" s="3" t="n"/>
      <c r="J1350" s="3" t="n">
        <v>650</v>
      </c>
      <c r="K1350" s="3" t="n">
        <v>650</v>
      </c>
      <c r="L1350" s="2" t="inlineStr">
        <is>
          <t>TCGplayer</t>
        </is>
      </c>
      <c r="N1350" s="4" t="inlineStr">
        <is>
          <t>https://www.tcgplayer.com/product/701600</t>
        </is>
      </c>
    </row>
    <row r="1351">
      <c r="A1351" s="2" t="inlineStr">
        <is>
          <t>Costco Pokemon Collector 3-Pack: Crown Zenith ETB + Paldea Legends Tins</t>
        </is>
      </c>
      <c r="B1351" s="3">
        <f>IF(H1351&lt;&gt;"",H1351,IF(I1351&lt;&gt;"",I1351,IF(J1351&lt;&gt;"",J1351,K1351)))</f>
        <v>433.33</v>
      </c>
      <c r="C1351" s="3">
        <f>MEDIAN(H1351:K1351)</f>
        <v>835.0</v>
      </c>
      <c r="D1351" s="3">
        <f>ROUND(C1351*(1-Settings!$B$2),2)</f>
        <v>584.5</v>
      </c>
      <c r="E1351" s="2" t="inlineStr">
        <is>
          <t>Pokemon</t>
        </is>
      </c>
      <c r="F1351" s="2" t="inlineStr">
        <is>
          <t>Coffret</t>
        </is>
      </c>
      <c r="G1351" s="2" t="inlineStr">
        <is>
          <t>Miscellaneous Cards &amp; Products</t>
        </is>
      </c>
      <c r="H1351" s="3" t="n"/>
      <c r="I1351" s="3" t="n">
        <v>433.33</v>
      </c>
      <c r="J1351" s="3" t="n">
        <v>842.5</v>
      </c>
      <c r="K1351" s="3" t="n">
        <v>835</v>
      </c>
      <c r="L1351" s="2" t="inlineStr">
        <is>
          <t>TCGplayer</t>
        </is>
      </c>
      <c r="N1351" s="4" t="inlineStr">
        <is>
          <t>https://www.tcgplayer.com/product/636312</t>
        </is>
      </c>
    </row>
    <row r="1352">
      <c r="A1352" s="2" t="inlineStr">
        <is>
          <t>Costco Pokemon Collector 3-Pack: Eevee Treasure Chest + 2 Poke Ball Tins</t>
        </is>
      </c>
      <c r="B1352" s="3">
        <f>IF(H1352&lt;&gt;"",H1352,IF(I1352&lt;&gt;"",I1352,IF(J1352&lt;&gt;"",J1352,K1352)))</f>
        <v>212.43</v>
      </c>
      <c r="C1352" s="3">
        <f>MEDIAN(H1352:K1352)</f>
        <v>295.0</v>
      </c>
      <c r="D1352" s="3">
        <f>ROUND(C1352*(1-Settings!$B$2),2)</f>
        <v>206.5</v>
      </c>
      <c r="E1352" s="2" t="inlineStr">
        <is>
          <t>Pokemon</t>
        </is>
      </c>
      <c r="F1352" s="2" t="inlineStr">
        <is>
          <t>Coffret</t>
        </is>
      </c>
      <c r="G1352" s="2" t="inlineStr">
        <is>
          <t>Miscellaneous Cards &amp; Products</t>
        </is>
      </c>
      <c r="H1352" s="3" t="n"/>
      <c r="I1352" s="3" t="n">
        <v>212.43</v>
      </c>
      <c r="J1352" s="3" t="n">
        <v>325</v>
      </c>
      <c r="K1352" s="3" t="n">
        <v>295</v>
      </c>
      <c r="L1352" s="2" t="inlineStr">
        <is>
          <t>TCGplayer</t>
        </is>
      </c>
      <c r="N1352" s="4" t="inlineStr">
        <is>
          <t>https://www.tcgplayer.com/product/256408</t>
        </is>
      </c>
    </row>
    <row r="1353">
      <c r="A1353" s="2" t="inlineStr">
        <is>
          <t>Costco Pokemon Collector 3-Pack: Scarlet &amp; Violet 151 ETB + Paldea Legends Tins</t>
        </is>
      </c>
      <c r="B1353" s="3">
        <f>IF(H1353&lt;&gt;"",H1353,IF(I1353&lt;&gt;"",I1353,IF(J1353&lt;&gt;"",J1353,K1353)))</f>
        <v>1013.16</v>
      </c>
      <c r="C1353" s="3">
        <f>MEDIAN(H1353:K1353)</f>
        <v>1005.98</v>
      </c>
      <c r="D1353" s="3">
        <f>ROUND(C1353*(1-Settings!$B$2),2)</f>
        <v>704.19</v>
      </c>
      <c r="E1353" s="2" t="inlineStr">
        <is>
          <t>Pokemon</t>
        </is>
      </c>
      <c r="F1353" s="2" t="inlineStr">
        <is>
          <t>Coffret</t>
        </is>
      </c>
      <c r="G1353" s="2" t="inlineStr">
        <is>
          <t>Miscellaneous Cards &amp; Products</t>
        </is>
      </c>
      <c r="H1353" s="3" t="n"/>
      <c r="I1353" s="3" t="n">
        <v>1013.16</v>
      </c>
      <c r="J1353" s="3" t="n">
        <v>1005.98</v>
      </c>
      <c r="K1353" s="3" t="n">
        <v>997.99</v>
      </c>
      <c r="L1353" s="2" t="inlineStr">
        <is>
          <t>TCGplayer</t>
        </is>
      </c>
      <c r="N1353" s="4" t="inlineStr">
        <is>
          <t>https://www.tcgplayer.com/product/587750</t>
        </is>
      </c>
    </row>
    <row r="1354">
      <c r="A1354" s="2" t="inlineStr">
        <is>
          <t>Costco Pokemon Evolving Skies Elite Trainer Box and Tin</t>
        </is>
      </c>
      <c r="B1354" s="3">
        <f>IF(H1354&lt;&gt;"",H1354,IF(I1354&lt;&gt;"",I1354,IF(J1354&lt;&gt;"",J1354,K1354)))</f>
        <v>597.5</v>
      </c>
      <c r="C1354" s="3">
        <f>MEDIAN(H1354:K1354)</f>
        <v>597.5</v>
      </c>
      <c r="D1354" s="3">
        <f>ROUND(C1354*(1-Settings!$B$2),2)</f>
        <v>418.25</v>
      </c>
      <c r="E1354" s="2" t="inlineStr">
        <is>
          <t>Pokemon</t>
        </is>
      </c>
      <c r="F1354" s="2" t="inlineStr">
        <is>
          <t>Coffret</t>
        </is>
      </c>
      <c r="G1354" s="2" t="inlineStr">
        <is>
          <t>Miscellaneous Cards &amp; Products</t>
        </is>
      </c>
      <c r="H1354" s="3" t="n"/>
      <c r="I1354" s="3" t="n">
        <v>597.5</v>
      </c>
      <c r="J1354" s="3" t="n">
        <v>630</v>
      </c>
      <c r="K1354" s="3" t="n">
        <v>569.99</v>
      </c>
      <c r="L1354" s="2" t="inlineStr">
        <is>
          <t>TCGplayer</t>
        </is>
      </c>
      <c r="N1354" s="4" t="inlineStr">
        <is>
          <t>https://www.tcgplayer.com/product/610741</t>
        </is>
      </c>
    </row>
    <row r="1355">
      <c r="A1355" s="2" t="inlineStr">
        <is>
          <t>Costco Pokemon Pokemon Holiday Calendar and Great Ball Bundle</t>
        </is>
      </c>
      <c r="B1355" s="3">
        <f>IF(H1355&lt;&gt;"",H1355,IF(I1355&lt;&gt;"",I1355,IF(J1355&lt;&gt;"",J1355,K1355)))</f>
        <v>91.5</v>
      </c>
      <c r="C1355" s="3">
        <f>MEDIAN(H1355:K1355)</f>
        <v>94.99</v>
      </c>
      <c r="D1355" s="3">
        <f>ROUND(C1355*(1-Settings!$B$2),2)</f>
        <v>66.49</v>
      </c>
      <c r="E1355" s="2" t="inlineStr">
        <is>
          <t>Pokemon</t>
        </is>
      </c>
      <c r="F1355" s="2" t="inlineStr">
        <is>
          <t>Coffret</t>
        </is>
      </c>
      <c r="G1355" s="2" t="inlineStr">
        <is>
          <t>Miscellaneous Cards &amp; Products</t>
        </is>
      </c>
      <c r="H1355" s="3" t="n"/>
      <c r="I1355" s="3" t="n">
        <v>91.5</v>
      </c>
      <c r="J1355" s="3" t="n">
        <v>107</v>
      </c>
      <c r="K1355" s="3" t="n">
        <v>94.98999999999999</v>
      </c>
      <c r="L1355" s="2" t="inlineStr">
        <is>
          <t>TCGplayer</t>
        </is>
      </c>
      <c r="N1355" s="4" t="inlineStr">
        <is>
          <t>https://www.tcgplayer.com/product/650885</t>
        </is>
      </c>
    </row>
    <row r="1356">
      <c r="A1356" s="2" t="inlineStr">
        <is>
          <t>Costco Pokemon Prismatic Evolutions 2-Pack Trainer Box and Booster Bundle</t>
        </is>
      </c>
      <c r="B1356" s="3">
        <f>IF(H1356&lt;&gt;"",H1356,IF(I1356&lt;&gt;"",I1356,IF(J1356&lt;&gt;"",J1356,K1356)))</f>
        <v>277.82</v>
      </c>
      <c r="C1356" s="3">
        <f>MEDIAN(H1356:K1356)</f>
        <v>277.82</v>
      </c>
      <c r="D1356" s="3">
        <f>ROUND(C1356*(1-Settings!$B$2),2)</f>
        <v>194.47</v>
      </c>
      <c r="E1356" s="2" t="inlineStr">
        <is>
          <t>Pokemon</t>
        </is>
      </c>
      <c r="F1356" s="2" t="inlineStr">
        <is>
          <t>Coffret</t>
        </is>
      </c>
      <c r="G1356" s="2" t="inlineStr">
        <is>
          <t>Miscellaneous Cards &amp; Products</t>
        </is>
      </c>
      <c r="H1356" s="3" t="n"/>
      <c r="I1356" s="3" t="n">
        <v>277.82</v>
      </c>
      <c r="J1356" s="3" t="n">
        <v>299.97</v>
      </c>
      <c r="K1356" s="3" t="n">
        <v>85</v>
      </c>
      <c r="L1356" s="2" t="inlineStr">
        <is>
          <t>TCGplayer</t>
        </is>
      </c>
      <c r="N1356" s="4" t="inlineStr">
        <is>
          <t>https://www.tcgplayer.com/product/636740</t>
        </is>
      </c>
    </row>
    <row r="1357">
      <c r="A1357" s="2" t="inlineStr">
        <is>
          <t>Costco Pokemon Scarlet &amp; Violet 151 Mini Tin 5-pack (Magneton)</t>
        </is>
      </c>
      <c r="B1357" s="3">
        <f>IF(H1357&lt;&gt;"",H1357,IF(I1357&lt;&gt;"",I1357,IF(J1357&lt;&gt;"",J1357,K1357)))</f>
        <v>279.31</v>
      </c>
      <c r="C1357" s="3">
        <f>MEDIAN(H1357:K1357)</f>
        <v>279.31</v>
      </c>
      <c r="D1357" s="3">
        <f>ROUND(C1357*(1-Settings!$B$2),2)</f>
        <v>195.52</v>
      </c>
      <c r="E1357" s="2" t="inlineStr">
        <is>
          <t>Pokemon</t>
        </is>
      </c>
      <c r="F1357" s="2" t="inlineStr">
        <is>
          <t>Coffret</t>
        </is>
      </c>
      <c r="G1357" s="2" t="inlineStr">
        <is>
          <t>Miscellaneous Cards &amp; Products</t>
        </is>
      </c>
      <c r="H1357" s="3" t="n"/>
      <c r="I1357" s="3" t="n">
        <v>279.31</v>
      </c>
      <c r="J1357" s="3" t="n">
        <v>300</v>
      </c>
      <c r="K1357" s="3" t="n">
        <v>269.99</v>
      </c>
      <c r="L1357" s="2" t="inlineStr">
        <is>
          <t>TCGplayer</t>
        </is>
      </c>
      <c r="N1357" s="4" t="inlineStr">
        <is>
          <t>https://www.tcgplayer.com/product/587747</t>
        </is>
      </c>
    </row>
    <row r="1358">
      <c r="A1358" s="2" t="inlineStr">
        <is>
          <t>Costco Pokemon Scarlet &amp; Violet 151 Mini Tin 5-pack (Meowth)</t>
        </is>
      </c>
      <c r="B1358" s="3">
        <f>IF(H1358&lt;&gt;"",H1358,IF(I1358&lt;&gt;"",I1358,IF(J1358&lt;&gt;"",J1358,K1358)))</f>
        <v>276.12</v>
      </c>
      <c r="C1358" s="3">
        <f>MEDIAN(H1358:K1358)</f>
        <v>276.12</v>
      </c>
      <c r="D1358" s="3">
        <f>ROUND(C1358*(1-Settings!$B$2),2)</f>
        <v>193.28</v>
      </c>
      <c r="E1358" s="2" t="inlineStr">
        <is>
          <t>Pokemon</t>
        </is>
      </c>
      <c r="F1358" s="2" t="inlineStr">
        <is>
          <t>Coffret</t>
        </is>
      </c>
      <c r="G1358" s="2" t="inlineStr">
        <is>
          <t>Miscellaneous Cards &amp; Products</t>
        </is>
      </c>
      <c r="H1358" s="3" t="n"/>
      <c r="I1358" s="3" t="n">
        <v>276.12</v>
      </c>
      <c r="J1358" s="3" t="n">
        <v>300</v>
      </c>
      <c r="K1358" s="3" t="n">
        <v>248.5</v>
      </c>
      <c r="L1358" s="2" t="inlineStr">
        <is>
          <t>TCGplayer</t>
        </is>
      </c>
      <c r="N1358" s="4" t="inlineStr">
        <is>
          <t>https://www.tcgplayer.com/product/587746</t>
        </is>
      </c>
    </row>
    <row r="1359">
      <c r="A1359" s="2" t="inlineStr">
        <is>
          <t>Costco Pokemon Scarlet &amp; Violet Paldean Fates Mini Tin 5-pack</t>
        </is>
      </c>
      <c r="B1359" s="3">
        <f>IF(H1359&lt;&gt;"",H1359,IF(I1359&lt;&gt;"",I1359,IF(J1359&lt;&gt;"",J1359,K1359)))</f>
        <v>388.08</v>
      </c>
      <c r="C1359" s="3">
        <f>MEDIAN(H1359:K1359)</f>
        <v>399.9</v>
      </c>
      <c r="D1359" s="3">
        <f>ROUND(C1359*(1-Settings!$B$2),2)</f>
        <v>279.93</v>
      </c>
      <c r="E1359" s="2" t="inlineStr">
        <is>
          <t>Pokemon</t>
        </is>
      </c>
      <c r="F1359" s="2" t="inlineStr">
        <is>
          <t>Coffret</t>
        </is>
      </c>
      <c r="G1359" s="2" t="inlineStr">
        <is>
          <t>Miscellaneous Cards &amp; Products</t>
        </is>
      </c>
      <c r="H1359" s="3" t="n"/>
      <c r="I1359" s="3" t="n">
        <v>388.08</v>
      </c>
      <c r="J1359" s="3" t="n">
        <v>449.99</v>
      </c>
      <c r="K1359" s="3" t="n">
        <v>399.9</v>
      </c>
      <c r="L1359" s="2" t="inlineStr">
        <is>
          <t>TCGplayer</t>
        </is>
      </c>
      <c r="N1359" s="4" t="inlineStr">
        <is>
          <t>https://www.tcgplayer.com/product/594729</t>
        </is>
      </c>
    </row>
    <row r="1360">
      <c r="A1360" s="2" t="inlineStr">
        <is>
          <t>Costco Pokemon Surging Sparks 2-Pack Trainer Box and Booster Bundle</t>
        </is>
      </c>
      <c r="B1360" s="3">
        <f>IF(H1360&lt;&gt;"",H1360,IF(I1360&lt;&gt;"",I1360,IF(J1360&lt;&gt;"",J1360,K1360)))</f>
        <v>183.98</v>
      </c>
      <c r="C1360" s="3">
        <f>MEDIAN(H1360:K1360)</f>
        <v>183.98</v>
      </c>
      <c r="D1360" s="3">
        <f>ROUND(C1360*(1-Settings!$B$2),2)</f>
        <v>128.79</v>
      </c>
      <c r="E1360" s="2" t="inlineStr">
        <is>
          <t>Pokemon</t>
        </is>
      </c>
      <c r="F1360" s="2" t="inlineStr">
        <is>
          <t>Coffret</t>
        </is>
      </c>
      <c r="G1360" s="2" t="inlineStr">
        <is>
          <t>Miscellaneous Cards &amp; Products</t>
        </is>
      </c>
      <c r="H1360" s="3" t="n"/>
      <c r="I1360" s="3" t="n">
        <v>183.98</v>
      </c>
      <c r="J1360" s="3" t="n">
        <v>192.99</v>
      </c>
      <c r="K1360" s="3" t="n">
        <v>155</v>
      </c>
      <c r="L1360" s="2" t="inlineStr">
        <is>
          <t>TCGplayer</t>
        </is>
      </c>
      <c r="N1360" s="4" t="inlineStr">
        <is>
          <t>https://www.tcgplayer.com/product/650397</t>
        </is>
      </c>
    </row>
    <row r="1361">
      <c r="A1361" s="2" t="inlineStr">
        <is>
          <t>Costco Prismatic Evolutions 8-Pack Mini Tins</t>
        </is>
      </c>
      <c r="B1361" s="3">
        <f>IF(H1361&lt;&gt;"",H1361,IF(I1361&lt;&gt;"",I1361,IF(J1361&lt;&gt;"",J1361,K1361)))</f>
        <v>273.91</v>
      </c>
      <c r="C1361" s="3">
        <f>MEDIAN(H1361:K1361)</f>
        <v>273.91</v>
      </c>
      <c r="D1361" s="3">
        <f>ROUND(C1361*(1-Settings!$B$2),2)</f>
        <v>191.74</v>
      </c>
      <c r="E1361" s="2" t="inlineStr">
        <is>
          <t>Pokemon</t>
        </is>
      </c>
      <c r="F1361" s="2" t="inlineStr">
        <is>
          <t>Coffret</t>
        </is>
      </c>
      <c r="G1361" s="2" t="inlineStr">
        <is>
          <t>Miscellaneous Cards &amp; Products</t>
        </is>
      </c>
      <c r="H1361" s="3" t="n"/>
      <c r="I1361" s="3" t="n">
        <v>273.91</v>
      </c>
      <c r="J1361" s="3" t="n">
        <v>306.97</v>
      </c>
      <c r="K1361" s="3" t="n">
        <v>28</v>
      </c>
      <c r="L1361" s="2" t="inlineStr">
        <is>
          <t>TCGplayer</t>
        </is>
      </c>
      <c r="N1361" s="4" t="inlineStr">
        <is>
          <t>https://www.tcgplayer.com/product/653892</t>
        </is>
      </c>
    </row>
    <row r="1362">
      <c r="A1362" s="2" t="inlineStr">
        <is>
          <t>Cyclizar ex Box</t>
        </is>
      </c>
      <c r="B1362" s="3">
        <f>IF(H1362&lt;&gt;"",H1362,IF(I1362&lt;&gt;"",I1362,IF(J1362&lt;&gt;"",J1362,K1362)))</f>
        <v>45.69</v>
      </c>
      <c r="C1362" s="3">
        <f>MEDIAN(H1362:K1362)</f>
        <v>45.69</v>
      </c>
      <c r="D1362" s="3">
        <f>ROUND(C1362*(1-Settings!$B$2),2)</f>
        <v>31.98</v>
      </c>
      <c r="E1362" s="2" t="inlineStr">
        <is>
          <t>Pokemon</t>
        </is>
      </c>
      <c r="F1362" s="2" t="inlineStr">
        <is>
          <t>Coffret</t>
        </is>
      </c>
      <c r="G1362" s="2" t="inlineStr">
        <is>
          <t>Miscellaneous Cards &amp; Products</t>
        </is>
      </c>
      <c r="H1362" s="3" t="n"/>
      <c r="I1362" s="3" t="n">
        <v>45.69</v>
      </c>
      <c r="J1362" s="3" t="n">
        <v>59.69</v>
      </c>
      <c r="K1362" s="3" t="n">
        <v>40.22</v>
      </c>
      <c r="L1362" s="2" t="inlineStr">
        <is>
          <t>TCGplayer</t>
        </is>
      </c>
      <c r="N1362" s="4" t="inlineStr">
        <is>
          <t>https://www.tcgplayer.com/product/484372</t>
        </is>
      </c>
    </row>
    <row r="1363">
      <c r="A1363" s="2" t="inlineStr">
        <is>
          <t>Cynthia's Garchomp ex Premium Collection</t>
        </is>
      </c>
      <c r="B1363" s="3">
        <f>IF(H1363&lt;&gt;"",H1363,IF(I1363&lt;&gt;"",I1363,IF(J1363&lt;&gt;"",J1363,K1363)))</f>
        <v>75.3</v>
      </c>
      <c r="C1363" s="3">
        <f>MEDIAN(H1363:K1363)</f>
        <v>75.3</v>
      </c>
      <c r="D1363" s="3">
        <f>ROUND(C1363*(1-Settings!$B$2),2)</f>
        <v>52.71</v>
      </c>
      <c r="E1363" s="2" t="inlineStr">
        <is>
          <t>Pokemon</t>
        </is>
      </c>
      <c r="F1363" s="2" t="inlineStr">
        <is>
          <t>Coffret</t>
        </is>
      </c>
      <c r="G1363" s="2" t="inlineStr">
        <is>
          <t>Miscellaneous Cards &amp; Products</t>
        </is>
      </c>
      <c r="H1363" s="3" t="n"/>
      <c r="I1363" s="3" t="n">
        <v>75.3</v>
      </c>
      <c r="J1363" s="3" t="n">
        <v>85</v>
      </c>
      <c r="K1363" s="3" t="n">
        <v>2</v>
      </c>
      <c r="L1363" s="2" t="inlineStr">
        <is>
          <t>TCGplayer</t>
        </is>
      </c>
      <c r="N1363" s="4" t="inlineStr">
        <is>
          <t>https://www.tcgplayer.com/product/625952</t>
        </is>
      </c>
    </row>
    <row r="1364">
      <c r="A1364" s="2" t="inlineStr">
        <is>
          <t>Cyrus Premium Tournament Collection Box</t>
        </is>
      </c>
      <c r="B1364" s="3">
        <f>IF(H1364&lt;&gt;"",H1364,IF(I1364&lt;&gt;"",I1364,IF(J1364&lt;&gt;"",J1364,K1364)))</f>
        <v>81.58</v>
      </c>
      <c r="C1364" s="3">
        <f>MEDIAN(H1364:K1364)</f>
        <v>81.58</v>
      </c>
      <c r="D1364" s="3">
        <f>ROUND(C1364*(1-Settings!$B$2),2)</f>
        <v>57.11</v>
      </c>
      <c r="E1364" s="2" t="inlineStr">
        <is>
          <t>Pokemon</t>
        </is>
      </c>
      <c r="F1364" s="2" t="inlineStr">
        <is>
          <t>Coffret</t>
        </is>
      </c>
      <c r="G1364" s="2" t="inlineStr">
        <is>
          <t>Miscellaneous Cards &amp; Products</t>
        </is>
      </c>
      <c r="H1364" s="3" t="n"/>
      <c r="I1364" s="3" t="n">
        <v>81.58</v>
      </c>
      <c r="J1364" s="3" t="n">
        <v>93.98</v>
      </c>
      <c r="K1364" s="3" t="n">
        <v>78.7</v>
      </c>
      <c r="L1364" s="2" t="inlineStr">
        <is>
          <t>TCGplayer</t>
        </is>
      </c>
      <c r="N1364" s="4" t="inlineStr">
        <is>
          <t>https://www.tcgplayer.com/product/477286</t>
        </is>
      </c>
    </row>
    <row r="1365">
      <c r="A1365" s="2" t="inlineStr">
        <is>
          <t>Cyrus/Klara Premium Tournament Collection Box [Set of 2]</t>
        </is>
      </c>
      <c r="B1365" s="3">
        <f>IF(H1365&lt;&gt;"",H1365,IF(I1365&lt;&gt;"",I1365,IF(J1365&lt;&gt;"",J1365,K1365)))</f>
        <v>162.64</v>
      </c>
      <c r="C1365" s="3">
        <f>MEDIAN(H1365:K1365)</f>
        <v>170.0</v>
      </c>
      <c r="D1365" s="3">
        <f>ROUND(C1365*(1-Settings!$B$2),2)</f>
        <v>119.0</v>
      </c>
      <c r="E1365" s="2" t="inlineStr">
        <is>
          <t>Pokemon</t>
        </is>
      </c>
      <c r="F1365" s="2" t="inlineStr">
        <is>
          <t>Coffret</t>
        </is>
      </c>
      <c r="G1365" s="2" t="inlineStr">
        <is>
          <t>Miscellaneous Cards &amp; Products</t>
        </is>
      </c>
      <c r="H1365" s="3" t="n"/>
      <c r="I1365" s="3" t="n">
        <v>162.64</v>
      </c>
      <c r="J1365" s="3" t="n">
        <v>214.78</v>
      </c>
      <c r="K1365" s="3" t="n">
        <v>170</v>
      </c>
      <c r="L1365" s="2" t="inlineStr">
        <is>
          <t>TCGplayer</t>
        </is>
      </c>
      <c r="N1365" s="4" t="inlineStr">
        <is>
          <t>https://www.tcgplayer.com/product/477288</t>
        </is>
      </c>
    </row>
    <row r="1366">
      <c r="A1366" s="2" t="inlineStr">
        <is>
          <t>Dark Powers ex Special Collection</t>
        </is>
      </c>
      <c r="B1366" s="3">
        <f>IF(H1366&lt;&gt;"",H1366,IF(I1366&lt;&gt;"",I1366,IF(J1366&lt;&gt;"",J1366,K1366)))</f>
        <v>113.87</v>
      </c>
      <c r="C1366" s="3">
        <f>MEDIAN(H1366:K1366)</f>
        <v>124.97</v>
      </c>
      <c r="D1366" s="3">
        <f>ROUND(C1366*(1-Settings!$B$2),2)</f>
        <v>87.48</v>
      </c>
      <c r="E1366" s="2" t="inlineStr">
        <is>
          <t>Pokemon</t>
        </is>
      </c>
      <c r="F1366" s="2" t="inlineStr">
        <is>
          <t>Coffret</t>
        </is>
      </c>
      <c r="G1366" s="2" t="inlineStr">
        <is>
          <t>Miscellaneous Cards &amp; Products</t>
        </is>
      </c>
      <c r="H1366" s="3" t="n"/>
      <c r="I1366" s="3" t="n">
        <v>113.87</v>
      </c>
      <c r="J1366" s="3" t="n">
        <v>187.48</v>
      </c>
      <c r="K1366" s="3" t="n">
        <v>124.97</v>
      </c>
      <c r="L1366" s="2" t="inlineStr">
        <is>
          <t>TCGplayer</t>
        </is>
      </c>
      <c r="N1366" s="4" t="inlineStr">
        <is>
          <t>https://www.tcgplayer.com/product/558746</t>
        </is>
      </c>
    </row>
    <row r="1367">
      <c r="A1367" s="2" t="inlineStr">
        <is>
          <t>Decidueye ex Box</t>
        </is>
      </c>
      <c r="B1367" s="3">
        <f>IF(H1367&lt;&gt;"",H1367,IF(I1367&lt;&gt;"",I1367,IF(J1367&lt;&gt;"",J1367,K1367)))</f>
        <v>80.0</v>
      </c>
      <c r="C1367" s="3">
        <f>MEDIAN(H1367:K1367)</f>
        <v>80.0</v>
      </c>
      <c r="D1367" s="3">
        <f>ROUND(C1367*(1-Settings!$B$2),2)</f>
        <v>56.0</v>
      </c>
      <c r="E1367" s="2" t="inlineStr">
        <is>
          <t>Pokemon</t>
        </is>
      </c>
      <c r="F1367" s="2" t="inlineStr">
        <is>
          <t>Coffret</t>
        </is>
      </c>
      <c r="G1367" s="2" t="inlineStr">
        <is>
          <t>Miscellaneous Cards &amp; Products</t>
        </is>
      </c>
      <c r="H1367" s="3" t="n"/>
      <c r="I1367" s="3" t="n">
        <v>80</v>
      </c>
      <c r="J1367" s="3" t="n"/>
      <c r="K1367" s="3" t="n"/>
      <c r="L1367" s="2" t="inlineStr">
        <is>
          <t>TCGplayer</t>
        </is>
      </c>
      <c r="N1367" s="4" t="inlineStr">
        <is>
          <t>https://www.tcgplayer.com/product/604493</t>
        </is>
      </c>
    </row>
    <row r="1368">
      <c r="A1368" s="2" t="inlineStr">
        <is>
          <t>Deoxys VMAX &amp; VSTAR Battle Box</t>
        </is>
      </c>
      <c r="B1368" s="3">
        <f>IF(H1368&lt;&gt;"",H1368,IF(I1368&lt;&gt;"",I1368,IF(J1368&lt;&gt;"",J1368,K1368)))</f>
        <v>101.83</v>
      </c>
      <c r="C1368" s="3">
        <f>MEDIAN(H1368:K1368)</f>
        <v>143.0</v>
      </c>
      <c r="D1368" s="3">
        <f>ROUND(C1368*(1-Settings!$B$2),2)</f>
        <v>100.1</v>
      </c>
      <c r="E1368" s="2" t="inlineStr">
        <is>
          <t>Pokemon</t>
        </is>
      </c>
      <c r="F1368" s="2" t="inlineStr">
        <is>
          <t>Coffret</t>
        </is>
      </c>
      <c r="G1368" s="2" t="inlineStr">
        <is>
          <t>Miscellaneous Cards &amp; Products</t>
        </is>
      </c>
      <c r="H1368" s="3" t="n"/>
      <c r="I1368" s="3" t="n">
        <v>101.83</v>
      </c>
      <c r="J1368" s="3" t="n">
        <v>149.99</v>
      </c>
      <c r="K1368" s="3" t="n">
        <v>143</v>
      </c>
      <c r="L1368" s="2" t="inlineStr">
        <is>
          <t>TCGplayer</t>
        </is>
      </c>
      <c r="N1368" s="4" t="inlineStr">
        <is>
          <t>https://www.tcgplayer.com/product/282002</t>
        </is>
      </c>
    </row>
    <row r="1369">
      <c r="A1369" s="2" t="inlineStr">
        <is>
          <t>Deoxys/Zeraora VMAX &amp; VSTAR Battle Box [Set of 2]</t>
        </is>
      </c>
      <c r="B1369" s="3">
        <f>IF(H1369&lt;&gt;"",H1369,IF(I1369&lt;&gt;"",I1369,IF(J1369&lt;&gt;"",J1369,K1369)))</f>
        <v>140.0</v>
      </c>
      <c r="C1369" s="3">
        <f>MEDIAN(H1369:K1369)</f>
        <v>140.0</v>
      </c>
      <c r="D1369" s="3">
        <f>ROUND(C1369*(1-Settings!$B$2),2)</f>
        <v>98.0</v>
      </c>
      <c r="E1369" s="2" t="inlineStr">
        <is>
          <t>Pokemon</t>
        </is>
      </c>
      <c r="F1369" s="2" t="inlineStr">
        <is>
          <t>Coffret</t>
        </is>
      </c>
      <c r="G1369" s="2" t="inlineStr">
        <is>
          <t>Miscellaneous Cards &amp; Products</t>
        </is>
      </c>
      <c r="H1369" s="3" t="n"/>
      <c r="I1369" s="3" t="n">
        <v>140</v>
      </c>
      <c r="J1369" s="3" t="n"/>
      <c r="K1369" s="3" t="n"/>
      <c r="L1369" s="2" t="inlineStr">
        <is>
          <t>TCGplayer</t>
        </is>
      </c>
      <c r="N1369" s="4" t="inlineStr">
        <is>
          <t>https://www.tcgplayer.com/product/282004</t>
        </is>
      </c>
    </row>
    <row r="1370">
      <c r="A1370" s="2" t="inlineStr">
        <is>
          <t>Divergent Powers Tin [Hisuian Decidueye V]</t>
        </is>
      </c>
      <c r="B1370" s="3">
        <f>IF(H1370&lt;&gt;"",H1370,IF(I1370&lt;&gt;"",I1370,IF(J1370&lt;&gt;"",J1370,K1370)))</f>
        <v>101.83</v>
      </c>
      <c r="C1370" s="3">
        <f>MEDIAN(H1370:K1370)</f>
        <v>112.5</v>
      </c>
      <c r="D1370" s="3">
        <f>ROUND(C1370*(1-Settings!$B$2),2)</f>
        <v>78.75</v>
      </c>
      <c r="E1370" s="2" t="inlineStr">
        <is>
          <t>Pokemon</t>
        </is>
      </c>
      <c r="F1370" s="2" t="inlineStr">
        <is>
          <t>Coffret</t>
        </is>
      </c>
      <c r="G1370" s="2" t="inlineStr">
        <is>
          <t>Miscellaneous Cards &amp; Products</t>
        </is>
      </c>
      <c r="H1370" s="3" t="n"/>
      <c r="I1370" s="3" t="n">
        <v>101.83</v>
      </c>
      <c r="J1370" s="3" t="n">
        <v>127.99</v>
      </c>
      <c r="K1370" s="3" t="n">
        <v>112.5</v>
      </c>
      <c r="L1370" s="2" t="inlineStr">
        <is>
          <t>TCGplayer</t>
        </is>
      </c>
      <c r="N1370" s="4" t="inlineStr">
        <is>
          <t>https://www.tcgplayer.com/product/271941</t>
        </is>
      </c>
    </row>
    <row r="1371">
      <c r="A1371" s="2" t="inlineStr">
        <is>
          <t>Divergent Powers Tin [Hisuian Decidueye V] (International Version)</t>
        </is>
      </c>
      <c r="B1371" s="3">
        <f>IF(H1371&lt;&gt;"",H1371,IF(I1371&lt;&gt;"",I1371,IF(J1371&lt;&gt;"",J1371,K1371)))</f>
        <v>51.19</v>
      </c>
      <c r="C1371" s="3">
        <f>MEDIAN(H1371:K1371)</f>
        <v>71.97</v>
      </c>
      <c r="D1371" s="3">
        <f>ROUND(C1371*(1-Settings!$B$2),2)</f>
        <v>50.38</v>
      </c>
      <c r="E1371" s="2" t="inlineStr">
        <is>
          <t>Pokemon</t>
        </is>
      </c>
      <c r="F1371" s="2" t="inlineStr">
        <is>
          <t>Coffret</t>
        </is>
      </c>
      <c r="G1371" s="2" t="inlineStr">
        <is>
          <t>Miscellaneous Cards &amp; Products</t>
        </is>
      </c>
      <c r="H1371" s="3" t="n"/>
      <c r="I1371" s="3" t="n">
        <v>51.19</v>
      </c>
      <c r="J1371" s="3" t="n">
        <v>79.92</v>
      </c>
      <c r="K1371" s="3" t="n">
        <v>71.97</v>
      </c>
      <c r="L1371" s="2" t="inlineStr">
        <is>
          <t>TCGplayer</t>
        </is>
      </c>
      <c r="N1371" s="4" t="inlineStr">
        <is>
          <t>https://www.tcgplayer.com/product/271942</t>
        </is>
      </c>
    </row>
    <row r="1372">
      <c r="A1372" s="2" t="inlineStr">
        <is>
          <t>Divergent Powers Tin [Hisuian Samurott V]</t>
        </is>
      </c>
      <c r="B1372" s="3">
        <f>IF(H1372&lt;&gt;"",H1372,IF(I1372&lt;&gt;"",I1372,IF(J1372&lt;&gt;"",J1372,K1372)))</f>
        <v>102.4</v>
      </c>
      <c r="C1372" s="3">
        <f>MEDIAN(H1372:K1372)</f>
        <v>102.4</v>
      </c>
      <c r="D1372" s="3">
        <f>ROUND(C1372*(1-Settings!$B$2),2)</f>
        <v>71.68</v>
      </c>
      <c r="E1372" s="2" t="inlineStr">
        <is>
          <t>Pokemon</t>
        </is>
      </c>
      <c r="F1372" s="2" t="inlineStr">
        <is>
          <t>Coffret</t>
        </is>
      </c>
      <c r="G1372" s="2" t="inlineStr">
        <is>
          <t>Miscellaneous Cards &amp; Products</t>
        </is>
      </c>
      <c r="H1372" s="3" t="n"/>
      <c r="I1372" s="3" t="n">
        <v>102.4</v>
      </c>
      <c r="J1372" s="3" t="n">
        <v>125</v>
      </c>
      <c r="K1372" s="3" t="n">
        <v>102</v>
      </c>
      <c r="L1372" s="2" t="inlineStr">
        <is>
          <t>TCGplayer</t>
        </is>
      </c>
      <c r="N1372" s="4" t="inlineStr">
        <is>
          <t>https://www.tcgplayer.com/product/271939</t>
        </is>
      </c>
    </row>
    <row r="1373">
      <c r="A1373" s="2" t="inlineStr">
        <is>
          <t>Divergent Powers Tin [Hisuian Samurott V] (International Version)</t>
        </is>
      </c>
      <c r="B1373" s="3">
        <f>IF(H1373&lt;&gt;"",H1373,IF(I1373&lt;&gt;"",I1373,IF(J1373&lt;&gt;"",J1373,K1373)))</f>
        <v>76.48</v>
      </c>
      <c r="C1373" s="3">
        <f>MEDIAN(H1373:K1373)</f>
        <v>79.98</v>
      </c>
      <c r="D1373" s="3">
        <f>ROUND(C1373*(1-Settings!$B$2),2)</f>
        <v>55.99</v>
      </c>
      <c r="E1373" s="2" t="inlineStr">
        <is>
          <t>Pokemon</t>
        </is>
      </c>
      <c r="F1373" s="2" t="inlineStr">
        <is>
          <t>Coffret</t>
        </is>
      </c>
      <c r="G1373" s="2" t="inlineStr">
        <is>
          <t>Miscellaneous Cards &amp; Products</t>
        </is>
      </c>
      <c r="H1373" s="3" t="n"/>
      <c r="I1373" s="3" t="n">
        <v>76.48</v>
      </c>
      <c r="J1373" s="3" t="n">
        <v>79.98</v>
      </c>
      <c r="K1373" s="3" t="n">
        <v>79.98</v>
      </c>
      <c r="L1373" s="2" t="inlineStr">
        <is>
          <t>TCGplayer</t>
        </is>
      </c>
      <c r="N1373" s="4" t="inlineStr">
        <is>
          <t>https://www.tcgplayer.com/product/271943</t>
        </is>
      </c>
    </row>
    <row r="1374">
      <c r="A1374" s="2" t="inlineStr">
        <is>
          <t>Divergent Powers Tin [Hisuian Typhlosion V] (International Version)</t>
        </is>
      </c>
      <c r="B1374" s="3">
        <f>IF(H1374&lt;&gt;"",H1374,IF(I1374&lt;&gt;"",I1374,IF(J1374&lt;&gt;"",J1374,K1374)))</f>
        <v>67.35</v>
      </c>
      <c r="C1374" s="3">
        <f>MEDIAN(H1374:K1374)</f>
        <v>130.0</v>
      </c>
      <c r="D1374" s="3">
        <f>ROUND(C1374*(1-Settings!$B$2),2)</f>
        <v>91.0</v>
      </c>
      <c r="E1374" s="2" t="inlineStr">
        <is>
          <t>Pokemon</t>
        </is>
      </c>
      <c r="F1374" s="2" t="inlineStr">
        <is>
          <t>Coffret</t>
        </is>
      </c>
      <c r="G1374" s="2" t="inlineStr">
        <is>
          <t>Miscellaneous Cards &amp; Products</t>
        </is>
      </c>
      <c r="H1374" s="3" t="n"/>
      <c r="I1374" s="3" t="n">
        <v>67.34999999999999</v>
      </c>
      <c r="J1374" s="3" t="n">
        <v>130</v>
      </c>
      <c r="K1374" s="3" t="n">
        <v>130</v>
      </c>
      <c r="L1374" s="2" t="inlineStr">
        <is>
          <t>TCGplayer</t>
        </is>
      </c>
      <c r="N1374" s="4" t="inlineStr">
        <is>
          <t>https://www.tcgplayer.com/product/271944</t>
        </is>
      </c>
    </row>
    <row r="1375">
      <c r="A1375" s="2" t="inlineStr">
        <is>
          <t>Divergent Powers Tin [Set of 3]</t>
        </is>
      </c>
      <c r="B1375" s="3">
        <f>IF(H1375&lt;&gt;"",H1375,IF(I1375&lt;&gt;"",I1375,IF(J1375&lt;&gt;"",J1375,K1375)))</f>
        <v>281.0</v>
      </c>
      <c r="C1375" s="3">
        <f>MEDIAN(H1375:K1375)</f>
        <v>281.0</v>
      </c>
      <c r="D1375" s="3">
        <f>ROUND(C1375*(1-Settings!$B$2),2)</f>
        <v>196.7</v>
      </c>
      <c r="E1375" s="2" t="inlineStr">
        <is>
          <t>Pokemon</t>
        </is>
      </c>
      <c r="F1375" s="2" t="inlineStr">
        <is>
          <t>Coffret</t>
        </is>
      </c>
      <c r="G1375" s="2" t="inlineStr">
        <is>
          <t>Miscellaneous Cards &amp; Products</t>
        </is>
      </c>
      <c r="H1375" s="3" t="n"/>
      <c r="I1375" s="3" t="n">
        <v>281</v>
      </c>
      <c r="J1375" s="3" t="n">
        <v>349.95</v>
      </c>
      <c r="K1375" s="3" t="n">
        <v>281</v>
      </c>
      <c r="L1375" s="2" t="inlineStr">
        <is>
          <t>TCGplayer</t>
        </is>
      </c>
      <c r="N1375" s="4" t="inlineStr">
        <is>
          <t>https://www.tcgplayer.com/product/272521</t>
        </is>
      </c>
    </row>
    <row r="1376">
      <c r="A1376" s="2" t="inlineStr">
        <is>
          <t>Dragonite Dragons Tin</t>
        </is>
      </c>
      <c r="B1376" s="3">
        <f>IF(H1376&lt;&gt;"",H1376,IF(I1376&lt;&gt;"",I1376,IF(J1376&lt;&gt;"",J1376,K1376)))</f>
        <v>78.39</v>
      </c>
      <c r="C1376" s="3">
        <f>MEDIAN(H1376:K1376)</f>
        <v>130.0</v>
      </c>
      <c r="D1376" s="3">
        <f>ROUND(C1376*(1-Settings!$B$2),2)</f>
        <v>91.0</v>
      </c>
      <c r="E1376" s="2" t="inlineStr">
        <is>
          <t>Pokemon</t>
        </is>
      </c>
      <c r="F1376" s="2" t="inlineStr">
        <is>
          <t>Coffret</t>
        </is>
      </c>
      <c r="G1376" s="2" t="inlineStr">
        <is>
          <t>Miscellaneous Cards &amp; Products</t>
        </is>
      </c>
      <c r="H1376" s="3" t="n"/>
      <c r="I1376" s="3" t="n">
        <v>78.39</v>
      </c>
      <c r="J1376" s="3" t="n">
        <v>130</v>
      </c>
      <c r="K1376" s="3" t="n">
        <v>130</v>
      </c>
      <c r="L1376" s="2" t="inlineStr">
        <is>
          <t>TCGplayer</t>
        </is>
      </c>
      <c r="N1376" s="4" t="inlineStr">
        <is>
          <t>https://www.tcgplayer.com/product/218437</t>
        </is>
      </c>
    </row>
    <row r="1377">
      <c r="A1377" s="2" t="inlineStr">
        <is>
          <t>Dragonite Dragons Tin (Walgreens Exclusive)</t>
        </is>
      </c>
      <c r="B1377" s="3">
        <f>IF(H1377&lt;&gt;"",H1377,IF(I1377&lt;&gt;"",I1377,IF(J1377&lt;&gt;"",J1377,K1377)))</f>
        <v>57.57</v>
      </c>
      <c r="C1377" s="3">
        <f>MEDIAN(H1377:K1377)</f>
        <v>57.57</v>
      </c>
      <c r="D1377" s="3">
        <f>ROUND(C1377*(1-Settings!$B$2),2)</f>
        <v>40.3</v>
      </c>
      <c r="E1377" s="2" t="inlineStr">
        <is>
          <t>Pokemon</t>
        </is>
      </c>
      <c r="F1377" s="2" t="inlineStr">
        <is>
          <t>Coffret</t>
        </is>
      </c>
      <c r="G1377" s="2" t="inlineStr">
        <is>
          <t>Miscellaneous Cards &amp; Products</t>
        </is>
      </c>
      <c r="H1377" s="3" t="n"/>
      <c r="I1377" s="3" t="n">
        <v>57.57</v>
      </c>
      <c r="J1377" s="3" t="n"/>
      <c r="K1377" s="3" t="n"/>
      <c r="L1377" s="2" t="inlineStr">
        <is>
          <t>TCGplayer</t>
        </is>
      </c>
      <c r="N1377" s="4" t="inlineStr">
        <is>
          <t>https://www.tcgplayer.com/product/594414</t>
        </is>
      </c>
    </row>
    <row r="1378">
      <c r="A1378" s="2" t="inlineStr">
        <is>
          <t>Eevee Evolution VMAX Premium Collection [Set of 3]</t>
        </is>
      </c>
      <c r="B1378" s="3">
        <f>IF(H1378&lt;&gt;"",H1378,IF(I1378&lt;&gt;"",I1378,IF(J1378&lt;&gt;"",J1378,K1378)))</f>
        <v>938.49</v>
      </c>
      <c r="C1378" s="3">
        <f>MEDIAN(H1378:K1378)</f>
        <v>1249.99</v>
      </c>
      <c r="D1378" s="3">
        <f>ROUND(C1378*(1-Settings!$B$2),2)</f>
        <v>874.99</v>
      </c>
      <c r="E1378" s="2" t="inlineStr">
        <is>
          <t>Pokemon</t>
        </is>
      </c>
      <c r="F1378" s="2" t="inlineStr">
        <is>
          <t>Coffret</t>
        </is>
      </c>
      <c r="G1378" s="2" t="inlineStr">
        <is>
          <t>Miscellaneous Cards &amp; Products</t>
        </is>
      </c>
      <c r="H1378" s="3" t="n"/>
      <c r="I1378" s="3" t="n">
        <v>938.49</v>
      </c>
      <c r="J1378" s="3" t="n">
        <v>1999.94</v>
      </c>
      <c r="K1378" s="3" t="n">
        <v>1249.99</v>
      </c>
      <c r="L1378" s="2" t="inlineStr">
        <is>
          <t>TCGplayer</t>
        </is>
      </c>
      <c r="N1378" s="4" t="inlineStr">
        <is>
          <t>https://www.tcgplayer.com/product/249713</t>
        </is>
      </c>
    </row>
    <row r="1379">
      <c r="A1379" s="2" t="inlineStr">
        <is>
          <t>Eevee Evolutions Premium Collection</t>
        </is>
      </c>
      <c r="B1379" s="3">
        <f>IF(H1379&lt;&gt;"",H1379,IF(I1379&lt;&gt;"",I1379,IF(J1379&lt;&gt;"",J1379,K1379)))</f>
        <v>280.17</v>
      </c>
      <c r="C1379" s="3">
        <f>MEDIAN(H1379:K1379)</f>
        <v>280.17</v>
      </c>
      <c r="D1379" s="3">
        <f>ROUND(C1379*(1-Settings!$B$2),2)</f>
        <v>196.12</v>
      </c>
      <c r="E1379" s="2" t="inlineStr">
        <is>
          <t>Pokemon</t>
        </is>
      </c>
      <c r="F1379" s="2" t="inlineStr">
        <is>
          <t>Coffret</t>
        </is>
      </c>
      <c r="G1379" s="2" t="inlineStr">
        <is>
          <t>Miscellaneous Cards &amp; Products</t>
        </is>
      </c>
      <c r="H1379" s="3" t="n"/>
      <c r="I1379" s="3" t="n">
        <v>280.17</v>
      </c>
      <c r="J1379" s="3" t="n">
        <v>302.45</v>
      </c>
      <c r="K1379" s="3" t="n">
        <v>279.89</v>
      </c>
      <c r="L1379" s="2" t="inlineStr">
        <is>
          <t>TCGplayer</t>
        </is>
      </c>
      <c r="N1379" s="4" t="inlineStr">
        <is>
          <t>https://www.tcgplayer.com/product/286470</t>
        </is>
      </c>
    </row>
    <row r="1380">
      <c r="A1380" s="2" t="inlineStr">
        <is>
          <t>Eevee Evolutions Tin [Flareon V]</t>
        </is>
      </c>
      <c r="B1380" s="3">
        <f>IF(H1380&lt;&gt;"",H1380,IF(I1380&lt;&gt;"",I1380,IF(J1380&lt;&gt;"",J1380,K1380)))</f>
        <v>70.22</v>
      </c>
      <c r="C1380" s="3">
        <f>MEDIAN(H1380:K1380)</f>
        <v>70.22</v>
      </c>
      <c r="D1380" s="3">
        <f>ROUND(C1380*(1-Settings!$B$2),2)</f>
        <v>49.15</v>
      </c>
      <c r="E1380" s="2" t="inlineStr">
        <is>
          <t>Pokemon</t>
        </is>
      </c>
      <c r="F1380" s="2" t="inlineStr">
        <is>
          <t>Coffret</t>
        </is>
      </c>
      <c r="G1380" s="2" t="inlineStr">
        <is>
          <t>Miscellaneous Cards &amp; Products</t>
        </is>
      </c>
      <c r="H1380" s="3" t="n"/>
      <c r="I1380" s="3" t="n">
        <v>70.22</v>
      </c>
      <c r="J1380" s="3" t="n">
        <v>90</v>
      </c>
      <c r="K1380" s="3" t="n">
        <v>12.99</v>
      </c>
      <c r="L1380" s="2" t="inlineStr">
        <is>
          <t>TCGplayer</t>
        </is>
      </c>
      <c r="N1380" s="4" t="inlineStr">
        <is>
          <t>https://www.tcgplayer.com/product/243562</t>
        </is>
      </c>
    </row>
    <row r="1381">
      <c r="A1381" s="2" t="inlineStr">
        <is>
          <t>Eevee Evolutions Tin [Jolteon V]</t>
        </is>
      </c>
      <c r="B1381" s="3">
        <f>IF(H1381&lt;&gt;"",H1381,IF(I1381&lt;&gt;"",I1381,IF(J1381&lt;&gt;"",J1381,K1381)))</f>
        <v>79.81</v>
      </c>
      <c r="C1381" s="3">
        <f>MEDIAN(H1381:K1381)</f>
        <v>85.0</v>
      </c>
      <c r="D1381" s="3">
        <f>ROUND(C1381*(1-Settings!$B$2),2)</f>
        <v>59.5</v>
      </c>
      <c r="E1381" s="2" t="inlineStr">
        <is>
          <t>Pokemon</t>
        </is>
      </c>
      <c r="F1381" s="2" t="inlineStr">
        <is>
          <t>Coffret</t>
        </is>
      </c>
      <c r="G1381" s="2" t="inlineStr">
        <is>
          <t>Miscellaneous Cards &amp; Products</t>
        </is>
      </c>
      <c r="H1381" s="3" t="n"/>
      <c r="I1381" s="3" t="n">
        <v>79.81</v>
      </c>
      <c r="J1381" s="3" t="n">
        <v>90</v>
      </c>
      <c r="K1381" s="3" t="n">
        <v>85</v>
      </c>
      <c r="L1381" s="2" t="inlineStr">
        <is>
          <t>TCGplayer</t>
        </is>
      </c>
      <c r="N1381" s="4" t="inlineStr">
        <is>
          <t>https://www.tcgplayer.com/product/243561</t>
        </is>
      </c>
    </row>
    <row r="1382">
      <c r="A1382" s="2" t="inlineStr">
        <is>
          <t>Eevee Evolutions Tin [Set of 3]</t>
        </is>
      </c>
      <c r="B1382" s="3">
        <f>IF(H1382&lt;&gt;"",H1382,IF(I1382&lt;&gt;"",I1382,IF(J1382&lt;&gt;"",J1382,K1382)))</f>
        <v>299.99</v>
      </c>
      <c r="C1382" s="3">
        <f>MEDIAN(H1382:K1382)</f>
        <v>273.995</v>
      </c>
      <c r="D1382" s="3">
        <f>ROUND(C1382*(1-Settings!$B$2),2)</f>
        <v>191.8</v>
      </c>
      <c r="E1382" s="2" t="inlineStr">
        <is>
          <t>Pokemon</t>
        </is>
      </c>
      <c r="F1382" s="2" t="inlineStr">
        <is>
          <t>Coffret</t>
        </is>
      </c>
      <c r="G1382" s="2" t="inlineStr">
        <is>
          <t>Miscellaneous Cards &amp; Products</t>
        </is>
      </c>
      <c r="H1382" s="3" t="n"/>
      <c r="I1382" s="3" t="n"/>
      <c r="J1382" s="3" t="n">
        <v>299.99</v>
      </c>
      <c r="K1382" s="3" t="n">
        <v>248</v>
      </c>
      <c r="L1382" s="2" t="inlineStr">
        <is>
          <t>TCGplayer</t>
        </is>
      </c>
      <c r="N1382" s="4" t="inlineStr">
        <is>
          <t>https://www.tcgplayer.com/product/243571</t>
        </is>
      </c>
    </row>
    <row r="1383">
      <c r="A1383" s="2" t="inlineStr">
        <is>
          <t>Eevee Evolutions Tin [Vaporeon V]</t>
        </is>
      </c>
      <c r="B1383" s="3">
        <f>IF(H1383&lt;&gt;"",H1383,IF(I1383&lt;&gt;"",I1383,IF(J1383&lt;&gt;"",J1383,K1383)))</f>
        <v>70.01</v>
      </c>
      <c r="C1383" s="3">
        <f>MEDIAN(H1383:K1383)</f>
        <v>70.01</v>
      </c>
      <c r="D1383" s="3">
        <f>ROUND(C1383*(1-Settings!$B$2),2)</f>
        <v>49.01</v>
      </c>
      <c r="E1383" s="2" t="inlineStr">
        <is>
          <t>Pokemon</t>
        </is>
      </c>
      <c r="F1383" s="2" t="inlineStr">
        <is>
          <t>Coffret</t>
        </is>
      </c>
      <c r="G1383" s="2" t="inlineStr">
        <is>
          <t>Miscellaneous Cards &amp; Products</t>
        </is>
      </c>
      <c r="H1383" s="3" t="n"/>
      <c r="I1383" s="3" t="n">
        <v>70.01000000000001</v>
      </c>
      <c r="J1383" s="3" t="n">
        <v>73.98999999999999</v>
      </c>
      <c r="K1383" s="3" t="n">
        <v>50</v>
      </c>
      <c r="L1383" s="2" t="inlineStr">
        <is>
          <t>TCGplayer</t>
        </is>
      </c>
      <c r="N1383" s="4" t="inlineStr">
        <is>
          <t>https://www.tcgplayer.com/product/243559</t>
        </is>
      </c>
    </row>
    <row r="1384">
      <c r="A1384" s="2" t="inlineStr">
        <is>
          <t>Eevee Pokemon Treasure Chest Tin</t>
        </is>
      </c>
      <c r="B1384" s="3">
        <f>IF(H1384&lt;&gt;"",H1384,IF(I1384&lt;&gt;"",I1384,IF(J1384&lt;&gt;"",J1384,K1384)))</f>
        <v>95.66</v>
      </c>
      <c r="C1384" s="3">
        <f>MEDIAN(H1384:K1384)</f>
        <v>99.61</v>
      </c>
      <c r="D1384" s="3">
        <f>ROUND(C1384*(1-Settings!$B$2),2)</f>
        <v>69.73</v>
      </c>
      <c r="E1384" s="2" t="inlineStr">
        <is>
          <t>Pokemon</t>
        </is>
      </c>
      <c r="F1384" s="2" t="inlineStr">
        <is>
          <t>Coffret</t>
        </is>
      </c>
      <c r="G1384" s="2" t="inlineStr">
        <is>
          <t>Miscellaneous Cards &amp; Products</t>
        </is>
      </c>
      <c r="H1384" s="3" t="n"/>
      <c r="I1384" s="3" t="n">
        <v>95.66</v>
      </c>
      <c r="J1384" s="3" t="n">
        <v>102.5</v>
      </c>
      <c r="K1384" s="3" t="n">
        <v>99.61</v>
      </c>
      <c r="L1384" s="2" t="inlineStr">
        <is>
          <t>TCGplayer</t>
        </is>
      </c>
      <c r="N1384" s="4" t="inlineStr">
        <is>
          <t>https://www.tcgplayer.com/product/251014</t>
        </is>
      </c>
    </row>
    <row r="1385">
      <c r="A1385" s="2" t="inlineStr">
        <is>
          <t>Elemental Power Tin [Flareon GX]</t>
        </is>
      </c>
      <c r="B1385" s="3">
        <f>IF(H1385&lt;&gt;"",H1385,IF(I1385&lt;&gt;"",I1385,IF(J1385&lt;&gt;"",J1385,K1385)))</f>
        <v>154.97</v>
      </c>
      <c r="C1385" s="3">
        <f>MEDIAN(H1385:K1385)</f>
        <v>220.0</v>
      </c>
      <c r="D1385" s="3">
        <f>ROUND(C1385*(1-Settings!$B$2),2)</f>
        <v>154.0</v>
      </c>
      <c r="E1385" s="2" t="inlineStr">
        <is>
          <t>Pokemon</t>
        </is>
      </c>
      <c r="F1385" s="2" t="inlineStr">
        <is>
          <t>Coffret</t>
        </is>
      </c>
      <c r="G1385" s="2" t="inlineStr">
        <is>
          <t>Miscellaneous Cards &amp; Products</t>
        </is>
      </c>
      <c r="H1385" s="3" t="n"/>
      <c r="I1385" s="3" t="n">
        <v>154.97</v>
      </c>
      <c r="J1385" s="3" t="n">
        <v>220</v>
      </c>
      <c r="K1385" s="3" t="n">
        <v>220</v>
      </c>
      <c r="L1385" s="2" t="inlineStr">
        <is>
          <t>TCGplayer</t>
        </is>
      </c>
      <c r="N1385" s="4" t="inlineStr">
        <is>
          <t>https://www.tcgplayer.com/product/199787</t>
        </is>
      </c>
    </row>
    <row r="1386">
      <c r="A1386" s="2" t="inlineStr">
        <is>
          <t>Elemental Power Tin [Jolteon GX]</t>
        </is>
      </c>
      <c r="B1386" s="3">
        <f>IF(H1386&lt;&gt;"",H1386,IF(I1386&lt;&gt;"",I1386,IF(J1386&lt;&gt;"",J1386,K1386)))</f>
        <v>150.75</v>
      </c>
      <c r="C1386" s="3">
        <f>MEDIAN(H1386:K1386)</f>
        <v>200.0</v>
      </c>
      <c r="D1386" s="3">
        <f>ROUND(C1386*(1-Settings!$B$2),2)</f>
        <v>140.0</v>
      </c>
      <c r="E1386" s="2" t="inlineStr">
        <is>
          <t>Pokemon</t>
        </is>
      </c>
      <c r="F1386" s="2" t="inlineStr">
        <is>
          <t>Coffret</t>
        </is>
      </c>
      <c r="G1386" s="2" t="inlineStr">
        <is>
          <t>Miscellaneous Cards &amp; Products</t>
        </is>
      </c>
      <c r="H1386" s="3" t="n"/>
      <c r="I1386" s="3" t="n">
        <v>150.75</v>
      </c>
      <c r="J1386" s="3" t="n">
        <v>207.97</v>
      </c>
      <c r="K1386" s="3" t="n">
        <v>200</v>
      </c>
      <c r="L1386" s="2" t="inlineStr">
        <is>
          <t>TCGplayer</t>
        </is>
      </c>
      <c r="N1386" s="4" t="inlineStr">
        <is>
          <t>https://www.tcgplayer.com/product/199789</t>
        </is>
      </c>
    </row>
    <row r="1387">
      <c r="A1387" s="2" t="inlineStr">
        <is>
          <t>Elemental Power Tin [Vaporeon GX]</t>
        </is>
      </c>
      <c r="B1387" s="3">
        <f>IF(H1387&lt;&gt;"",H1387,IF(I1387&lt;&gt;"",I1387,IF(J1387&lt;&gt;"",J1387,K1387)))</f>
        <v>145.97</v>
      </c>
      <c r="C1387" s="3">
        <f>MEDIAN(H1387:K1387)</f>
        <v>145.0</v>
      </c>
      <c r="D1387" s="3">
        <f>ROUND(C1387*(1-Settings!$B$2),2)</f>
        <v>101.5</v>
      </c>
      <c r="E1387" s="2" t="inlineStr">
        <is>
          <t>Pokemon</t>
        </is>
      </c>
      <c r="F1387" s="2" t="inlineStr">
        <is>
          <t>Coffret</t>
        </is>
      </c>
      <c r="G1387" s="2" t="inlineStr">
        <is>
          <t>Miscellaneous Cards &amp; Products</t>
        </is>
      </c>
      <c r="H1387" s="3" t="n"/>
      <c r="I1387" s="3" t="n">
        <v>145.97</v>
      </c>
      <c r="J1387" s="3" t="n">
        <v>145</v>
      </c>
      <c r="K1387" s="3" t="n">
        <v>145</v>
      </c>
      <c r="L1387" s="2" t="inlineStr">
        <is>
          <t>TCGplayer</t>
        </is>
      </c>
      <c r="N1387" s="4" t="inlineStr">
        <is>
          <t>https://www.tcgplayer.com/product/199788</t>
        </is>
      </c>
    </row>
    <row r="1388">
      <c r="A1388" s="2" t="inlineStr">
        <is>
          <t>Enhanced 2-Pack Blister Pack [Armarouge, Revavroom &amp; Houndstone]</t>
        </is>
      </c>
      <c r="B1388" s="3">
        <f>IF(H1388&lt;&gt;"",H1388,IF(I1388&lt;&gt;"",I1388,IF(J1388&lt;&gt;"",J1388,K1388)))</f>
        <v>30.69</v>
      </c>
      <c r="C1388" s="3">
        <f>MEDIAN(H1388:K1388)</f>
        <v>30.69</v>
      </c>
      <c r="D1388" s="3">
        <f>ROUND(C1388*(1-Settings!$B$2),2)</f>
        <v>21.48</v>
      </c>
      <c r="E1388" s="2" t="inlineStr">
        <is>
          <t>Pokemon</t>
        </is>
      </c>
      <c r="F1388" s="2" t="inlineStr">
        <is>
          <t>Coffret</t>
        </is>
      </c>
      <c r="G1388" s="2" t="inlineStr">
        <is>
          <t>Miscellaneous Cards &amp; Products</t>
        </is>
      </c>
      <c r="H1388" s="3" t="n"/>
      <c r="I1388" s="3" t="n">
        <v>30.69</v>
      </c>
      <c r="J1388" s="3" t="n">
        <v>33.99</v>
      </c>
      <c r="K1388" s="3" t="n">
        <v>26.01</v>
      </c>
      <c r="L1388" s="2" t="inlineStr">
        <is>
          <t>TCGplayer</t>
        </is>
      </c>
      <c r="N1388" s="4" t="inlineStr">
        <is>
          <t>https://www.tcgplayer.com/product/616953</t>
        </is>
      </c>
    </row>
    <row r="1389">
      <c r="A1389" s="2" t="inlineStr">
        <is>
          <t>Enhanced 2-Pack Blister Pack [Gengar, Marshadow, Team Rocket's Mimikyu]</t>
        </is>
      </c>
      <c r="B1389" s="3">
        <f>IF(H1389&lt;&gt;"",H1389,IF(I1389&lt;&gt;"",I1389,IF(J1389&lt;&gt;"",J1389,K1389)))</f>
        <v>22.1</v>
      </c>
      <c r="C1389" s="3">
        <f>MEDIAN(H1389:K1389)</f>
        <v>22.1</v>
      </c>
      <c r="D1389" s="3">
        <f>ROUND(C1389*(1-Settings!$B$2),2)</f>
        <v>15.47</v>
      </c>
      <c r="E1389" s="2" t="inlineStr">
        <is>
          <t>Pokemon</t>
        </is>
      </c>
      <c r="F1389" s="2" t="inlineStr">
        <is>
          <t>Coffret</t>
        </is>
      </c>
      <c r="G1389" s="2" t="inlineStr">
        <is>
          <t>Miscellaneous Cards &amp; Products</t>
        </is>
      </c>
      <c r="H1389" s="3" t="n"/>
      <c r="I1389" s="3" t="n">
        <v>22.1</v>
      </c>
      <c r="J1389" s="3" t="n">
        <v>24.66</v>
      </c>
      <c r="K1389" s="3" t="n">
        <v>14.51</v>
      </c>
      <c r="L1389" s="2" t="inlineStr">
        <is>
          <t>TCGplayer</t>
        </is>
      </c>
      <c r="N1389" s="4" t="inlineStr">
        <is>
          <t>https://www.tcgplayer.com/product/714361</t>
        </is>
      </c>
    </row>
    <row r="1390">
      <c r="A1390" s="2" t="inlineStr">
        <is>
          <t>Enhanced 2-Pack Blister Pack [Latios, Zekrom &amp; Palkia]</t>
        </is>
      </c>
      <c r="B1390" s="3">
        <f>IF(H1390&lt;&gt;"",H1390,IF(I1390&lt;&gt;"",I1390,IF(J1390&lt;&gt;"",J1390,K1390)))</f>
        <v>18.08</v>
      </c>
      <c r="C1390" s="3">
        <f>MEDIAN(H1390:K1390)</f>
        <v>18.08</v>
      </c>
      <c r="D1390" s="3">
        <f>ROUND(C1390*(1-Settings!$B$2),2)</f>
        <v>12.66</v>
      </c>
      <c r="E1390" s="2" t="inlineStr">
        <is>
          <t>Pokemon</t>
        </is>
      </c>
      <c r="F1390" s="2" t="inlineStr">
        <is>
          <t>Coffret</t>
        </is>
      </c>
      <c r="G1390" s="2" t="inlineStr">
        <is>
          <t>Miscellaneous Cards &amp; Products</t>
        </is>
      </c>
      <c r="H1390" s="3" t="n"/>
      <c r="I1390" s="3" t="n">
        <v>18.08</v>
      </c>
      <c r="J1390" s="3" t="n">
        <v>20</v>
      </c>
      <c r="K1390" s="3" t="n">
        <v>11.99</v>
      </c>
      <c r="L1390" s="2" t="inlineStr">
        <is>
          <t>TCGplayer</t>
        </is>
      </c>
      <c r="N1390" s="4" t="inlineStr">
        <is>
          <t>https://www.tcgplayer.com/product/616951</t>
        </is>
      </c>
    </row>
    <row r="1391">
      <c r="A1391" s="2" t="inlineStr">
        <is>
          <t>Enhanced 2-Pack Blister Pack [Palafin, Baxcalibur &amp; Garganacl]</t>
        </is>
      </c>
      <c r="B1391" s="3">
        <f>IF(H1391&lt;&gt;"",H1391,IF(I1391&lt;&gt;"",I1391,IF(J1391&lt;&gt;"",J1391,K1391)))</f>
        <v>1.5</v>
      </c>
      <c r="C1391" s="3">
        <f>MEDIAN(H1391:K1391)</f>
        <v>1.5</v>
      </c>
      <c r="D1391" s="3">
        <f>ROUND(C1391*(1-Settings!$B$2),2)</f>
        <v>1.05</v>
      </c>
      <c r="E1391" s="2" t="inlineStr">
        <is>
          <t>Pokemon</t>
        </is>
      </c>
      <c r="F1391" s="2" t="inlineStr">
        <is>
          <t>Coffret</t>
        </is>
      </c>
      <c r="G1391" s="2" t="inlineStr">
        <is>
          <t>Miscellaneous Cards &amp; Products</t>
        </is>
      </c>
      <c r="H1391" s="3" t="n"/>
      <c r="I1391" s="3" t="n"/>
      <c r="J1391" s="3" t="n"/>
      <c r="K1391" s="3" t="n">
        <v>1.5</v>
      </c>
      <c r="L1391" s="2" t="inlineStr">
        <is>
          <t>TCGplayer</t>
        </is>
      </c>
      <c r="N1391" s="4" t="inlineStr">
        <is>
          <t>https://www.tcgplayer.com/product/616940</t>
        </is>
      </c>
    </row>
    <row r="1392">
      <c r="A1392" s="2" t="inlineStr">
        <is>
          <t>Evolving Powers Premium Collection (Target Exclusive)</t>
        </is>
      </c>
      <c r="B1392" s="3">
        <f>IF(H1392&lt;&gt;"",H1392,IF(I1392&lt;&gt;"",I1392,IF(J1392&lt;&gt;"",J1392,K1392)))</f>
        <v>223.73</v>
      </c>
      <c r="C1392" s="3">
        <f>MEDIAN(H1392:K1392)</f>
        <v>223.73</v>
      </c>
      <c r="D1392" s="3">
        <f>ROUND(C1392*(1-Settings!$B$2),2)</f>
        <v>156.61</v>
      </c>
      <c r="E1392" s="2" t="inlineStr">
        <is>
          <t>Pokemon</t>
        </is>
      </c>
      <c r="F1392" s="2" t="inlineStr">
        <is>
          <t>Coffret</t>
        </is>
      </c>
      <c r="G1392" s="2" t="inlineStr">
        <is>
          <t>Miscellaneous Cards &amp; Products</t>
        </is>
      </c>
      <c r="H1392" s="3" t="n"/>
      <c r="I1392" s="3" t="n">
        <v>223.73</v>
      </c>
      <c r="J1392" s="3" t="n">
        <v>249.95</v>
      </c>
      <c r="K1392" s="3" t="n">
        <v>200</v>
      </c>
      <c r="L1392" s="2" t="inlineStr">
        <is>
          <t>TCGplayer</t>
        </is>
      </c>
      <c r="N1392" s="4" t="inlineStr">
        <is>
          <t>https://www.tcgplayer.com/product/520353</t>
        </is>
      </c>
    </row>
    <row r="1393">
      <c r="A1393" s="2" t="inlineStr">
        <is>
          <t>Fall 2019 Collector's Chest Tin</t>
        </is>
      </c>
      <c r="B1393" s="3">
        <f>IF(H1393&lt;&gt;"",H1393,IF(I1393&lt;&gt;"",I1393,IF(J1393&lt;&gt;"",J1393,K1393)))</f>
        <v>1499.99</v>
      </c>
      <c r="C1393" s="3">
        <f>MEDIAN(H1393:K1393)</f>
        <v>1432.99</v>
      </c>
      <c r="D1393" s="3">
        <f>ROUND(C1393*(1-Settings!$B$2),2)</f>
        <v>1003.09</v>
      </c>
      <c r="E1393" s="2" t="inlineStr">
        <is>
          <t>Pokemon</t>
        </is>
      </c>
      <c r="F1393" s="2" t="inlineStr">
        <is>
          <t>Coffret</t>
        </is>
      </c>
      <c r="G1393" s="2" t="inlineStr">
        <is>
          <t>Miscellaneous Cards &amp; Products</t>
        </is>
      </c>
      <c r="H1393" s="3" t="n"/>
      <c r="I1393" s="3" t="n">
        <v>1499.99</v>
      </c>
      <c r="J1393" s="3" t="n">
        <v>1432.99</v>
      </c>
      <c r="K1393" s="3" t="n">
        <v>1432.99</v>
      </c>
      <c r="L1393" s="2" t="inlineStr">
        <is>
          <t>TCGplayer</t>
        </is>
      </c>
      <c r="N1393" s="4" t="inlineStr">
        <is>
          <t>https://www.tcgplayer.com/product/200142</t>
        </is>
      </c>
    </row>
    <row r="1394">
      <c r="A1394" s="2" t="inlineStr">
        <is>
          <t>Fall 2020 Collector's Chest Tin + Great Ball 2-Pack (Retail Exclusive)</t>
        </is>
      </c>
      <c r="B1394" s="3">
        <f>IF(H1394&lt;&gt;"",H1394,IF(I1394&lt;&gt;"",I1394,IF(J1394&lt;&gt;"",J1394,K1394)))</f>
        <v>150.0</v>
      </c>
      <c r="C1394" s="3">
        <f>MEDIAN(H1394:K1394)</f>
        <v>150.0</v>
      </c>
      <c r="D1394" s="3">
        <f>ROUND(C1394*(1-Settings!$B$2),2)</f>
        <v>105.0</v>
      </c>
      <c r="E1394" s="2" t="inlineStr">
        <is>
          <t>Pokemon</t>
        </is>
      </c>
      <c r="F1394" s="2" t="inlineStr">
        <is>
          <t>Coffret</t>
        </is>
      </c>
      <c r="G1394" s="2" t="inlineStr">
        <is>
          <t>Miscellaneous Cards &amp; Products</t>
        </is>
      </c>
      <c r="H1394" s="3" t="n"/>
      <c r="I1394" s="3" t="n"/>
      <c r="J1394" s="3" t="n">
        <v>150</v>
      </c>
      <c r="K1394" s="3" t="n">
        <v>150</v>
      </c>
      <c r="L1394" s="2" t="inlineStr">
        <is>
          <t>TCGplayer</t>
        </is>
      </c>
      <c r="N1394" s="4" t="inlineStr">
        <is>
          <t>https://www.tcgplayer.com/product/263031</t>
        </is>
      </c>
    </row>
    <row r="1395">
      <c r="A1395" s="2" t="inlineStr">
        <is>
          <t>Fall 2020 Collector's Chest Tin + Level Ball 2-Pack (Retail Exclusive)</t>
        </is>
      </c>
      <c r="B1395" s="3">
        <f>IF(H1395&lt;&gt;"",H1395,IF(I1395&lt;&gt;"",I1395,IF(J1395&lt;&gt;"",J1395,K1395)))</f>
        <v>142.5</v>
      </c>
      <c r="C1395" s="3">
        <f>MEDIAN(H1395:K1395)</f>
        <v>142.5</v>
      </c>
      <c r="D1395" s="3">
        <f>ROUND(C1395*(1-Settings!$B$2),2)</f>
        <v>99.75</v>
      </c>
      <c r="E1395" s="2" t="inlineStr">
        <is>
          <t>Pokemon</t>
        </is>
      </c>
      <c r="F1395" s="2" t="inlineStr">
        <is>
          <t>Coffret</t>
        </is>
      </c>
      <c r="G1395" s="2" t="inlineStr">
        <is>
          <t>Miscellaneous Cards &amp; Products</t>
        </is>
      </c>
      <c r="H1395" s="3" t="n"/>
      <c r="I1395" s="3" t="n">
        <v>142.5</v>
      </c>
      <c r="J1395" s="3" t="n"/>
      <c r="K1395" s="3" t="n"/>
      <c r="L1395" s="2" t="inlineStr">
        <is>
          <t>TCGplayer</t>
        </is>
      </c>
      <c r="N1395" s="4" t="inlineStr">
        <is>
          <t>https://www.tcgplayer.com/product/263033</t>
        </is>
      </c>
    </row>
    <row r="1396">
      <c r="A1396" s="2" t="inlineStr">
        <is>
          <t>Fall 2020 Collector's Chest Tin + Poke Ball 2-Pack (Retail Exclusive)</t>
        </is>
      </c>
      <c r="B1396" s="3">
        <f>IF(H1396&lt;&gt;"",H1396,IF(I1396&lt;&gt;"",I1396,IF(J1396&lt;&gt;"",J1396,K1396)))</f>
        <v>132.98</v>
      </c>
      <c r="C1396" s="3">
        <f>MEDIAN(H1396:K1396)</f>
        <v>199.99</v>
      </c>
      <c r="D1396" s="3">
        <f>ROUND(C1396*(1-Settings!$B$2),2)</f>
        <v>139.99</v>
      </c>
      <c r="E1396" s="2" t="inlineStr">
        <is>
          <t>Pokemon</t>
        </is>
      </c>
      <c r="F1396" s="2" t="inlineStr">
        <is>
          <t>Coffret</t>
        </is>
      </c>
      <c r="G1396" s="2" t="inlineStr">
        <is>
          <t>Miscellaneous Cards &amp; Products</t>
        </is>
      </c>
      <c r="H1396" s="3" t="n"/>
      <c r="I1396" s="3" t="n">
        <v>132.98</v>
      </c>
      <c r="J1396" s="3" t="n">
        <v>199.99</v>
      </c>
      <c r="K1396" s="3" t="n">
        <v>199.99</v>
      </c>
      <c r="L1396" s="2" t="inlineStr">
        <is>
          <t>TCGplayer</t>
        </is>
      </c>
      <c r="N1396" s="4" t="inlineStr">
        <is>
          <t>https://www.tcgplayer.com/product/263030</t>
        </is>
      </c>
    </row>
    <row r="1397">
      <c r="A1397" s="2" t="inlineStr">
        <is>
          <t>Fall 2020 Collector's Chest Tin + Premier Ball 2-Pack (Retail Exclusive)</t>
        </is>
      </c>
      <c r="B1397" s="3">
        <f>IF(H1397&lt;&gt;"",H1397,IF(I1397&lt;&gt;"",I1397,IF(J1397&lt;&gt;"",J1397,K1397)))</f>
        <v>135.0</v>
      </c>
      <c r="C1397" s="3">
        <f>MEDIAN(H1397:K1397)</f>
        <v>150.0</v>
      </c>
      <c r="D1397" s="3">
        <f>ROUND(C1397*(1-Settings!$B$2),2)</f>
        <v>105.0</v>
      </c>
      <c r="E1397" s="2" t="inlineStr">
        <is>
          <t>Pokemon</t>
        </is>
      </c>
      <c r="F1397" s="2" t="inlineStr">
        <is>
          <t>Coffret</t>
        </is>
      </c>
      <c r="G1397" s="2" t="inlineStr">
        <is>
          <t>Miscellaneous Cards &amp; Products</t>
        </is>
      </c>
      <c r="H1397" s="3" t="n"/>
      <c r="I1397" s="3" t="n">
        <v>135</v>
      </c>
      <c r="J1397" s="3" t="n">
        <v>150</v>
      </c>
      <c r="K1397" s="3" t="n">
        <v>150</v>
      </c>
      <c r="L1397" s="2" t="inlineStr">
        <is>
          <t>TCGplayer</t>
        </is>
      </c>
      <c r="N1397" s="4" t="inlineStr">
        <is>
          <t>https://www.tcgplayer.com/product/263029</t>
        </is>
      </c>
    </row>
    <row r="1398">
      <c r="A1398" s="2" t="inlineStr">
        <is>
          <t>Fall 2020 Collector's Chest Tin + Ultra Ball 2-Pack (Retail Exclusive)</t>
        </is>
      </c>
      <c r="B1398" s="3">
        <f>IF(H1398&lt;&gt;"",H1398,IF(I1398&lt;&gt;"",I1398,IF(J1398&lt;&gt;"",J1398,K1398)))</f>
        <v>149.95</v>
      </c>
      <c r="C1398" s="3">
        <f>MEDIAN(H1398:K1398)</f>
        <v>149.95</v>
      </c>
      <c r="D1398" s="3">
        <f>ROUND(C1398*(1-Settings!$B$2),2)</f>
        <v>104.97</v>
      </c>
      <c r="E1398" s="2" t="inlineStr">
        <is>
          <t>Pokemon</t>
        </is>
      </c>
      <c r="F1398" s="2" t="inlineStr">
        <is>
          <t>Coffret</t>
        </is>
      </c>
      <c r="G1398" s="2" t="inlineStr">
        <is>
          <t>Miscellaneous Cards &amp; Products</t>
        </is>
      </c>
      <c r="H1398" s="3" t="n"/>
      <c r="I1398" s="3" t="n"/>
      <c r="J1398" s="3" t="n">
        <v>149.95</v>
      </c>
      <c r="K1398" s="3" t="n">
        <v>149.95</v>
      </c>
      <c r="L1398" s="2" t="inlineStr">
        <is>
          <t>TCGplayer</t>
        </is>
      </c>
      <c r="N1398" s="4" t="inlineStr">
        <is>
          <t>https://www.tcgplayer.com/product/263034</t>
        </is>
      </c>
    </row>
    <row r="1399">
      <c r="A1399" s="2" t="inlineStr">
        <is>
          <t>Fall 2023 Collector Chest</t>
        </is>
      </c>
      <c r="B1399" s="3">
        <f>IF(H1399&lt;&gt;"",H1399,IF(I1399&lt;&gt;"",I1399,IF(J1399&lt;&gt;"",J1399,K1399)))</f>
        <v>66.57</v>
      </c>
      <c r="C1399" s="3">
        <f>MEDIAN(H1399:K1399)</f>
        <v>66.57</v>
      </c>
      <c r="D1399" s="3">
        <f>ROUND(C1399*(1-Settings!$B$2),2)</f>
        <v>46.6</v>
      </c>
      <c r="E1399" s="2" t="inlineStr">
        <is>
          <t>Pokemon</t>
        </is>
      </c>
      <c r="F1399" s="2" t="inlineStr">
        <is>
          <t>Coffret</t>
        </is>
      </c>
      <c r="G1399" s="2" t="inlineStr">
        <is>
          <t>Miscellaneous Cards &amp; Products</t>
        </is>
      </c>
      <c r="H1399" s="3" t="n"/>
      <c r="I1399" s="3" t="n">
        <v>66.56999999999999</v>
      </c>
      <c r="J1399" s="3" t="n">
        <v>89.98999999999999</v>
      </c>
      <c r="K1399" s="3" t="n">
        <v>64.98999999999999</v>
      </c>
      <c r="L1399" s="2" t="inlineStr">
        <is>
          <t>TCGplayer</t>
        </is>
      </c>
      <c r="N1399" s="4" t="inlineStr">
        <is>
          <t>https://www.tcgplayer.com/product/516647</t>
        </is>
      </c>
    </row>
    <row r="1400">
      <c r="A1400" s="2" t="inlineStr">
        <is>
          <t>Fall 2024 Collector Chest</t>
        </is>
      </c>
      <c r="B1400" s="3">
        <f>IF(H1400&lt;&gt;"",H1400,IF(I1400&lt;&gt;"",I1400,IF(J1400&lt;&gt;"",J1400,K1400)))</f>
        <v>68.47</v>
      </c>
      <c r="C1400" s="3">
        <f>MEDIAN(H1400:K1400)</f>
        <v>68.47</v>
      </c>
      <c r="D1400" s="3">
        <f>ROUND(C1400*(1-Settings!$B$2),2)</f>
        <v>47.93</v>
      </c>
      <c r="E1400" s="2" t="inlineStr">
        <is>
          <t>Pokemon</t>
        </is>
      </c>
      <c r="F1400" s="2" t="inlineStr">
        <is>
          <t>Coffret</t>
        </is>
      </c>
      <c r="G1400" s="2" t="inlineStr">
        <is>
          <t>Miscellaneous Cards &amp; Products</t>
        </is>
      </c>
      <c r="H1400" s="3" t="n"/>
      <c r="I1400" s="3" t="n">
        <v>68.47</v>
      </c>
      <c r="J1400" s="3" t="n">
        <v>71.83</v>
      </c>
      <c r="K1400" s="3" t="n">
        <v>61.8</v>
      </c>
      <c r="L1400" s="2" t="inlineStr">
        <is>
          <t>TCGplayer</t>
        </is>
      </c>
      <c r="N1400" s="4" t="inlineStr">
        <is>
          <t>https://www.tcgplayer.com/product/575706</t>
        </is>
      </c>
    </row>
    <row r="1401">
      <c r="A1401" s="2" t="inlineStr">
        <is>
          <t>Fall 2025 Collector Chest</t>
        </is>
      </c>
      <c r="B1401" s="3">
        <f>IF(H1401&lt;&gt;"",H1401,IF(I1401&lt;&gt;"",I1401,IF(J1401&lt;&gt;"",J1401,K1401)))</f>
        <v>47.4</v>
      </c>
      <c r="C1401" s="3">
        <f>MEDIAN(H1401:K1401)</f>
        <v>47.4</v>
      </c>
      <c r="D1401" s="3">
        <f>ROUND(C1401*(1-Settings!$B$2),2)</f>
        <v>33.18</v>
      </c>
      <c r="E1401" s="2" t="inlineStr">
        <is>
          <t>Pokemon</t>
        </is>
      </c>
      <c r="F1401" s="2" t="inlineStr">
        <is>
          <t>Coffret</t>
        </is>
      </c>
      <c r="G1401" s="2" t="inlineStr">
        <is>
          <t>Miscellaneous Cards &amp; Products</t>
        </is>
      </c>
      <c r="H1401" s="3" t="n"/>
      <c r="I1401" s="3" t="n">
        <v>47.4</v>
      </c>
      <c r="J1401" s="3" t="n">
        <v>54.49</v>
      </c>
      <c r="K1401" s="3" t="n">
        <v>5</v>
      </c>
      <c r="L1401" s="2" t="inlineStr">
        <is>
          <t>TCGplayer</t>
        </is>
      </c>
      <c r="N1401" s="4" t="inlineStr">
        <is>
          <t>https://www.tcgplayer.com/product/654593</t>
        </is>
      </c>
    </row>
    <row r="1402">
      <c r="A1402" s="2" t="inlineStr">
        <is>
          <t>Flareon VMAX Premium Collection</t>
        </is>
      </c>
      <c r="B1402" s="3">
        <f>IF(H1402&lt;&gt;"",H1402,IF(I1402&lt;&gt;"",I1402,IF(J1402&lt;&gt;"",J1402,K1402)))</f>
        <v>310.44</v>
      </c>
      <c r="C1402" s="3">
        <f>MEDIAN(H1402:K1402)</f>
        <v>322.98</v>
      </c>
      <c r="D1402" s="3">
        <f>ROUND(C1402*(1-Settings!$B$2),2)</f>
        <v>226.09</v>
      </c>
      <c r="E1402" s="2" t="inlineStr">
        <is>
          <t>Pokemon</t>
        </is>
      </c>
      <c r="F1402" s="2" t="inlineStr">
        <is>
          <t>Coffret</t>
        </is>
      </c>
      <c r="G1402" s="2" t="inlineStr">
        <is>
          <t>Miscellaneous Cards &amp; Products</t>
        </is>
      </c>
      <c r="H1402" s="3" t="n"/>
      <c r="I1402" s="3" t="n">
        <v>310.44</v>
      </c>
      <c r="J1402" s="3" t="n">
        <v>499.99</v>
      </c>
      <c r="K1402" s="3" t="n">
        <v>322.98</v>
      </c>
      <c r="L1402" s="2" t="inlineStr">
        <is>
          <t>TCGplayer</t>
        </is>
      </c>
      <c r="N1402" s="4" t="inlineStr">
        <is>
          <t>https://www.tcgplayer.com/product/249705</t>
        </is>
      </c>
    </row>
    <row r="1403">
      <c r="A1403" s="2" t="inlineStr">
        <is>
          <t>Fusion Strike Elite Trainer Box &amp; 6 Bonus Cards (Sam's Club)</t>
        </is>
      </c>
      <c r="B1403" s="3">
        <f>IF(H1403&lt;&gt;"",H1403,IF(I1403&lt;&gt;"",I1403,IF(J1403&lt;&gt;"",J1403,K1403)))</f>
        <v>651.99</v>
      </c>
      <c r="C1403" s="3">
        <f>MEDIAN(H1403:K1403)</f>
        <v>650.99</v>
      </c>
      <c r="D1403" s="3">
        <f>ROUND(C1403*(1-Settings!$B$2),2)</f>
        <v>455.69</v>
      </c>
      <c r="E1403" s="2" t="inlineStr">
        <is>
          <t>Pokemon</t>
        </is>
      </c>
      <c r="F1403" s="2" t="inlineStr">
        <is>
          <t>Coffret</t>
        </is>
      </c>
      <c r="G1403" s="2" t="inlineStr">
        <is>
          <t>Miscellaneous Cards &amp; Products</t>
        </is>
      </c>
      <c r="H1403" s="3" t="n"/>
      <c r="I1403" s="3" t="n"/>
      <c r="J1403" s="3" t="n">
        <v>651.99</v>
      </c>
      <c r="K1403" s="3" t="n">
        <v>649.99</v>
      </c>
      <c r="L1403" s="2" t="inlineStr">
        <is>
          <t>TCGplayer</t>
        </is>
      </c>
      <c r="N1403" s="4" t="inlineStr">
        <is>
          <t>https://www.tcgplayer.com/product/690199</t>
        </is>
      </c>
    </row>
    <row r="1404">
      <c r="A1404" s="2" t="inlineStr">
        <is>
          <t>Galar Challengers Tin [Polteageist V]</t>
        </is>
      </c>
      <c r="B1404" s="3">
        <f>IF(H1404&lt;&gt;"",H1404,IF(I1404&lt;&gt;"",I1404,IF(J1404&lt;&gt;"",J1404,K1404)))</f>
        <v>40.0</v>
      </c>
      <c r="C1404" s="3">
        <f>MEDIAN(H1404:K1404)</f>
        <v>40.0</v>
      </c>
      <c r="D1404" s="3">
        <f>ROUND(C1404*(1-Settings!$B$2),2)</f>
        <v>28.0</v>
      </c>
      <c r="E1404" s="2" t="inlineStr">
        <is>
          <t>Pokemon</t>
        </is>
      </c>
      <c r="F1404" s="2" t="inlineStr">
        <is>
          <t>Coffret</t>
        </is>
      </c>
      <c r="G1404" s="2" t="inlineStr">
        <is>
          <t>Miscellaneous Cards &amp; Products</t>
        </is>
      </c>
      <c r="H1404" s="3" t="n"/>
      <c r="I1404" s="3" t="n">
        <v>40</v>
      </c>
      <c r="J1404" s="3" t="n"/>
      <c r="K1404" s="3" t="n"/>
      <c r="L1404" s="2" t="inlineStr">
        <is>
          <t>TCGplayer</t>
        </is>
      </c>
      <c r="N1404" s="4" t="inlineStr">
        <is>
          <t>https://www.tcgplayer.com/product/220289</t>
        </is>
      </c>
    </row>
    <row r="1405">
      <c r="A1405" s="2" t="inlineStr">
        <is>
          <t>Galar Challengers Tin [Toxtricity V]</t>
        </is>
      </c>
      <c r="B1405" s="3">
        <f>IF(H1405&lt;&gt;"",H1405,IF(I1405&lt;&gt;"",I1405,IF(J1405&lt;&gt;"",J1405,K1405)))</f>
        <v>170.0</v>
      </c>
      <c r="C1405" s="3">
        <f>MEDIAN(H1405:K1405)</f>
        <v>170.0</v>
      </c>
      <c r="D1405" s="3">
        <f>ROUND(C1405*(1-Settings!$B$2),2)</f>
        <v>119.0</v>
      </c>
      <c r="E1405" s="2" t="inlineStr">
        <is>
          <t>Pokemon</t>
        </is>
      </c>
      <c r="F1405" s="2" t="inlineStr">
        <is>
          <t>Coffret</t>
        </is>
      </c>
      <c r="G1405" s="2" t="inlineStr">
        <is>
          <t>Miscellaneous Cards &amp; Products</t>
        </is>
      </c>
      <c r="H1405" s="3" t="n"/>
      <c r="I1405" s="3" t="n">
        <v>170</v>
      </c>
      <c r="J1405" s="3" t="n"/>
      <c r="K1405" s="3" t="n"/>
      <c r="L1405" s="2" t="inlineStr">
        <is>
          <t>TCGplayer</t>
        </is>
      </c>
      <c r="N1405" s="4" t="inlineStr">
        <is>
          <t>https://www.tcgplayer.com/product/220291</t>
        </is>
      </c>
    </row>
    <row r="1406">
      <c r="A1406" s="2" t="inlineStr">
        <is>
          <t>Galar Collection [Sobble] - with Zacian V</t>
        </is>
      </c>
      <c r="B1406" s="3">
        <f>IF(H1406&lt;&gt;"",H1406,IF(I1406&lt;&gt;"",I1406,IF(J1406&lt;&gt;"",J1406,K1406)))</f>
        <v>490.0</v>
      </c>
      <c r="C1406" s="3">
        <f>MEDIAN(H1406:K1406)</f>
        <v>490.0</v>
      </c>
      <c r="D1406" s="3">
        <f>ROUND(C1406*(1-Settings!$B$2),2)</f>
        <v>343.0</v>
      </c>
      <c r="E1406" s="2" t="inlineStr">
        <is>
          <t>Pokemon</t>
        </is>
      </c>
      <c r="F1406" s="2" t="inlineStr">
        <is>
          <t>Coffret</t>
        </is>
      </c>
      <c r="G1406" s="2" t="inlineStr">
        <is>
          <t>Miscellaneous Cards &amp; Products</t>
        </is>
      </c>
      <c r="H1406" s="3" t="n"/>
      <c r="I1406" s="3" t="n"/>
      <c r="J1406" s="3" t="n"/>
      <c r="K1406" s="3" t="n">
        <v>490</v>
      </c>
      <c r="L1406" s="2" t="inlineStr">
        <is>
          <t>TCGplayer</t>
        </is>
      </c>
      <c r="N1406" s="4" t="inlineStr">
        <is>
          <t>https://www.tcgplayer.com/product/199786</t>
        </is>
      </c>
    </row>
    <row r="1407">
      <c r="A1407" s="2" t="inlineStr">
        <is>
          <t>Galar Collection [Sobble] - with Zamazenta V</t>
        </is>
      </c>
      <c r="B1407" s="3">
        <f>IF(H1407&lt;&gt;"",H1407,IF(I1407&lt;&gt;"",I1407,IF(J1407&lt;&gt;"",J1407,K1407)))</f>
        <v>490.0</v>
      </c>
      <c r="C1407" s="3">
        <f>MEDIAN(H1407:K1407)</f>
        <v>490.0</v>
      </c>
      <c r="D1407" s="3">
        <f>ROUND(C1407*(1-Settings!$B$2),2)</f>
        <v>343.0</v>
      </c>
      <c r="E1407" s="2" t="inlineStr">
        <is>
          <t>Pokemon</t>
        </is>
      </c>
      <c r="F1407" s="2" t="inlineStr">
        <is>
          <t>Coffret</t>
        </is>
      </c>
      <c r="G1407" s="2" t="inlineStr">
        <is>
          <t>Miscellaneous Cards &amp; Products</t>
        </is>
      </c>
      <c r="H1407" s="3" t="n"/>
      <c r="I1407" s="3" t="n"/>
      <c r="J1407" s="3" t="n"/>
      <c r="K1407" s="3" t="n">
        <v>490</v>
      </c>
      <c r="L1407" s="2" t="inlineStr">
        <is>
          <t>TCGplayer</t>
        </is>
      </c>
      <c r="N1407" s="4" t="inlineStr">
        <is>
          <t>https://www.tcgplayer.com/product/199785</t>
        </is>
      </c>
    </row>
    <row r="1408">
      <c r="A1408" s="2" t="inlineStr">
        <is>
          <t>Galar Pal Mini Tin [Galarian Ponyta]</t>
        </is>
      </c>
      <c r="B1408" s="3">
        <f>IF(H1408&lt;&gt;"",H1408,IF(I1408&lt;&gt;"",I1408,IF(J1408&lt;&gt;"",J1408,K1408)))</f>
        <v>40.78</v>
      </c>
      <c r="C1408" s="3">
        <f>MEDIAN(H1408:K1408)</f>
        <v>50.98</v>
      </c>
      <c r="D1408" s="3">
        <f>ROUND(C1408*(1-Settings!$B$2),2)</f>
        <v>35.69</v>
      </c>
      <c r="E1408" s="2" t="inlineStr">
        <is>
          <t>Pokemon</t>
        </is>
      </c>
      <c r="F1408" s="2" t="inlineStr">
        <is>
          <t>Coffret</t>
        </is>
      </c>
      <c r="G1408" s="2" t="inlineStr">
        <is>
          <t>Miscellaneous Cards &amp; Products</t>
        </is>
      </c>
      <c r="H1408" s="3" t="n"/>
      <c r="I1408" s="3" t="n">
        <v>40.78</v>
      </c>
      <c r="J1408" s="3" t="n">
        <v>76.98</v>
      </c>
      <c r="K1408" s="3" t="n">
        <v>50.98</v>
      </c>
      <c r="L1408" s="2" t="inlineStr">
        <is>
          <t>TCGplayer</t>
        </is>
      </c>
      <c r="N1408" s="4" t="inlineStr">
        <is>
          <t>https://www.tcgplayer.com/product/207986</t>
        </is>
      </c>
    </row>
    <row r="1409">
      <c r="A1409" s="2" t="inlineStr">
        <is>
          <t>Galar Pal Mini Tin [Grookey &amp; Wooloo]</t>
        </is>
      </c>
      <c r="B1409" s="3">
        <f>IF(H1409&lt;&gt;"",H1409,IF(I1409&lt;&gt;"",I1409,IF(J1409&lt;&gt;"",J1409,K1409)))</f>
        <v>36.75</v>
      </c>
      <c r="C1409" s="3">
        <f>MEDIAN(H1409:K1409)</f>
        <v>47.95</v>
      </c>
      <c r="D1409" s="3">
        <f>ROUND(C1409*(1-Settings!$B$2),2)</f>
        <v>33.57</v>
      </c>
      <c r="E1409" s="2" t="inlineStr">
        <is>
          <t>Pokemon</t>
        </is>
      </c>
      <c r="F1409" s="2" t="inlineStr">
        <is>
          <t>Coffret</t>
        </is>
      </c>
      <c r="G1409" s="2" t="inlineStr">
        <is>
          <t>Miscellaneous Cards &amp; Products</t>
        </is>
      </c>
      <c r="H1409" s="3" t="n"/>
      <c r="I1409" s="3" t="n">
        <v>36.75</v>
      </c>
      <c r="J1409" s="3" t="n">
        <v>48.96</v>
      </c>
      <c r="K1409" s="3" t="n">
        <v>47.95</v>
      </c>
      <c r="L1409" s="2" t="inlineStr">
        <is>
          <t>TCGplayer</t>
        </is>
      </c>
      <c r="N1409" s="4" t="inlineStr">
        <is>
          <t>https://www.tcgplayer.com/product/207987</t>
        </is>
      </c>
    </row>
    <row r="1410">
      <c r="A1410" s="2" t="inlineStr">
        <is>
          <t>Galar Pal Mini Tin [Scorbunny &amp; Pikachu]</t>
        </is>
      </c>
      <c r="B1410" s="3">
        <f>IF(H1410&lt;&gt;"",H1410,IF(I1410&lt;&gt;"",I1410,IF(J1410&lt;&gt;"",J1410,K1410)))</f>
        <v>36.16</v>
      </c>
      <c r="C1410" s="3">
        <f>MEDIAN(H1410:K1410)</f>
        <v>49.99</v>
      </c>
      <c r="D1410" s="3">
        <f>ROUND(C1410*(1-Settings!$B$2),2)</f>
        <v>34.99</v>
      </c>
      <c r="E1410" s="2" t="inlineStr">
        <is>
          <t>Pokemon</t>
        </is>
      </c>
      <c r="F1410" s="2" t="inlineStr">
        <is>
          <t>Coffret</t>
        </is>
      </c>
      <c r="G1410" s="2" t="inlineStr">
        <is>
          <t>Miscellaneous Cards &amp; Products</t>
        </is>
      </c>
      <c r="H1410" s="3" t="n"/>
      <c r="I1410" s="3" t="n">
        <v>36.16</v>
      </c>
      <c r="J1410" s="3" t="n">
        <v>76.98</v>
      </c>
      <c r="K1410" s="3" t="n">
        <v>49.99</v>
      </c>
      <c r="L1410" s="2" t="inlineStr">
        <is>
          <t>TCGplayer</t>
        </is>
      </c>
      <c r="N1410" s="4" t="inlineStr">
        <is>
          <t>https://www.tcgplayer.com/product/207988</t>
        </is>
      </c>
    </row>
    <row r="1411">
      <c r="A1411" s="2" t="inlineStr">
        <is>
          <t>Galar Pal Mini Tin [Set of 5]</t>
        </is>
      </c>
      <c r="B1411" s="3">
        <f>IF(H1411&lt;&gt;"",H1411,IF(I1411&lt;&gt;"",I1411,IF(J1411&lt;&gt;"",J1411,K1411)))</f>
        <v>149.59</v>
      </c>
      <c r="C1411" s="3">
        <f>MEDIAN(H1411:K1411)</f>
        <v>280.89</v>
      </c>
      <c r="D1411" s="3">
        <f>ROUND(C1411*(1-Settings!$B$2),2)</f>
        <v>196.62</v>
      </c>
      <c r="E1411" s="2" t="inlineStr">
        <is>
          <t>Pokemon</t>
        </is>
      </c>
      <c r="F1411" s="2" t="inlineStr">
        <is>
          <t>Coffret</t>
        </is>
      </c>
      <c r="G1411" s="2" t="inlineStr">
        <is>
          <t>Miscellaneous Cards &amp; Products</t>
        </is>
      </c>
      <c r="H1411" s="3" t="n"/>
      <c r="I1411" s="3" t="n">
        <v>149.59</v>
      </c>
      <c r="J1411" s="3" t="n">
        <v>316.44</v>
      </c>
      <c r="K1411" s="3" t="n">
        <v>280.89</v>
      </c>
      <c r="L1411" s="2" t="inlineStr">
        <is>
          <t>TCGplayer</t>
        </is>
      </c>
      <c r="N1411" s="4" t="inlineStr">
        <is>
          <t>https://www.tcgplayer.com/product/207992</t>
        </is>
      </c>
    </row>
    <row r="1412">
      <c r="A1412" s="2" t="inlineStr">
        <is>
          <t>Galar Pal Mini Tin [Sobble &amp; Rookidee]</t>
        </is>
      </c>
      <c r="B1412" s="3">
        <f>IF(H1412&lt;&gt;"",H1412,IF(I1412&lt;&gt;"",I1412,IF(J1412&lt;&gt;"",J1412,K1412)))</f>
        <v>33.71</v>
      </c>
      <c r="C1412" s="3">
        <f>MEDIAN(H1412:K1412)</f>
        <v>33.71</v>
      </c>
      <c r="D1412" s="3">
        <f>ROUND(C1412*(1-Settings!$B$2),2)</f>
        <v>23.6</v>
      </c>
      <c r="E1412" s="2" t="inlineStr">
        <is>
          <t>Pokemon</t>
        </is>
      </c>
      <c r="F1412" s="2" t="inlineStr">
        <is>
          <t>Coffret</t>
        </is>
      </c>
      <c r="G1412" s="2" t="inlineStr">
        <is>
          <t>Miscellaneous Cards &amp; Products</t>
        </is>
      </c>
      <c r="H1412" s="3" t="n"/>
      <c r="I1412" s="3" t="n">
        <v>33.71</v>
      </c>
      <c r="J1412" s="3" t="n">
        <v>62.48</v>
      </c>
      <c r="K1412" s="3" t="n">
        <v>15</v>
      </c>
      <c r="L1412" s="2" t="inlineStr">
        <is>
          <t>TCGplayer</t>
        </is>
      </c>
      <c r="N1412" s="4" t="inlineStr">
        <is>
          <t>https://www.tcgplayer.com/product/207989</t>
        </is>
      </c>
    </row>
    <row r="1413">
      <c r="A1413" s="2" t="inlineStr">
        <is>
          <t>Galar Pal Mini Tin [Yamper &amp; Morpeko]</t>
        </is>
      </c>
      <c r="B1413" s="3">
        <f>IF(H1413&lt;&gt;"",H1413,IF(I1413&lt;&gt;"",I1413,IF(J1413&lt;&gt;"",J1413,K1413)))</f>
        <v>42.12</v>
      </c>
      <c r="C1413" s="3">
        <f>MEDIAN(H1413:K1413)</f>
        <v>70.0</v>
      </c>
      <c r="D1413" s="3">
        <f>ROUND(C1413*(1-Settings!$B$2),2)</f>
        <v>49.0</v>
      </c>
      <c r="E1413" s="2" t="inlineStr">
        <is>
          <t>Pokemon</t>
        </is>
      </c>
      <c r="F1413" s="2" t="inlineStr">
        <is>
          <t>Coffret</t>
        </is>
      </c>
      <c r="G1413" s="2" t="inlineStr">
        <is>
          <t>Miscellaneous Cards &amp; Products</t>
        </is>
      </c>
      <c r="H1413" s="3" t="n"/>
      <c r="I1413" s="3" t="n">
        <v>42.12</v>
      </c>
      <c r="J1413" s="3" t="n">
        <v>70</v>
      </c>
      <c r="K1413" s="3" t="n">
        <v>70</v>
      </c>
      <c r="L1413" s="2" t="inlineStr">
        <is>
          <t>TCGplayer</t>
        </is>
      </c>
      <c r="N1413" s="4" t="inlineStr">
        <is>
          <t>https://www.tcgplayer.com/product/207990</t>
        </is>
      </c>
    </row>
    <row r="1414">
      <c r="A1414" s="2" t="inlineStr">
        <is>
          <t>Galar Power Mini Tin [Dragapult]</t>
        </is>
      </c>
      <c r="B1414" s="3">
        <f>IF(H1414&lt;&gt;"",H1414,IF(I1414&lt;&gt;"",I1414,IF(J1414&lt;&gt;"",J1414,K1414)))</f>
        <v>47.65</v>
      </c>
      <c r="C1414" s="3">
        <f>MEDIAN(H1414:K1414)</f>
        <v>47.65</v>
      </c>
      <c r="D1414" s="3">
        <f>ROUND(C1414*(1-Settings!$B$2),2)</f>
        <v>33.36</v>
      </c>
      <c r="E1414" s="2" t="inlineStr">
        <is>
          <t>Pokemon</t>
        </is>
      </c>
      <c r="F1414" s="2" t="inlineStr">
        <is>
          <t>Coffret</t>
        </is>
      </c>
      <c r="G1414" s="2" t="inlineStr">
        <is>
          <t>Miscellaneous Cards &amp; Products</t>
        </is>
      </c>
      <c r="H1414" s="3" t="n"/>
      <c r="I1414" s="3" t="n">
        <v>47.65</v>
      </c>
      <c r="J1414" s="3" t="n">
        <v>49.99</v>
      </c>
      <c r="K1414" s="3" t="n">
        <v>44</v>
      </c>
      <c r="L1414" s="2" t="inlineStr">
        <is>
          <t>TCGplayer</t>
        </is>
      </c>
      <c r="N1414" s="4" t="inlineStr">
        <is>
          <t>https://www.tcgplayer.com/product/218854</t>
        </is>
      </c>
    </row>
    <row r="1415">
      <c r="A1415" s="2" t="inlineStr">
        <is>
          <t>Galar Power Mini Tin [Galarian Obstagoon]</t>
        </is>
      </c>
      <c r="B1415" s="3">
        <f>IF(H1415&lt;&gt;"",H1415,IF(I1415&lt;&gt;"",I1415,IF(J1415&lt;&gt;"",J1415,K1415)))</f>
        <v>42.97</v>
      </c>
      <c r="C1415" s="3">
        <f>MEDIAN(H1415:K1415)</f>
        <v>42.97</v>
      </c>
      <c r="D1415" s="3">
        <f>ROUND(C1415*(1-Settings!$B$2),2)</f>
        <v>30.08</v>
      </c>
      <c r="E1415" s="2" t="inlineStr">
        <is>
          <t>Pokemon</t>
        </is>
      </c>
      <c r="F1415" s="2" t="inlineStr">
        <is>
          <t>Coffret</t>
        </is>
      </c>
      <c r="G1415" s="2" t="inlineStr">
        <is>
          <t>Miscellaneous Cards &amp; Products</t>
        </is>
      </c>
      <c r="H1415" s="3" t="n"/>
      <c r="I1415" s="3" t="n">
        <v>42.97</v>
      </c>
      <c r="J1415" s="3" t="n">
        <v>52.47</v>
      </c>
      <c r="K1415" s="3" t="n">
        <v>12</v>
      </c>
      <c r="L1415" s="2" t="inlineStr">
        <is>
          <t>TCGplayer</t>
        </is>
      </c>
      <c r="N1415" s="4" t="inlineStr">
        <is>
          <t>https://www.tcgplayer.com/product/218857</t>
        </is>
      </c>
    </row>
    <row r="1416">
      <c r="A1416" s="2" t="inlineStr">
        <is>
          <t>Galar Power Mini Tin [Galarian Rapidash]</t>
        </is>
      </c>
      <c r="B1416" s="3">
        <f>IF(H1416&lt;&gt;"",H1416,IF(I1416&lt;&gt;"",I1416,IF(J1416&lt;&gt;"",J1416,K1416)))</f>
        <v>49.0</v>
      </c>
      <c r="C1416" s="3">
        <f>MEDIAN(H1416:K1416)</f>
        <v>54.9</v>
      </c>
      <c r="D1416" s="3">
        <f>ROUND(C1416*(1-Settings!$B$2),2)</f>
        <v>38.43</v>
      </c>
      <c r="E1416" s="2" t="inlineStr">
        <is>
          <t>Pokemon</t>
        </is>
      </c>
      <c r="F1416" s="2" t="inlineStr">
        <is>
          <t>Coffret</t>
        </is>
      </c>
      <c r="G1416" s="2" t="inlineStr">
        <is>
          <t>Miscellaneous Cards &amp; Products</t>
        </is>
      </c>
      <c r="H1416" s="3" t="n"/>
      <c r="I1416" s="3" t="n">
        <v>49</v>
      </c>
      <c r="J1416" s="3" t="n">
        <v>54.93</v>
      </c>
      <c r="K1416" s="3" t="n">
        <v>54.9</v>
      </c>
      <c r="L1416" s="2" t="inlineStr">
        <is>
          <t>TCGplayer</t>
        </is>
      </c>
      <c r="N1416" s="4" t="inlineStr">
        <is>
          <t>https://www.tcgplayer.com/product/218856</t>
        </is>
      </c>
    </row>
    <row r="1417">
      <c r="A1417" s="2" t="inlineStr">
        <is>
          <t>Galar Power Mini Tin [Galarian Sirfetch'd]</t>
        </is>
      </c>
      <c r="B1417" s="3">
        <f>IF(H1417&lt;&gt;"",H1417,IF(I1417&lt;&gt;"",I1417,IF(J1417&lt;&gt;"",J1417,K1417)))</f>
        <v>39.77</v>
      </c>
      <c r="C1417" s="3">
        <f>MEDIAN(H1417:K1417)</f>
        <v>44.95</v>
      </c>
      <c r="D1417" s="3">
        <f>ROUND(C1417*(1-Settings!$B$2),2)</f>
        <v>31.47</v>
      </c>
      <c r="E1417" s="2" t="inlineStr">
        <is>
          <t>Pokemon</t>
        </is>
      </c>
      <c r="F1417" s="2" t="inlineStr">
        <is>
          <t>Coffret</t>
        </is>
      </c>
      <c r="G1417" s="2" t="inlineStr">
        <is>
          <t>Miscellaneous Cards &amp; Products</t>
        </is>
      </c>
      <c r="H1417" s="3" t="n"/>
      <c r="I1417" s="3" t="n">
        <v>39.77</v>
      </c>
      <c r="J1417" s="3" t="n">
        <v>54.95</v>
      </c>
      <c r="K1417" s="3" t="n">
        <v>44.95</v>
      </c>
      <c r="L1417" s="2" t="inlineStr">
        <is>
          <t>TCGplayer</t>
        </is>
      </c>
      <c r="N1417" s="4" t="inlineStr">
        <is>
          <t>https://www.tcgplayer.com/product/218855</t>
        </is>
      </c>
    </row>
    <row r="1418">
      <c r="A1418" s="2" t="inlineStr">
        <is>
          <t>Galar Power Mini Tin [Set of 5]</t>
        </is>
      </c>
      <c r="B1418" s="3">
        <f>IF(H1418&lt;&gt;"",H1418,IF(I1418&lt;&gt;"",I1418,IF(J1418&lt;&gt;"",J1418,K1418)))</f>
        <v>164.99</v>
      </c>
      <c r="C1418" s="3">
        <f>MEDIAN(H1418:K1418)</f>
        <v>164.99</v>
      </c>
      <c r="D1418" s="3">
        <f>ROUND(C1418*(1-Settings!$B$2),2)</f>
        <v>115.49</v>
      </c>
      <c r="E1418" s="2" t="inlineStr">
        <is>
          <t>Pokemon</t>
        </is>
      </c>
      <c r="F1418" s="2" t="inlineStr">
        <is>
          <t>Coffret</t>
        </is>
      </c>
      <c r="G1418" s="2" t="inlineStr">
        <is>
          <t>Miscellaneous Cards &amp; Products</t>
        </is>
      </c>
      <c r="H1418" s="3" t="n"/>
      <c r="I1418" s="3" t="n">
        <v>164.99</v>
      </c>
      <c r="J1418" s="3" t="n"/>
      <c r="K1418" s="3" t="n"/>
      <c r="L1418" s="2" t="inlineStr">
        <is>
          <t>TCGplayer</t>
        </is>
      </c>
      <c r="N1418" s="4" t="inlineStr">
        <is>
          <t>https://www.tcgplayer.com/product/449727</t>
        </is>
      </c>
    </row>
    <row r="1419">
      <c r="A1419" s="2" t="inlineStr">
        <is>
          <t>Galar Power Mini Tin [Toxtricity]</t>
        </is>
      </c>
      <c r="B1419" s="3">
        <f>IF(H1419&lt;&gt;"",H1419,IF(I1419&lt;&gt;"",I1419,IF(J1419&lt;&gt;"",J1419,K1419)))</f>
        <v>39.99</v>
      </c>
      <c r="C1419" s="3">
        <f>MEDIAN(H1419:K1419)</f>
        <v>39.99</v>
      </c>
      <c r="D1419" s="3">
        <f>ROUND(C1419*(1-Settings!$B$2),2)</f>
        <v>27.99</v>
      </c>
      <c r="E1419" s="2" t="inlineStr">
        <is>
          <t>Pokemon</t>
        </is>
      </c>
      <c r="F1419" s="2" t="inlineStr">
        <is>
          <t>Coffret</t>
        </is>
      </c>
      <c r="G1419" s="2" t="inlineStr">
        <is>
          <t>Miscellaneous Cards &amp; Products</t>
        </is>
      </c>
      <c r="H1419" s="3" t="n"/>
      <c r="I1419" s="3" t="n">
        <v>39.99</v>
      </c>
      <c r="J1419" s="3" t="n">
        <v>41.99</v>
      </c>
      <c r="K1419" s="3" t="n">
        <v>39.99</v>
      </c>
      <c r="L1419" s="2" t="inlineStr">
        <is>
          <t>TCGplayer</t>
        </is>
      </c>
      <c r="N1419" s="4" t="inlineStr">
        <is>
          <t>https://www.tcgplayer.com/product/218858</t>
        </is>
      </c>
    </row>
    <row r="1420">
      <c r="A1420" s="2" t="inlineStr">
        <is>
          <t>Grand Adventure Collection</t>
        </is>
      </c>
      <c r="B1420" s="3">
        <f>IF(H1420&lt;&gt;"",H1420,IF(I1420&lt;&gt;"",I1420,IF(J1420&lt;&gt;"",J1420,K1420)))</f>
        <v>45.19</v>
      </c>
      <c r="C1420" s="3">
        <f>MEDIAN(H1420:K1420)</f>
        <v>45.19</v>
      </c>
      <c r="D1420" s="3">
        <f>ROUND(C1420*(1-Settings!$B$2),2)</f>
        <v>31.63</v>
      </c>
      <c r="E1420" s="2" t="inlineStr">
        <is>
          <t>Pokemon</t>
        </is>
      </c>
      <c r="F1420" s="2" t="inlineStr">
        <is>
          <t>Coffret</t>
        </is>
      </c>
      <c r="G1420" s="2" t="inlineStr">
        <is>
          <t>Miscellaneous Cards &amp; Products</t>
        </is>
      </c>
      <c r="H1420" s="3" t="n"/>
      <c r="I1420" s="3" t="n">
        <v>45.19</v>
      </c>
      <c r="J1420" s="3" t="n">
        <v>59.99</v>
      </c>
      <c r="K1420" s="3" t="n">
        <v>45</v>
      </c>
      <c r="L1420" s="2" t="inlineStr">
        <is>
          <t>TCGplayer</t>
        </is>
      </c>
      <c r="N1420" s="4" t="inlineStr">
        <is>
          <t>https://www.tcgplayer.com/product/594896</t>
        </is>
      </c>
    </row>
    <row r="1421">
      <c r="A1421" s="2" t="inlineStr">
        <is>
          <t>Greninja EX &amp; Kingdra EX Special Collection Box</t>
        </is>
      </c>
      <c r="B1421" s="3">
        <f>IF(H1421&lt;&gt;"",H1421,IF(I1421&lt;&gt;"",I1421,IF(J1421&lt;&gt;"",J1421,K1421)))</f>
        <v>65.05</v>
      </c>
      <c r="C1421" s="3">
        <f>MEDIAN(H1421:K1421)</f>
        <v>65.05</v>
      </c>
      <c r="D1421" s="3">
        <f>ROUND(C1421*(1-Settings!$B$2),2)</f>
        <v>45.54</v>
      </c>
      <c r="E1421" s="2" t="inlineStr">
        <is>
          <t>Pokemon</t>
        </is>
      </c>
      <c r="F1421" s="2" t="inlineStr">
        <is>
          <t>Coffret</t>
        </is>
      </c>
      <c r="G1421" s="2" t="inlineStr">
        <is>
          <t>Miscellaneous Cards &amp; Products</t>
        </is>
      </c>
      <c r="H1421" s="3" t="n"/>
      <c r="I1421" s="3" t="n">
        <v>65.05</v>
      </c>
      <c r="J1421" s="3" t="n">
        <v>80</v>
      </c>
      <c r="K1421" s="3" t="n">
        <v>61.99</v>
      </c>
      <c r="L1421" s="2" t="inlineStr">
        <is>
          <t>TCGplayer</t>
        </is>
      </c>
      <c r="N1421" s="4" t="inlineStr">
        <is>
          <t>https://www.tcgplayer.com/product/656950</t>
        </is>
      </c>
    </row>
    <row r="1422">
      <c r="A1422" s="2" t="inlineStr">
        <is>
          <t>Greninja ex Ultra-Premium Collection</t>
        </is>
      </c>
      <c r="B1422" s="3">
        <f>IF(H1422&lt;&gt;"",H1422,IF(I1422&lt;&gt;"",I1422,IF(J1422&lt;&gt;"",J1422,K1422)))</f>
        <v>493.48</v>
      </c>
      <c r="C1422" s="3">
        <f>MEDIAN(H1422:K1422)</f>
        <v>493.48</v>
      </c>
      <c r="D1422" s="3">
        <f>ROUND(C1422*(1-Settings!$B$2),2)</f>
        <v>345.44</v>
      </c>
      <c r="E1422" s="2" t="inlineStr">
        <is>
          <t>Pokemon</t>
        </is>
      </c>
      <c r="F1422" s="2" t="inlineStr">
        <is>
          <t>Coffret</t>
        </is>
      </c>
      <c r="G1422" s="2" t="inlineStr">
        <is>
          <t>Miscellaneous Cards &amp; Products</t>
        </is>
      </c>
      <c r="H1422" s="3" t="n"/>
      <c r="I1422" s="3" t="n">
        <v>493.48</v>
      </c>
      <c r="J1422" s="3" t="n">
        <v>557</v>
      </c>
      <c r="K1422" s="3" t="n">
        <v>20</v>
      </c>
      <c r="L1422" s="2" t="inlineStr">
        <is>
          <t>TCGplayer</t>
        </is>
      </c>
      <c r="N1422" s="4" t="inlineStr">
        <is>
          <t>https://www.tcgplayer.com/product/594491</t>
        </is>
      </c>
    </row>
    <row r="1423">
      <c r="A1423" s="2" t="inlineStr">
        <is>
          <t>Gyarados ex Premium Collection</t>
        </is>
      </c>
      <c r="B1423" s="3">
        <f>IF(H1423&lt;&gt;"",H1423,IF(I1423&lt;&gt;"",I1423,IF(J1423&lt;&gt;"",J1423,K1423)))</f>
        <v>120.35</v>
      </c>
      <c r="C1423" s="3">
        <f>MEDIAN(H1423:K1423)</f>
        <v>150.0</v>
      </c>
      <c r="D1423" s="3">
        <f>ROUND(C1423*(1-Settings!$B$2),2)</f>
        <v>105.0</v>
      </c>
      <c r="E1423" s="2" t="inlineStr">
        <is>
          <t>Pokemon</t>
        </is>
      </c>
      <c r="F1423" s="2" t="inlineStr">
        <is>
          <t>Coffret</t>
        </is>
      </c>
      <c r="G1423" s="2" t="inlineStr">
        <is>
          <t>Miscellaneous Cards &amp; Products</t>
        </is>
      </c>
      <c r="H1423" s="3" t="n"/>
      <c r="I1423" s="3" t="n">
        <v>120.35</v>
      </c>
      <c r="J1423" s="3" t="n">
        <v>157.48</v>
      </c>
      <c r="K1423" s="3" t="n">
        <v>150</v>
      </c>
      <c r="L1423" s="2" t="inlineStr">
        <is>
          <t>TCGplayer</t>
        </is>
      </c>
      <c r="N1423" s="4" t="inlineStr">
        <is>
          <t>https://www.tcgplayer.com/product/526914</t>
        </is>
      </c>
    </row>
    <row r="1424">
      <c r="A1424" s="2" t="inlineStr">
        <is>
          <t>Heavy Hitters Premium Collection (Fall 2023)</t>
        </is>
      </c>
      <c r="B1424" s="3">
        <f>IF(H1424&lt;&gt;"",H1424,IF(I1424&lt;&gt;"",I1424,IF(J1424&lt;&gt;"",J1424,K1424)))</f>
        <v>304.63</v>
      </c>
      <c r="C1424" s="3">
        <f>MEDIAN(H1424:K1424)</f>
        <v>335.0</v>
      </c>
      <c r="D1424" s="3">
        <f>ROUND(C1424*(1-Settings!$B$2),2)</f>
        <v>234.5</v>
      </c>
      <c r="E1424" s="2" t="inlineStr">
        <is>
          <t>Pokemon</t>
        </is>
      </c>
      <c r="F1424" s="2" t="inlineStr">
        <is>
          <t>Coffret</t>
        </is>
      </c>
      <c r="G1424" s="2" t="inlineStr">
        <is>
          <t>Miscellaneous Cards &amp; Products</t>
        </is>
      </c>
      <c r="H1424" s="3" t="n"/>
      <c r="I1424" s="3" t="n">
        <v>304.63</v>
      </c>
      <c r="J1424" s="3" t="n">
        <v>375</v>
      </c>
      <c r="K1424" s="3" t="n">
        <v>335</v>
      </c>
      <c r="L1424" s="2" t="inlineStr">
        <is>
          <t>TCGplayer</t>
        </is>
      </c>
      <c r="N1424" s="4" t="inlineStr">
        <is>
          <t>https://www.tcgplayer.com/product/529698</t>
        </is>
      </c>
    </row>
    <row r="1425">
      <c r="A1425" s="2" t="inlineStr">
        <is>
          <t>Hidden Potential Tin [Gallade V]</t>
        </is>
      </c>
      <c r="B1425" s="3">
        <f>IF(H1425&lt;&gt;"",H1425,IF(I1425&lt;&gt;"",I1425,IF(J1425&lt;&gt;"",J1425,K1425)))</f>
        <v>79.9</v>
      </c>
      <c r="C1425" s="3">
        <f>MEDIAN(H1425:K1425)</f>
        <v>135.7</v>
      </c>
      <c r="D1425" s="3">
        <f>ROUND(C1425*(1-Settings!$B$2),2)</f>
        <v>94.99</v>
      </c>
      <c r="E1425" s="2" t="inlineStr">
        <is>
          <t>Pokemon</t>
        </is>
      </c>
      <c r="F1425" s="2" t="inlineStr">
        <is>
          <t>Coffret</t>
        </is>
      </c>
      <c r="G1425" s="2" t="inlineStr">
        <is>
          <t>Miscellaneous Cards &amp; Products</t>
        </is>
      </c>
      <c r="H1425" s="3" t="n"/>
      <c r="I1425" s="3" t="n">
        <v>79.90000000000001</v>
      </c>
      <c r="J1425" s="3" t="n">
        <v>139.28</v>
      </c>
      <c r="K1425" s="3" t="n">
        <v>135.7</v>
      </c>
      <c r="L1425" s="2" t="inlineStr">
        <is>
          <t>TCGplayer</t>
        </is>
      </c>
      <c r="N1425" s="4" t="inlineStr">
        <is>
          <t>https://www.tcgplayer.com/product/281982</t>
        </is>
      </c>
    </row>
    <row r="1426">
      <c r="A1426" s="2" t="inlineStr">
        <is>
          <t>Hidden Potential Tin [Giratina V]</t>
        </is>
      </c>
      <c r="B1426" s="3">
        <f>IF(H1426&lt;&gt;"",H1426,IF(I1426&lt;&gt;"",I1426,IF(J1426&lt;&gt;"",J1426,K1426)))</f>
        <v>146.29</v>
      </c>
      <c r="C1426" s="3">
        <f>MEDIAN(H1426:K1426)</f>
        <v>149.0</v>
      </c>
      <c r="D1426" s="3">
        <f>ROUND(C1426*(1-Settings!$B$2),2)</f>
        <v>104.3</v>
      </c>
      <c r="E1426" s="2" t="inlineStr">
        <is>
          <t>Pokemon</t>
        </is>
      </c>
      <c r="F1426" s="2" t="inlineStr">
        <is>
          <t>Coffret</t>
        </is>
      </c>
      <c r="G1426" s="2" t="inlineStr">
        <is>
          <t>Miscellaneous Cards &amp; Products</t>
        </is>
      </c>
      <c r="H1426" s="3" t="n"/>
      <c r="I1426" s="3" t="n">
        <v>146.29</v>
      </c>
      <c r="J1426" s="3" t="n">
        <v>179.97</v>
      </c>
      <c r="K1426" s="3" t="n">
        <v>149</v>
      </c>
      <c r="L1426" s="2" t="inlineStr">
        <is>
          <t>TCGplayer</t>
        </is>
      </c>
      <c r="N1426" s="4" t="inlineStr">
        <is>
          <t>https://www.tcgplayer.com/product/281984</t>
        </is>
      </c>
    </row>
    <row r="1427">
      <c r="A1427" s="2" t="inlineStr">
        <is>
          <t>Hidden Potential Tin [Rotom V]</t>
        </is>
      </c>
      <c r="B1427" s="3">
        <f>IF(H1427&lt;&gt;"",H1427,IF(I1427&lt;&gt;"",I1427,IF(J1427&lt;&gt;"",J1427,K1427)))</f>
        <v>94.99</v>
      </c>
      <c r="C1427" s="3">
        <f>MEDIAN(H1427:K1427)</f>
        <v>130.0</v>
      </c>
      <c r="D1427" s="3">
        <f>ROUND(C1427*(1-Settings!$B$2),2)</f>
        <v>91.0</v>
      </c>
      <c r="E1427" s="2" t="inlineStr">
        <is>
          <t>Pokemon</t>
        </is>
      </c>
      <c r="F1427" s="2" t="inlineStr">
        <is>
          <t>Coffret</t>
        </is>
      </c>
      <c r="G1427" s="2" t="inlineStr">
        <is>
          <t>Miscellaneous Cards &amp; Products</t>
        </is>
      </c>
      <c r="H1427" s="3" t="n"/>
      <c r="I1427" s="3" t="n">
        <v>94.98999999999999</v>
      </c>
      <c r="J1427" s="3" t="n">
        <v>137.89</v>
      </c>
      <c r="K1427" s="3" t="n">
        <v>130</v>
      </c>
      <c r="L1427" s="2" t="inlineStr">
        <is>
          <t>TCGplayer</t>
        </is>
      </c>
      <c r="N1427" s="4" t="inlineStr">
        <is>
          <t>https://www.tcgplayer.com/product/281981</t>
        </is>
      </c>
    </row>
    <row r="1428">
      <c r="A1428" s="2" t="inlineStr">
        <is>
          <t>Hidden Potential Tin [Set of 3]</t>
        </is>
      </c>
      <c r="B1428" s="3">
        <f>IF(H1428&lt;&gt;"",H1428,IF(I1428&lt;&gt;"",I1428,IF(J1428&lt;&gt;"",J1428,K1428)))</f>
        <v>359.98</v>
      </c>
      <c r="C1428" s="3">
        <f>MEDIAN(H1428:K1428)</f>
        <v>399.95</v>
      </c>
      <c r="D1428" s="3">
        <f>ROUND(C1428*(1-Settings!$B$2),2)</f>
        <v>279.97</v>
      </c>
      <c r="E1428" s="2" t="inlineStr">
        <is>
          <t>Pokemon</t>
        </is>
      </c>
      <c r="F1428" s="2" t="inlineStr">
        <is>
          <t>Coffret</t>
        </is>
      </c>
      <c r="G1428" s="2" t="inlineStr">
        <is>
          <t>Miscellaneous Cards &amp; Products</t>
        </is>
      </c>
      <c r="H1428" s="3" t="n"/>
      <c r="I1428" s="3" t="n">
        <v>359.98</v>
      </c>
      <c r="J1428" s="3" t="n">
        <v>439.98</v>
      </c>
      <c r="K1428" s="3" t="n">
        <v>399.95</v>
      </c>
      <c r="L1428" s="2" t="inlineStr">
        <is>
          <t>TCGplayer</t>
        </is>
      </c>
      <c r="N1428" s="4" t="inlineStr">
        <is>
          <t>https://www.tcgplayer.com/product/281993</t>
        </is>
      </c>
    </row>
    <row r="1429">
      <c r="A1429" s="2" t="inlineStr">
        <is>
          <t>Hop's Zacian ex Box</t>
        </is>
      </c>
      <c r="B1429" s="3">
        <f>IF(H1429&lt;&gt;"",H1429,IF(I1429&lt;&gt;"",I1429,IF(J1429&lt;&gt;"",J1429,K1429)))</f>
        <v>33.82</v>
      </c>
      <c r="C1429" s="3">
        <f>MEDIAN(H1429:K1429)</f>
        <v>33.82</v>
      </c>
      <c r="D1429" s="3">
        <f>ROUND(C1429*(1-Settings!$B$2),2)</f>
        <v>23.67</v>
      </c>
      <c r="E1429" s="2" t="inlineStr">
        <is>
          <t>Pokemon</t>
        </is>
      </c>
      <c r="F1429" s="2" t="inlineStr">
        <is>
          <t>Coffret</t>
        </is>
      </c>
      <c r="G1429" s="2" t="inlineStr">
        <is>
          <t>Miscellaneous Cards &amp; Products</t>
        </is>
      </c>
      <c r="H1429" s="3" t="n"/>
      <c r="I1429" s="3" t="n">
        <v>33.82</v>
      </c>
      <c r="J1429" s="3" t="n">
        <v>37.99</v>
      </c>
      <c r="K1429" s="3" t="n">
        <v>29.99</v>
      </c>
      <c r="L1429" s="2" t="inlineStr">
        <is>
          <t>TCGplayer</t>
        </is>
      </c>
      <c r="N1429" s="4" t="inlineStr">
        <is>
          <t>https://www.tcgplayer.com/product/616303</t>
        </is>
      </c>
    </row>
    <row r="1430">
      <c r="A1430" s="2" t="inlineStr">
        <is>
          <t>Houndstone ex Box</t>
        </is>
      </c>
      <c r="B1430" s="3">
        <f>IF(H1430&lt;&gt;"",H1430,IF(I1430&lt;&gt;"",I1430,IF(J1430&lt;&gt;"",J1430,K1430)))</f>
        <v>44.06</v>
      </c>
      <c r="C1430" s="3">
        <f>MEDIAN(H1430:K1430)</f>
        <v>44.06</v>
      </c>
      <c r="D1430" s="3">
        <f>ROUND(C1430*(1-Settings!$B$2),2)</f>
        <v>30.84</v>
      </c>
      <c r="E1430" s="2" t="inlineStr">
        <is>
          <t>Pokemon</t>
        </is>
      </c>
      <c r="F1430" s="2" t="inlineStr">
        <is>
          <t>Coffret</t>
        </is>
      </c>
      <c r="G1430" s="2" t="inlineStr">
        <is>
          <t>Miscellaneous Cards &amp; Products</t>
        </is>
      </c>
      <c r="H1430" s="3" t="n"/>
      <c r="I1430" s="3" t="n">
        <v>44.06</v>
      </c>
      <c r="J1430" s="3" t="n">
        <v>47.44</v>
      </c>
      <c r="K1430" s="3" t="n">
        <v>39.42</v>
      </c>
      <c r="L1430" s="2" t="inlineStr">
        <is>
          <t>TCGplayer</t>
        </is>
      </c>
      <c r="N1430" s="4" t="inlineStr">
        <is>
          <t>https://www.tcgplayer.com/product/561521</t>
        </is>
      </c>
    </row>
    <row r="1431">
      <c r="A1431" s="2" t="inlineStr">
        <is>
          <t>Hydreigon ex &amp; Dragapult ex Premium Collection</t>
        </is>
      </c>
      <c r="B1431" s="3">
        <f>IF(H1431&lt;&gt;"",H1431,IF(I1431&lt;&gt;"",I1431,IF(J1431&lt;&gt;"",J1431,K1431)))</f>
        <v>99.32</v>
      </c>
      <c r="C1431" s="3">
        <f>MEDIAN(H1431:K1431)</f>
        <v>99.99</v>
      </c>
      <c r="D1431" s="3">
        <f>ROUND(C1431*(1-Settings!$B$2),2)</f>
        <v>69.99</v>
      </c>
      <c r="E1431" s="2" t="inlineStr">
        <is>
          <t>Pokemon</t>
        </is>
      </c>
      <c r="F1431" s="2" t="inlineStr">
        <is>
          <t>Coffret</t>
        </is>
      </c>
      <c r="G1431" s="2" t="inlineStr">
        <is>
          <t>Miscellaneous Cards &amp; Products</t>
        </is>
      </c>
      <c r="H1431" s="3" t="n"/>
      <c r="I1431" s="3" t="n">
        <v>99.31999999999999</v>
      </c>
      <c r="J1431" s="3" t="n">
        <v>117.49</v>
      </c>
      <c r="K1431" s="3" t="n">
        <v>99.98999999999999</v>
      </c>
      <c r="L1431" s="2" t="inlineStr">
        <is>
          <t>TCGplayer</t>
        </is>
      </c>
      <c r="N1431" s="4" t="inlineStr">
        <is>
          <t>https://www.tcgplayer.com/product/653199</t>
        </is>
      </c>
    </row>
    <row r="1432">
      <c r="A1432" s="2" t="inlineStr">
        <is>
          <t>Incineroar ex and Torterra ex Special Collection</t>
        </is>
      </c>
      <c r="B1432" s="3">
        <f>IF(H1432&lt;&gt;"",H1432,IF(I1432&lt;&gt;"",I1432,IF(J1432&lt;&gt;"",J1432,K1432)))</f>
        <v>72.44</v>
      </c>
      <c r="C1432" s="3">
        <f>MEDIAN(H1432:K1432)</f>
        <v>72.44</v>
      </c>
      <c r="D1432" s="3">
        <f>ROUND(C1432*(1-Settings!$B$2),2)</f>
        <v>50.71</v>
      </c>
      <c r="E1432" s="2" t="inlineStr">
        <is>
          <t>Pokemon</t>
        </is>
      </c>
      <c r="F1432" s="2" t="inlineStr">
        <is>
          <t>Coffret</t>
        </is>
      </c>
      <c r="G1432" s="2" t="inlineStr">
        <is>
          <t>Miscellaneous Cards &amp; Products</t>
        </is>
      </c>
      <c r="H1432" s="3" t="n"/>
      <c r="I1432" s="3" t="n">
        <v>72.44</v>
      </c>
      <c r="J1432" s="3" t="n">
        <v>73.84</v>
      </c>
      <c r="K1432" s="3" t="n">
        <v>67</v>
      </c>
      <c r="L1432" s="2" t="inlineStr">
        <is>
          <t>TCGplayer</t>
        </is>
      </c>
      <c r="N1432" s="4" t="inlineStr">
        <is>
          <t>https://www.tcgplayer.com/product/664092</t>
        </is>
      </c>
    </row>
    <row r="1433">
      <c r="A1433" s="2" t="inlineStr">
        <is>
          <t>Infernape V Box</t>
        </is>
      </c>
      <c r="B1433" s="3">
        <f>IF(H1433&lt;&gt;"",H1433,IF(I1433&lt;&gt;"",I1433,IF(J1433&lt;&gt;"",J1433,K1433)))</f>
        <v>67.68</v>
      </c>
      <c r="C1433" s="3">
        <f>MEDIAN(H1433:K1433)</f>
        <v>75.0</v>
      </c>
      <c r="D1433" s="3">
        <f>ROUND(C1433*(1-Settings!$B$2),2)</f>
        <v>52.5</v>
      </c>
      <c r="E1433" s="2" t="inlineStr">
        <is>
          <t>Pokemon</t>
        </is>
      </c>
      <c r="F1433" s="2" t="inlineStr">
        <is>
          <t>Coffret</t>
        </is>
      </c>
      <c r="G1433" s="2" t="inlineStr">
        <is>
          <t>Miscellaneous Cards &amp; Products</t>
        </is>
      </c>
      <c r="H1433" s="3" t="n"/>
      <c r="I1433" s="3" t="n">
        <v>67.68000000000001</v>
      </c>
      <c r="J1433" s="3" t="n">
        <v>79.98999999999999</v>
      </c>
      <c r="K1433" s="3" t="n">
        <v>75</v>
      </c>
      <c r="L1433" s="2" t="inlineStr">
        <is>
          <t>TCGplayer</t>
        </is>
      </c>
      <c r="N1433" s="4" t="inlineStr">
        <is>
          <t>https://www.tcgplayer.com/product/277568</t>
        </is>
      </c>
    </row>
    <row r="1434">
      <c r="A1434" s="2" t="inlineStr">
        <is>
          <t>Iono Premium Tournament Collection Box</t>
        </is>
      </c>
      <c r="B1434" s="3">
        <f>IF(H1434&lt;&gt;"",H1434,IF(I1434&lt;&gt;"",I1434,IF(J1434&lt;&gt;"",J1434,K1434)))</f>
        <v>100.27</v>
      </c>
      <c r="C1434" s="3">
        <f>MEDIAN(H1434:K1434)</f>
        <v>100.27</v>
      </c>
      <c r="D1434" s="3">
        <f>ROUND(C1434*(1-Settings!$B$2),2)</f>
        <v>70.19</v>
      </c>
      <c r="E1434" s="2" t="inlineStr">
        <is>
          <t>Pokemon</t>
        </is>
      </c>
      <c r="F1434" s="2" t="inlineStr">
        <is>
          <t>Coffret</t>
        </is>
      </c>
      <c r="G1434" s="2" t="inlineStr">
        <is>
          <t>Miscellaneous Cards &amp; Products</t>
        </is>
      </c>
      <c r="H1434" s="3" t="n"/>
      <c r="I1434" s="3" t="n">
        <v>100.27</v>
      </c>
      <c r="J1434" s="3" t="n">
        <v>106.98</v>
      </c>
      <c r="K1434" s="3" t="n">
        <v>60</v>
      </c>
      <c r="L1434" s="2" t="inlineStr">
        <is>
          <t>TCGplayer</t>
        </is>
      </c>
      <c r="N1434" s="4" t="inlineStr">
        <is>
          <t>https://www.tcgplayer.com/product/545403</t>
        </is>
      </c>
    </row>
    <row r="1435">
      <c r="A1435" s="2" t="inlineStr">
        <is>
          <t>Iono’s Bellibolt ex Premium Collection</t>
        </is>
      </c>
      <c r="B1435" s="3">
        <f>IF(H1435&lt;&gt;"",H1435,IF(I1435&lt;&gt;"",I1435,IF(J1435&lt;&gt;"",J1435,K1435)))</f>
        <v>57.87</v>
      </c>
      <c r="C1435" s="3">
        <f>MEDIAN(H1435:K1435)</f>
        <v>57.87</v>
      </c>
      <c r="D1435" s="3">
        <f>ROUND(C1435*(1-Settings!$B$2),2)</f>
        <v>40.51</v>
      </c>
      <c r="E1435" s="2" t="inlineStr">
        <is>
          <t>Pokemon</t>
        </is>
      </c>
      <c r="F1435" s="2" t="inlineStr">
        <is>
          <t>Coffret</t>
        </is>
      </c>
      <c r="G1435" s="2" t="inlineStr">
        <is>
          <t>Miscellaneous Cards &amp; Products</t>
        </is>
      </c>
      <c r="H1435" s="3" t="n"/>
      <c r="I1435" s="3" t="n">
        <v>57.87</v>
      </c>
      <c r="J1435" s="3" t="n">
        <v>64.98999999999999</v>
      </c>
      <c r="K1435" s="3" t="n">
        <v>55</v>
      </c>
      <c r="L1435" s="2" t="inlineStr">
        <is>
          <t>TCGplayer</t>
        </is>
      </c>
      <c r="N1435" s="4" t="inlineStr">
        <is>
          <t>https://www.tcgplayer.com/product/616304</t>
        </is>
      </c>
    </row>
    <row r="1436">
      <c r="A1436" s="2" t="inlineStr">
        <is>
          <t>Iron Valiant ex Box</t>
        </is>
      </c>
      <c r="B1436" s="3">
        <f>IF(H1436&lt;&gt;"",H1436,IF(I1436&lt;&gt;"",I1436,IF(J1436&lt;&gt;"",J1436,K1436)))</f>
        <v>43.73</v>
      </c>
      <c r="C1436" s="3">
        <f>MEDIAN(H1436:K1436)</f>
        <v>49.99</v>
      </c>
      <c r="D1436" s="3">
        <f>ROUND(C1436*(1-Settings!$B$2),2)</f>
        <v>34.99</v>
      </c>
      <c r="E1436" s="2" t="inlineStr">
        <is>
          <t>Pokemon</t>
        </is>
      </c>
      <c r="F1436" s="2" t="inlineStr">
        <is>
          <t>Coffret</t>
        </is>
      </c>
      <c r="G1436" s="2" t="inlineStr">
        <is>
          <t>Miscellaneous Cards &amp; Products</t>
        </is>
      </c>
      <c r="H1436" s="3" t="n"/>
      <c r="I1436" s="3" t="n">
        <v>43.73</v>
      </c>
      <c r="J1436" s="3" t="n">
        <v>53.48</v>
      </c>
      <c r="K1436" s="3" t="n">
        <v>49.99</v>
      </c>
      <c r="L1436" s="2" t="inlineStr">
        <is>
          <t>TCGplayer</t>
        </is>
      </c>
      <c r="N1436" s="4" t="inlineStr">
        <is>
          <t>https://www.tcgplayer.com/product/516578</t>
        </is>
      </c>
    </row>
    <row r="1437">
      <c r="A1437" s="2" t="inlineStr">
        <is>
          <t>Jirachi GX Collection</t>
        </is>
      </c>
      <c r="B1437" s="3">
        <f>IF(H1437&lt;&gt;"",H1437,IF(I1437&lt;&gt;"",I1437,IF(J1437&lt;&gt;"",J1437,K1437)))</f>
        <v>300.0</v>
      </c>
      <c r="C1437" s="3">
        <f>MEDIAN(H1437:K1437)</f>
        <v>374.0</v>
      </c>
      <c r="D1437" s="3">
        <f>ROUND(C1437*(1-Settings!$B$2),2)</f>
        <v>261.8</v>
      </c>
      <c r="E1437" s="2" t="inlineStr">
        <is>
          <t>Pokemon</t>
        </is>
      </c>
      <c r="F1437" s="2" t="inlineStr">
        <is>
          <t>Coffret</t>
        </is>
      </c>
      <c r="G1437" s="2" t="inlineStr">
        <is>
          <t>Miscellaneous Cards &amp; Products</t>
        </is>
      </c>
      <c r="H1437" s="3" t="n"/>
      <c r="I1437" s="3" t="n">
        <v>300</v>
      </c>
      <c r="J1437" s="3" t="n">
        <v>399.5</v>
      </c>
      <c r="K1437" s="3" t="n">
        <v>374</v>
      </c>
      <c r="L1437" s="2" t="inlineStr">
        <is>
          <t>TCGplayer</t>
        </is>
      </c>
      <c r="N1437" s="4" t="inlineStr">
        <is>
          <t>https://www.tcgplayer.com/product/226133</t>
        </is>
      </c>
    </row>
    <row r="1438">
      <c r="A1438" s="2" t="inlineStr">
        <is>
          <t>Jirachi V Box</t>
        </is>
      </c>
      <c r="B1438" s="3">
        <f>IF(H1438&lt;&gt;"",H1438,IF(I1438&lt;&gt;"",I1438,IF(J1438&lt;&gt;"",J1438,K1438)))</f>
        <v>101.54</v>
      </c>
      <c r="C1438" s="3">
        <f>MEDIAN(H1438:K1438)</f>
        <v>161.99</v>
      </c>
      <c r="D1438" s="3">
        <f>ROUND(C1438*(1-Settings!$B$2),2)</f>
        <v>113.39</v>
      </c>
      <c r="E1438" s="2" t="inlineStr">
        <is>
          <t>Pokemon</t>
        </is>
      </c>
      <c r="F1438" s="2" t="inlineStr">
        <is>
          <t>Coffret</t>
        </is>
      </c>
      <c r="G1438" s="2" t="inlineStr">
        <is>
          <t>Miscellaneous Cards &amp; Products</t>
        </is>
      </c>
      <c r="H1438" s="3" t="n"/>
      <c r="I1438" s="3" t="n">
        <v>101.54</v>
      </c>
      <c r="J1438" s="3" t="n">
        <v>179.99</v>
      </c>
      <c r="K1438" s="3" t="n">
        <v>161.99</v>
      </c>
      <c r="L1438" s="2" t="inlineStr">
        <is>
          <t>TCGplayer</t>
        </is>
      </c>
      <c r="N1438" s="4" t="inlineStr">
        <is>
          <t>https://www.tcgplayer.com/product/583776</t>
        </is>
      </c>
    </row>
    <row r="1439">
      <c r="A1439" s="2" t="inlineStr">
        <is>
          <t>Jolteon VMAX Premium Collection</t>
        </is>
      </c>
      <c r="B1439" s="3">
        <f>IF(H1439&lt;&gt;"",H1439,IF(I1439&lt;&gt;"",I1439,IF(J1439&lt;&gt;"",J1439,K1439)))</f>
        <v>320.92</v>
      </c>
      <c r="C1439" s="3">
        <f>MEDIAN(H1439:K1439)</f>
        <v>320.92</v>
      </c>
      <c r="D1439" s="3">
        <f>ROUND(C1439*(1-Settings!$B$2),2)</f>
        <v>224.64</v>
      </c>
      <c r="E1439" s="2" t="inlineStr">
        <is>
          <t>Pokemon</t>
        </is>
      </c>
      <c r="F1439" s="2" t="inlineStr">
        <is>
          <t>Coffret</t>
        </is>
      </c>
      <c r="G1439" s="2" t="inlineStr">
        <is>
          <t>Miscellaneous Cards &amp; Products</t>
        </is>
      </c>
      <c r="H1439" s="3" t="n"/>
      <c r="I1439" s="3" t="n">
        <v>320.92</v>
      </c>
      <c r="J1439" s="3" t="n">
        <v>379</v>
      </c>
      <c r="K1439" s="3" t="n">
        <v>315</v>
      </c>
      <c r="L1439" s="2" t="inlineStr">
        <is>
          <t>TCGplayer</t>
        </is>
      </c>
      <c r="N1439" s="4" t="inlineStr">
        <is>
          <t>https://www.tcgplayer.com/product/249693</t>
        </is>
      </c>
    </row>
    <row r="1440">
      <c r="A1440" s="2" t="inlineStr">
        <is>
          <t>Kanto Friends Mini Tin [Bulbasaur]</t>
        </is>
      </c>
      <c r="B1440" s="3">
        <f>IF(H1440&lt;&gt;"",H1440,IF(I1440&lt;&gt;"",I1440,IF(J1440&lt;&gt;"",J1440,K1440)))</f>
        <v>35.0</v>
      </c>
      <c r="C1440" s="3">
        <f>MEDIAN(H1440:K1440)</f>
        <v>39.99</v>
      </c>
      <c r="D1440" s="3">
        <f>ROUND(C1440*(1-Settings!$B$2),2)</f>
        <v>27.99</v>
      </c>
      <c r="E1440" s="2" t="inlineStr">
        <is>
          <t>Pokemon</t>
        </is>
      </c>
      <c r="F1440" s="2" t="inlineStr">
        <is>
          <t>Coffret</t>
        </is>
      </c>
      <c r="G1440" s="2" t="inlineStr">
        <is>
          <t>Miscellaneous Cards &amp; Products</t>
        </is>
      </c>
      <c r="H1440" s="3" t="n"/>
      <c r="I1440" s="3" t="n">
        <v>35</v>
      </c>
      <c r="J1440" s="3" t="n">
        <v>39.99</v>
      </c>
      <c r="K1440" s="3" t="n">
        <v>39.99</v>
      </c>
      <c r="L1440" s="2" t="inlineStr">
        <is>
          <t>TCGplayer</t>
        </is>
      </c>
      <c r="N1440" s="4" t="inlineStr">
        <is>
          <t>https://www.tcgplayer.com/product/185261</t>
        </is>
      </c>
    </row>
    <row r="1441">
      <c r="A1441" s="2" t="inlineStr">
        <is>
          <t>Kanto Friends Mini Tin [Charmander]</t>
        </is>
      </c>
      <c r="B1441" s="3">
        <f>IF(H1441&lt;&gt;"",H1441,IF(I1441&lt;&gt;"",I1441,IF(J1441&lt;&gt;"",J1441,K1441)))</f>
        <v>31.03</v>
      </c>
      <c r="C1441" s="3">
        <f>MEDIAN(H1441:K1441)</f>
        <v>34.99</v>
      </c>
      <c r="D1441" s="3">
        <f>ROUND(C1441*(1-Settings!$B$2),2)</f>
        <v>24.49</v>
      </c>
      <c r="E1441" s="2" t="inlineStr">
        <is>
          <t>Pokemon</t>
        </is>
      </c>
      <c r="F1441" s="2" t="inlineStr">
        <is>
          <t>Coffret</t>
        </is>
      </c>
      <c r="G1441" s="2" t="inlineStr">
        <is>
          <t>Miscellaneous Cards &amp; Products</t>
        </is>
      </c>
      <c r="H1441" s="3" t="n"/>
      <c r="I1441" s="3" t="n">
        <v>31.03</v>
      </c>
      <c r="J1441" s="3" t="n">
        <v>34.99</v>
      </c>
      <c r="K1441" s="3" t="n">
        <v>34.99</v>
      </c>
      <c r="L1441" s="2" t="inlineStr">
        <is>
          <t>TCGplayer</t>
        </is>
      </c>
      <c r="N1441" s="4" t="inlineStr">
        <is>
          <t>https://www.tcgplayer.com/product/185264</t>
        </is>
      </c>
    </row>
    <row r="1442">
      <c r="A1442" s="2" t="inlineStr">
        <is>
          <t>Kanto Friends Mini Tin [Eevee]</t>
        </is>
      </c>
      <c r="B1442" s="3">
        <f>IF(H1442&lt;&gt;"",H1442,IF(I1442&lt;&gt;"",I1442,IF(J1442&lt;&gt;"",J1442,K1442)))</f>
        <v>30.05</v>
      </c>
      <c r="C1442" s="3">
        <f>MEDIAN(H1442:K1442)</f>
        <v>34.99</v>
      </c>
      <c r="D1442" s="3">
        <f>ROUND(C1442*(1-Settings!$B$2),2)</f>
        <v>24.49</v>
      </c>
      <c r="E1442" s="2" t="inlineStr">
        <is>
          <t>Pokemon</t>
        </is>
      </c>
      <c r="F1442" s="2" t="inlineStr">
        <is>
          <t>Coffret</t>
        </is>
      </c>
      <c r="G1442" s="2" t="inlineStr">
        <is>
          <t>Miscellaneous Cards &amp; Products</t>
        </is>
      </c>
      <c r="H1442" s="3" t="n"/>
      <c r="I1442" s="3" t="n">
        <v>30.05</v>
      </c>
      <c r="J1442" s="3" t="n">
        <v>42.49</v>
      </c>
      <c r="K1442" s="3" t="n">
        <v>34.99</v>
      </c>
      <c r="L1442" s="2" t="inlineStr">
        <is>
          <t>TCGplayer</t>
        </is>
      </c>
      <c r="N1442" s="4" t="inlineStr">
        <is>
          <t>https://www.tcgplayer.com/product/185263</t>
        </is>
      </c>
    </row>
    <row r="1443">
      <c r="A1443" s="2" t="inlineStr">
        <is>
          <t>Kanto Friends Mini Tin [Pikachu]</t>
        </is>
      </c>
      <c r="B1443" s="3">
        <f>IF(H1443&lt;&gt;"",H1443,IF(I1443&lt;&gt;"",I1443,IF(J1443&lt;&gt;"",J1443,K1443)))</f>
        <v>29.36</v>
      </c>
      <c r="C1443" s="3">
        <f>MEDIAN(H1443:K1443)</f>
        <v>34.97</v>
      </c>
      <c r="D1443" s="3">
        <f>ROUND(C1443*(1-Settings!$B$2),2)</f>
        <v>24.48</v>
      </c>
      <c r="E1443" s="2" t="inlineStr">
        <is>
          <t>Pokemon</t>
        </is>
      </c>
      <c r="F1443" s="2" t="inlineStr">
        <is>
          <t>Coffret</t>
        </is>
      </c>
      <c r="G1443" s="2" t="inlineStr">
        <is>
          <t>Miscellaneous Cards &amp; Products</t>
        </is>
      </c>
      <c r="H1443" s="3" t="n"/>
      <c r="I1443" s="3" t="n">
        <v>29.36</v>
      </c>
      <c r="J1443" s="3" t="n">
        <v>34.98</v>
      </c>
      <c r="K1443" s="3" t="n">
        <v>34.97</v>
      </c>
      <c r="L1443" s="2" t="inlineStr">
        <is>
          <t>TCGplayer</t>
        </is>
      </c>
      <c r="N1443" s="4" t="inlineStr">
        <is>
          <t>https://www.tcgplayer.com/product/185262</t>
        </is>
      </c>
    </row>
    <row r="1444">
      <c r="A1444" s="2" t="inlineStr">
        <is>
          <t>Kanto Friends Mini Tin [Set of 5]</t>
        </is>
      </c>
      <c r="B1444" s="3">
        <f>IF(H1444&lt;&gt;"",H1444,IF(I1444&lt;&gt;"",I1444,IF(J1444&lt;&gt;"",J1444,K1444)))</f>
        <v>197.47</v>
      </c>
      <c r="C1444" s="3">
        <f>MEDIAN(H1444:K1444)</f>
        <v>192.49</v>
      </c>
      <c r="D1444" s="3">
        <f>ROUND(C1444*(1-Settings!$B$2),2)</f>
        <v>134.74</v>
      </c>
      <c r="E1444" s="2" t="inlineStr">
        <is>
          <t>Pokemon</t>
        </is>
      </c>
      <c r="F1444" s="2" t="inlineStr">
        <is>
          <t>Coffret</t>
        </is>
      </c>
      <c r="G1444" s="2" t="inlineStr">
        <is>
          <t>Miscellaneous Cards &amp; Products</t>
        </is>
      </c>
      <c r="H1444" s="3" t="n"/>
      <c r="I1444" s="3" t="n">
        <v>197.47</v>
      </c>
      <c r="J1444" s="3" t="n">
        <v>192.49</v>
      </c>
      <c r="K1444" s="3" t="n">
        <v>175</v>
      </c>
      <c r="L1444" s="2" t="inlineStr">
        <is>
          <t>TCGplayer</t>
        </is>
      </c>
      <c r="N1444" s="4" t="inlineStr">
        <is>
          <t>https://www.tcgplayer.com/product/550688</t>
        </is>
      </c>
    </row>
    <row r="1445">
      <c r="A1445" s="2" t="inlineStr">
        <is>
          <t>Kanto Friends Mini Tin [Squirtle]</t>
        </is>
      </c>
      <c r="B1445" s="3">
        <f>IF(H1445&lt;&gt;"",H1445,IF(I1445&lt;&gt;"",I1445,IF(J1445&lt;&gt;"",J1445,K1445)))</f>
        <v>36.55</v>
      </c>
      <c r="C1445" s="3">
        <f>MEDIAN(H1445:K1445)</f>
        <v>36.55</v>
      </c>
      <c r="D1445" s="3">
        <f>ROUND(C1445*(1-Settings!$B$2),2)</f>
        <v>25.59</v>
      </c>
      <c r="E1445" s="2" t="inlineStr">
        <is>
          <t>Pokemon</t>
        </is>
      </c>
      <c r="F1445" s="2" t="inlineStr">
        <is>
          <t>Coffret</t>
        </is>
      </c>
      <c r="G1445" s="2" t="inlineStr">
        <is>
          <t>Miscellaneous Cards &amp; Products</t>
        </is>
      </c>
      <c r="H1445" s="3" t="n"/>
      <c r="I1445" s="3" t="n">
        <v>36.55</v>
      </c>
      <c r="J1445" s="3" t="n">
        <v>36.99</v>
      </c>
      <c r="K1445" s="3" t="n">
        <v>36.09</v>
      </c>
      <c r="L1445" s="2" t="inlineStr">
        <is>
          <t>TCGplayer</t>
        </is>
      </c>
      <c r="N1445" s="4" t="inlineStr">
        <is>
          <t>https://www.tcgplayer.com/product/185265</t>
        </is>
      </c>
    </row>
    <row r="1446">
      <c r="A1446" s="2" t="inlineStr">
        <is>
          <t>Kanto Friends Mini Tins 5-Pack</t>
        </is>
      </c>
      <c r="B1446" s="3">
        <f>IF(H1446&lt;&gt;"",H1446,IF(I1446&lt;&gt;"",I1446,IF(J1446&lt;&gt;"",J1446,K1446)))</f>
        <v>298.86</v>
      </c>
      <c r="C1446" s="3">
        <f>MEDIAN(H1446:K1446)</f>
        <v>460.0</v>
      </c>
      <c r="D1446" s="3">
        <f>ROUND(C1446*(1-Settings!$B$2),2)</f>
        <v>322.0</v>
      </c>
      <c r="E1446" s="2" t="inlineStr">
        <is>
          <t>Pokemon</t>
        </is>
      </c>
      <c r="F1446" s="2" t="inlineStr">
        <is>
          <t>Coffret</t>
        </is>
      </c>
      <c r="G1446" s="2" t="inlineStr">
        <is>
          <t>Miscellaneous Cards &amp; Products</t>
        </is>
      </c>
      <c r="H1446" s="3" t="n"/>
      <c r="I1446" s="3" t="n">
        <v>298.86</v>
      </c>
      <c r="J1446" s="3" t="n">
        <v>460</v>
      </c>
      <c r="K1446" s="3" t="n">
        <v>460</v>
      </c>
      <c r="L1446" s="2" t="inlineStr">
        <is>
          <t>TCGplayer</t>
        </is>
      </c>
      <c r="N1446" s="4" t="inlineStr">
        <is>
          <t>https://www.tcgplayer.com/product/253839</t>
        </is>
      </c>
    </row>
    <row r="1447">
      <c r="A1447" s="2" t="inlineStr">
        <is>
          <t>Kanto Power Mini Tin [Charizard]</t>
        </is>
      </c>
      <c r="B1447" s="3">
        <f>IF(H1447&lt;&gt;"",H1447,IF(I1447&lt;&gt;"",I1447,IF(J1447&lt;&gt;"",J1447,K1447)))</f>
        <v>39.32</v>
      </c>
      <c r="C1447" s="3">
        <f>MEDIAN(H1447:K1447)</f>
        <v>51.67</v>
      </c>
      <c r="D1447" s="3">
        <f>ROUND(C1447*(1-Settings!$B$2),2)</f>
        <v>36.17</v>
      </c>
      <c r="E1447" s="2" t="inlineStr">
        <is>
          <t>Pokemon</t>
        </is>
      </c>
      <c r="F1447" s="2" t="inlineStr">
        <is>
          <t>Coffret</t>
        </is>
      </c>
      <c r="G1447" s="2" t="inlineStr">
        <is>
          <t>Miscellaneous Cards &amp; Products</t>
        </is>
      </c>
      <c r="H1447" s="3" t="n"/>
      <c r="I1447" s="3" t="n">
        <v>39.32</v>
      </c>
      <c r="J1447" s="3" t="n">
        <v>52.08</v>
      </c>
      <c r="K1447" s="3" t="n">
        <v>51.67</v>
      </c>
      <c r="L1447" s="2" t="inlineStr">
        <is>
          <t>TCGplayer</t>
        </is>
      </c>
      <c r="N1447" s="4" t="inlineStr">
        <is>
          <t>https://www.tcgplayer.com/product/198431</t>
        </is>
      </c>
    </row>
    <row r="1448">
      <c r="A1448" s="2" t="inlineStr">
        <is>
          <t>Kanto Power Mini Tin [Dragonite]</t>
        </is>
      </c>
      <c r="B1448" s="3">
        <f>IF(H1448&lt;&gt;"",H1448,IF(I1448&lt;&gt;"",I1448,IF(J1448&lt;&gt;"",J1448,K1448)))</f>
        <v>36.33</v>
      </c>
      <c r="C1448" s="3">
        <f>MEDIAN(H1448:K1448)</f>
        <v>36.33</v>
      </c>
      <c r="D1448" s="3">
        <f>ROUND(C1448*(1-Settings!$B$2),2)</f>
        <v>25.43</v>
      </c>
      <c r="E1448" s="2" t="inlineStr">
        <is>
          <t>Pokemon</t>
        </is>
      </c>
      <c r="F1448" s="2" t="inlineStr">
        <is>
          <t>Coffret</t>
        </is>
      </c>
      <c r="G1448" s="2" t="inlineStr">
        <is>
          <t>Miscellaneous Cards &amp; Products</t>
        </is>
      </c>
      <c r="H1448" s="3" t="n"/>
      <c r="I1448" s="3" t="n">
        <v>36.33</v>
      </c>
      <c r="J1448" s="3" t="n">
        <v>42.53</v>
      </c>
      <c r="K1448" s="3" t="n">
        <v>15</v>
      </c>
      <c r="L1448" s="2" t="inlineStr">
        <is>
          <t>TCGplayer</t>
        </is>
      </c>
      <c r="N1448" s="4" t="inlineStr">
        <is>
          <t>https://www.tcgplayer.com/product/198434</t>
        </is>
      </c>
    </row>
    <row r="1449">
      <c r="A1449" s="2" t="inlineStr">
        <is>
          <t>Kanto Power Mini Tin [Mew]</t>
        </is>
      </c>
      <c r="B1449" s="3">
        <f>IF(H1449&lt;&gt;"",H1449,IF(I1449&lt;&gt;"",I1449,IF(J1449&lt;&gt;"",J1449,K1449)))</f>
        <v>39.38</v>
      </c>
      <c r="C1449" s="3">
        <f>MEDIAN(H1449:K1449)</f>
        <v>39.38</v>
      </c>
      <c r="D1449" s="3">
        <f>ROUND(C1449*(1-Settings!$B$2),2)</f>
        <v>27.57</v>
      </c>
      <c r="E1449" s="2" t="inlineStr">
        <is>
          <t>Pokemon</t>
        </is>
      </c>
      <c r="F1449" s="2" t="inlineStr">
        <is>
          <t>Coffret</t>
        </is>
      </c>
      <c r="G1449" s="2" t="inlineStr">
        <is>
          <t>Miscellaneous Cards &amp; Products</t>
        </is>
      </c>
      <c r="H1449" s="3" t="n"/>
      <c r="I1449" s="3" t="n">
        <v>39.38</v>
      </c>
      <c r="J1449" s="3" t="n">
        <v>52.49</v>
      </c>
      <c r="K1449" s="3" t="n">
        <v>15</v>
      </c>
      <c r="L1449" s="2" t="inlineStr">
        <is>
          <t>TCGplayer</t>
        </is>
      </c>
      <c r="N1449" s="4" t="inlineStr">
        <is>
          <t>https://www.tcgplayer.com/product/198437</t>
        </is>
      </c>
    </row>
    <row r="1450">
      <c r="A1450" s="2" t="inlineStr">
        <is>
          <t>Kanto Power Mini Tin [Mewtwo]</t>
        </is>
      </c>
      <c r="B1450" s="3">
        <f>IF(H1450&lt;&gt;"",H1450,IF(I1450&lt;&gt;"",I1450,IF(J1450&lt;&gt;"",J1450,K1450)))</f>
        <v>32.98</v>
      </c>
      <c r="C1450" s="3">
        <f>MEDIAN(H1450:K1450)</f>
        <v>32.98</v>
      </c>
      <c r="D1450" s="3">
        <f>ROUND(C1450*(1-Settings!$B$2),2)</f>
        <v>23.09</v>
      </c>
      <c r="E1450" s="2" t="inlineStr">
        <is>
          <t>Pokemon</t>
        </is>
      </c>
      <c r="F1450" s="2" t="inlineStr">
        <is>
          <t>Coffret</t>
        </is>
      </c>
      <c r="G1450" s="2" t="inlineStr">
        <is>
          <t>Miscellaneous Cards &amp; Products</t>
        </is>
      </c>
      <c r="H1450" s="3" t="n"/>
      <c r="I1450" s="3" t="n">
        <v>32.98</v>
      </c>
      <c r="J1450" s="3" t="n">
        <v>42.53</v>
      </c>
      <c r="K1450" s="3" t="n">
        <v>15</v>
      </c>
      <c r="L1450" s="2" t="inlineStr">
        <is>
          <t>TCGplayer</t>
        </is>
      </c>
      <c r="N1450" s="4" t="inlineStr">
        <is>
          <t>https://www.tcgplayer.com/product/198438</t>
        </is>
      </c>
    </row>
    <row r="1451">
      <c r="A1451" s="2" t="inlineStr">
        <is>
          <t>Kanto Power Mini Tin [Vulpix]</t>
        </is>
      </c>
      <c r="B1451" s="3">
        <f>IF(H1451&lt;&gt;"",H1451,IF(I1451&lt;&gt;"",I1451,IF(J1451&lt;&gt;"",J1451,K1451)))</f>
        <v>33.18</v>
      </c>
      <c r="C1451" s="3">
        <f>MEDIAN(H1451:K1451)</f>
        <v>33.18</v>
      </c>
      <c r="D1451" s="3">
        <f>ROUND(C1451*(1-Settings!$B$2),2)</f>
        <v>23.23</v>
      </c>
      <c r="E1451" s="2" t="inlineStr">
        <is>
          <t>Pokemon</t>
        </is>
      </c>
      <c r="F1451" s="2" t="inlineStr">
        <is>
          <t>Coffret</t>
        </is>
      </c>
      <c r="G1451" s="2" t="inlineStr">
        <is>
          <t>Miscellaneous Cards &amp; Products</t>
        </is>
      </c>
      <c r="H1451" s="3" t="n"/>
      <c r="I1451" s="3" t="n">
        <v>33.18</v>
      </c>
      <c r="J1451" s="3" t="n">
        <v>39.49</v>
      </c>
      <c r="K1451" s="3" t="n">
        <v>15</v>
      </c>
      <c r="L1451" s="2" t="inlineStr">
        <is>
          <t>TCGplayer</t>
        </is>
      </c>
      <c r="N1451" s="4" t="inlineStr">
        <is>
          <t>https://www.tcgplayer.com/product/198439</t>
        </is>
      </c>
    </row>
    <row r="1452">
      <c r="A1452" s="2" t="inlineStr">
        <is>
          <t>Klara Premium Tournament Collection Box</t>
        </is>
      </c>
      <c r="B1452" s="3">
        <f>IF(H1452&lt;&gt;"",H1452,IF(I1452&lt;&gt;"",I1452,IF(J1452&lt;&gt;"",J1452,K1452)))</f>
        <v>88.51</v>
      </c>
      <c r="C1452" s="3">
        <f>MEDIAN(H1452:K1452)</f>
        <v>99.97</v>
      </c>
      <c r="D1452" s="3">
        <f>ROUND(C1452*(1-Settings!$B$2),2)</f>
        <v>69.98</v>
      </c>
      <c r="E1452" s="2" t="inlineStr">
        <is>
          <t>Pokemon</t>
        </is>
      </c>
      <c r="F1452" s="2" t="inlineStr">
        <is>
          <t>Coffret</t>
        </is>
      </c>
      <c r="G1452" s="2" t="inlineStr">
        <is>
          <t>Miscellaneous Cards &amp; Products</t>
        </is>
      </c>
      <c r="H1452" s="3" t="n"/>
      <c r="I1452" s="3" t="n">
        <v>88.51000000000001</v>
      </c>
      <c r="J1452" s="3" t="n">
        <v>104.99</v>
      </c>
      <c r="K1452" s="3" t="n">
        <v>99.97</v>
      </c>
      <c r="L1452" s="2" t="inlineStr">
        <is>
          <t>TCGplayer</t>
        </is>
      </c>
      <c r="N1452" s="4" t="inlineStr">
        <is>
          <t>https://www.tcgplayer.com/product/477284</t>
        </is>
      </c>
    </row>
    <row r="1453">
      <c r="A1453" s="2" t="inlineStr">
        <is>
          <t>Kleavor VSTAR Premium Collection</t>
        </is>
      </c>
      <c r="B1453" s="3">
        <f>IF(H1453&lt;&gt;"",H1453,IF(I1453&lt;&gt;"",I1453,IF(J1453&lt;&gt;"",J1453,K1453)))</f>
        <v>89.11</v>
      </c>
      <c r="C1453" s="3">
        <f>MEDIAN(H1453:K1453)</f>
        <v>89.11</v>
      </c>
      <c r="D1453" s="3">
        <f>ROUND(C1453*(1-Settings!$B$2),2)</f>
        <v>62.38</v>
      </c>
      <c r="E1453" s="2" t="inlineStr">
        <is>
          <t>Pokemon</t>
        </is>
      </c>
      <c r="F1453" s="2" t="inlineStr">
        <is>
          <t>Coffret</t>
        </is>
      </c>
      <c r="G1453" s="2" t="inlineStr">
        <is>
          <t>Miscellaneous Cards &amp; Products</t>
        </is>
      </c>
      <c r="H1453" s="3" t="n"/>
      <c r="I1453" s="3" t="n">
        <v>89.11</v>
      </c>
      <c r="J1453" s="3" t="n">
        <v>92.98999999999999</v>
      </c>
      <c r="K1453" s="3" t="n">
        <v>88</v>
      </c>
      <c r="L1453" s="2" t="inlineStr">
        <is>
          <t>TCGplayer</t>
        </is>
      </c>
      <c r="N1453" s="4" t="inlineStr">
        <is>
          <t>https://www.tcgplayer.com/product/270478</t>
        </is>
      </c>
    </row>
    <row r="1454">
      <c r="A1454" s="2" t="inlineStr">
        <is>
          <t>Kleavor VSTAR Premium Collection (International)</t>
        </is>
      </c>
      <c r="B1454" s="3">
        <f>IF(H1454&lt;&gt;"",H1454,IF(I1454&lt;&gt;"",I1454,IF(J1454&lt;&gt;"",J1454,K1454)))</f>
        <v>70.33</v>
      </c>
      <c r="C1454" s="3">
        <f>MEDIAN(H1454:K1454)</f>
        <v>75.0</v>
      </c>
      <c r="D1454" s="3">
        <f>ROUND(C1454*(1-Settings!$B$2),2)</f>
        <v>52.5</v>
      </c>
      <c r="E1454" s="2" t="inlineStr">
        <is>
          <t>Pokemon</t>
        </is>
      </c>
      <c r="F1454" s="2" t="inlineStr">
        <is>
          <t>Coffret</t>
        </is>
      </c>
      <c r="G1454" s="2" t="inlineStr">
        <is>
          <t>Miscellaneous Cards &amp; Products</t>
        </is>
      </c>
      <c r="H1454" s="3" t="n"/>
      <c r="I1454" s="3" t="n">
        <v>70.33</v>
      </c>
      <c r="J1454" s="3" t="n">
        <v>84.98999999999999</v>
      </c>
      <c r="K1454" s="3" t="n">
        <v>75</v>
      </c>
      <c r="L1454" s="2" t="inlineStr">
        <is>
          <t>TCGplayer</t>
        </is>
      </c>
      <c r="N1454" s="4" t="inlineStr">
        <is>
          <t>https://www.tcgplayer.com/product/637464</t>
        </is>
      </c>
    </row>
    <row r="1455">
      <c r="A1455" s="2" t="inlineStr">
        <is>
          <t>Kleavor VSTAR Special Collection</t>
        </is>
      </c>
      <c r="B1455" s="3">
        <f>IF(H1455&lt;&gt;"",H1455,IF(I1455&lt;&gt;"",I1455,IF(J1455&lt;&gt;"",J1455,K1455)))</f>
        <v>63.84</v>
      </c>
      <c r="C1455" s="3">
        <f>MEDIAN(H1455:K1455)</f>
        <v>69.69</v>
      </c>
      <c r="D1455" s="3">
        <f>ROUND(C1455*(1-Settings!$B$2),2)</f>
        <v>48.78</v>
      </c>
      <c r="E1455" s="2" t="inlineStr">
        <is>
          <t>Pokemon</t>
        </is>
      </c>
      <c r="F1455" s="2" t="inlineStr">
        <is>
          <t>Coffret</t>
        </is>
      </c>
      <c r="G1455" s="2" t="inlineStr">
        <is>
          <t>Miscellaneous Cards &amp; Products</t>
        </is>
      </c>
      <c r="H1455" s="3" t="n"/>
      <c r="I1455" s="3" t="n">
        <v>63.84</v>
      </c>
      <c r="J1455" s="3" t="n">
        <v>75</v>
      </c>
      <c r="K1455" s="3" t="n">
        <v>69.69</v>
      </c>
      <c r="L1455" s="2" t="inlineStr">
        <is>
          <t>TCGplayer</t>
        </is>
      </c>
      <c r="N1455" s="4" t="inlineStr">
        <is>
          <t>https://www.tcgplayer.com/product/532560</t>
        </is>
      </c>
    </row>
    <row r="1456">
      <c r="A1456" s="2" t="inlineStr">
        <is>
          <t>Knock Out Collection [Alakazam]</t>
        </is>
      </c>
      <c r="B1456" s="3">
        <f>IF(H1456&lt;&gt;"",H1456,IF(I1456&lt;&gt;"",I1456,IF(J1456&lt;&gt;"",J1456,K1456)))</f>
        <v>23.12</v>
      </c>
      <c r="C1456" s="3">
        <f>MEDIAN(H1456:K1456)</f>
        <v>75.0</v>
      </c>
      <c r="D1456" s="3">
        <f>ROUND(C1456*(1-Settings!$B$2),2)</f>
        <v>52.5</v>
      </c>
      <c r="E1456" s="2" t="inlineStr">
        <is>
          <t>Pokemon</t>
        </is>
      </c>
      <c r="F1456" s="2" t="inlineStr">
        <is>
          <t>Coffret</t>
        </is>
      </c>
      <c r="G1456" s="2" t="inlineStr">
        <is>
          <t>Miscellaneous Cards &amp; Products</t>
        </is>
      </c>
      <c r="H1456" s="3" t="n"/>
      <c r="I1456" s="3" t="n">
        <v>23.12</v>
      </c>
      <c r="J1456" s="3" t="n">
        <v>75</v>
      </c>
      <c r="K1456" s="3" t="n">
        <v>75</v>
      </c>
      <c r="L1456" s="2" t="inlineStr">
        <is>
          <t>TCGplayer</t>
        </is>
      </c>
      <c r="N1456" s="4" t="inlineStr">
        <is>
          <t>https://www.tcgplayer.com/product/628493</t>
        </is>
      </c>
    </row>
    <row r="1457">
      <c r="A1457" s="2" t="inlineStr">
        <is>
          <t>Knock Out Collection [Boltund, Eiscue, Galarian Sirfetch'd]</t>
        </is>
      </c>
      <c r="B1457" s="3">
        <f>IF(H1457&lt;&gt;"",H1457,IF(I1457&lt;&gt;"",I1457,IF(J1457&lt;&gt;"",J1457,K1457)))</f>
        <v>32.49</v>
      </c>
      <c r="C1457" s="3">
        <f>MEDIAN(H1457:K1457)</f>
        <v>35.0</v>
      </c>
      <c r="D1457" s="3">
        <f>ROUND(C1457*(1-Settings!$B$2),2)</f>
        <v>24.5</v>
      </c>
      <c r="E1457" s="2" t="inlineStr">
        <is>
          <t>Pokemon</t>
        </is>
      </c>
      <c r="F1457" s="2" t="inlineStr">
        <is>
          <t>Coffret</t>
        </is>
      </c>
      <c r="G1457" s="2" t="inlineStr">
        <is>
          <t>Miscellaneous Cards &amp; Products</t>
        </is>
      </c>
      <c r="H1457" s="3" t="n"/>
      <c r="I1457" s="3" t="n">
        <v>32.49</v>
      </c>
      <c r="J1457" s="3" t="n">
        <v>40</v>
      </c>
      <c r="K1457" s="3" t="n">
        <v>35</v>
      </c>
      <c r="L1457" s="2" t="inlineStr">
        <is>
          <t>TCGplayer</t>
        </is>
      </c>
      <c r="N1457" s="4" t="inlineStr">
        <is>
          <t>https://www.tcgplayer.com/product/264422</t>
        </is>
      </c>
    </row>
    <row r="1458">
      <c r="A1458" s="2" t="inlineStr">
        <is>
          <t>Knock Out Collection [Chien-Pao]</t>
        </is>
      </c>
      <c r="B1458" s="3">
        <f>IF(H1458&lt;&gt;"",H1458,IF(I1458&lt;&gt;"",I1458,IF(J1458&lt;&gt;"",J1458,K1458)))</f>
        <v>22.53</v>
      </c>
      <c r="C1458" s="3">
        <f>MEDIAN(H1458:K1458)</f>
        <v>41.0</v>
      </c>
      <c r="D1458" s="3">
        <f>ROUND(C1458*(1-Settings!$B$2),2)</f>
        <v>28.7</v>
      </c>
      <c r="E1458" s="2" t="inlineStr">
        <is>
          <t>Pokemon</t>
        </is>
      </c>
      <c r="F1458" s="2" t="inlineStr">
        <is>
          <t>Coffret</t>
        </is>
      </c>
      <c r="G1458" s="2" t="inlineStr">
        <is>
          <t>Miscellaneous Cards &amp; Products</t>
        </is>
      </c>
      <c r="H1458" s="3" t="n"/>
      <c r="I1458" s="3" t="n">
        <v>22.53</v>
      </c>
      <c r="J1458" s="3" t="n">
        <v>58</v>
      </c>
      <c r="K1458" s="3" t="n">
        <v>41</v>
      </c>
      <c r="L1458" s="2" t="inlineStr">
        <is>
          <t>TCGplayer</t>
        </is>
      </c>
      <c r="N1458" s="4" t="inlineStr">
        <is>
          <t>https://www.tcgplayer.com/product/628494</t>
        </is>
      </c>
    </row>
    <row r="1459">
      <c r="A1459" s="2" t="inlineStr">
        <is>
          <t>Knock Out Collection [Galarian Slowking, Galarian Obstagoon, and Dragapult]</t>
        </is>
      </c>
      <c r="B1459" s="3">
        <f>IF(H1459&lt;&gt;"",H1459,IF(I1459&lt;&gt;"",I1459,IF(J1459&lt;&gt;"",J1459,K1459)))</f>
        <v>32.99</v>
      </c>
      <c r="C1459" s="3">
        <f>MEDIAN(H1459:K1459)</f>
        <v>32.99</v>
      </c>
      <c r="D1459" s="3">
        <f>ROUND(C1459*(1-Settings!$B$2),2)</f>
        <v>23.09</v>
      </c>
      <c r="E1459" s="2" t="inlineStr">
        <is>
          <t>Pokemon</t>
        </is>
      </c>
      <c r="F1459" s="2" t="inlineStr">
        <is>
          <t>Coffret</t>
        </is>
      </c>
      <c r="G1459" s="2" t="inlineStr">
        <is>
          <t>Miscellaneous Cards &amp; Products</t>
        </is>
      </c>
      <c r="H1459" s="3" t="n"/>
      <c r="I1459" s="3" t="n">
        <v>32.99</v>
      </c>
      <c r="J1459" s="3" t="n"/>
      <c r="K1459" s="3" t="n"/>
      <c r="L1459" s="2" t="inlineStr">
        <is>
          <t>TCGplayer</t>
        </is>
      </c>
      <c r="N1459" s="4" t="inlineStr">
        <is>
          <t>https://www.tcgplayer.com/product/477475</t>
        </is>
      </c>
    </row>
    <row r="1460">
      <c r="A1460" s="2" t="inlineStr">
        <is>
          <t>Knock Out Collection [Iron Jugulis]</t>
        </is>
      </c>
      <c r="B1460" s="3">
        <f>IF(H1460&lt;&gt;"",H1460,IF(I1460&lt;&gt;"",I1460,IF(J1460&lt;&gt;"",J1460,K1460)))</f>
        <v>24.65</v>
      </c>
      <c r="C1460" s="3">
        <f>MEDIAN(H1460:K1460)</f>
        <v>29.98</v>
      </c>
      <c r="D1460" s="3">
        <f>ROUND(C1460*(1-Settings!$B$2),2)</f>
        <v>20.99</v>
      </c>
      <c r="E1460" s="2" t="inlineStr">
        <is>
          <t>Pokemon</t>
        </is>
      </c>
      <c r="F1460" s="2" t="inlineStr">
        <is>
          <t>Coffret</t>
        </is>
      </c>
      <c r="G1460" s="2" t="inlineStr">
        <is>
          <t>Miscellaneous Cards &amp; Products</t>
        </is>
      </c>
      <c r="H1460" s="3" t="n"/>
      <c r="I1460" s="3" t="n">
        <v>24.65</v>
      </c>
      <c r="J1460" s="3" t="n">
        <v>29.98</v>
      </c>
      <c r="K1460" s="3" t="n">
        <v>29.98</v>
      </c>
      <c r="L1460" s="2" t="inlineStr">
        <is>
          <t>TCGplayer</t>
        </is>
      </c>
      <c r="N1460" s="4" t="inlineStr">
        <is>
          <t>https://www.tcgplayer.com/product/603323</t>
        </is>
      </c>
    </row>
    <row r="1461">
      <c r="A1461" s="2" t="inlineStr">
        <is>
          <t>Knock Out Collection [Kyogre]</t>
        </is>
      </c>
      <c r="B1461" s="3">
        <f>IF(H1461&lt;&gt;"",H1461,IF(I1461&lt;&gt;"",I1461,IF(J1461&lt;&gt;"",J1461,K1461)))</f>
        <v>14.73</v>
      </c>
      <c r="C1461" s="3">
        <f>MEDIAN(H1461:K1461)</f>
        <v>14.73</v>
      </c>
      <c r="D1461" s="3">
        <f>ROUND(C1461*(1-Settings!$B$2),2)</f>
        <v>10.31</v>
      </c>
      <c r="E1461" s="2" t="inlineStr">
        <is>
          <t>Pokemon</t>
        </is>
      </c>
      <c r="F1461" s="2" t="inlineStr">
        <is>
          <t>Coffret</t>
        </is>
      </c>
      <c r="G1461" s="2" t="inlineStr">
        <is>
          <t>Miscellaneous Cards &amp; Products</t>
        </is>
      </c>
      <c r="H1461" s="3" t="n"/>
      <c r="I1461" s="3" t="n">
        <v>14.73</v>
      </c>
      <c r="J1461" s="3" t="n">
        <v>16.93</v>
      </c>
      <c r="K1461" s="3" t="n">
        <v>10.97</v>
      </c>
      <c r="L1461" s="2" t="inlineStr">
        <is>
          <t>TCGplayer</t>
        </is>
      </c>
      <c r="N1461" s="4" t="inlineStr">
        <is>
          <t>https://www.tcgplayer.com/product/670782</t>
        </is>
      </c>
    </row>
    <row r="1462">
      <c r="A1462" s="2" t="inlineStr">
        <is>
          <t>Knock Out Collection [Lucario, Bisharp, and Zoroark]</t>
        </is>
      </c>
      <c r="B1462" s="3">
        <f>IF(H1462&lt;&gt;"",H1462,IF(I1462&lt;&gt;"",I1462,IF(J1462&lt;&gt;"",J1462,K1462)))</f>
        <v>169.99</v>
      </c>
      <c r="C1462" s="3">
        <f>MEDIAN(H1462:K1462)</f>
        <v>167.98</v>
      </c>
      <c r="D1462" s="3">
        <f>ROUND(C1462*(1-Settings!$B$2),2)</f>
        <v>117.59</v>
      </c>
      <c r="E1462" s="2" t="inlineStr">
        <is>
          <t>Pokemon</t>
        </is>
      </c>
      <c r="F1462" s="2" t="inlineStr">
        <is>
          <t>Coffret</t>
        </is>
      </c>
      <c r="G1462" s="2" t="inlineStr">
        <is>
          <t>Miscellaneous Cards &amp; Products</t>
        </is>
      </c>
      <c r="H1462" s="3" t="n"/>
      <c r="I1462" s="3" t="n">
        <v>169.99</v>
      </c>
      <c r="J1462" s="3" t="n">
        <v>167.98</v>
      </c>
      <c r="K1462" s="3" t="n">
        <v>160</v>
      </c>
      <c r="L1462" s="2" t="inlineStr">
        <is>
          <t>TCGplayer</t>
        </is>
      </c>
      <c r="N1462" s="4" t="inlineStr">
        <is>
          <t>https://www.tcgplayer.com/product/186994</t>
        </is>
      </c>
    </row>
    <row r="1463">
      <c r="A1463" s="2" t="inlineStr">
        <is>
          <t>Knock Out Collection [Shaymin, Zeraora, and Marshadow]</t>
        </is>
      </c>
      <c r="B1463" s="3">
        <f>IF(H1463&lt;&gt;"",H1463,IF(I1463&lt;&gt;"",I1463,IF(J1463&lt;&gt;"",J1463,K1463)))</f>
        <v>22.27</v>
      </c>
      <c r="C1463" s="3">
        <f>MEDIAN(H1463:K1463)</f>
        <v>17.13</v>
      </c>
      <c r="D1463" s="3">
        <f>ROUND(C1463*(1-Settings!$B$2),2)</f>
        <v>11.99</v>
      </c>
      <c r="E1463" s="2" t="inlineStr">
        <is>
          <t>Pokemon</t>
        </is>
      </c>
      <c r="F1463" s="2" t="inlineStr">
        <is>
          <t>Coffret</t>
        </is>
      </c>
      <c r="G1463" s="2" t="inlineStr">
        <is>
          <t>Miscellaneous Cards &amp; Products</t>
        </is>
      </c>
      <c r="H1463" s="3" t="n"/>
      <c r="I1463" s="3" t="n">
        <v>22.27</v>
      </c>
      <c r="J1463" s="3" t="n"/>
      <c r="K1463" s="3" t="n">
        <v>11.99</v>
      </c>
      <c r="L1463" s="2" t="inlineStr">
        <is>
          <t>TCGplayer</t>
        </is>
      </c>
      <c r="N1463" s="4" t="inlineStr">
        <is>
          <t>https://www.tcgplayer.com/product/543172</t>
        </is>
      </c>
    </row>
    <row r="1464">
      <c r="A1464" s="2" t="inlineStr">
        <is>
          <t>Knock Out Collection [Suicune]</t>
        </is>
      </c>
      <c r="B1464" s="3">
        <f>IF(H1464&lt;&gt;"",H1464,IF(I1464&lt;&gt;"",I1464,IF(J1464&lt;&gt;"",J1464,K1464)))</f>
        <v>14.61</v>
      </c>
      <c r="C1464" s="3">
        <f>MEDIAN(H1464:K1464)</f>
        <v>14.61</v>
      </c>
      <c r="D1464" s="3">
        <f>ROUND(C1464*(1-Settings!$B$2),2)</f>
        <v>10.23</v>
      </c>
      <c r="E1464" s="2" t="inlineStr">
        <is>
          <t>Pokemon</t>
        </is>
      </c>
      <c r="F1464" s="2" t="inlineStr">
        <is>
          <t>Coffret</t>
        </is>
      </c>
      <c r="G1464" s="2" t="inlineStr">
        <is>
          <t>Miscellaneous Cards &amp; Products</t>
        </is>
      </c>
      <c r="H1464" s="3" t="n"/>
      <c r="I1464" s="3" t="n">
        <v>14.61</v>
      </c>
      <c r="J1464" s="3" t="n">
        <v>16.36</v>
      </c>
      <c r="K1464" s="3" t="n">
        <v>5.99</v>
      </c>
      <c r="L1464" s="2" t="inlineStr">
        <is>
          <t>TCGplayer</t>
        </is>
      </c>
      <c r="N1464" s="4" t="inlineStr">
        <is>
          <t>https://www.tcgplayer.com/product/670783</t>
        </is>
      </c>
    </row>
    <row r="1465">
      <c r="A1465" s="2" t="inlineStr">
        <is>
          <t>Knock Out Collection [Toxtricity, Duraludon, Sandaconda]</t>
        </is>
      </c>
      <c r="B1465" s="3">
        <f>IF(H1465&lt;&gt;"",H1465,IF(I1465&lt;&gt;"",I1465,IF(J1465&lt;&gt;"",J1465,K1465)))</f>
        <v>28.79</v>
      </c>
      <c r="C1465" s="3">
        <f>MEDIAN(H1465:K1465)</f>
        <v>35.0</v>
      </c>
      <c r="D1465" s="3">
        <f>ROUND(C1465*(1-Settings!$B$2),2)</f>
        <v>24.5</v>
      </c>
      <c r="E1465" s="2" t="inlineStr">
        <is>
          <t>Pokemon</t>
        </is>
      </c>
      <c r="F1465" s="2" t="inlineStr">
        <is>
          <t>Coffret</t>
        </is>
      </c>
      <c r="G1465" s="2" t="inlineStr">
        <is>
          <t>Miscellaneous Cards &amp; Products</t>
        </is>
      </c>
      <c r="H1465" s="3" t="n"/>
      <c r="I1465" s="3" t="n">
        <v>28.79</v>
      </c>
      <c r="J1465" s="3" t="n">
        <v>54.99</v>
      </c>
      <c r="K1465" s="3" t="n">
        <v>35</v>
      </c>
      <c r="L1465" s="2" t="inlineStr">
        <is>
          <t>TCGplayer</t>
        </is>
      </c>
      <c r="N1465" s="4" t="inlineStr">
        <is>
          <t>https://www.tcgplayer.com/product/264416</t>
        </is>
      </c>
    </row>
    <row r="1466">
      <c r="A1466" s="2" t="inlineStr">
        <is>
          <t>Knock Out Collection [Tyranitar, Shiftry, and Vivillon]</t>
        </is>
      </c>
      <c r="B1466" s="3">
        <f>IF(H1466&lt;&gt;"",H1466,IF(I1466&lt;&gt;"",I1466,IF(J1466&lt;&gt;"",J1466,K1466)))</f>
        <v>171.95</v>
      </c>
      <c r="C1466" s="3">
        <f>MEDIAN(H1466:K1466)</f>
        <v>169.99</v>
      </c>
      <c r="D1466" s="3">
        <f>ROUND(C1466*(1-Settings!$B$2),2)</f>
        <v>118.99</v>
      </c>
      <c r="E1466" s="2" t="inlineStr">
        <is>
          <t>Pokemon</t>
        </is>
      </c>
      <c r="F1466" s="2" t="inlineStr">
        <is>
          <t>Coffret</t>
        </is>
      </c>
      <c r="G1466" s="2" t="inlineStr">
        <is>
          <t>Miscellaneous Cards &amp; Products</t>
        </is>
      </c>
      <c r="H1466" s="3" t="n"/>
      <c r="I1466" s="3" t="n">
        <v>171.95</v>
      </c>
      <c r="J1466" s="3" t="n">
        <v>169.99</v>
      </c>
      <c r="K1466" s="3" t="n">
        <v>160</v>
      </c>
      <c r="L1466" s="2" t="inlineStr">
        <is>
          <t>TCGplayer</t>
        </is>
      </c>
      <c r="N1466" s="4" t="inlineStr">
        <is>
          <t>https://www.tcgplayer.com/product/186984</t>
        </is>
      </c>
    </row>
    <row r="1467">
      <c r="A1467" s="2" t="inlineStr">
        <is>
          <t>Kyurem V Box</t>
        </is>
      </c>
      <c r="B1467" s="3">
        <f>IF(H1467&lt;&gt;"",H1467,IF(I1467&lt;&gt;"",I1467,IF(J1467&lt;&gt;"",J1467,K1467)))</f>
        <v>185.0</v>
      </c>
      <c r="C1467" s="3">
        <f>MEDIAN(H1467:K1467)</f>
        <v>185.0</v>
      </c>
      <c r="D1467" s="3">
        <f>ROUND(C1467*(1-Settings!$B$2),2)</f>
        <v>129.5</v>
      </c>
      <c r="E1467" s="2" t="inlineStr">
        <is>
          <t>Pokemon</t>
        </is>
      </c>
      <c r="F1467" s="2" t="inlineStr">
        <is>
          <t>Coffret</t>
        </is>
      </c>
      <c r="G1467" s="2" t="inlineStr">
        <is>
          <t>Miscellaneous Cards &amp; Products</t>
        </is>
      </c>
      <c r="H1467" s="3" t="n"/>
      <c r="I1467" s="3" t="n"/>
      <c r="J1467" s="3" t="n">
        <v>185</v>
      </c>
      <c r="K1467" s="3" t="n">
        <v>185</v>
      </c>
      <c r="L1467" s="2" t="inlineStr">
        <is>
          <t>TCGplayer</t>
        </is>
      </c>
      <c r="N1467" s="4" t="inlineStr">
        <is>
          <t>https://www.tcgplayer.com/product/286477</t>
        </is>
      </c>
    </row>
    <row r="1468">
      <c r="A1468" s="2" t="inlineStr">
        <is>
          <t>Legendary Warriors Premium Collection</t>
        </is>
      </c>
      <c r="B1468" s="3">
        <f>IF(H1468&lt;&gt;"",H1468,IF(I1468&lt;&gt;"",I1468,IF(J1468&lt;&gt;"",J1468,K1468)))</f>
        <v>192.19</v>
      </c>
      <c r="C1468" s="3">
        <f>MEDIAN(H1468:K1468)</f>
        <v>192.19</v>
      </c>
      <c r="D1468" s="3">
        <f>ROUND(C1468*(1-Settings!$B$2),2)</f>
        <v>134.53</v>
      </c>
      <c r="E1468" s="2" t="inlineStr">
        <is>
          <t>Pokemon</t>
        </is>
      </c>
      <c r="F1468" s="2" t="inlineStr">
        <is>
          <t>Coffret</t>
        </is>
      </c>
      <c r="G1468" s="2" t="inlineStr">
        <is>
          <t>Miscellaneous Cards &amp; Products</t>
        </is>
      </c>
      <c r="H1468" s="3" t="n"/>
      <c r="I1468" s="3" t="n">
        <v>192.19</v>
      </c>
      <c r="J1468" s="3" t="n">
        <v>200</v>
      </c>
      <c r="K1468" s="3" t="n">
        <v>180</v>
      </c>
      <c r="L1468" s="2" t="inlineStr">
        <is>
          <t>TCGplayer</t>
        </is>
      </c>
      <c r="N1468" s="4" t="inlineStr">
        <is>
          <t>https://www.tcgplayer.com/product/594495</t>
        </is>
      </c>
    </row>
    <row r="1469">
      <c r="A1469" s="2" t="inlineStr">
        <is>
          <t>Legends of Johto Pin Collection</t>
        </is>
      </c>
      <c r="B1469" s="3">
        <f>IF(H1469&lt;&gt;"",H1469,IF(I1469&lt;&gt;"",I1469,IF(J1469&lt;&gt;"",J1469,K1469)))</f>
        <v>310.0</v>
      </c>
      <c r="C1469" s="3">
        <f>MEDIAN(H1469:K1469)</f>
        <v>310.0</v>
      </c>
      <c r="D1469" s="3">
        <f>ROUND(C1469*(1-Settings!$B$2),2)</f>
        <v>217.0</v>
      </c>
      <c r="E1469" s="2" t="inlineStr">
        <is>
          <t>Pokemon</t>
        </is>
      </c>
      <c r="F1469" s="2" t="inlineStr">
        <is>
          <t>Coffret</t>
        </is>
      </c>
      <c r="G1469" s="2" t="inlineStr">
        <is>
          <t>Miscellaneous Cards &amp; Products</t>
        </is>
      </c>
      <c r="H1469" s="3" t="n"/>
      <c r="I1469" s="3" t="n">
        <v>310</v>
      </c>
      <c r="J1469" s="3" t="n">
        <v>340</v>
      </c>
      <c r="K1469" s="3" t="n">
        <v>300</v>
      </c>
      <c r="L1469" s="2" t="inlineStr">
        <is>
          <t>TCGplayer</t>
        </is>
      </c>
      <c r="N1469" s="4" t="inlineStr">
        <is>
          <t>https://www.tcgplayer.com/product/228813</t>
        </is>
      </c>
    </row>
    <row r="1470">
      <c r="A1470" s="2" t="inlineStr">
        <is>
          <t>Let's Play Pokemon TCG Box</t>
        </is>
      </c>
      <c r="B1470" s="3">
        <f>IF(H1470&lt;&gt;"",H1470,IF(I1470&lt;&gt;"",I1470,IF(J1470&lt;&gt;"",J1470,K1470)))</f>
        <v>66.61</v>
      </c>
      <c r="C1470" s="3">
        <f>MEDIAN(H1470:K1470)</f>
        <v>66.61</v>
      </c>
      <c r="D1470" s="3">
        <f>ROUND(C1470*(1-Settings!$B$2),2)</f>
        <v>46.63</v>
      </c>
      <c r="E1470" s="2" t="inlineStr">
        <is>
          <t>Pokemon</t>
        </is>
      </c>
      <c r="F1470" s="2" t="inlineStr">
        <is>
          <t>Coffret</t>
        </is>
      </c>
      <c r="G1470" s="2" t="inlineStr">
        <is>
          <t>Miscellaneous Cards &amp; Products</t>
        </is>
      </c>
      <c r="H1470" s="3" t="n"/>
      <c r="I1470" s="3" t="n">
        <v>66.61</v>
      </c>
      <c r="J1470" s="3" t="n"/>
      <c r="K1470" s="3" t="n"/>
      <c r="L1470" s="2" t="inlineStr">
        <is>
          <t>TCGplayer</t>
        </is>
      </c>
      <c r="N1470" s="4" t="inlineStr">
        <is>
          <t>https://www.tcgplayer.com/product/202117</t>
        </is>
      </c>
    </row>
    <row r="1471">
      <c r="A1471" s="2" t="inlineStr">
        <is>
          <t>Lillie Premium Tournament Collection Box</t>
        </is>
      </c>
      <c r="B1471" s="3">
        <f>IF(H1471&lt;&gt;"",H1471,IF(I1471&lt;&gt;"",I1471,IF(J1471&lt;&gt;"",J1471,K1471)))</f>
        <v>78.96</v>
      </c>
      <c r="C1471" s="3">
        <f>MEDIAN(H1471:K1471)</f>
        <v>78.96</v>
      </c>
      <c r="D1471" s="3">
        <f>ROUND(C1471*(1-Settings!$B$2),2)</f>
        <v>55.27</v>
      </c>
      <c r="E1471" s="2" t="inlineStr">
        <is>
          <t>Pokemon</t>
        </is>
      </c>
      <c r="F1471" s="2" t="inlineStr">
        <is>
          <t>Coffret</t>
        </is>
      </c>
      <c r="G1471" s="2" t="inlineStr">
        <is>
          <t>Miscellaneous Cards &amp; Products</t>
        </is>
      </c>
      <c r="H1471" s="3" t="n"/>
      <c r="I1471" s="3" t="n">
        <v>78.95999999999999</v>
      </c>
      <c r="J1471" s="3" t="n">
        <v>86.5</v>
      </c>
      <c r="K1471" s="3" t="n">
        <v>75</v>
      </c>
      <c r="L1471" s="2" t="inlineStr">
        <is>
          <t>TCGplayer</t>
        </is>
      </c>
      <c r="N1471" s="4" t="inlineStr">
        <is>
          <t>https://www.tcgplayer.com/product/626605</t>
        </is>
      </c>
    </row>
    <row r="1472">
      <c r="A1472" s="2" t="inlineStr">
        <is>
          <t>Lucario VSTAR Premium Collection</t>
        </is>
      </c>
      <c r="B1472" s="3">
        <f>IF(H1472&lt;&gt;"",H1472,IF(I1472&lt;&gt;"",I1472,IF(J1472&lt;&gt;"",J1472,K1472)))</f>
        <v>101.63</v>
      </c>
      <c r="C1472" s="3">
        <f>MEDIAN(H1472:K1472)</f>
        <v>107.98</v>
      </c>
      <c r="D1472" s="3">
        <f>ROUND(C1472*(1-Settings!$B$2),2)</f>
        <v>75.59</v>
      </c>
      <c r="E1472" s="2" t="inlineStr">
        <is>
          <t>Pokemon</t>
        </is>
      </c>
      <c r="F1472" s="2" t="inlineStr">
        <is>
          <t>Coffret</t>
        </is>
      </c>
      <c r="G1472" s="2" t="inlineStr">
        <is>
          <t>Miscellaneous Cards &amp; Products</t>
        </is>
      </c>
      <c r="H1472" s="3" t="n"/>
      <c r="I1472" s="3" t="n">
        <v>101.63</v>
      </c>
      <c r="J1472" s="3" t="n">
        <v>144</v>
      </c>
      <c r="K1472" s="3" t="n">
        <v>107.98</v>
      </c>
      <c r="L1472" s="2" t="inlineStr">
        <is>
          <t>TCGplayer</t>
        </is>
      </c>
      <c r="N1472" s="4" t="inlineStr">
        <is>
          <t>https://www.tcgplayer.com/product/262637</t>
        </is>
      </c>
    </row>
    <row r="1473">
      <c r="A1473" s="2" t="inlineStr">
        <is>
          <t>Lucario VSTAR Special Collection</t>
        </is>
      </c>
      <c r="B1473" s="3">
        <f>IF(H1473&lt;&gt;"",H1473,IF(I1473&lt;&gt;"",I1473,IF(J1473&lt;&gt;"",J1473,K1473)))</f>
        <v>81.26</v>
      </c>
      <c r="C1473" s="3">
        <f>MEDIAN(H1473:K1473)</f>
        <v>86.25</v>
      </c>
      <c r="D1473" s="3">
        <f>ROUND(C1473*(1-Settings!$B$2),2)</f>
        <v>60.38</v>
      </c>
      <c r="E1473" s="2" t="inlineStr">
        <is>
          <t>Pokemon</t>
        </is>
      </c>
      <c r="F1473" s="2" t="inlineStr">
        <is>
          <t>Coffret</t>
        </is>
      </c>
      <c r="G1473" s="2" t="inlineStr">
        <is>
          <t>Miscellaneous Cards &amp; Products</t>
        </is>
      </c>
      <c r="H1473" s="3" t="n"/>
      <c r="I1473" s="3" t="n">
        <v>81.26000000000001</v>
      </c>
      <c r="J1473" s="3" t="n">
        <v>89.98999999999999</v>
      </c>
      <c r="K1473" s="3" t="n">
        <v>86.25</v>
      </c>
      <c r="L1473" s="2" t="inlineStr">
        <is>
          <t>TCGplayer</t>
        </is>
      </c>
      <c r="N1473" s="4" t="inlineStr">
        <is>
          <t>https://www.tcgplayer.com/product/497728</t>
        </is>
      </c>
    </row>
    <row r="1474">
      <c r="A1474" s="2" t="inlineStr">
        <is>
          <t>Lugia ex &amp; Latias ex Premium Collection</t>
        </is>
      </c>
      <c r="B1474" s="3">
        <f>IF(H1474&lt;&gt;"",H1474,IF(I1474&lt;&gt;"",I1474,IF(J1474&lt;&gt;"",J1474,K1474)))</f>
        <v>110.9</v>
      </c>
      <c r="C1474" s="3">
        <f>MEDIAN(H1474:K1474)</f>
        <v>110.9</v>
      </c>
      <c r="D1474" s="3">
        <f>ROUND(C1474*(1-Settings!$B$2),2)</f>
        <v>77.63</v>
      </c>
      <c r="E1474" s="2" t="inlineStr">
        <is>
          <t>Pokemon</t>
        </is>
      </c>
      <c r="F1474" s="2" t="inlineStr">
        <is>
          <t>Coffret</t>
        </is>
      </c>
      <c r="G1474" s="2" t="inlineStr">
        <is>
          <t>Miscellaneous Cards &amp; Products</t>
        </is>
      </c>
      <c r="H1474" s="3" t="n"/>
      <c r="I1474" s="3" t="n">
        <v>110.9</v>
      </c>
      <c r="J1474" s="3" t="n">
        <v>111.91</v>
      </c>
      <c r="K1474" s="3" t="n">
        <v>94.48999999999999</v>
      </c>
      <c r="L1474" s="2" t="inlineStr">
        <is>
          <t>TCGplayer</t>
        </is>
      </c>
      <c r="N1474" s="4" t="inlineStr">
        <is>
          <t>https://www.tcgplayer.com/product/655739</t>
        </is>
      </c>
    </row>
    <row r="1475">
      <c r="A1475" s="2" t="inlineStr">
        <is>
          <t>Lumiose City Mini Tin [Emboar &amp; Inkay]</t>
        </is>
      </c>
      <c r="B1475" s="3">
        <f>IF(H1475&lt;&gt;"",H1475,IF(I1475&lt;&gt;"",I1475,IF(J1475&lt;&gt;"",J1475,K1475)))</f>
        <v>14.24</v>
      </c>
      <c r="C1475" s="3">
        <f>MEDIAN(H1475:K1475)</f>
        <v>14.24</v>
      </c>
      <c r="D1475" s="3">
        <f>ROUND(C1475*(1-Settings!$B$2),2)</f>
        <v>9.97</v>
      </c>
      <c r="E1475" s="2" t="inlineStr">
        <is>
          <t>Pokemon</t>
        </is>
      </c>
      <c r="F1475" s="2" t="inlineStr">
        <is>
          <t>Coffret</t>
        </is>
      </c>
      <c r="G1475" s="2" t="inlineStr">
        <is>
          <t>Miscellaneous Cards &amp; Products</t>
        </is>
      </c>
      <c r="H1475" s="3" t="n"/>
      <c r="I1475" s="3" t="n">
        <v>14.24</v>
      </c>
      <c r="J1475" s="3" t="n">
        <v>16.98</v>
      </c>
      <c r="K1475" s="3" t="n">
        <v>9.949999999999999</v>
      </c>
      <c r="L1475" s="2" t="inlineStr">
        <is>
          <t>TCGplayer</t>
        </is>
      </c>
      <c r="N1475" s="4" t="inlineStr">
        <is>
          <t>https://www.tcgplayer.com/product/685577</t>
        </is>
      </c>
    </row>
    <row r="1476">
      <c r="A1476" s="2" t="inlineStr">
        <is>
          <t>Lumiose City Mini Tin [Feraligatr &amp; Budew]</t>
        </is>
      </c>
      <c r="B1476" s="3">
        <f>IF(H1476&lt;&gt;"",H1476,IF(I1476&lt;&gt;"",I1476,IF(J1476&lt;&gt;"",J1476,K1476)))</f>
        <v>16.62</v>
      </c>
      <c r="C1476" s="3">
        <f>MEDIAN(H1476:K1476)</f>
        <v>16.62</v>
      </c>
      <c r="D1476" s="3">
        <f>ROUND(C1476*(1-Settings!$B$2),2)</f>
        <v>11.63</v>
      </c>
      <c r="E1476" s="2" t="inlineStr">
        <is>
          <t>Pokemon</t>
        </is>
      </c>
      <c r="F1476" s="2" t="inlineStr">
        <is>
          <t>Coffret</t>
        </is>
      </c>
      <c r="G1476" s="2" t="inlineStr">
        <is>
          <t>Miscellaneous Cards &amp; Products</t>
        </is>
      </c>
      <c r="H1476" s="3" t="n"/>
      <c r="I1476" s="3" t="n">
        <v>16.62</v>
      </c>
      <c r="J1476" s="3" t="n">
        <v>18.5</v>
      </c>
      <c r="K1476" s="3" t="n">
        <v>12.5</v>
      </c>
      <c r="L1476" s="2" t="inlineStr">
        <is>
          <t>TCGplayer</t>
        </is>
      </c>
      <c r="N1476" s="4" t="inlineStr">
        <is>
          <t>https://www.tcgplayer.com/product/685578</t>
        </is>
      </c>
    </row>
    <row r="1477">
      <c r="A1477" s="2" t="inlineStr">
        <is>
          <t>Lumiose City Mini Tin [Gallade &amp; Goomy]</t>
        </is>
      </c>
      <c r="B1477" s="3">
        <f>IF(H1477&lt;&gt;"",H1477,IF(I1477&lt;&gt;"",I1477,IF(J1477&lt;&gt;"",J1477,K1477)))</f>
        <v>14.31</v>
      </c>
      <c r="C1477" s="3">
        <f>MEDIAN(H1477:K1477)</f>
        <v>14.31</v>
      </c>
      <c r="D1477" s="3">
        <f>ROUND(C1477*(1-Settings!$B$2),2)</f>
        <v>10.02</v>
      </c>
      <c r="E1477" s="2" t="inlineStr">
        <is>
          <t>Pokemon</t>
        </is>
      </c>
      <c r="F1477" s="2" t="inlineStr">
        <is>
          <t>Coffret</t>
        </is>
      </c>
      <c r="G1477" s="2" t="inlineStr">
        <is>
          <t>Miscellaneous Cards &amp; Products</t>
        </is>
      </c>
      <c r="H1477" s="3" t="n"/>
      <c r="I1477" s="3" t="n">
        <v>14.31</v>
      </c>
      <c r="J1477" s="3" t="n">
        <v>17.5</v>
      </c>
      <c r="K1477" s="3" t="n">
        <v>11.23</v>
      </c>
      <c r="L1477" s="2" t="inlineStr">
        <is>
          <t>TCGplayer</t>
        </is>
      </c>
      <c r="N1477" s="4" t="inlineStr">
        <is>
          <t>https://www.tcgplayer.com/product/685579</t>
        </is>
      </c>
    </row>
    <row r="1478">
      <c r="A1478" s="2" t="inlineStr">
        <is>
          <t>Lumiose City Mini Tin [Meganium &amp; Meowstic]</t>
        </is>
      </c>
      <c r="B1478" s="3">
        <f>IF(H1478&lt;&gt;"",H1478,IF(I1478&lt;&gt;"",I1478,IF(J1478&lt;&gt;"",J1478,K1478)))</f>
        <v>15.03</v>
      </c>
      <c r="C1478" s="3">
        <f>MEDIAN(H1478:K1478)</f>
        <v>15.03</v>
      </c>
      <c r="D1478" s="3">
        <f>ROUND(C1478*(1-Settings!$B$2),2)</f>
        <v>10.52</v>
      </c>
      <c r="E1478" s="2" t="inlineStr">
        <is>
          <t>Pokemon</t>
        </is>
      </c>
      <c r="F1478" s="2" t="inlineStr">
        <is>
          <t>Coffret</t>
        </is>
      </c>
      <c r="G1478" s="2" t="inlineStr">
        <is>
          <t>Miscellaneous Cards &amp; Products</t>
        </is>
      </c>
      <c r="H1478" s="3" t="n"/>
      <c r="I1478" s="3" t="n">
        <v>15.03</v>
      </c>
      <c r="J1478" s="3" t="n">
        <v>17.36</v>
      </c>
      <c r="K1478" s="3" t="n">
        <v>11</v>
      </c>
      <c r="L1478" s="2" t="inlineStr">
        <is>
          <t>TCGplayer</t>
        </is>
      </c>
      <c r="N1478" s="4" t="inlineStr">
        <is>
          <t>https://www.tcgplayer.com/product/685576</t>
        </is>
      </c>
    </row>
    <row r="1479">
      <c r="A1479" s="2" t="inlineStr">
        <is>
          <t>Lumiose City Mini Tin [Salamence &amp; Litleo]</t>
        </is>
      </c>
      <c r="B1479" s="3">
        <f>IF(H1479&lt;&gt;"",H1479,IF(I1479&lt;&gt;"",I1479,IF(J1479&lt;&gt;"",J1479,K1479)))</f>
        <v>14.56</v>
      </c>
      <c r="C1479" s="3">
        <f>MEDIAN(H1479:K1479)</f>
        <v>14.56</v>
      </c>
      <c r="D1479" s="3">
        <f>ROUND(C1479*(1-Settings!$B$2),2)</f>
        <v>10.19</v>
      </c>
      <c r="E1479" s="2" t="inlineStr">
        <is>
          <t>Pokemon</t>
        </is>
      </c>
      <c r="F1479" s="2" t="inlineStr">
        <is>
          <t>Coffret</t>
        </is>
      </c>
      <c r="G1479" s="2" t="inlineStr">
        <is>
          <t>Miscellaneous Cards &amp; Products</t>
        </is>
      </c>
      <c r="H1479" s="3" t="n"/>
      <c r="I1479" s="3" t="n">
        <v>14.56</v>
      </c>
      <c r="J1479" s="3" t="n">
        <v>16.99</v>
      </c>
      <c r="K1479" s="3" t="n">
        <v>4</v>
      </c>
      <c r="L1479" s="2" t="inlineStr">
        <is>
          <t>TCGplayer</t>
        </is>
      </c>
      <c r="N1479" s="4" t="inlineStr">
        <is>
          <t>https://www.tcgplayer.com/product/685575</t>
        </is>
      </c>
    </row>
    <row r="1480">
      <c r="A1480" s="2" t="inlineStr">
        <is>
          <t>Lumiose City Mini Tin [Set of 5]</t>
        </is>
      </c>
      <c r="B1480" s="3">
        <f>IF(H1480&lt;&gt;"",H1480,IF(I1480&lt;&gt;"",I1480,IF(J1480&lt;&gt;"",J1480,K1480)))</f>
        <v>62.96</v>
      </c>
      <c r="C1480" s="3">
        <f>MEDIAN(H1480:K1480)</f>
        <v>62.96</v>
      </c>
      <c r="D1480" s="3">
        <f>ROUND(C1480*(1-Settings!$B$2),2)</f>
        <v>44.07</v>
      </c>
      <c r="E1480" s="2" t="inlineStr">
        <is>
          <t>Pokemon</t>
        </is>
      </c>
      <c r="F1480" s="2" t="inlineStr">
        <is>
          <t>Coffret</t>
        </is>
      </c>
      <c r="G1480" s="2" t="inlineStr">
        <is>
          <t>Miscellaneous Cards &amp; Products</t>
        </is>
      </c>
      <c r="H1480" s="3" t="n"/>
      <c r="I1480" s="3" t="n">
        <v>62.96</v>
      </c>
      <c r="J1480" s="3" t="n">
        <v>71</v>
      </c>
      <c r="K1480" s="3" t="n">
        <v>27.99</v>
      </c>
      <c r="L1480" s="2" t="inlineStr">
        <is>
          <t>TCGplayer</t>
        </is>
      </c>
      <c r="N1480" s="4" t="inlineStr">
        <is>
          <t>https://www.tcgplayer.com/product/685580</t>
        </is>
      </c>
    </row>
    <row r="1481">
      <c r="A1481" s="2" t="inlineStr">
        <is>
          <t>Mabosstiff ex Box</t>
        </is>
      </c>
      <c r="B1481" s="3">
        <f>IF(H1481&lt;&gt;"",H1481,IF(I1481&lt;&gt;"",I1481,IF(J1481&lt;&gt;"",J1481,K1481)))</f>
        <v>38.99</v>
      </c>
      <c r="C1481" s="3">
        <f>MEDIAN(H1481:K1481)</f>
        <v>38.99</v>
      </c>
      <c r="D1481" s="3">
        <f>ROUND(C1481*(1-Settings!$B$2),2)</f>
        <v>27.29</v>
      </c>
      <c r="E1481" s="2" t="inlineStr">
        <is>
          <t>Pokemon</t>
        </is>
      </c>
      <c r="F1481" s="2" t="inlineStr">
        <is>
          <t>Coffret</t>
        </is>
      </c>
      <c r="G1481" s="2" t="inlineStr">
        <is>
          <t>Miscellaneous Cards &amp; Products</t>
        </is>
      </c>
      <c r="H1481" s="3" t="n"/>
      <c r="I1481" s="3" t="n">
        <v>38.99</v>
      </c>
      <c r="J1481" s="3" t="n">
        <v>41.24</v>
      </c>
      <c r="K1481" s="3" t="n">
        <v>5.99</v>
      </c>
      <c r="L1481" s="2" t="inlineStr">
        <is>
          <t>TCGplayer</t>
        </is>
      </c>
      <c r="N1481" s="4" t="inlineStr">
        <is>
          <t>https://www.tcgplayer.com/product/531572</t>
        </is>
      </c>
    </row>
    <row r="1482">
      <c r="A1482" s="2" t="inlineStr">
        <is>
          <t>Marnie Premium Tournament Collection Box</t>
        </is>
      </c>
      <c r="B1482" s="3">
        <f>IF(H1482&lt;&gt;"",H1482,IF(I1482&lt;&gt;"",I1482,IF(J1482&lt;&gt;"",J1482,K1482)))</f>
        <v>128.7</v>
      </c>
      <c r="C1482" s="3">
        <f>MEDIAN(H1482:K1482)</f>
        <v>128.7</v>
      </c>
      <c r="D1482" s="3">
        <f>ROUND(C1482*(1-Settings!$B$2),2)</f>
        <v>90.09</v>
      </c>
      <c r="E1482" s="2" t="inlineStr">
        <is>
          <t>Pokemon</t>
        </is>
      </c>
      <c r="F1482" s="2" t="inlineStr">
        <is>
          <t>Coffret</t>
        </is>
      </c>
      <c r="G1482" s="2" t="inlineStr">
        <is>
          <t>Miscellaneous Cards &amp; Products</t>
        </is>
      </c>
      <c r="H1482" s="3" t="n"/>
      <c r="I1482" s="3" t="n">
        <v>128.7</v>
      </c>
      <c r="J1482" s="3" t="n">
        <v>134.99</v>
      </c>
      <c r="K1482" s="3" t="n">
        <v>109</v>
      </c>
      <c r="L1482" s="2" t="inlineStr">
        <is>
          <t>TCGplayer</t>
        </is>
      </c>
      <c r="N1482" s="4" t="inlineStr">
        <is>
          <t>https://www.tcgplayer.com/product/241093</t>
        </is>
      </c>
    </row>
    <row r="1483">
      <c r="A1483" s="2" t="inlineStr">
        <is>
          <t>Marshadow Box (International Version)</t>
        </is>
      </c>
      <c r="B1483" s="3">
        <f>IF(H1483&lt;&gt;"",H1483,IF(I1483&lt;&gt;"",I1483,IF(J1483&lt;&gt;"",J1483,K1483)))</f>
        <v>97.49</v>
      </c>
      <c r="C1483" s="3">
        <f>MEDIAN(H1483:K1483)</f>
        <v>220.0</v>
      </c>
      <c r="D1483" s="3">
        <f>ROUND(C1483*(1-Settings!$B$2),2)</f>
        <v>154.0</v>
      </c>
      <c r="E1483" s="2" t="inlineStr">
        <is>
          <t>Pokemon</t>
        </is>
      </c>
      <c r="F1483" s="2" t="inlineStr">
        <is>
          <t>Coffret</t>
        </is>
      </c>
      <c r="G1483" s="2" t="inlineStr">
        <is>
          <t>Miscellaneous Cards &amp; Products</t>
        </is>
      </c>
      <c r="H1483" s="3" t="n"/>
      <c r="I1483" s="3" t="n">
        <v>97.48999999999999</v>
      </c>
      <c r="J1483" s="3" t="n">
        <v>220</v>
      </c>
      <c r="K1483" s="3" t="n">
        <v>220</v>
      </c>
      <c r="L1483" s="2" t="inlineStr">
        <is>
          <t>TCGplayer</t>
        </is>
      </c>
      <c r="N1483" s="4" t="inlineStr">
        <is>
          <t>https://www.tcgplayer.com/product/236549</t>
        </is>
      </c>
    </row>
    <row r="1484">
      <c r="A1484" s="2" t="inlineStr">
        <is>
          <t>Masks of Ogerpon Premium Collection</t>
        </is>
      </c>
      <c r="B1484" s="3">
        <f>IF(H1484&lt;&gt;"",H1484,IF(I1484&lt;&gt;"",I1484,IF(J1484&lt;&gt;"",J1484,K1484)))</f>
        <v>89.45</v>
      </c>
      <c r="C1484" s="3">
        <f>MEDIAN(H1484:K1484)</f>
        <v>89.45</v>
      </c>
      <c r="D1484" s="3">
        <f>ROUND(C1484*(1-Settings!$B$2),2)</f>
        <v>62.62</v>
      </c>
      <c r="E1484" s="2" t="inlineStr">
        <is>
          <t>Pokemon</t>
        </is>
      </c>
      <c r="F1484" s="2" t="inlineStr">
        <is>
          <t>Coffret</t>
        </is>
      </c>
      <c r="G1484" s="2" t="inlineStr">
        <is>
          <t>Miscellaneous Cards &amp; Products</t>
        </is>
      </c>
      <c r="H1484" s="3" t="n"/>
      <c r="I1484" s="3" t="n">
        <v>89.45</v>
      </c>
      <c r="J1484" s="3" t="n">
        <v>92.22</v>
      </c>
      <c r="K1484" s="3" t="n">
        <v>84.98999999999999</v>
      </c>
      <c r="L1484" s="2" t="inlineStr">
        <is>
          <t>TCGplayer</t>
        </is>
      </c>
      <c r="N1484" s="4" t="inlineStr">
        <is>
          <t>https://www.tcgplayer.com/product/629647</t>
        </is>
      </c>
    </row>
    <row r="1485">
      <c r="A1485" s="2" t="inlineStr">
        <is>
          <t>Meddling Sparks Premium Collection</t>
        </is>
      </c>
      <c r="B1485" s="3">
        <f>IF(H1485&lt;&gt;"",H1485,IF(I1485&lt;&gt;"",I1485,IF(J1485&lt;&gt;"",J1485,K1485)))</f>
        <v>116.81</v>
      </c>
      <c r="C1485" s="3">
        <f>MEDIAN(H1485:K1485)</f>
        <v>185.0</v>
      </c>
      <c r="D1485" s="3">
        <f>ROUND(C1485*(1-Settings!$B$2),2)</f>
        <v>129.5</v>
      </c>
      <c r="E1485" s="2" t="inlineStr">
        <is>
          <t>Pokemon</t>
        </is>
      </c>
      <c r="F1485" s="2" t="inlineStr">
        <is>
          <t>Coffret</t>
        </is>
      </c>
      <c r="G1485" s="2" t="inlineStr">
        <is>
          <t>Miscellaneous Cards &amp; Products</t>
        </is>
      </c>
      <c r="H1485" s="3" t="n"/>
      <c r="I1485" s="3" t="n">
        <v>116.81</v>
      </c>
      <c r="J1485" s="3" t="n">
        <v>194</v>
      </c>
      <c r="K1485" s="3" t="n">
        <v>185</v>
      </c>
      <c r="L1485" s="2" t="inlineStr">
        <is>
          <t>TCGplayer</t>
        </is>
      </c>
      <c r="N1485" s="4" t="inlineStr">
        <is>
          <t>https://www.tcgplayer.com/product/606605</t>
        </is>
      </c>
    </row>
    <row r="1486">
      <c r="A1486" s="2" t="inlineStr">
        <is>
          <t>Mega Charizard Tin (Mega Charizard X)</t>
        </is>
      </c>
      <c r="B1486" s="3">
        <f>IF(H1486&lt;&gt;"",H1486,IF(I1486&lt;&gt;"",I1486,IF(J1486&lt;&gt;"",J1486,K1486)))</f>
        <v>46.64</v>
      </c>
      <c r="C1486" s="3">
        <f>MEDIAN(H1486:K1486)</f>
        <v>46.64</v>
      </c>
      <c r="D1486" s="3">
        <f>ROUND(C1486*(1-Settings!$B$2),2)</f>
        <v>32.65</v>
      </c>
      <c r="E1486" s="2" t="inlineStr">
        <is>
          <t>Pokemon</t>
        </is>
      </c>
      <c r="F1486" s="2" t="inlineStr">
        <is>
          <t>Coffret</t>
        </is>
      </c>
      <c r="G1486" s="2" t="inlineStr">
        <is>
          <t>Miscellaneous Cards &amp; Products</t>
        </is>
      </c>
      <c r="H1486" s="3" t="n"/>
      <c r="I1486" s="3" t="n">
        <v>46.64</v>
      </c>
      <c r="J1486" s="3" t="n">
        <v>50</v>
      </c>
      <c r="K1486" s="3" t="n">
        <v>10</v>
      </c>
      <c r="L1486" s="2" t="inlineStr">
        <is>
          <t>TCGplayer</t>
        </is>
      </c>
      <c r="N1486" s="4" t="inlineStr">
        <is>
          <t>https://www.tcgplayer.com/product/671250</t>
        </is>
      </c>
    </row>
    <row r="1487">
      <c r="A1487" s="2" t="inlineStr">
        <is>
          <t>Mega Charizard Tin (Mega Charizard Y)</t>
        </is>
      </c>
      <c r="B1487" s="3">
        <f>IF(H1487&lt;&gt;"",H1487,IF(I1487&lt;&gt;"",I1487,IF(J1487&lt;&gt;"",J1487,K1487)))</f>
        <v>44.05</v>
      </c>
      <c r="C1487" s="3">
        <f>MEDIAN(H1487:K1487)</f>
        <v>44.05</v>
      </c>
      <c r="D1487" s="3">
        <f>ROUND(C1487*(1-Settings!$B$2),2)</f>
        <v>30.84</v>
      </c>
      <c r="E1487" s="2" t="inlineStr">
        <is>
          <t>Pokemon</t>
        </is>
      </c>
      <c r="F1487" s="2" t="inlineStr">
        <is>
          <t>Coffret</t>
        </is>
      </c>
      <c r="G1487" s="2" t="inlineStr">
        <is>
          <t>Miscellaneous Cards &amp; Products</t>
        </is>
      </c>
      <c r="H1487" s="3" t="n"/>
      <c r="I1487" s="3" t="n">
        <v>44.05</v>
      </c>
      <c r="J1487" s="3" t="n">
        <v>48.69</v>
      </c>
      <c r="K1487" s="3" t="n">
        <v>10</v>
      </c>
      <c r="L1487" s="2" t="inlineStr">
        <is>
          <t>TCGplayer</t>
        </is>
      </c>
      <c r="N1487" s="4" t="inlineStr">
        <is>
          <t>https://www.tcgplayer.com/product/671249</t>
        </is>
      </c>
    </row>
    <row r="1488">
      <c r="A1488" s="2" t="inlineStr">
        <is>
          <t>Mega Charizard X ex Ultra Premium Collection</t>
        </is>
      </c>
      <c r="B1488" s="3">
        <f>IF(H1488&lt;&gt;"",H1488,IF(I1488&lt;&gt;"",I1488,IF(J1488&lt;&gt;"",J1488,K1488)))</f>
        <v>224.12</v>
      </c>
      <c r="C1488" s="3">
        <f>MEDIAN(H1488:K1488)</f>
        <v>224.12</v>
      </c>
      <c r="D1488" s="3">
        <f>ROUND(C1488*(1-Settings!$B$2),2)</f>
        <v>156.88</v>
      </c>
      <c r="E1488" s="2" t="inlineStr">
        <is>
          <t>Pokemon</t>
        </is>
      </c>
      <c r="F1488" s="2" t="inlineStr">
        <is>
          <t>Coffret</t>
        </is>
      </c>
      <c r="G1488" s="2" t="inlineStr">
        <is>
          <t>Miscellaneous Cards &amp; Products</t>
        </is>
      </c>
      <c r="H1488" s="3" t="n"/>
      <c r="I1488" s="3" t="n">
        <v>224.12</v>
      </c>
      <c r="J1488" s="3" t="n">
        <v>280</v>
      </c>
      <c r="K1488" s="3" t="n">
        <v>2.99</v>
      </c>
      <c r="L1488" s="2" t="inlineStr">
        <is>
          <t>TCGplayer</t>
        </is>
      </c>
      <c r="N1488" s="4" t="inlineStr">
        <is>
          <t>https://www.tcgplayer.com/product/654213</t>
        </is>
      </c>
    </row>
    <row r="1489">
      <c r="A1489" s="2" t="inlineStr">
        <is>
          <t>Mega Forces Tin [Mega Darkrai ex]</t>
        </is>
      </c>
      <c r="B1489" s="3">
        <f>IF(H1489&lt;&gt;"",H1489,IF(I1489&lt;&gt;"",I1489,IF(J1489&lt;&gt;"",J1489,K1489)))</f>
        <v>53.37</v>
      </c>
      <c r="C1489" s="3">
        <f>MEDIAN(H1489:K1489)</f>
        <v>53.37</v>
      </c>
      <c r="D1489" s="3">
        <f>ROUND(C1489*(1-Settings!$B$2),2)</f>
        <v>37.36</v>
      </c>
      <c r="E1489" s="2" t="inlineStr">
        <is>
          <t>Pokemon</t>
        </is>
      </c>
      <c r="F1489" s="2" t="inlineStr">
        <is>
          <t>Coffret</t>
        </is>
      </c>
      <c r="G1489" s="2" t="inlineStr">
        <is>
          <t>Miscellaneous Cards &amp; Products</t>
        </is>
      </c>
      <c r="H1489" s="3" t="n"/>
      <c r="I1489" s="3" t="n">
        <v>53.37</v>
      </c>
      <c r="J1489" s="3" t="n">
        <v>53.53</v>
      </c>
      <c r="K1489" s="3" t="n">
        <v>47.96</v>
      </c>
      <c r="L1489" s="2" t="inlineStr">
        <is>
          <t>TCGplayer</t>
        </is>
      </c>
      <c r="N1489" s="4" t="inlineStr">
        <is>
          <t>https://www.tcgplayer.com/product/702506</t>
        </is>
      </c>
    </row>
    <row r="1490">
      <c r="A1490" s="2" t="inlineStr">
        <is>
          <t>Mega Forces Tin [Mega Dragonite ex]</t>
        </is>
      </c>
      <c r="B1490" s="3">
        <f>IF(H1490&lt;&gt;"",H1490,IF(I1490&lt;&gt;"",I1490,IF(J1490&lt;&gt;"",J1490,K1490)))</f>
        <v>55.11</v>
      </c>
      <c r="C1490" s="3">
        <f>MEDIAN(H1490:K1490)</f>
        <v>55.11</v>
      </c>
      <c r="D1490" s="3">
        <f>ROUND(C1490*(1-Settings!$B$2),2)</f>
        <v>38.58</v>
      </c>
      <c r="E1490" s="2" t="inlineStr">
        <is>
          <t>Pokemon</t>
        </is>
      </c>
      <c r="F1490" s="2" t="inlineStr">
        <is>
          <t>Coffret</t>
        </is>
      </c>
      <c r="G1490" s="2" t="inlineStr">
        <is>
          <t>Miscellaneous Cards &amp; Products</t>
        </is>
      </c>
      <c r="H1490" s="3" t="n"/>
      <c r="I1490" s="3" t="n">
        <v>55.11</v>
      </c>
      <c r="J1490" s="3" t="n">
        <v>55.98</v>
      </c>
      <c r="K1490" s="3" t="n">
        <v>51.96</v>
      </c>
      <c r="L1490" s="2" t="inlineStr">
        <is>
          <t>TCGplayer</t>
        </is>
      </c>
      <c r="N1490" s="4" t="inlineStr">
        <is>
          <t>https://www.tcgplayer.com/product/702505</t>
        </is>
      </c>
    </row>
    <row r="1491">
      <c r="A1491" s="2" t="inlineStr">
        <is>
          <t>Mega Forces Tin [Mega Zeraora ex]</t>
        </is>
      </c>
      <c r="B1491" s="3">
        <f>IF(H1491&lt;&gt;"",H1491,IF(I1491&lt;&gt;"",I1491,IF(J1491&lt;&gt;"",J1491,K1491)))</f>
        <v>52.76</v>
      </c>
      <c r="C1491" s="3">
        <f>MEDIAN(H1491:K1491)</f>
        <v>52.45</v>
      </c>
      <c r="D1491" s="3">
        <f>ROUND(C1491*(1-Settings!$B$2),2)</f>
        <v>36.72</v>
      </c>
      <c r="E1491" s="2" t="inlineStr">
        <is>
          <t>Pokemon</t>
        </is>
      </c>
      <c r="F1491" s="2" t="inlineStr">
        <is>
          <t>Coffret</t>
        </is>
      </c>
      <c r="G1491" s="2" t="inlineStr">
        <is>
          <t>Miscellaneous Cards &amp; Products</t>
        </is>
      </c>
      <c r="H1491" s="3" t="n"/>
      <c r="I1491" s="3" t="n">
        <v>52.76</v>
      </c>
      <c r="J1491" s="3" t="n">
        <v>52.45</v>
      </c>
      <c r="K1491" s="3" t="n">
        <v>47.96</v>
      </c>
      <c r="L1491" s="2" t="inlineStr">
        <is>
          <t>TCGplayer</t>
        </is>
      </c>
      <c r="N1491" s="4" t="inlineStr">
        <is>
          <t>https://www.tcgplayer.com/product/702507</t>
        </is>
      </c>
    </row>
    <row r="1492">
      <c r="A1492" s="2" t="inlineStr">
        <is>
          <t>Mega Forces Tin [Set of 3]</t>
        </is>
      </c>
      <c r="B1492" s="3">
        <f>IF(H1492&lt;&gt;"",H1492,IF(I1492&lt;&gt;"",I1492,IF(J1492&lt;&gt;"",J1492,K1492)))</f>
        <v>118.65</v>
      </c>
      <c r="C1492" s="3">
        <f>MEDIAN(H1492:K1492)</f>
        <v>169.94</v>
      </c>
      <c r="D1492" s="3">
        <f>ROUND(C1492*(1-Settings!$B$2),2)</f>
        <v>118.96</v>
      </c>
      <c r="E1492" s="2" t="inlineStr">
        <is>
          <t>Pokemon</t>
        </is>
      </c>
      <c r="F1492" s="2" t="inlineStr">
        <is>
          <t>Coffret</t>
        </is>
      </c>
      <c r="G1492" s="2" t="inlineStr">
        <is>
          <t>Miscellaneous Cards &amp; Products</t>
        </is>
      </c>
      <c r="H1492" s="3" t="n"/>
      <c r="I1492" s="3" t="n">
        <v>118.65</v>
      </c>
      <c r="J1492" s="3" t="n">
        <v>169.94</v>
      </c>
      <c r="K1492" s="3" t="n">
        <v>169.94</v>
      </c>
      <c r="L1492" s="2" t="inlineStr">
        <is>
          <t>TCGplayer</t>
        </is>
      </c>
      <c r="N1492" s="4" t="inlineStr">
        <is>
          <t>https://www.tcgplayer.com/product/702508</t>
        </is>
      </c>
    </row>
    <row r="1493">
      <c r="A1493" s="2" t="inlineStr">
        <is>
          <t>Mega Greninja ex Premium Collection</t>
        </is>
      </c>
      <c r="B1493" s="3">
        <f>IF(H1493&lt;&gt;"",H1493,IF(I1493&lt;&gt;"",I1493,IF(J1493&lt;&gt;"",J1493,K1493)))</f>
        <v>49.09</v>
      </c>
      <c r="C1493" s="3">
        <f>MEDIAN(H1493:K1493)</f>
        <v>49.09</v>
      </c>
      <c r="D1493" s="3">
        <f>ROUND(C1493*(1-Settings!$B$2),2)</f>
        <v>34.36</v>
      </c>
      <c r="E1493" s="2" t="inlineStr">
        <is>
          <t>Pokemon</t>
        </is>
      </c>
      <c r="F1493" s="2" t="inlineStr">
        <is>
          <t>Coffret</t>
        </is>
      </c>
      <c r="G1493" s="2" t="inlineStr">
        <is>
          <t>Miscellaneous Cards &amp; Products</t>
        </is>
      </c>
      <c r="H1493" s="3" t="n"/>
      <c r="I1493" s="3" t="n">
        <v>49.09</v>
      </c>
      <c r="J1493" s="3" t="n">
        <v>55.91</v>
      </c>
      <c r="K1493" s="3" t="n">
        <v>10</v>
      </c>
      <c r="L1493" s="2" t="inlineStr">
        <is>
          <t>TCGplayer</t>
        </is>
      </c>
      <c r="N1493" s="4" t="inlineStr">
        <is>
          <t>https://www.tcgplayer.com/product/690660</t>
        </is>
      </c>
    </row>
    <row r="1494">
      <c r="A1494" s="2" t="inlineStr">
        <is>
          <t>Mega Kangaskhan ex Box</t>
        </is>
      </c>
      <c r="B1494" s="3">
        <f>IF(H1494&lt;&gt;"",H1494,IF(I1494&lt;&gt;"",I1494,IF(J1494&lt;&gt;"",J1494,K1494)))</f>
        <v>41.51</v>
      </c>
      <c r="C1494" s="3">
        <f>MEDIAN(H1494:K1494)</f>
        <v>41.51</v>
      </c>
      <c r="D1494" s="3">
        <f>ROUND(C1494*(1-Settings!$B$2),2)</f>
        <v>29.06</v>
      </c>
      <c r="E1494" s="2" t="inlineStr">
        <is>
          <t>Pokemon</t>
        </is>
      </c>
      <c r="F1494" s="2" t="inlineStr">
        <is>
          <t>Coffret</t>
        </is>
      </c>
      <c r="G1494" s="2" t="inlineStr">
        <is>
          <t>Miscellaneous Cards &amp; Products</t>
        </is>
      </c>
      <c r="H1494" s="3" t="n"/>
      <c r="I1494" s="3" t="n">
        <v>41.51</v>
      </c>
      <c r="J1494" s="3" t="n">
        <v>45</v>
      </c>
      <c r="K1494" s="3" t="n">
        <v>27.01</v>
      </c>
      <c r="L1494" s="2" t="inlineStr">
        <is>
          <t>TCGplayer</t>
        </is>
      </c>
      <c r="N1494" s="4" t="inlineStr">
        <is>
          <t>https://www.tcgplayer.com/product/654211</t>
        </is>
      </c>
    </row>
    <row r="1495">
      <c r="A1495" s="2" t="inlineStr">
        <is>
          <t>Mega Latias ex Box</t>
        </is>
      </c>
      <c r="B1495" s="3">
        <f>IF(H1495&lt;&gt;"",H1495,IF(I1495&lt;&gt;"",I1495,IF(J1495&lt;&gt;"",J1495,K1495)))</f>
        <v>40.79</v>
      </c>
      <c r="C1495" s="3">
        <f>MEDIAN(H1495:K1495)</f>
        <v>40.79</v>
      </c>
      <c r="D1495" s="3">
        <f>ROUND(C1495*(1-Settings!$B$2),2)</f>
        <v>28.55</v>
      </c>
      <c r="E1495" s="2" t="inlineStr">
        <is>
          <t>Pokemon</t>
        </is>
      </c>
      <c r="F1495" s="2" t="inlineStr">
        <is>
          <t>Coffret</t>
        </is>
      </c>
      <c r="G1495" s="2" t="inlineStr">
        <is>
          <t>Miscellaneous Cards &amp; Products</t>
        </is>
      </c>
      <c r="H1495" s="3" t="n"/>
      <c r="I1495" s="3" t="n">
        <v>40.79</v>
      </c>
      <c r="J1495" s="3" t="n">
        <v>46.11</v>
      </c>
      <c r="K1495" s="3" t="n">
        <v>36.99</v>
      </c>
      <c r="L1495" s="2" t="inlineStr">
        <is>
          <t>TCGplayer</t>
        </is>
      </c>
      <c r="N1495" s="4" t="inlineStr">
        <is>
          <t>https://www.tcgplayer.com/product/654188</t>
        </is>
      </c>
    </row>
    <row r="1496">
      <c r="A1496" s="2" t="inlineStr">
        <is>
          <t>Mega Lucario ex Premium Figure Collection</t>
        </is>
      </c>
      <c r="B1496" s="3">
        <f>IF(H1496&lt;&gt;"",H1496,IF(I1496&lt;&gt;"",I1496,IF(J1496&lt;&gt;"",J1496,K1496)))</f>
        <v>55.44</v>
      </c>
      <c r="C1496" s="3">
        <f>MEDIAN(H1496:K1496)</f>
        <v>55.44</v>
      </c>
      <c r="D1496" s="3">
        <f>ROUND(C1496*(1-Settings!$B$2),2)</f>
        <v>38.81</v>
      </c>
      <c r="E1496" s="2" t="inlineStr">
        <is>
          <t>Pokemon</t>
        </is>
      </c>
      <c r="F1496" s="2" t="inlineStr">
        <is>
          <t>Coffret</t>
        </is>
      </c>
      <c r="G1496" s="2" t="inlineStr">
        <is>
          <t>Miscellaneous Cards &amp; Products</t>
        </is>
      </c>
      <c r="H1496" s="3" t="n"/>
      <c r="I1496" s="3" t="n">
        <v>55.44</v>
      </c>
      <c r="J1496" s="3" t="n">
        <v>62.98</v>
      </c>
      <c r="K1496" s="3" t="n">
        <v>5</v>
      </c>
      <c r="L1496" s="2" t="inlineStr">
        <is>
          <t>TCGplayer</t>
        </is>
      </c>
      <c r="N1496" s="4" t="inlineStr">
        <is>
          <t>https://www.tcgplayer.com/product/656487</t>
        </is>
      </c>
    </row>
    <row r="1497">
      <c r="A1497" s="2" t="inlineStr">
        <is>
          <t>Mega Moonlit Tin [Mega Clefable ex]</t>
        </is>
      </c>
      <c r="B1497" s="3">
        <f>IF(H1497&lt;&gt;"",H1497,IF(I1497&lt;&gt;"",I1497,IF(J1497&lt;&gt;"",J1497,K1497)))</f>
        <v>26.78</v>
      </c>
      <c r="C1497" s="3">
        <f>MEDIAN(H1497:K1497)</f>
        <v>26.78</v>
      </c>
      <c r="D1497" s="3">
        <f>ROUND(C1497*(1-Settings!$B$2),2)</f>
        <v>18.75</v>
      </c>
      <c r="E1497" s="2" t="inlineStr">
        <is>
          <t>Pokemon</t>
        </is>
      </c>
      <c r="F1497" s="2" t="inlineStr">
        <is>
          <t>Coffret</t>
        </is>
      </c>
      <c r="G1497" s="2" t="inlineStr">
        <is>
          <t>Miscellaneous Cards &amp; Products</t>
        </is>
      </c>
      <c r="H1497" s="3" t="n"/>
      <c r="I1497" s="3" t="n">
        <v>26.78</v>
      </c>
      <c r="J1497" s="3" t="n">
        <v>31.98</v>
      </c>
      <c r="K1497" s="3" t="n">
        <v>12.5</v>
      </c>
      <c r="L1497" s="2" t="inlineStr">
        <is>
          <t>TCGplayer</t>
        </is>
      </c>
      <c r="N1497" s="4" t="inlineStr">
        <is>
          <t>https://www.tcgplayer.com/product/686438</t>
        </is>
      </c>
    </row>
    <row r="1498">
      <c r="A1498" s="2" t="inlineStr">
        <is>
          <t>Mega Moonlit Tin [Mega Gengar ex]</t>
        </is>
      </c>
      <c r="B1498" s="3">
        <f>IF(H1498&lt;&gt;"",H1498,IF(I1498&lt;&gt;"",I1498,IF(J1498&lt;&gt;"",J1498,K1498)))</f>
        <v>32.98</v>
      </c>
      <c r="C1498" s="3">
        <f>MEDIAN(H1498:K1498)</f>
        <v>32.98</v>
      </c>
      <c r="D1498" s="3">
        <f>ROUND(C1498*(1-Settings!$B$2),2)</f>
        <v>23.09</v>
      </c>
      <c r="E1498" s="2" t="inlineStr">
        <is>
          <t>Pokemon</t>
        </is>
      </c>
      <c r="F1498" s="2" t="inlineStr">
        <is>
          <t>Coffret</t>
        </is>
      </c>
      <c r="G1498" s="2" t="inlineStr">
        <is>
          <t>Miscellaneous Cards &amp; Products</t>
        </is>
      </c>
      <c r="H1498" s="3" t="n"/>
      <c r="I1498" s="3" t="n">
        <v>32.98</v>
      </c>
      <c r="J1498" s="3" t="n">
        <v>39.04</v>
      </c>
      <c r="K1498" s="3" t="n">
        <v>29</v>
      </c>
      <c r="L1498" s="2" t="inlineStr">
        <is>
          <t>TCGplayer</t>
        </is>
      </c>
      <c r="N1498" s="4" t="inlineStr">
        <is>
          <t>https://www.tcgplayer.com/product/686437</t>
        </is>
      </c>
    </row>
    <row r="1499">
      <c r="A1499" s="2" t="inlineStr">
        <is>
          <t>Mega Venusaur ex Premium Collection</t>
        </is>
      </c>
      <c r="B1499" s="3">
        <f>IF(H1499&lt;&gt;"",H1499,IF(I1499&lt;&gt;"",I1499,IF(J1499&lt;&gt;"",J1499,K1499)))</f>
        <v>70.12</v>
      </c>
      <c r="C1499" s="3">
        <f>MEDIAN(H1499:K1499)</f>
        <v>70.12</v>
      </c>
      <c r="D1499" s="3">
        <f>ROUND(C1499*(1-Settings!$B$2),2)</f>
        <v>49.08</v>
      </c>
      <c r="E1499" s="2" t="inlineStr">
        <is>
          <t>Pokemon</t>
        </is>
      </c>
      <c r="F1499" s="2" t="inlineStr">
        <is>
          <t>Coffret</t>
        </is>
      </c>
      <c r="G1499" s="2" t="inlineStr">
        <is>
          <t>Miscellaneous Cards &amp; Products</t>
        </is>
      </c>
      <c r="H1499" s="3" t="n"/>
      <c r="I1499" s="3" t="n">
        <v>70.12</v>
      </c>
      <c r="J1499" s="3" t="n">
        <v>75</v>
      </c>
      <c r="K1499" s="3" t="n">
        <v>2.99</v>
      </c>
      <c r="L1499" s="2" t="inlineStr">
        <is>
          <t>TCGplayer</t>
        </is>
      </c>
      <c r="N1499" s="4" t="inlineStr">
        <is>
          <t>https://www.tcgplayer.com/product/654212</t>
        </is>
      </c>
    </row>
    <row r="1500">
      <c r="A1500" s="2" t="inlineStr">
        <is>
          <t>Mega Zygarde ex Premium Collection</t>
        </is>
      </c>
      <c r="B1500" s="3">
        <f>IF(H1500&lt;&gt;"",H1500,IF(I1500&lt;&gt;"",I1500,IF(J1500&lt;&gt;"",J1500,K1500)))</f>
        <v>48.42</v>
      </c>
      <c r="C1500" s="3">
        <f>MEDIAN(H1500:K1500)</f>
        <v>48.42</v>
      </c>
      <c r="D1500" s="3">
        <f>ROUND(C1500*(1-Settings!$B$2),2)</f>
        <v>33.89</v>
      </c>
      <c r="E1500" s="2" t="inlineStr">
        <is>
          <t>Pokemon</t>
        </is>
      </c>
      <c r="F1500" s="2" t="inlineStr">
        <is>
          <t>Coffret</t>
        </is>
      </c>
      <c r="G1500" s="2" t="inlineStr">
        <is>
          <t>Miscellaneous Cards &amp; Products</t>
        </is>
      </c>
      <c r="H1500" s="3" t="n"/>
      <c r="I1500" s="3" t="n">
        <v>48.42</v>
      </c>
      <c r="J1500" s="3" t="n">
        <v>55.3</v>
      </c>
      <c r="K1500" s="3" t="n">
        <v>45</v>
      </c>
      <c r="L1500" s="2" t="inlineStr">
        <is>
          <t>TCGplayer</t>
        </is>
      </c>
      <c r="N1500" s="4" t="inlineStr">
        <is>
          <t>https://www.tcgplayer.com/product/682939</t>
        </is>
      </c>
    </row>
    <row r="1501">
      <c r="A1501" s="2" t="inlineStr">
        <is>
          <t>Melmetal ex Box</t>
        </is>
      </c>
      <c r="B1501" s="3">
        <f>IF(H1501&lt;&gt;"",H1501,IF(I1501&lt;&gt;"",I1501,IF(J1501&lt;&gt;"",J1501,K1501)))</f>
        <v>37.89</v>
      </c>
      <c r="C1501" s="3">
        <f>MEDIAN(H1501:K1501)</f>
        <v>37.89</v>
      </c>
      <c r="D1501" s="3">
        <f>ROUND(C1501*(1-Settings!$B$2),2)</f>
        <v>26.52</v>
      </c>
      <c r="E1501" s="2" t="inlineStr">
        <is>
          <t>Pokemon</t>
        </is>
      </c>
      <c r="F1501" s="2" t="inlineStr">
        <is>
          <t>Coffret</t>
        </is>
      </c>
      <c r="G1501" s="2" t="inlineStr">
        <is>
          <t>Miscellaneous Cards &amp; Products</t>
        </is>
      </c>
      <c r="H1501" s="3" t="n"/>
      <c r="I1501" s="3" t="n">
        <v>37.89</v>
      </c>
      <c r="J1501" s="3" t="n">
        <v>40.98</v>
      </c>
      <c r="K1501" s="3" t="n">
        <v>30</v>
      </c>
      <c r="L1501" s="2" t="inlineStr">
        <is>
          <t>TCGplayer</t>
        </is>
      </c>
      <c r="N1501" s="4" t="inlineStr">
        <is>
          <t>https://www.tcgplayer.com/product/662750</t>
        </is>
      </c>
    </row>
    <row r="1502">
      <c r="A1502" s="2" t="inlineStr">
        <is>
          <t>Meowth VMAX Special Collection</t>
        </is>
      </c>
      <c r="B1502" s="3">
        <f>IF(H1502&lt;&gt;"",H1502,IF(I1502&lt;&gt;"",I1502,IF(J1502&lt;&gt;"",J1502,K1502)))</f>
        <v>285.78</v>
      </c>
      <c r="C1502" s="3">
        <f>MEDIAN(H1502:K1502)</f>
        <v>329.99</v>
      </c>
      <c r="D1502" s="3">
        <f>ROUND(C1502*(1-Settings!$B$2),2)</f>
        <v>230.99</v>
      </c>
      <c r="E1502" s="2" t="inlineStr">
        <is>
          <t>Pokemon</t>
        </is>
      </c>
      <c r="F1502" s="2" t="inlineStr">
        <is>
          <t>Coffret</t>
        </is>
      </c>
      <c r="G1502" s="2" t="inlineStr">
        <is>
          <t>Miscellaneous Cards &amp; Products</t>
        </is>
      </c>
      <c r="H1502" s="3" t="n"/>
      <c r="I1502" s="3" t="n">
        <v>285.78</v>
      </c>
      <c r="J1502" s="3" t="n">
        <v>425</v>
      </c>
      <c r="K1502" s="3" t="n">
        <v>329.99</v>
      </c>
      <c r="L1502" s="2" t="inlineStr">
        <is>
          <t>TCGplayer</t>
        </is>
      </c>
      <c r="N1502" s="4" t="inlineStr">
        <is>
          <t>https://www.tcgplayer.com/product/205464</t>
        </is>
      </c>
    </row>
    <row r="1503">
      <c r="A1503" s="2" t="inlineStr">
        <is>
          <t>Mew V Box</t>
        </is>
      </c>
      <c r="B1503" s="3">
        <f>IF(H1503&lt;&gt;"",H1503,IF(I1503&lt;&gt;"",I1503,IF(J1503&lt;&gt;"",J1503,K1503)))</f>
        <v>120.0</v>
      </c>
      <c r="C1503" s="3">
        <f>MEDIAN(H1503:K1503)</f>
        <v>120.0</v>
      </c>
      <c r="D1503" s="3">
        <f>ROUND(C1503*(1-Settings!$B$2),2)</f>
        <v>84.0</v>
      </c>
      <c r="E1503" s="2" t="inlineStr">
        <is>
          <t>Pokemon</t>
        </is>
      </c>
      <c r="F1503" s="2" t="inlineStr">
        <is>
          <t>Coffret</t>
        </is>
      </c>
      <c r="G1503" s="2" t="inlineStr">
        <is>
          <t>Miscellaneous Cards &amp; Products</t>
        </is>
      </c>
      <c r="H1503" s="3" t="n"/>
      <c r="I1503" s="3" t="n">
        <v>120</v>
      </c>
      <c r="J1503" s="3" t="n"/>
      <c r="K1503" s="3" t="n"/>
      <c r="L1503" s="2" t="inlineStr">
        <is>
          <t>TCGplayer</t>
        </is>
      </c>
      <c r="N1503" s="4" t="inlineStr">
        <is>
          <t>https://www.tcgplayer.com/product/286476</t>
        </is>
      </c>
    </row>
    <row r="1504">
      <c r="A1504" s="2" t="inlineStr">
        <is>
          <t>Mighty Mysterious Tin [Darkrai]</t>
        </is>
      </c>
      <c r="B1504" s="3">
        <f>IF(H1504&lt;&gt;"",H1504,IF(I1504&lt;&gt;"",I1504,IF(J1504&lt;&gt;"",J1504,K1504)))</f>
        <v>58.69</v>
      </c>
      <c r="C1504" s="3">
        <f>MEDIAN(H1504:K1504)</f>
        <v>62.99</v>
      </c>
      <c r="D1504" s="3">
        <f>ROUND(C1504*(1-Settings!$B$2),2)</f>
        <v>44.09</v>
      </c>
      <c r="E1504" s="2" t="inlineStr">
        <is>
          <t>Pokemon</t>
        </is>
      </c>
      <c r="F1504" s="2" t="inlineStr">
        <is>
          <t>Coffret</t>
        </is>
      </c>
      <c r="G1504" s="2" t="inlineStr">
        <is>
          <t>Miscellaneous Cards &amp; Products</t>
        </is>
      </c>
      <c r="H1504" s="3" t="n"/>
      <c r="I1504" s="3" t="n">
        <v>58.69</v>
      </c>
      <c r="J1504" s="3" t="n">
        <v>86</v>
      </c>
      <c r="K1504" s="3" t="n">
        <v>62.99</v>
      </c>
      <c r="L1504" s="2" t="inlineStr">
        <is>
          <t>TCGplayer</t>
        </is>
      </c>
      <c r="N1504" s="4" t="inlineStr">
        <is>
          <t>https://www.tcgplayer.com/product/247819</t>
        </is>
      </c>
    </row>
    <row r="1505">
      <c r="A1505" s="2" t="inlineStr">
        <is>
          <t>Mighty Mysterious Tin [Mimikyu]</t>
        </is>
      </c>
      <c r="B1505" s="3">
        <f>IF(H1505&lt;&gt;"",H1505,IF(I1505&lt;&gt;"",I1505,IF(J1505&lt;&gt;"",J1505,K1505)))</f>
        <v>97.33</v>
      </c>
      <c r="C1505" s="3">
        <f>MEDIAN(H1505:K1505)</f>
        <v>129.99</v>
      </c>
      <c r="D1505" s="3">
        <f>ROUND(C1505*(1-Settings!$B$2),2)</f>
        <v>90.99</v>
      </c>
      <c r="E1505" s="2" t="inlineStr">
        <is>
          <t>Pokemon</t>
        </is>
      </c>
      <c r="F1505" s="2" t="inlineStr">
        <is>
          <t>Coffret</t>
        </is>
      </c>
      <c r="G1505" s="2" t="inlineStr">
        <is>
          <t>Miscellaneous Cards &amp; Products</t>
        </is>
      </c>
      <c r="H1505" s="3" t="n"/>
      <c r="I1505" s="3" t="n">
        <v>97.33</v>
      </c>
      <c r="J1505" s="3" t="n">
        <v>147.99</v>
      </c>
      <c r="K1505" s="3" t="n">
        <v>129.99</v>
      </c>
      <c r="L1505" s="2" t="inlineStr">
        <is>
          <t>TCGplayer</t>
        </is>
      </c>
      <c r="N1505" s="4" t="inlineStr">
        <is>
          <t>https://www.tcgplayer.com/product/247818</t>
        </is>
      </c>
    </row>
    <row r="1506">
      <c r="A1506" s="2" t="inlineStr">
        <is>
          <t>Mighty Mysterious Tin [Snorlax]</t>
        </is>
      </c>
      <c r="B1506" s="3">
        <f>IF(H1506&lt;&gt;"",H1506,IF(I1506&lt;&gt;"",I1506,IF(J1506&lt;&gt;"",J1506,K1506)))</f>
        <v>88.27</v>
      </c>
      <c r="C1506" s="3">
        <f>MEDIAN(H1506:K1506)</f>
        <v>88.27</v>
      </c>
      <c r="D1506" s="3">
        <f>ROUND(C1506*(1-Settings!$B$2),2)</f>
        <v>61.79</v>
      </c>
      <c r="E1506" s="2" t="inlineStr">
        <is>
          <t>Pokemon</t>
        </is>
      </c>
      <c r="F1506" s="2" t="inlineStr">
        <is>
          <t>Coffret</t>
        </is>
      </c>
      <c r="G1506" s="2" t="inlineStr">
        <is>
          <t>Miscellaneous Cards &amp; Products</t>
        </is>
      </c>
      <c r="H1506" s="3" t="n"/>
      <c r="I1506" s="3" t="n">
        <v>88.27</v>
      </c>
      <c r="J1506" s="3" t="n">
        <v>119</v>
      </c>
      <c r="K1506" s="3" t="n">
        <v>80</v>
      </c>
      <c r="L1506" s="2" t="inlineStr">
        <is>
          <t>TCGplayer</t>
        </is>
      </c>
      <c r="N1506" s="4" t="inlineStr">
        <is>
          <t>https://www.tcgplayer.com/product/247820</t>
        </is>
      </c>
    </row>
    <row r="1507">
      <c r="A1507" s="2" t="inlineStr">
        <is>
          <t>Mighty Mysterious Tins [Set of 3]</t>
        </is>
      </c>
      <c r="B1507" s="3">
        <f>IF(H1507&lt;&gt;"",H1507,IF(I1507&lt;&gt;"",I1507,IF(J1507&lt;&gt;"",J1507,K1507)))</f>
        <v>325.0</v>
      </c>
      <c r="C1507" s="3">
        <f>MEDIAN(H1507:K1507)</f>
        <v>287.5</v>
      </c>
      <c r="D1507" s="3">
        <f>ROUND(C1507*(1-Settings!$B$2),2)</f>
        <v>201.25</v>
      </c>
      <c r="E1507" s="2" t="inlineStr">
        <is>
          <t>Pokemon</t>
        </is>
      </c>
      <c r="F1507" s="2" t="inlineStr">
        <is>
          <t>Coffret</t>
        </is>
      </c>
      <c r="G1507" s="2" t="inlineStr">
        <is>
          <t>Miscellaneous Cards &amp; Products</t>
        </is>
      </c>
      <c r="H1507" s="3" t="n"/>
      <c r="I1507" s="3" t="n"/>
      <c r="J1507" s="3" t="n">
        <v>325</v>
      </c>
      <c r="K1507" s="3" t="n">
        <v>250</v>
      </c>
      <c r="L1507" s="2" t="inlineStr">
        <is>
          <t>TCGplayer</t>
        </is>
      </c>
      <c r="N1507" s="4" t="inlineStr">
        <is>
          <t>https://www.tcgplayer.com/product/648586</t>
        </is>
      </c>
    </row>
    <row r="1508">
      <c r="A1508" s="2" t="inlineStr">
        <is>
          <t>Mimikyu ex &amp; Alcremie ex Premium Collection</t>
        </is>
      </c>
      <c r="B1508" s="3">
        <f>IF(H1508&lt;&gt;"",H1508,IF(I1508&lt;&gt;"",I1508,IF(J1508&lt;&gt;"",J1508,K1508)))</f>
        <v>117.41</v>
      </c>
      <c r="C1508" s="3">
        <f>MEDIAN(H1508:K1508)</f>
        <v>117.41</v>
      </c>
      <c r="D1508" s="3">
        <f>ROUND(C1508*(1-Settings!$B$2),2)</f>
        <v>82.19</v>
      </c>
      <c r="E1508" s="2" t="inlineStr">
        <is>
          <t>Pokemon</t>
        </is>
      </c>
      <c r="F1508" s="2" t="inlineStr">
        <is>
          <t>Coffret</t>
        </is>
      </c>
      <c r="G1508" s="2" t="inlineStr">
        <is>
          <t>Miscellaneous Cards &amp; Products</t>
        </is>
      </c>
      <c r="H1508" s="3" t="n"/>
      <c r="I1508" s="3" t="n">
        <v>117.41</v>
      </c>
      <c r="J1508" s="3" t="n">
        <v>119.99</v>
      </c>
      <c r="K1508" s="3" t="n">
        <v>100</v>
      </c>
      <c r="L1508" s="2" t="inlineStr">
        <is>
          <t>TCGplayer</t>
        </is>
      </c>
      <c r="N1508" s="4" t="inlineStr">
        <is>
          <t>https://www.tcgplayer.com/product/655747</t>
        </is>
      </c>
    </row>
    <row r="1509">
      <c r="A1509" s="2" t="inlineStr">
        <is>
          <t>Mimikyu ex Box</t>
        </is>
      </c>
      <c r="B1509" s="3">
        <f>IF(H1509&lt;&gt;"",H1509,IF(I1509&lt;&gt;"",I1509,IF(J1509&lt;&gt;"",J1509,K1509)))</f>
        <v>94.56</v>
      </c>
      <c r="C1509" s="3">
        <f>MEDIAN(H1509:K1509)</f>
        <v>109.99</v>
      </c>
      <c r="D1509" s="3">
        <f>ROUND(C1509*(1-Settings!$B$2),2)</f>
        <v>76.99</v>
      </c>
      <c r="E1509" s="2" t="inlineStr">
        <is>
          <t>Pokemon</t>
        </is>
      </c>
      <c r="F1509" s="2" t="inlineStr">
        <is>
          <t>Coffret</t>
        </is>
      </c>
      <c r="G1509" s="2" t="inlineStr">
        <is>
          <t>Miscellaneous Cards &amp; Products</t>
        </is>
      </c>
      <c r="H1509" s="3" t="n"/>
      <c r="I1509" s="3" t="n">
        <v>94.56</v>
      </c>
      <c r="J1509" s="3" t="n">
        <v>118</v>
      </c>
      <c r="K1509" s="3" t="n">
        <v>109.99</v>
      </c>
      <c r="L1509" s="2" t="inlineStr">
        <is>
          <t>TCGplayer</t>
        </is>
      </c>
      <c r="N1509" s="4" t="inlineStr">
        <is>
          <t>https://www.tcgplayer.com/product/475802</t>
        </is>
      </c>
    </row>
    <row r="1510">
      <c r="A1510" s="2" t="inlineStr">
        <is>
          <t>Morpeko V-UNION Special Collection</t>
        </is>
      </c>
      <c r="B1510" s="3">
        <f>IF(H1510&lt;&gt;"",H1510,IF(I1510&lt;&gt;"",I1510,IF(J1510&lt;&gt;"",J1510,K1510)))</f>
        <v>72.98</v>
      </c>
      <c r="C1510" s="3">
        <f>MEDIAN(H1510:K1510)</f>
        <v>79.69</v>
      </c>
      <c r="D1510" s="3">
        <f>ROUND(C1510*(1-Settings!$B$2),2)</f>
        <v>55.78</v>
      </c>
      <c r="E1510" s="2" t="inlineStr">
        <is>
          <t>Pokemon</t>
        </is>
      </c>
      <c r="F1510" s="2" t="inlineStr">
        <is>
          <t>Coffret</t>
        </is>
      </c>
      <c r="G1510" s="2" t="inlineStr">
        <is>
          <t>Miscellaneous Cards &amp; Products</t>
        </is>
      </c>
      <c r="H1510" s="3" t="n"/>
      <c r="I1510" s="3" t="n">
        <v>72.98</v>
      </c>
      <c r="J1510" s="3" t="n">
        <v>92.98</v>
      </c>
      <c r="K1510" s="3" t="n">
        <v>79.69</v>
      </c>
      <c r="L1510" s="2" t="inlineStr">
        <is>
          <t>TCGplayer</t>
        </is>
      </c>
      <c r="N1510" s="4" t="inlineStr">
        <is>
          <t>https://www.tcgplayer.com/product/262646</t>
        </is>
      </c>
    </row>
    <row r="1511">
      <c r="A1511" s="2" t="inlineStr">
        <is>
          <t>Mythical 2-Pack Blister [Celebi]</t>
        </is>
      </c>
      <c r="B1511" s="3">
        <f>IF(H1511&lt;&gt;"",H1511,IF(I1511&lt;&gt;"",I1511,IF(J1511&lt;&gt;"",J1511,K1511)))</f>
        <v>59.95</v>
      </c>
      <c r="C1511" s="3">
        <f>MEDIAN(H1511:K1511)</f>
        <v>57.48</v>
      </c>
      <c r="D1511" s="3">
        <f>ROUND(C1511*(1-Settings!$B$2),2)</f>
        <v>40.24</v>
      </c>
      <c r="E1511" s="2" t="inlineStr">
        <is>
          <t>Pokemon</t>
        </is>
      </c>
      <c r="F1511" s="2" t="inlineStr">
        <is>
          <t>Coffret</t>
        </is>
      </c>
      <c r="G1511" s="2" t="inlineStr">
        <is>
          <t>Miscellaneous Cards &amp; Products</t>
        </is>
      </c>
      <c r="H1511" s="3" t="n"/>
      <c r="I1511" s="3" t="n">
        <v>59.95</v>
      </c>
      <c r="J1511" s="3" t="n">
        <v>57.48</v>
      </c>
      <c r="K1511" s="3" t="n">
        <v>55</v>
      </c>
      <c r="L1511" s="2" t="inlineStr">
        <is>
          <t>TCGplayer</t>
        </is>
      </c>
      <c r="N1511" s="4" t="inlineStr">
        <is>
          <t>https://www.tcgplayer.com/product/517119</t>
        </is>
      </c>
    </row>
    <row r="1512">
      <c r="A1512" s="2" t="inlineStr">
        <is>
          <t>Mythical 2-Pack Blister [Jirachi]</t>
        </is>
      </c>
      <c r="B1512" s="3">
        <f>IF(H1512&lt;&gt;"",H1512,IF(I1512&lt;&gt;"",I1512,IF(J1512&lt;&gt;"",J1512,K1512)))</f>
        <v>58.23</v>
      </c>
      <c r="C1512" s="3">
        <f>MEDIAN(H1512:K1512)</f>
        <v>58.84</v>
      </c>
      <c r="D1512" s="3">
        <f>ROUND(C1512*(1-Settings!$B$2),2)</f>
        <v>41.19</v>
      </c>
      <c r="E1512" s="2" t="inlineStr">
        <is>
          <t>Pokemon</t>
        </is>
      </c>
      <c r="F1512" s="2" t="inlineStr">
        <is>
          <t>Coffret</t>
        </is>
      </c>
      <c r="G1512" s="2" t="inlineStr">
        <is>
          <t>Miscellaneous Cards &amp; Products</t>
        </is>
      </c>
      <c r="H1512" s="3" t="n"/>
      <c r="I1512" s="3" t="n">
        <v>58.23</v>
      </c>
      <c r="J1512" s="3" t="n">
        <v>59.4</v>
      </c>
      <c r="K1512" s="3" t="n">
        <v>58.84</v>
      </c>
      <c r="L1512" s="2" t="inlineStr">
        <is>
          <t>TCGplayer</t>
        </is>
      </c>
      <c r="N1512" s="4" t="inlineStr">
        <is>
          <t>https://www.tcgplayer.com/product/517120</t>
        </is>
      </c>
    </row>
    <row r="1513">
      <c r="A1513" s="2" t="inlineStr">
        <is>
          <t>Mythical Squishy Premium Collection</t>
        </is>
      </c>
      <c r="B1513" s="3">
        <f>IF(H1513&lt;&gt;"",H1513,IF(I1513&lt;&gt;"",I1513,IF(J1513&lt;&gt;"",J1513,K1513)))</f>
        <v>263.87</v>
      </c>
      <c r="C1513" s="3">
        <f>MEDIAN(H1513:K1513)</f>
        <v>263.87</v>
      </c>
      <c r="D1513" s="3">
        <f>ROUND(C1513*(1-Settings!$B$2),2)</f>
        <v>184.71</v>
      </c>
      <c r="E1513" s="2" t="inlineStr">
        <is>
          <t>Pokemon</t>
        </is>
      </c>
      <c r="F1513" s="2" t="inlineStr">
        <is>
          <t>Coffret</t>
        </is>
      </c>
      <c r="G1513" s="2" t="inlineStr">
        <is>
          <t>Miscellaneous Cards &amp; Products</t>
        </is>
      </c>
      <c r="H1513" s="3" t="n"/>
      <c r="I1513" s="3" t="n">
        <v>263.87</v>
      </c>
      <c r="J1513" s="3" t="n">
        <v>292.5</v>
      </c>
      <c r="K1513" s="3" t="n">
        <v>258.9</v>
      </c>
      <c r="L1513" s="2" t="inlineStr">
        <is>
          <t>TCGplayer</t>
        </is>
      </c>
      <c r="N1513" s="4" t="inlineStr">
        <is>
          <t>https://www.tcgplayer.com/product/248205</t>
        </is>
      </c>
    </row>
    <row r="1514">
      <c r="A1514" s="2" t="inlineStr">
        <is>
          <t>Ogerpon ex Premium Collection</t>
        </is>
      </c>
      <c r="B1514" s="3">
        <f>IF(H1514&lt;&gt;"",H1514,IF(I1514&lt;&gt;"",I1514,IF(J1514&lt;&gt;"",J1514,K1514)))</f>
        <v>60.4</v>
      </c>
      <c r="C1514" s="3">
        <f>MEDIAN(H1514:K1514)</f>
        <v>60.4</v>
      </c>
      <c r="D1514" s="3">
        <f>ROUND(C1514*(1-Settings!$B$2),2)</f>
        <v>42.28</v>
      </c>
      <c r="E1514" s="2" t="inlineStr">
        <is>
          <t>Pokemon</t>
        </is>
      </c>
      <c r="F1514" s="2" t="inlineStr">
        <is>
          <t>Coffret</t>
        </is>
      </c>
      <c r="G1514" s="2" t="inlineStr">
        <is>
          <t>Miscellaneous Cards &amp; Products</t>
        </is>
      </c>
      <c r="H1514" s="3" t="n"/>
      <c r="I1514" s="3" t="n">
        <v>60.4</v>
      </c>
      <c r="J1514" s="3" t="n">
        <v>62</v>
      </c>
      <c r="K1514" s="3" t="n">
        <v>50</v>
      </c>
      <c r="L1514" s="2" t="inlineStr">
        <is>
          <t>TCGplayer</t>
        </is>
      </c>
      <c r="N1514" s="4" t="inlineStr">
        <is>
          <t>https://www.tcgplayer.com/product/576482</t>
        </is>
      </c>
    </row>
    <row r="1515">
      <c r="A1515" s="2" t="inlineStr">
        <is>
          <t>Oinkologne ex Box</t>
        </is>
      </c>
      <c r="B1515" s="3">
        <f>IF(H1515&lt;&gt;"",H1515,IF(I1515&lt;&gt;"",I1515,IF(J1515&lt;&gt;"",J1515,K1515)))</f>
        <v>51.28</v>
      </c>
      <c r="C1515" s="3">
        <f>MEDIAN(H1515:K1515)</f>
        <v>69.99</v>
      </c>
      <c r="D1515" s="3">
        <f>ROUND(C1515*(1-Settings!$B$2),2)</f>
        <v>48.99</v>
      </c>
      <c r="E1515" s="2" t="inlineStr">
        <is>
          <t>Pokemon</t>
        </is>
      </c>
      <c r="F1515" s="2" t="inlineStr">
        <is>
          <t>Coffret</t>
        </is>
      </c>
      <c r="G1515" s="2" t="inlineStr">
        <is>
          <t>Miscellaneous Cards &amp; Products</t>
        </is>
      </c>
      <c r="H1515" s="3" t="n"/>
      <c r="I1515" s="3" t="n">
        <v>51.28</v>
      </c>
      <c r="J1515" s="3" t="n">
        <v>72.5</v>
      </c>
      <c r="K1515" s="3" t="n">
        <v>69.98999999999999</v>
      </c>
      <c r="L1515" s="2" t="inlineStr">
        <is>
          <t>TCGplayer</t>
        </is>
      </c>
      <c r="N1515" s="4" t="inlineStr">
        <is>
          <t>https://www.tcgplayer.com/product/527801</t>
        </is>
      </c>
    </row>
    <row r="1516">
      <c r="A1516" s="2" t="inlineStr">
        <is>
          <t>Palafin ex Box</t>
        </is>
      </c>
      <c r="B1516" s="3">
        <f>IF(H1516&lt;&gt;"",H1516,IF(I1516&lt;&gt;"",I1516,IF(J1516&lt;&gt;"",J1516,K1516)))</f>
        <v>41.04</v>
      </c>
      <c r="C1516" s="3">
        <f>MEDIAN(H1516:K1516)</f>
        <v>53.51</v>
      </c>
      <c r="D1516" s="3">
        <f>ROUND(C1516*(1-Settings!$B$2),2)</f>
        <v>37.46</v>
      </c>
      <c r="E1516" s="2" t="inlineStr">
        <is>
          <t>Pokemon</t>
        </is>
      </c>
      <c r="F1516" s="2" t="inlineStr">
        <is>
          <t>Coffret</t>
        </is>
      </c>
      <c r="G1516" s="2" t="inlineStr">
        <is>
          <t>Miscellaneous Cards &amp; Products</t>
        </is>
      </c>
      <c r="H1516" s="3" t="n"/>
      <c r="I1516" s="3" t="n">
        <v>41.04</v>
      </c>
      <c r="J1516" s="3" t="n">
        <v>59.5</v>
      </c>
      <c r="K1516" s="3" t="n">
        <v>53.51</v>
      </c>
      <c r="L1516" s="2" t="inlineStr">
        <is>
          <t>TCGplayer</t>
        </is>
      </c>
      <c r="N1516" s="4" t="inlineStr">
        <is>
          <t>https://www.tcgplayer.com/product/547129</t>
        </is>
      </c>
    </row>
    <row r="1517">
      <c r="A1517" s="2" t="inlineStr">
        <is>
          <t>Paldea Collection [Fuecoco/Koraidon ex]</t>
        </is>
      </c>
      <c r="B1517" s="3">
        <f>IF(H1517&lt;&gt;"",H1517,IF(I1517&lt;&gt;"",I1517,IF(J1517&lt;&gt;"",J1517,K1517)))</f>
        <v>61.8</v>
      </c>
      <c r="C1517" s="3">
        <f>MEDIAN(H1517:K1517)</f>
        <v>75.0</v>
      </c>
      <c r="D1517" s="3">
        <f>ROUND(C1517*(1-Settings!$B$2),2)</f>
        <v>52.5</v>
      </c>
      <c r="E1517" s="2" t="inlineStr">
        <is>
          <t>Pokemon</t>
        </is>
      </c>
      <c r="F1517" s="2" t="inlineStr">
        <is>
          <t>Coffret</t>
        </is>
      </c>
      <c r="G1517" s="2" t="inlineStr">
        <is>
          <t>Miscellaneous Cards &amp; Products</t>
        </is>
      </c>
      <c r="H1517" s="3" t="n"/>
      <c r="I1517" s="3" t="n">
        <v>61.8</v>
      </c>
      <c r="J1517" s="3" t="n">
        <v>80.75</v>
      </c>
      <c r="K1517" s="3" t="n">
        <v>75</v>
      </c>
      <c r="L1517" s="2" t="inlineStr">
        <is>
          <t>TCGplayer</t>
        </is>
      </c>
      <c r="N1517" s="4" t="inlineStr">
        <is>
          <t>https://www.tcgplayer.com/product/451119</t>
        </is>
      </c>
    </row>
    <row r="1518">
      <c r="A1518" s="2" t="inlineStr">
        <is>
          <t>Paldea Collection [Fuecoco/Miraidon ex]</t>
        </is>
      </c>
      <c r="B1518" s="3">
        <f>IF(H1518&lt;&gt;"",H1518,IF(I1518&lt;&gt;"",I1518,IF(J1518&lt;&gt;"",J1518,K1518)))</f>
        <v>66.26</v>
      </c>
      <c r="C1518" s="3">
        <f>MEDIAN(H1518:K1518)</f>
        <v>70.0</v>
      </c>
      <c r="D1518" s="3">
        <f>ROUND(C1518*(1-Settings!$B$2),2)</f>
        <v>49.0</v>
      </c>
      <c r="E1518" s="2" t="inlineStr">
        <is>
          <t>Pokemon</t>
        </is>
      </c>
      <c r="F1518" s="2" t="inlineStr">
        <is>
          <t>Coffret</t>
        </is>
      </c>
      <c r="G1518" s="2" t="inlineStr">
        <is>
          <t>Miscellaneous Cards &amp; Products</t>
        </is>
      </c>
      <c r="H1518" s="3" t="n"/>
      <c r="I1518" s="3" t="n">
        <v>66.26000000000001</v>
      </c>
      <c r="J1518" s="3" t="n">
        <v>77</v>
      </c>
      <c r="K1518" s="3" t="n">
        <v>70</v>
      </c>
      <c r="L1518" s="2" t="inlineStr">
        <is>
          <t>TCGplayer</t>
        </is>
      </c>
      <c r="N1518" s="4" t="inlineStr">
        <is>
          <t>https://www.tcgplayer.com/product/477170</t>
        </is>
      </c>
    </row>
    <row r="1519">
      <c r="A1519" s="2" t="inlineStr">
        <is>
          <t>Paldea Collection [Quaxly/Koraidon ex]</t>
        </is>
      </c>
      <c r="B1519" s="3">
        <f>IF(H1519&lt;&gt;"",H1519,IF(I1519&lt;&gt;"",I1519,IF(J1519&lt;&gt;"",J1519,K1519)))</f>
        <v>63.73</v>
      </c>
      <c r="C1519" s="3">
        <f>MEDIAN(H1519:K1519)</f>
        <v>90.0</v>
      </c>
      <c r="D1519" s="3">
        <f>ROUND(C1519*(1-Settings!$B$2),2)</f>
        <v>63.0</v>
      </c>
      <c r="E1519" s="2" t="inlineStr">
        <is>
          <t>Pokemon</t>
        </is>
      </c>
      <c r="F1519" s="2" t="inlineStr">
        <is>
          <t>Coffret</t>
        </is>
      </c>
      <c r="G1519" s="2" t="inlineStr">
        <is>
          <t>Miscellaneous Cards &amp; Products</t>
        </is>
      </c>
      <c r="H1519" s="3" t="n"/>
      <c r="I1519" s="3" t="n">
        <v>63.73</v>
      </c>
      <c r="J1519" s="3" t="n">
        <v>135</v>
      </c>
      <c r="K1519" s="3" t="n">
        <v>90</v>
      </c>
      <c r="L1519" s="2" t="inlineStr">
        <is>
          <t>TCGplayer</t>
        </is>
      </c>
      <c r="N1519" s="4" t="inlineStr">
        <is>
          <t>https://www.tcgplayer.com/product/477171</t>
        </is>
      </c>
    </row>
    <row r="1520">
      <c r="A1520" s="2" t="inlineStr">
        <is>
          <t>Paldea Collection [Quaxly/Miraidon ex]</t>
        </is>
      </c>
      <c r="B1520" s="3">
        <f>IF(H1520&lt;&gt;"",H1520,IF(I1520&lt;&gt;"",I1520,IF(J1520&lt;&gt;"",J1520,K1520)))</f>
        <v>58.89</v>
      </c>
      <c r="C1520" s="3">
        <f>MEDIAN(H1520:K1520)</f>
        <v>60.0</v>
      </c>
      <c r="D1520" s="3">
        <f>ROUND(C1520*(1-Settings!$B$2),2)</f>
        <v>42.0</v>
      </c>
      <c r="E1520" s="2" t="inlineStr">
        <is>
          <t>Pokemon</t>
        </is>
      </c>
      <c r="F1520" s="2" t="inlineStr">
        <is>
          <t>Coffret</t>
        </is>
      </c>
      <c r="G1520" s="2" t="inlineStr">
        <is>
          <t>Miscellaneous Cards &amp; Products</t>
        </is>
      </c>
      <c r="H1520" s="3" t="n"/>
      <c r="I1520" s="3" t="n">
        <v>58.89</v>
      </c>
      <c r="J1520" s="3" t="n">
        <v>74.95</v>
      </c>
      <c r="K1520" s="3" t="n">
        <v>60</v>
      </c>
      <c r="L1520" s="2" t="inlineStr">
        <is>
          <t>TCGplayer</t>
        </is>
      </c>
      <c r="N1520" s="4" t="inlineStr">
        <is>
          <t>https://www.tcgplayer.com/product/451120</t>
        </is>
      </c>
    </row>
    <row r="1521">
      <c r="A1521" s="2" t="inlineStr">
        <is>
          <t>Paldea Collection [Set of 3] (Koraidon ex)</t>
        </is>
      </c>
      <c r="B1521" s="3">
        <f>IF(H1521&lt;&gt;"",H1521,IF(I1521&lt;&gt;"",I1521,IF(J1521&lt;&gt;"",J1521,K1521)))</f>
        <v>239.99</v>
      </c>
      <c r="C1521" s="3">
        <f>MEDIAN(H1521:K1521)</f>
        <v>237.49</v>
      </c>
      <c r="D1521" s="3">
        <f>ROUND(C1521*(1-Settings!$B$2),2)</f>
        <v>166.24</v>
      </c>
      <c r="E1521" s="2" t="inlineStr">
        <is>
          <t>Pokemon</t>
        </is>
      </c>
      <c r="F1521" s="2" t="inlineStr">
        <is>
          <t>Coffret</t>
        </is>
      </c>
      <c r="G1521" s="2" t="inlineStr">
        <is>
          <t>Miscellaneous Cards &amp; Products</t>
        </is>
      </c>
      <c r="H1521" s="3" t="n"/>
      <c r="I1521" s="3" t="n"/>
      <c r="J1521" s="3" t="n">
        <v>239.99</v>
      </c>
      <c r="K1521" s="3" t="n">
        <v>234.99</v>
      </c>
      <c r="L1521" s="2" t="inlineStr">
        <is>
          <t>TCGplayer</t>
        </is>
      </c>
      <c r="N1521" s="4" t="inlineStr">
        <is>
          <t>https://www.tcgplayer.com/product/477173</t>
        </is>
      </c>
    </row>
    <row r="1522">
      <c r="A1522" s="2" t="inlineStr">
        <is>
          <t>Paldea Collection [Set of 3] (Miraidon ex)</t>
        </is>
      </c>
      <c r="B1522" s="3">
        <f>IF(H1522&lt;&gt;"",H1522,IF(I1522&lt;&gt;"",I1522,IF(J1522&lt;&gt;"",J1522,K1522)))</f>
        <v>240.0</v>
      </c>
      <c r="C1522" s="3">
        <f>MEDIAN(H1522:K1522)</f>
        <v>239.995</v>
      </c>
      <c r="D1522" s="3">
        <f>ROUND(C1522*(1-Settings!$B$2),2)</f>
        <v>168.0</v>
      </c>
      <c r="E1522" s="2" t="inlineStr">
        <is>
          <t>Pokemon</t>
        </is>
      </c>
      <c r="F1522" s="2" t="inlineStr">
        <is>
          <t>Coffret</t>
        </is>
      </c>
      <c r="G1522" s="2" t="inlineStr">
        <is>
          <t>Miscellaneous Cards &amp; Products</t>
        </is>
      </c>
      <c r="H1522" s="3" t="n"/>
      <c r="I1522" s="3" t="n"/>
      <c r="J1522" s="3" t="n">
        <v>240</v>
      </c>
      <c r="K1522" s="3" t="n">
        <v>239.99</v>
      </c>
      <c r="L1522" s="2" t="inlineStr">
        <is>
          <t>TCGplayer</t>
        </is>
      </c>
      <c r="N1522" s="4" t="inlineStr">
        <is>
          <t>https://www.tcgplayer.com/product/451121</t>
        </is>
      </c>
    </row>
    <row r="1523">
      <c r="A1523" s="2" t="inlineStr">
        <is>
          <t>Paldea Collection [Set of 6]</t>
        </is>
      </c>
      <c r="B1523" s="3">
        <f>IF(H1523&lt;&gt;"",H1523,IF(I1523&lt;&gt;"",I1523,IF(J1523&lt;&gt;"",J1523,K1523)))</f>
        <v>350.0</v>
      </c>
      <c r="C1523" s="3">
        <f>MEDIAN(H1523:K1523)</f>
        <v>350.0</v>
      </c>
      <c r="D1523" s="3">
        <f>ROUND(C1523*(1-Settings!$B$2),2)</f>
        <v>245.0</v>
      </c>
      <c r="E1523" s="2" t="inlineStr">
        <is>
          <t>Pokemon</t>
        </is>
      </c>
      <c r="F1523" s="2" t="inlineStr">
        <is>
          <t>Coffret</t>
        </is>
      </c>
      <c r="G1523" s="2" t="inlineStr">
        <is>
          <t>Miscellaneous Cards &amp; Products</t>
        </is>
      </c>
      <c r="H1523" s="3" t="n"/>
      <c r="I1523" s="3" t="n"/>
      <c r="J1523" s="3" t="n">
        <v>350</v>
      </c>
      <c r="K1523" s="3" t="n">
        <v>350</v>
      </c>
      <c r="L1523" s="2" t="inlineStr">
        <is>
          <t>TCGplayer</t>
        </is>
      </c>
      <c r="N1523" s="4" t="inlineStr">
        <is>
          <t>https://www.tcgplayer.com/product/477174</t>
        </is>
      </c>
    </row>
    <row r="1524">
      <c r="A1524" s="2" t="inlineStr">
        <is>
          <t>Paldea Collection [Sprigatito/Miraidon ex]</t>
        </is>
      </c>
      <c r="B1524" s="3">
        <f>IF(H1524&lt;&gt;"",H1524,IF(I1524&lt;&gt;"",I1524,IF(J1524&lt;&gt;"",J1524,K1524)))</f>
        <v>77.58</v>
      </c>
      <c r="C1524" s="3">
        <f>MEDIAN(H1524:K1524)</f>
        <v>88.29</v>
      </c>
      <c r="D1524" s="3">
        <f>ROUND(C1524*(1-Settings!$B$2),2)</f>
        <v>61.8</v>
      </c>
      <c r="E1524" s="2" t="inlineStr">
        <is>
          <t>Pokemon</t>
        </is>
      </c>
      <c r="F1524" s="2" t="inlineStr">
        <is>
          <t>Coffret</t>
        </is>
      </c>
      <c r="G1524" s="2" t="inlineStr">
        <is>
          <t>Miscellaneous Cards &amp; Products</t>
        </is>
      </c>
      <c r="H1524" s="3" t="n"/>
      <c r="I1524" s="3" t="n">
        <v>77.58</v>
      </c>
      <c r="J1524" s="3" t="n">
        <v>88.81999999999999</v>
      </c>
      <c r="K1524" s="3" t="n">
        <v>88.29000000000001</v>
      </c>
      <c r="L1524" s="2" t="inlineStr">
        <is>
          <t>TCGplayer</t>
        </is>
      </c>
      <c r="N1524" s="4" t="inlineStr">
        <is>
          <t>https://www.tcgplayer.com/product/451118</t>
        </is>
      </c>
    </row>
    <row r="1525">
      <c r="A1525" s="2" t="inlineStr">
        <is>
          <t>Paldea Friends Mini Tin [Fuecoco &amp; Smoliv]</t>
        </is>
      </c>
      <c r="B1525" s="3">
        <f>IF(H1525&lt;&gt;"",H1525,IF(I1525&lt;&gt;"",I1525,IF(J1525&lt;&gt;"",J1525,K1525)))</f>
        <v>30.56</v>
      </c>
      <c r="C1525" s="3">
        <f>MEDIAN(H1525:K1525)</f>
        <v>30.56</v>
      </c>
      <c r="D1525" s="3">
        <f>ROUND(C1525*(1-Settings!$B$2),2)</f>
        <v>21.39</v>
      </c>
      <c r="E1525" s="2" t="inlineStr">
        <is>
          <t>Pokemon</t>
        </is>
      </c>
      <c r="F1525" s="2" t="inlineStr">
        <is>
          <t>Coffret</t>
        </is>
      </c>
      <c r="G1525" s="2" t="inlineStr">
        <is>
          <t>Miscellaneous Cards &amp; Products</t>
        </is>
      </c>
      <c r="H1525" s="3" t="n"/>
      <c r="I1525" s="3" t="n">
        <v>30.56</v>
      </c>
      <c r="J1525" s="3" t="n">
        <v>54.98</v>
      </c>
      <c r="K1525" s="3" t="n">
        <v>24.99</v>
      </c>
      <c r="L1525" s="2" t="inlineStr">
        <is>
          <t>TCGplayer</t>
        </is>
      </c>
      <c r="N1525" s="4" t="inlineStr">
        <is>
          <t>https://www.tcgplayer.com/product/484357</t>
        </is>
      </c>
    </row>
    <row r="1526">
      <c r="A1526" s="2" t="inlineStr">
        <is>
          <t>Paldea Friends Mini Tin [Pawmi &amp; Lechonk]</t>
        </is>
      </c>
      <c r="B1526" s="3">
        <f>IF(H1526&lt;&gt;"",H1526,IF(I1526&lt;&gt;"",I1526,IF(J1526&lt;&gt;"",J1526,K1526)))</f>
        <v>29.1</v>
      </c>
      <c r="C1526" s="3">
        <f>MEDIAN(H1526:K1526)</f>
        <v>29.1</v>
      </c>
      <c r="D1526" s="3">
        <f>ROUND(C1526*(1-Settings!$B$2),2)</f>
        <v>20.37</v>
      </c>
      <c r="E1526" s="2" t="inlineStr">
        <is>
          <t>Pokemon</t>
        </is>
      </c>
      <c r="F1526" s="2" t="inlineStr">
        <is>
          <t>Coffret</t>
        </is>
      </c>
      <c r="G1526" s="2" t="inlineStr">
        <is>
          <t>Miscellaneous Cards &amp; Products</t>
        </is>
      </c>
      <c r="H1526" s="3" t="n"/>
      <c r="I1526" s="3" t="n">
        <v>29.1</v>
      </c>
      <c r="J1526" s="3" t="n">
        <v>30</v>
      </c>
      <c r="K1526" s="3" t="n">
        <v>24.99</v>
      </c>
      <c r="L1526" s="2" t="inlineStr">
        <is>
          <t>TCGplayer</t>
        </is>
      </c>
      <c r="N1526" s="4" t="inlineStr">
        <is>
          <t>https://www.tcgplayer.com/product/484362</t>
        </is>
      </c>
    </row>
    <row r="1527">
      <c r="A1527" s="2" t="inlineStr">
        <is>
          <t>Paldea Friends Mini Tin [Pikachu &amp; Capsakid]</t>
        </is>
      </c>
      <c r="B1527" s="3">
        <f>IF(H1527&lt;&gt;"",H1527,IF(I1527&lt;&gt;"",I1527,IF(J1527&lt;&gt;"",J1527,K1527)))</f>
        <v>29.16</v>
      </c>
      <c r="C1527" s="3">
        <f>MEDIAN(H1527:K1527)</f>
        <v>29.16</v>
      </c>
      <c r="D1527" s="3">
        <f>ROUND(C1527*(1-Settings!$B$2),2)</f>
        <v>20.41</v>
      </c>
      <c r="E1527" s="2" t="inlineStr">
        <is>
          <t>Pokemon</t>
        </is>
      </c>
      <c r="F1527" s="2" t="inlineStr">
        <is>
          <t>Coffret</t>
        </is>
      </c>
      <c r="G1527" s="2" t="inlineStr">
        <is>
          <t>Miscellaneous Cards &amp; Products</t>
        </is>
      </c>
      <c r="H1527" s="3" t="n"/>
      <c r="I1527" s="3" t="n">
        <v>29.16</v>
      </c>
      <c r="J1527" s="3" t="n">
        <v>29.98</v>
      </c>
      <c r="K1527" s="3" t="n">
        <v>24.99</v>
      </c>
      <c r="L1527" s="2" t="inlineStr">
        <is>
          <t>TCGplayer</t>
        </is>
      </c>
      <c r="N1527" s="4" t="inlineStr">
        <is>
          <t>https://www.tcgplayer.com/product/484358</t>
        </is>
      </c>
    </row>
    <row r="1528">
      <c r="A1528" s="2" t="inlineStr">
        <is>
          <t>Paldea Friends Mini Tin [Quaxly &amp; Smoliv]</t>
        </is>
      </c>
      <c r="B1528" s="3">
        <f>IF(H1528&lt;&gt;"",H1528,IF(I1528&lt;&gt;"",I1528,IF(J1528&lt;&gt;"",J1528,K1528)))</f>
        <v>29.27</v>
      </c>
      <c r="C1528" s="3">
        <f>MEDIAN(H1528:K1528)</f>
        <v>26.95</v>
      </c>
      <c r="D1528" s="3">
        <f>ROUND(C1528*(1-Settings!$B$2),2)</f>
        <v>18.87</v>
      </c>
      <c r="E1528" s="2" t="inlineStr">
        <is>
          <t>Pokemon</t>
        </is>
      </c>
      <c r="F1528" s="2" t="inlineStr">
        <is>
          <t>Coffret</t>
        </is>
      </c>
      <c r="G1528" s="2" t="inlineStr">
        <is>
          <t>Miscellaneous Cards &amp; Products</t>
        </is>
      </c>
      <c r="H1528" s="3" t="n"/>
      <c r="I1528" s="3" t="n">
        <v>29.27</v>
      </c>
      <c r="J1528" s="3" t="n">
        <v>26.95</v>
      </c>
      <c r="K1528" s="3" t="n">
        <v>24.99</v>
      </c>
      <c r="L1528" s="2" t="inlineStr">
        <is>
          <t>TCGplayer</t>
        </is>
      </c>
      <c r="N1528" s="4" t="inlineStr">
        <is>
          <t>https://www.tcgplayer.com/product/484359</t>
        </is>
      </c>
    </row>
    <row r="1529">
      <c r="A1529" s="2" t="inlineStr">
        <is>
          <t>Paldea Friends Mini Tin [Set of 5]</t>
        </is>
      </c>
      <c r="B1529" s="3">
        <f>IF(H1529&lt;&gt;"",H1529,IF(I1529&lt;&gt;"",I1529,IF(J1529&lt;&gt;"",J1529,K1529)))</f>
        <v>134.69</v>
      </c>
      <c r="C1529" s="3">
        <f>MEDIAN(H1529:K1529)</f>
        <v>134.69</v>
      </c>
      <c r="D1529" s="3">
        <f>ROUND(C1529*(1-Settings!$B$2),2)</f>
        <v>94.28</v>
      </c>
      <c r="E1529" s="2" t="inlineStr">
        <is>
          <t>Pokemon</t>
        </is>
      </c>
      <c r="F1529" s="2" t="inlineStr">
        <is>
          <t>Coffret</t>
        </is>
      </c>
      <c r="G1529" s="2" t="inlineStr">
        <is>
          <t>Miscellaneous Cards &amp; Products</t>
        </is>
      </c>
      <c r="H1529" s="3" t="n"/>
      <c r="I1529" s="3" t="n"/>
      <c r="J1529" s="3" t="n">
        <v>134.69</v>
      </c>
      <c r="K1529" s="3" t="n">
        <v>134.69</v>
      </c>
      <c r="L1529" s="2" t="inlineStr">
        <is>
          <t>TCGplayer</t>
        </is>
      </c>
      <c r="N1529" s="4" t="inlineStr">
        <is>
          <t>https://www.tcgplayer.com/product/484363</t>
        </is>
      </c>
    </row>
    <row r="1530">
      <c r="A1530" s="2" t="inlineStr">
        <is>
          <t>Paldea Friends Mini Tin [Sprigatito &amp; Fidough]</t>
        </is>
      </c>
      <c r="B1530" s="3">
        <f>IF(H1530&lt;&gt;"",H1530,IF(I1530&lt;&gt;"",I1530,IF(J1530&lt;&gt;"",J1530,K1530)))</f>
        <v>33.68</v>
      </c>
      <c r="C1530" s="3">
        <f>MEDIAN(H1530:K1530)</f>
        <v>33.68</v>
      </c>
      <c r="D1530" s="3">
        <f>ROUND(C1530*(1-Settings!$B$2),2)</f>
        <v>23.58</v>
      </c>
      <c r="E1530" s="2" t="inlineStr">
        <is>
          <t>Pokemon</t>
        </is>
      </c>
      <c r="F1530" s="2" t="inlineStr">
        <is>
          <t>Coffret</t>
        </is>
      </c>
      <c r="G1530" s="2" t="inlineStr">
        <is>
          <t>Miscellaneous Cards &amp; Products</t>
        </is>
      </c>
      <c r="H1530" s="3" t="n"/>
      <c r="I1530" s="3" t="n">
        <v>33.68</v>
      </c>
      <c r="J1530" s="3" t="n">
        <v>47.49</v>
      </c>
      <c r="K1530" s="3" t="n">
        <v>24.99</v>
      </c>
      <c r="L1530" s="2" t="inlineStr">
        <is>
          <t>TCGplayer</t>
        </is>
      </c>
      <c r="N1530" s="4" t="inlineStr">
        <is>
          <t>https://www.tcgplayer.com/product/484360</t>
        </is>
      </c>
    </row>
    <row r="1531">
      <c r="A1531" s="2" t="inlineStr">
        <is>
          <t>Paldea Friends Mini Tins 5-Pack</t>
        </is>
      </c>
      <c r="B1531" s="3">
        <f>IF(H1531&lt;&gt;"",H1531,IF(I1531&lt;&gt;"",I1531,IF(J1531&lt;&gt;"",J1531,K1531)))</f>
        <v>123.83</v>
      </c>
      <c r="C1531" s="3">
        <f>MEDIAN(H1531:K1531)</f>
        <v>275.0</v>
      </c>
      <c r="D1531" s="3">
        <f>ROUND(C1531*(1-Settings!$B$2),2)</f>
        <v>192.5</v>
      </c>
      <c r="E1531" s="2" t="inlineStr">
        <is>
          <t>Pokemon</t>
        </is>
      </c>
      <c r="F1531" s="2" t="inlineStr">
        <is>
          <t>Coffret</t>
        </is>
      </c>
      <c r="G1531" s="2" t="inlineStr">
        <is>
          <t>Miscellaneous Cards &amp; Products</t>
        </is>
      </c>
      <c r="H1531" s="3" t="n"/>
      <c r="I1531" s="3" t="n">
        <v>123.83</v>
      </c>
      <c r="J1531" s="3" t="n">
        <v>299.99</v>
      </c>
      <c r="K1531" s="3" t="n">
        <v>275</v>
      </c>
      <c r="L1531" s="2" t="inlineStr">
        <is>
          <t>TCGplayer</t>
        </is>
      </c>
      <c r="N1531" s="4" t="inlineStr">
        <is>
          <t>https://www.tcgplayer.com/product/633085</t>
        </is>
      </c>
    </row>
    <row r="1532">
      <c r="A1532" s="2" t="inlineStr">
        <is>
          <t>Paldea Legends Tin [Koraidon ex]</t>
        </is>
      </c>
      <c r="B1532" s="3">
        <f>IF(H1532&lt;&gt;"",H1532,IF(I1532&lt;&gt;"",I1532,IF(J1532&lt;&gt;"",J1532,K1532)))</f>
        <v>40.17</v>
      </c>
      <c r="C1532" s="3">
        <f>MEDIAN(H1532:K1532)</f>
        <v>40.17</v>
      </c>
      <c r="D1532" s="3">
        <f>ROUND(C1532*(1-Settings!$B$2),2)</f>
        <v>28.12</v>
      </c>
      <c r="E1532" s="2" t="inlineStr">
        <is>
          <t>Pokemon</t>
        </is>
      </c>
      <c r="F1532" s="2" t="inlineStr">
        <is>
          <t>Coffret</t>
        </is>
      </c>
      <c r="G1532" s="2" t="inlineStr">
        <is>
          <t>Miscellaneous Cards &amp; Products</t>
        </is>
      </c>
      <c r="H1532" s="3" t="n"/>
      <c r="I1532" s="3" t="n">
        <v>40.17</v>
      </c>
      <c r="J1532" s="3" t="n">
        <v>41</v>
      </c>
      <c r="K1532" s="3" t="n">
        <v>40.17</v>
      </c>
      <c r="L1532" s="2" t="inlineStr">
        <is>
          <t>TCGplayer</t>
        </is>
      </c>
      <c r="N1532" s="4" t="inlineStr">
        <is>
          <t>https://www.tcgplayer.com/product/497390</t>
        </is>
      </c>
    </row>
    <row r="1533">
      <c r="A1533" s="2" t="inlineStr">
        <is>
          <t>Paldea Legends Tin [Koraidon ex] (International Version)</t>
        </is>
      </c>
      <c r="B1533" s="3">
        <f>IF(H1533&lt;&gt;"",H1533,IF(I1533&lt;&gt;"",I1533,IF(J1533&lt;&gt;"",J1533,K1533)))</f>
        <v>48.07</v>
      </c>
      <c r="C1533" s="3">
        <f>MEDIAN(H1533:K1533)</f>
        <v>48.24</v>
      </c>
      <c r="D1533" s="3">
        <f>ROUND(C1533*(1-Settings!$B$2),2)</f>
        <v>33.77</v>
      </c>
      <c r="E1533" s="2" t="inlineStr">
        <is>
          <t>Pokemon</t>
        </is>
      </c>
      <c r="F1533" s="2" t="inlineStr">
        <is>
          <t>Coffret</t>
        </is>
      </c>
      <c r="G1533" s="2" t="inlineStr">
        <is>
          <t>Miscellaneous Cards &amp; Products</t>
        </is>
      </c>
      <c r="H1533" s="3" t="n"/>
      <c r="I1533" s="3" t="n">
        <v>48.07</v>
      </c>
      <c r="J1533" s="3" t="n">
        <v>57.99</v>
      </c>
      <c r="K1533" s="3" t="n">
        <v>48.24</v>
      </c>
      <c r="L1533" s="2" t="inlineStr">
        <is>
          <t>TCGplayer</t>
        </is>
      </c>
      <c r="N1533" s="4" t="inlineStr">
        <is>
          <t>https://www.tcgplayer.com/product/497387</t>
        </is>
      </c>
    </row>
    <row r="1534">
      <c r="A1534" s="2" t="inlineStr">
        <is>
          <t>Paldea Legends Tin [Miraidon ex]</t>
        </is>
      </c>
      <c r="B1534" s="3">
        <f>IF(H1534&lt;&gt;"",H1534,IF(I1534&lt;&gt;"",I1534,IF(J1534&lt;&gt;"",J1534,K1534)))</f>
        <v>38.71</v>
      </c>
      <c r="C1534" s="3">
        <f>MEDIAN(H1534:K1534)</f>
        <v>38.71</v>
      </c>
      <c r="D1534" s="3">
        <f>ROUND(C1534*(1-Settings!$B$2),2)</f>
        <v>27.1</v>
      </c>
      <c r="E1534" s="2" t="inlineStr">
        <is>
          <t>Pokemon</t>
        </is>
      </c>
      <c r="F1534" s="2" t="inlineStr">
        <is>
          <t>Coffret</t>
        </is>
      </c>
      <c r="G1534" s="2" t="inlineStr">
        <is>
          <t>Miscellaneous Cards &amp; Products</t>
        </is>
      </c>
      <c r="H1534" s="3" t="n"/>
      <c r="I1534" s="3" t="n">
        <v>38.71</v>
      </c>
      <c r="J1534" s="3" t="n">
        <v>43.68</v>
      </c>
      <c r="K1534" s="3" t="n">
        <v>38.71</v>
      </c>
      <c r="L1534" s="2" t="inlineStr">
        <is>
          <t>TCGplayer</t>
        </is>
      </c>
      <c r="N1534" s="4" t="inlineStr">
        <is>
          <t>https://www.tcgplayer.com/product/497389</t>
        </is>
      </c>
    </row>
    <row r="1535">
      <c r="A1535" s="2" t="inlineStr">
        <is>
          <t>Paldea Legends Tin [Miraidon ex] (International Version)</t>
        </is>
      </c>
      <c r="B1535" s="3">
        <f>IF(H1535&lt;&gt;"",H1535,IF(I1535&lt;&gt;"",I1535,IF(J1535&lt;&gt;"",J1535,K1535)))</f>
        <v>52.77</v>
      </c>
      <c r="C1535" s="3">
        <f>MEDIAN(H1535:K1535)</f>
        <v>56.87</v>
      </c>
      <c r="D1535" s="3">
        <f>ROUND(C1535*(1-Settings!$B$2),2)</f>
        <v>39.81</v>
      </c>
      <c r="E1535" s="2" t="inlineStr">
        <is>
          <t>Pokemon</t>
        </is>
      </c>
      <c r="F1535" s="2" t="inlineStr">
        <is>
          <t>Coffret</t>
        </is>
      </c>
      <c r="G1535" s="2" t="inlineStr">
        <is>
          <t>Miscellaneous Cards &amp; Products</t>
        </is>
      </c>
      <c r="H1535" s="3" t="n"/>
      <c r="I1535" s="3" t="n">
        <v>52.77</v>
      </c>
      <c r="J1535" s="3" t="n">
        <v>80</v>
      </c>
      <c r="K1535" s="3" t="n">
        <v>56.87</v>
      </c>
      <c r="L1535" s="2" t="inlineStr">
        <is>
          <t>TCGplayer</t>
        </is>
      </c>
      <c r="N1535" s="4" t="inlineStr">
        <is>
          <t>https://www.tcgplayer.com/product/497388</t>
        </is>
      </c>
    </row>
    <row r="1536">
      <c r="A1536" s="2" t="inlineStr">
        <is>
          <t>Paldea Legends Tins [Bundle of 2]</t>
        </is>
      </c>
      <c r="B1536" s="3">
        <f>IF(H1536&lt;&gt;"",H1536,IF(I1536&lt;&gt;"",I1536,IF(J1536&lt;&gt;"",J1536,K1536)))</f>
        <v>83.95</v>
      </c>
      <c r="C1536" s="3">
        <f>MEDIAN(H1536:K1536)</f>
        <v>83.95</v>
      </c>
      <c r="D1536" s="3">
        <f>ROUND(C1536*(1-Settings!$B$2),2)</f>
        <v>58.77</v>
      </c>
      <c r="E1536" s="2" t="inlineStr">
        <is>
          <t>Pokemon</t>
        </is>
      </c>
      <c r="F1536" s="2" t="inlineStr">
        <is>
          <t>Coffret</t>
        </is>
      </c>
      <c r="G1536" s="2" t="inlineStr">
        <is>
          <t>Miscellaneous Cards &amp; Products</t>
        </is>
      </c>
      <c r="H1536" s="3" t="n"/>
      <c r="I1536" s="3" t="n">
        <v>83.95</v>
      </c>
      <c r="J1536" s="3" t="n"/>
      <c r="K1536" s="3" t="n"/>
      <c r="L1536" s="2" t="inlineStr">
        <is>
          <t>TCGplayer</t>
        </is>
      </c>
      <c r="N1536" s="4" t="inlineStr">
        <is>
          <t>https://www.tcgplayer.com/product/509570</t>
        </is>
      </c>
    </row>
    <row r="1537">
      <c r="A1537" s="2" t="inlineStr">
        <is>
          <t>Paldea Legends Tins [Bundle of 2] (International Version)</t>
        </is>
      </c>
      <c r="B1537" s="3">
        <f>IF(H1537&lt;&gt;"",H1537,IF(I1537&lt;&gt;"",I1537,IF(J1537&lt;&gt;"",J1537,K1537)))</f>
        <v>84.98</v>
      </c>
      <c r="C1537" s="3">
        <f>MEDIAN(H1537:K1537)</f>
        <v>134.69</v>
      </c>
      <c r="D1537" s="3">
        <f>ROUND(C1537*(1-Settings!$B$2),2)</f>
        <v>94.28</v>
      </c>
      <c r="E1537" s="2" t="inlineStr">
        <is>
          <t>Pokemon</t>
        </is>
      </c>
      <c r="F1537" s="2" t="inlineStr">
        <is>
          <t>Coffret</t>
        </is>
      </c>
      <c r="G1537" s="2" t="inlineStr">
        <is>
          <t>Miscellaneous Cards &amp; Products</t>
        </is>
      </c>
      <c r="H1537" s="3" t="n"/>
      <c r="I1537" s="3" t="n">
        <v>84.98</v>
      </c>
      <c r="J1537" s="3" t="n">
        <v>134.69</v>
      </c>
      <c r="K1537" s="3" t="n">
        <v>134.69</v>
      </c>
      <c r="L1537" s="2" t="inlineStr">
        <is>
          <t>TCGplayer</t>
        </is>
      </c>
      <c r="N1537" s="4" t="inlineStr">
        <is>
          <t>https://www.tcgplayer.com/product/543171</t>
        </is>
      </c>
    </row>
    <row r="1538">
      <c r="A1538" s="2" t="inlineStr">
        <is>
          <t>Paldea Partners Tin [Meowscarada ex]</t>
        </is>
      </c>
      <c r="B1538" s="3">
        <f>IF(H1538&lt;&gt;"",H1538,IF(I1538&lt;&gt;"",I1538,IF(J1538&lt;&gt;"",J1538,K1538)))</f>
        <v>49.28</v>
      </c>
      <c r="C1538" s="3">
        <f>MEDIAN(H1538:K1538)</f>
        <v>54.99</v>
      </c>
      <c r="D1538" s="3">
        <f>ROUND(C1538*(1-Settings!$B$2),2)</f>
        <v>38.49</v>
      </c>
      <c r="E1538" s="2" t="inlineStr">
        <is>
          <t>Pokemon</t>
        </is>
      </c>
      <c r="F1538" s="2" t="inlineStr">
        <is>
          <t>Coffret</t>
        </is>
      </c>
      <c r="G1538" s="2" t="inlineStr">
        <is>
          <t>Miscellaneous Cards &amp; Products</t>
        </is>
      </c>
      <c r="H1538" s="3" t="n"/>
      <c r="I1538" s="3" t="n">
        <v>49.28</v>
      </c>
      <c r="J1538" s="3" t="n">
        <v>62.47</v>
      </c>
      <c r="K1538" s="3" t="n">
        <v>54.99</v>
      </c>
      <c r="L1538" s="2" t="inlineStr">
        <is>
          <t>TCGplayer</t>
        </is>
      </c>
      <c r="N1538" s="4" t="inlineStr">
        <is>
          <t>https://www.tcgplayer.com/product/504330</t>
        </is>
      </c>
    </row>
    <row r="1539">
      <c r="A1539" s="2" t="inlineStr">
        <is>
          <t>Paldea Partners Tin [Meowscarada ex] [International Edition]</t>
        </is>
      </c>
      <c r="B1539" s="3">
        <f>IF(H1539&lt;&gt;"",H1539,IF(I1539&lt;&gt;"",I1539,IF(J1539&lt;&gt;"",J1539,K1539)))</f>
        <v>49.87</v>
      </c>
      <c r="C1539" s="3">
        <f>MEDIAN(H1539:K1539)</f>
        <v>62.99</v>
      </c>
      <c r="D1539" s="3">
        <f>ROUND(C1539*(1-Settings!$B$2),2)</f>
        <v>44.09</v>
      </c>
      <c r="E1539" s="2" t="inlineStr">
        <is>
          <t>Pokemon</t>
        </is>
      </c>
      <c r="F1539" s="2" t="inlineStr">
        <is>
          <t>Coffret</t>
        </is>
      </c>
      <c r="G1539" s="2" t="inlineStr">
        <is>
          <t>Miscellaneous Cards &amp; Products</t>
        </is>
      </c>
      <c r="H1539" s="3" t="n"/>
      <c r="I1539" s="3" t="n">
        <v>49.87</v>
      </c>
      <c r="J1539" s="3" t="n">
        <v>63.99</v>
      </c>
      <c r="K1539" s="3" t="n">
        <v>62.99</v>
      </c>
      <c r="L1539" s="2" t="inlineStr">
        <is>
          <t>TCGplayer</t>
        </is>
      </c>
      <c r="N1539" s="4" t="inlineStr">
        <is>
          <t>https://www.tcgplayer.com/product/504332</t>
        </is>
      </c>
    </row>
    <row r="1540">
      <c r="A1540" s="2" t="inlineStr">
        <is>
          <t>Paldea Partners Tin [Quaquaval ex]</t>
        </is>
      </c>
      <c r="B1540" s="3">
        <f>IF(H1540&lt;&gt;"",H1540,IF(I1540&lt;&gt;"",I1540,IF(J1540&lt;&gt;"",J1540,K1540)))</f>
        <v>41.05</v>
      </c>
      <c r="C1540" s="3">
        <f>MEDIAN(H1540:K1540)</f>
        <v>41.05</v>
      </c>
      <c r="D1540" s="3">
        <f>ROUND(C1540*(1-Settings!$B$2),2)</f>
        <v>28.74</v>
      </c>
      <c r="E1540" s="2" t="inlineStr">
        <is>
          <t>Pokemon</t>
        </is>
      </c>
      <c r="F1540" s="2" t="inlineStr">
        <is>
          <t>Coffret</t>
        </is>
      </c>
      <c r="G1540" s="2" t="inlineStr">
        <is>
          <t>Miscellaneous Cards &amp; Products</t>
        </is>
      </c>
      <c r="H1540" s="3" t="n"/>
      <c r="I1540" s="3" t="n">
        <v>41.05</v>
      </c>
      <c r="J1540" s="3" t="n">
        <v>45</v>
      </c>
      <c r="K1540" s="3" t="n">
        <v>39.99</v>
      </c>
      <c r="L1540" s="2" t="inlineStr">
        <is>
          <t>TCGplayer</t>
        </is>
      </c>
      <c r="N1540" s="4" t="inlineStr">
        <is>
          <t>https://www.tcgplayer.com/product/504438</t>
        </is>
      </c>
    </row>
    <row r="1541">
      <c r="A1541" s="2" t="inlineStr">
        <is>
          <t>Paldea Partners Tin [Set of 3]</t>
        </is>
      </c>
      <c r="B1541" s="3">
        <f>IF(H1541&lt;&gt;"",H1541,IF(I1541&lt;&gt;"",I1541,IF(J1541&lt;&gt;"",J1541,K1541)))</f>
        <v>134.26</v>
      </c>
      <c r="C1541" s="3">
        <f>MEDIAN(H1541:K1541)</f>
        <v>149.99</v>
      </c>
      <c r="D1541" s="3">
        <f>ROUND(C1541*(1-Settings!$B$2),2)</f>
        <v>104.99</v>
      </c>
      <c r="E1541" s="2" t="inlineStr">
        <is>
          <t>Pokemon</t>
        </is>
      </c>
      <c r="F1541" s="2" t="inlineStr">
        <is>
          <t>Coffret</t>
        </is>
      </c>
      <c r="G1541" s="2" t="inlineStr">
        <is>
          <t>Miscellaneous Cards &amp; Products</t>
        </is>
      </c>
      <c r="H1541" s="3" t="n"/>
      <c r="I1541" s="3" t="n">
        <v>134.26</v>
      </c>
      <c r="J1541" s="3" t="n">
        <v>157.49</v>
      </c>
      <c r="K1541" s="3" t="n">
        <v>149.99</v>
      </c>
      <c r="L1541" s="2" t="inlineStr">
        <is>
          <t>TCGplayer</t>
        </is>
      </c>
      <c r="N1541" s="4" t="inlineStr">
        <is>
          <t>https://www.tcgplayer.com/product/517101</t>
        </is>
      </c>
    </row>
    <row r="1542">
      <c r="A1542" s="2" t="inlineStr">
        <is>
          <t>Paradox Clash Tin [Iron Leaves ex]</t>
        </is>
      </c>
      <c r="B1542" s="3">
        <f>IF(H1542&lt;&gt;"",H1542,IF(I1542&lt;&gt;"",I1542,IF(J1542&lt;&gt;"",J1542,K1542)))</f>
        <v>37.19</v>
      </c>
      <c r="C1542" s="3">
        <f>MEDIAN(H1542:K1542)</f>
        <v>37.19</v>
      </c>
      <c r="D1542" s="3">
        <f>ROUND(C1542*(1-Settings!$B$2),2)</f>
        <v>26.03</v>
      </c>
      <c r="E1542" s="2" t="inlineStr">
        <is>
          <t>Pokemon</t>
        </is>
      </c>
      <c r="F1542" s="2" t="inlineStr">
        <is>
          <t>Coffret</t>
        </is>
      </c>
      <c r="G1542" s="2" t="inlineStr">
        <is>
          <t>Miscellaneous Cards &amp; Products</t>
        </is>
      </c>
      <c r="H1542" s="3" t="n"/>
      <c r="I1542" s="3" t="n">
        <v>37.19</v>
      </c>
      <c r="J1542" s="3" t="n">
        <v>40</v>
      </c>
      <c r="K1542" s="3" t="n">
        <v>10</v>
      </c>
      <c r="L1542" s="2" t="inlineStr">
        <is>
          <t>TCGplayer</t>
        </is>
      </c>
      <c r="N1542" s="4" t="inlineStr">
        <is>
          <t>https://www.tcgplayer.com/product/544241</t>
        </is>
      </c>
    </row>
    <row r="1543">
      <c r="A1543" s="2" t="inlineStr">
        <is>
          <t>Paradox Clash Tin [Walking Wake ex]</t>
        </is>
      </c>
      <c r="B1543" s="3">
        <f>IF(H1543&lt;&gt;"",H1543,IF(I1543&lt;&gt;"",I1543,IF(J1543&lt;&gt;"",J1543,K1543)))</f>
        <v>37.62</v>
      </c>
      <c r="C1543" s="3">
        <f>MEDIAN(H1543:K1543)</f>
        <v>37.62</v>
      </c>
      <c r="D1543" s="3">
        <f>ROUND(C1543*(1-Settings!$B$2),2)</f>
        <v>26.33</v>
      </c>
      <c r="E1543" s="2" t="inlineStr">
        <is>
          <t>Pokemon</t>
        </is>
      </c>
      <c r="F1543" s="2" t="inlineStr">
        <is>
          <t>Coffret</t>
        </is>
      </c>
      <c r="G1543" s="2" t="inlineStr">
        <is>
          <t>Miscellaneous Cards &amp; Products</t>
        </is>
      </c>
      <c r="H1543" s="3" t="n"/>
      <c r="I1543" s="3" t="n">
        <v>37.62</v>
      </c>
      <c r="J1543" s="3" t="n">
        <v>41.15</v>
      </c>
      <c r="K1543" s="3" t="n">
        <v>37.58</v>
      </c>
      <c r="L1543" s="2" t="inlineStr">
        <is>
          <t>TCGplayer</t>
        </is>
      </c>
      <c r="N1543" s="4" t="inlineStr">
        <is>
          <t>https://www.tcgplayer.com/product/544239</t>
        </is>
      </c>
    </row>
    <row r="1544">
      <c r="A1544" s="2" t="inlineStr">
        <is>
          <t>Paradox Destinies Tin [Gouging Fire ex]</t>
        </is>
      </c>
      <c r="B1544" s="3">
        <f>IF(H1544&lt;&gt;"",H1544,IF(I1544&lt;&gt;"",I1544,IF(J1544&lt;&gt;"",J1544,K1544)))</f>
        <v>40.33</v>
      </c>
      <c r="C1544" s="3">
        <f>MEDIAN(H1544:K1544)</f>
        <v>40.33</v>
      </c>
      <c r="D1544" s="3">
        <f>ROUND(C1544*(1-Settings!$B$2),2)</f>
        <v>28.23</v>
      </c>
      <c r="E1544" s="2" t="inlineStr">
        <is>
          <t>Pokemon</t>
        </is>
      </c>
      <c r="F1544" s="2" t="inlineStr">
        <is>
          <t>Coffret</t>
        </is>
      </c>
      <c r="G1544" s="2" t="inlineStr">
        <is>
          <t>Miscellaneous Cards &amp; Products</t>
        </is>
      </c>
      <c r="H1544" s="3" t="n"/>
      <c r="I1544" s="3" t="n">
        <v>40.33</v>
      </c>
      <c r="J1544" s="3" t="n">
        <v>43.95</v>
      </c>
      <c r="K1544" s="3" t="n">
        <v>20</v>
      </c>
      <c r="L1544" s="2" t="inlineStr">
        <is>
          <t>TCGplayer</t>
        </is>
      </c>
      <c r="N1544" s="4" t="inlineStr">
        <is>
          <t>https://www.tcgplayer.com/product/562358</t>
        </is>
      </c>
    </row>
    <row r="1545">
      <c r="A1545" s="2" t="inlineStr">
        <is>
          <t>Paradox Destinies Tin [Iron Boulder ex]</t>
        </is>
      </c>
      <c r="B1545" s="3">
        <f>IF(H1545&lt;&gt;"",H1545,IF(I1545&lt;&gt;"",I1545,IF(J1545&lt;&gt;"",J1545,K1545)))</f>
        <v>36.99</v>
      </c>
      <c r="C1545" s="3">
        <f>MEDIAN(H1545:K1545)</f>
        <v>36.99</v>
      </c>
      <c r="D1545" s="3">
        <f>ROUND(C1545*(1-Settings!$B$2),2)</f>
        <v>25.89</v>
      </c>
      <c r="E1545" s="2" t="inlineStr">
        <is>
          <t>Pokemon</t>
        </is>
      </c>
      <c r="F1545" s="2" t="inlineStr">
        <is>
          <t>Coffret</t>
        </is>
      </c>
      <c r="G1545" s="2" t="inlineStr">
        <is>
          <t>Miscellaneous Cards &amp; Products</t>
        </is>
      </c>
      <c r="H1545" s="3" t="n"/>
      <c r="I1545" s="3" t="n">
        <v>36.99</v>
      </c>
      <c r="J1545" s="3" t="n">
        <v>42.49</v>
      </c>
      <c r="K1545" s="3" t="n">
        <v>5</v>
      </c>
      <c r="L1545" s="2" t="inlineStr">
        <is>
          <t>TCGplayer</t>
        </is>
      </c>
      <c r="N1545" s="4" t="inlineStr">
        <is>
          <t>https://www.tcgplayer.com/product/562356</t>
        </is>
      </c>
    </row>
    <row r="1546">
      <c r="A1546" s="2" t="inlineStr">
        <is>
          <t>Paradox Destinies Tin [Iron Crown ex]</t>
        </is>
      </c>
      <c r="B1546" s="3">
        <f>IF(H1546&lt;&gt;"",H1546,IF(I1546&lt;&gt;"",I1546,IF(J1546&lt;&gt;"",J1546,K1546)))</f>
        <v>38.14</v>
      </c>
      <c r="C1546" s="3">
        <f>MEDIAN(H1546:K1546)</f>
        <v>38.14</v>
      </c>
      <c r="D1546" s="3">
        <f>ROUND(C1546*(1-Settings!$B$2),2)</f>
        <v>26.7</v>
      </c>
      <c r="E1546" s="2" t="inlineStr">
        <is>
          <t>Pokemon</t>
        </is>
      </c>
      <c r="F1546" s="2" t="inlineStr">
        <is>
          <t>Coffret</t>
        </is>
      </c>
      <c r="G1546" s="2" t="inlineStr">
        <is>
          <t>Miscellaneous Cards &amp; Products</t>
        </is>
      </c>
      <c r="H1546" s="3" t="n"/>
      <c r="I1546" s="3" t="n">
        <v>38.14</v>
      </c>
      <c r="J1546" s="3" t="n">
        <v>49.99</v>
      </c>
      <c r="K1546" s="3" t="n">
        <v>5</v>
      </c>
      <c r="L1546" s="2" t="inlineStr">
        <is>
          <t>TCGplayer</t>
        </is>
      </c>
      <c r="N1546" s="4" t="inlineStr">
        <is>
          <t>https://www.tcgplayer.com/product/562354</t>
        </is>
      </c>
    </row>
    <row r="1547">
      <c r="A1547" s="2" t="inlineStr">
        <is>
          <t>Paradox Destinies Tin [Raging Bolt ex]</t>
        </is>
      </c>
      <c r="B1547" s="3">
        <f>IF(H1547&lt;&gt;"",H1547,IF(I1547&lt;&gt;"",I1547,IF(J1547&lt;&gt;"",J1547,K1547)))</f>
        <v>39.95</v>
      </c>
      <c r="C1547" s="3">
        <f>MEDIAN(H1547:K1547)</f>
        <v>42.68</v>
      </c>
      <c r="D1547" s="3">
        <f>ROUND(C1547*(1-Settings!$B$2),2)</f>
        <v>29.88</v>
      </c>
      <c r="E1547" s="2" t="inlineStr">
        <is>
          <t>Pokemon</t>
        </is>
      </c>
      <c r="F1547" s="2" t="inlineStr">
        <is>
          <t>Coffret</t>
        </is>
      </c>
      <c r="G1547" s="2" t="inlineStr">
        <is>
          <t>Miscellaneous Cards &amp; Products</t>
        </is>
      </c>
      <c r="H1547" s="3" t="n"/>
      <c r="I1547" s="3" t="n">
        <v>39.95</v>
      </c>
      <c r="J1547" s="3" t="n">
        <v>45</v>
      </c>
      <c r="K1547" s="3" t="n">
        <v>42.68</v>
      </c>
      <c r="L1547" s="2" t="inlineStr">
        <is>
          <t>TCGplayer</t>
        </is>
      </c>
      <c r="N1547" s="4" t="inlineStr">
        <is>
          <t>https://www.tcgplayer.com/product/562357</t>
        </is>
      </c>
    </row>
    <row r="1548">
      <c r="A1548" s="2" t="inlineStr">
        <is>
          <t>Paradox Destinies Tin [Set of 4]</t>
        </is>
      </c>
      <c r="B1548" s="3">
        <f>IF(H1548&lt;&gt;"",H1548,IF(I1548&lt;&gt;"",I1548,IF(J1548&lt;&gt;"",J1548,K1548)))</f>
        <v>143.82</v>
      </c>
      <c r="C1548" s="3">
        <f>MEDIAN(H1548:K1548)</f>
        <v>165.39</v>
      </c>
      <c r="D1548" s="3">
        <f>ROUND(C1548*(1-Settings!$B$2),2)</f>
        <v>115.77</v>
      </c>
      <c r="E1548" s="2" t="inlineStr">
        <is>
          <t>Pokemon</t>
        </is>
      </c>
      <c r="F1548" s="2" t="inlineStr">
        <is>
          <t>Coffret</t>
        </is>
      </c>
      <c r="G1548" s="2" t="inlineStr">
        <is>
          <t>Miscellaneous Cards &amp; Products</t>
        </is>
      </c>
      <c r="H1548" s="3" t="n"/>
      <c r="I1548" s="3" t="n">
        <v>143.82</v>
      </c>
      <c r="J1548" s="3" t="n">
        <v>196.99</v>
      </c>
      <c r="K1548" s="3" t="n">
        <v>165.39</v>
      </c>
      <c r="L1548" s="2" t="inlineStr">
        <is>
          <t>TCGplayer</t>
        </is>
      </c>
      <c r="N1548" s="4" t="inlineStr">
        <is>
          <t>https://www.tcgplayer.com/product/562360</t>
        </is>
      </c>
    </row>
    <row r="1549">
      <c r="A1549" s="2" t="inlineStr">
        <is>
          <t>Paradox Fury Premium Collection</t>
        </is>
      </c>
      <c r="B1549" s="3">
        <f>IF(H1549&lt;&gt;"",H1549,IF(I1549&lt;&gt;"",I1549,IF(J1549&lt;&gt;"",J1549,K1549)))</f>
        <v>75.21</v>
      </c>
      <c r="C1549" s="3">
        <f>MEDIAN(H1549:K1549)</f>
        <v>114.99</v>
      </c>
      <c r="D1549" s="3">
        <f>ROUND(C1549*(1-Settings!$B$2),2)</f>
        <v>80.49</v>
      </c>
      <c r="E1549" s="2" t="inlineStr">
        <is>
          <t>Pokemon</t>
        </is>
      </c>
      <c r="F1549" s="2" t="inlineStr">
        <is>
          <t>Coffret</t>
        </is>
      </c>
      <c r="G1549" s="2" t="inlineStr">
        <is>
          <t>Miscellaneous Cards &amp; Products</t>
        </is>
      </c>
      <c r="H1549" s="3" t="n"/>
      <c r="I1549" s="3" t="n">
        <v>75.20999999999999</v>
      </c>
      <c r="J1549" s="3" t="n">
        <v>114.99</v>
      </c>
      <c r="K1549" s="3" t="n">
        <v>114.99</v>
      </c>
      <c r="L1549" s="2" t="inlineStr">
        <is>
          <t>TCGplayer</t>
        </is>
      </c>
      <c r="N1549" s="4" t="inlineStr">
        <is>
          <t>https://www.tcgplayer.com/product/575185</t>
        </is>
      </c>
    </row>
    <row r="1550">
      <c r="A1550" s="2" t="inlineStr">
        <is>
          <t>Paradox Powers ex Special Collection</t>
        </is>
      </c>
      <c r="B1550" s="3">
        <f>IF(H1550&lt;&gt;"",H1550,IF(I1550&lt;&gt;"",I1550,IF(J1550&lt;&gt;"",J1550,K1550)))</f>
        <v>110.49</v>
      </c>
      <c r="C1550" s="3">
        <f>MEDIAN(H1550:K1550)</f>
        <v>101.245</v>
      </c>
      <c r="D1550" s="3">
        <f>ROUND(C1550*(1-Settings!$B$2),2)</f>
        <v>70.87</v>
      </c>
      <c r="E1550" s="2" t="inlineStr">
        <is>
          <t>Pokemon</t>
        </is>
      </c>
      <c r="F1550" s="2" t="inlineStr">
        <is>
          <t>Coffret</t>
        </is>
      </c>
      <c r="G1550" s="2" t="inlineStr">
        <is>
          <t>Miscellaneous Cards &amp; Products</t>
        </is>
      </c>
      <c r="H1550" s="3" t="n"/>
      <c r="I1550" s="3" t="n"/>
      <c r="J1550" s="3" t="n">
        <v>110.49</v>
      </c>
      <c r="K1550" s="3" t="n">
        <v>92</v>
      </c>
      <c r="L1550" s="2" t="inlineStr">
        <is>
          <t>TCGplayer</t>
        </is>
      </c>
      <c r="N1550" s="4" t="inlineStr">
        <is>
          <t>https://www.tcgplayer.com/product/621096</t>
        </is>
      </c>
    </row>
    <row r="1551">
      <c r="A1551" s="2" t="inlineStr">
        <is>
          <t>Pikachu &amp; Eevee Poke Ball Collection</t>
        </is>
      </c>
      <c r="B1551" s="3">
        <f>IF(H1551&lt;&gt;"",H1551,IF(I1551&lt;&gt;"",I1551,IF(J1551&lt;&gt;"",J1551,K1551)))</f>
        <v>257.91</v>
      </c>
      <c r="C1551" s="3">
        <f>MEDIAN(H1551:K1551)</f>
        <v>329.99</v>
      </c>
      <c r="D1551" s="3">
        <f>ROUND(C1551*(1-Settings!$B$2),2)</f>
        <v>230.99</v>
      </c>
      <c r="E1551" s="2" t="inlineStr">
        <is>
          <t>Pokemon</t>
        </is>
      </c>
      <c r="F1551" s="2" t="inlineStr">
        <is>
          <t>Coffret</t>
        </is>
      </c>
      <c r="G1551" s="2" t="inlineStr">
        <is>
          <t>Miscellaneous Cards &amp; Products</t>
        </is>
      </c>
      <c r="H1551" s="3" t="n"/>
      <c r="I1551" s="3" t="n">
        <v>257.91</v>
      </c>
      <c r="J1551" s="3" t="n">
        <v>364.99</v>
      </c>
      <c r="K1551" s="3" t="n">
        <v>329.99</v>
      </c>
      <c r="L1551" s="2" t="inlineStr">
        <is>
          <t>TCGplayer</t>
        </is>
      </c>
      <c r="N1551" s="4" t="inlineStr">
        <is>
          <t>https://www.tcgplayer.com/product/179376</t>
        </is>
      </c>
    </row>
    <row r="1552">
      <c r="A1552" s="2" t="inlineStr">
        <is>
          <t>Pikachu &amp; Zekrom GX Premium Collection</t>
        </is>
      </c>
      <c r="B1552" s="3">
        <f>IF(H1552&lt;&gt;"",H1552,IF(I1552&lt;&gt;"",I1552,IF(J1552&lt;&gt;"",J1552,K1552)))</f>
        <v>296.25</v>
      </c>
      <c r="C1552" s="3">
        <f>MEDIAN(H1552:K1552)</f>
        <v>296.25</v>
      </c>
      <c r="D1552" s="3">
        <f>ROUND(C1552*(1-Settings!$B$2),2)</f>
        <v>207.38</v>
      </c>
      <c r="E1552" s="2" t="inlineStr">
        <is>
          <t>Pokemon</t>
        </is>
      </c>
      <c r="F1552" s="2" t="inlineStr">
        <is>
          <t>Coffret</t>
        </is>
      </c>
      <c r="G1552" s="2" t="inlineStr">
        <is>
          <t>Miscellaneous Cards &amp; Products</t>
        </is>
      </c>
      <c r="H1552" s="3" t="n"/>
      <c r="I1552" s="3" t="n">
        <v>296.25</v>
      </c>
      <c r="J1552" s="3" t="n">
        <v>330</v>
      </c>
      <c r="K1552" s="3" t="n">
        <v>280</v>
      </c>
      <c r="L1552" s="2" t="inlineStr">
        <is>
          <t>TCGplayer</t>
        </is>
      </c>
      <c r="N1552" s="4" t="inlineStr">
        <is>
          <t>https://www.tcgplayer.com/product/253396</t>
        </is>
      </c>
    </row>
    <row r="1553">
      <c r="A1553" s="2" t="inlineStr">
        <is>
          <t>Pikachu V Box</t>
        </is>
      </c>
      <c r="B1553" s="3">
        <f>IF(H1553&lt;&gt;"",H1553,IF(I1553&lt;&gt;"",I1553,IF(J1553&lt;&gt;"",J1553,K1553)))</f>
        <v>70.17</v>
      </c>
      <c r="C1553" s="3">
        <f>MEDIAN(H1553:K1553)</f>
        <v>74.0</v>
      </c>
      <c r="D1553" s="3">
        <f>ROUND(C1553*(1-Settings!$B$2),2)</f>
        <v>51.8</v>
      </c>
      <c r="E1553" s="2" t="inlineStr">
        <is>
          <t>Pokemon</t>
        </is>
      </c>
      <c r="F1553" s="2" t="inlineStr">
        <is>
          <t>Coffret</t>
        </is>
      </c>
      <c r="G1553" s="2" t="inlineStr">
        <is>
          <t>Miscellaneous Cards &amp; Products</t>
        </is>
      </c>
      <c r="H1553" s="3" t="n"/>
      <c r="I1553" s="3" t="n">
        <v>70.17</v>
      </c>
      <c r="J1553" s="3" t="n">
        <v>78.97</v>
      </c>
      <c r="K1553" s="3" t="n">
        <v>74</v>
      </c>
      <c r="L1553" s="2" t="inlineStr">
        <is>
          <t>TCGplayer</t>
        </is>
      </c>
      <c r="N1553" s="4" t="inlineStr">
        <is>
          <t>https://www.tcgplayer.com/product/260709</t>
        </is>
      </c>
    </row>
    <row r="1554">
      <c r="A1554" s="2" t="inlineStr">
        <is>
          <t>Poke Ball with Two Mini Tins (Sam's Club)</t>
        </is>
      </c>
      <c r="B1554" s="3">
        <f>IF(H1554&lt;&gt;"",H1554,IF(I1554&lt;&gt;"",I1554,IF(J1554&lt;&gt;"",J1554,K1554)))</f>
        <v>289.99</v>
      </c>
      <c r="C1554" s="3">
        <f>MEDIAN(H1554:K1554)</f>
        <v>289.99</v>
      </c>
      <c r="D1554" s="3">
        <f>ROUND(C1554*(1-Settings!$B$2),2)</f>
        <v>202.99</v>
      </c>
      <c r="E1554" s="2" t="inlineStr">
        <is>
          <t>Pokemon</t>
        </is>
      </c>
      <c r="F1554" s="2" t="inlineStr">
        <is>
          <t>Coffret</t>
        </is>
      </c>
      <c r="G1554" s="2" t="inlineStr">
        <is>
          <t>Miscellaneous Cards &amp; Products</t>
        </is>
      </c>
      <c r="H1554" s="3" t="n"/>
      <c r="I1554" s="3" t="n"/>
      <c r="J1554" s="3" t="n">
        <v>289.99</v>
      </c>
      <c r="K1554" s="3" t="n">
        <v>289.99</v>
      </c>
      <c r="L1554" s="2" t="inlineStr">
        <is>
          <t>TCGplayer</t>
        </is>
      </c>
      <c r="N1554" s="4" t="inlineStr">
        <is>
          <t>https://www.tcgplayer.com/product/683004</t>
        </is>
      </c>
    </row>
    <row r="1555">
      <c r="A1555" s="2" t="inlineStr">
        <is>
          <t>Pokemon - Poke Ball Tin + 2 Kanto Power Mini Tins - Dusk Ball</t>
        </is>
      </c>
      <c r="B1555" s="3">
        <f>IF(H1555&lt;&gt;"",H1555,IF(I1555&lt;&gt;"",I1555,IF(J1555&lt;&gt;"",J1555,K1555)))</f>
        <v>1750.0</v>
      </c>
      <c r="C1555" s="3">
        <f>MEDIAN(H1555:K1555)</f>
        <v>1125.0</v>
      </c>
      <c r="D1555" s="3">
        <f>ROUND(C1555*(1-Settings!$B$2),2)</f>
        <v>787.5</v>
      </c>
      <c r="E1555" s="2" t="inlineStr">
        <is>
          <t>Pokemon</t>
        </is>
      </c>
      <c r="F1555" s="2" t="inlineStr">
        <is>
          <t>Coffret</t>
        </is>
      </c>
      <c r="G1555" s="2" t="inlineStr">
        <is>
          <t>Miscellaneous Cards &amp; Products</t>
        </is>
      </c>
      <c r="H1555" s="3" t="n"/>
      <c r="I1555" s="3" t="n"/>
      <c r="J1555" s="3" t="n">
        <v>1750</v>
      </c>
      <c r="K1555" s="3" t="n">
        <v>500</v>
      </c>
      <c r="L1555" s="2" t="inlineStr">
        <is>
          <t>TCGplayer</t>
        </is>
      </c>
      <c r="N1555" s="4" t="inlineStr">
        <is>
          <t>https://www.tcgplayer.com/product/245519</t>
        </is>
      </c>
    </row>
    <row r="1556">
      <c r="A1556" s="2" t="inlineStr">
        <is>
          <t>Pokemon - Poke Ball Tin + 2 Kanto Power Mini Tins - Great Ball</t>
        </is>
      </c>
      <c r="B1556" s="3">
        <f>IF(H1556&lt;&gt;"",H1556,IF(I1556&lt;&gt;"",I1556,IF(J1556&lt;&gt;"",J1556,K1556)))</f>
        <v>1749.99</v>
      </c>
      <c r="C1556" s="3">
        <f>MEDIAN(H1556:K1556)</f>
        <v>1124.99</v>
      </c>
      <c r="D1556" s="3">
        <f>ROUND(C1556*(1-Settings!$B$2),2)</f>
        <v>787.49</v>
      </c>
      <c r="E1556" s="2" t="inlineStr">
        <is>
          <t>Pokemon</t>
        </is>
      </c>
      <c r="F1556" s="2" t="inlineStr">
        <is>
          <t>Coffret</t>
        </is>
      </c>
      <c r="G1556" s="2" t="inlineStr">
        <is>
          <t>Miscellaneous Cards &amp; Products</t>
        </is>
      </c>
      <c r="H1556" s="3" t="n"/>
      <c r="I1556" s="3" t="n"/>
      <c r="J1556" s="3" t="n">
        <v>1749.99</v>
      </c>
      <c r="K1556" s="3" t="n">
        <v>499.99</v>
      </c>
      <c r="L1556" s="2" t="inlineStr">
        <is>
          <t>TCGplayer</t>
        </is>
      </c>
      <c r="N1556" s="4" t="inlineStr">
        <is>
          <t>https://www.tcgplayer.com/product/245518</t>
        </is>
      </c>
    </row>
    <row r="1557">
      <c r="A1557" s="2" t="inlineStr">
        <is>
          <t>Pokemon - Poke Ball Tin + 2 Kanto Power Mini Tins - Poke Ball</t>
        </is>
      </c>
      <c r="B1557" s="3">
        <f>IF(H1557&lt;&gt;"",H1557,IF(I1557&lt;&gt;"",I1557,IF(J1557&lt;&gt;"",J1557,K1557)))</f>
        <v>1750.0</v>
      </c>
      <c r="C1557" s="3">
        <f>MEDIAN(H1557:K1557)</f>
        <v>1125.0</v>
      </c>
      <c r="D1557" s="3">
        <f>ROUND(C1557*(1-Settings!$B$2),2)</f>
        <v>787.5</v>
      </c>
      <c r="E1557" s="2" t="inlineStr">
        <is>
          <t>Pokemon</t>
        </is>
      </c>
      <c r="F1557" s="2" t="inlineStr">
        <is>
          <t>Coffret</t>
        </is>
      </c>
      <c r="G1557" s="2" t="inlineStr">
        <is>
          <t>Miscellaneous Cards &amp; Products</t>
        </is>
      </c>
      <c r="H1557" s="3" t="n"/>
      <c r="I1557" s="3" t="n"/>
      <c r="J1557" s="3" t="n">
        <v>1750</v>
      </c>
      <c r="K1557" s="3" t="n">
        <v>500</v>
      </c>
      <c r="L1557" s="2" t="inlineStr">
        <is>
          <t>TCGplayer</t>
        </is>
      </c>
      <c r="N1557" s="4" t="inlineStr">
        <is>
          <t>https://www.tcgplayer.com/product/245517</t>
        </is>
      </c>
    </row>
    <row r="1558">
      <c r="A1558" s="2" t="inlineStr">
        <is>
          <t>Pokemon - Poke Ball Tin + 2 Kanto Power Mini Tins - Premier Ball</t>
        </is>
      </c>
      <c r="B1558" s="3">
        <f>IF(H1558&lt;&gt;"",H1558,IF(I1558&lt;&gt;"",I1558,IF(J1558&lt;&gt;"",J1558,K1558)))</f>
        <v>1700.0</v>
      </c>
      <c r="C1558" s="3">
        <f>MEDIAN(H1558:K1558)</f>
        <v>1050.0</v>
      </c>
      <c r="D1558" s="3">
        <f>ROUND(C1558*(1-Settings!$B$2),2)</f>
        <v>735.0</v>
      </c>
      <c r="E1558" s="2" t="inlineStr">
        <is>
          <t>Pokemon</t>
        </is>
      </c>
      <c r="F1558" s="2" t="inlineStr">
        <is>
          <t>Coffret</t>
        </is>
      </c>
      <c r="G1558" s="2" t="inlineStr">
        <is>
          <t>Miscellaneous Cards &amp; Products</t>
        </is>
      </c>
      <c r="H1558" s="3" t="n"/>
      <c r="I1558" s="3" t="n"/>
      <c r="J1558" s="3" t="n">
        <v>1700</v>
      </c>
      <c r="K1558" s="3" t="n">
        <v>400</v>
      </c>
      <c r="L1558" s="2" t="inlineStr">
        <is>
          <t>TCGplayer</t>
        </is>
      </c>
      <c r="N1558" s="4" t="inlineStr">
        <is>
          <t>https://www.tcgplayer.com/product/245520</t>
        </is>
      </c>
    </row>
    <row r="1559">
      <c r="A1559" s="2" t="inlineStr">
        <is>
          <t>Pokemon - Poke Ball Tin + 2 Kanto Power Mini Tins - Ultra Ball</t>
        </is>
      </c>
      <c r="B1559" s="3">
        <f>IF(H1559&lt;&gt;"",H1559,IF(I1559&lt;&gt;"",I1559,IF(J1559&lt;&gt;"",J1559,K1559)))</f>
        <v>3000.0</v>
      </c>
      <c r="C1559" s="3">
        <f>MEDIAN(H1559:K1559)</f>
        <v>1749.995</v>
      </c>
      <c r="D1559" s="3">
        <f>ROUND(C1559*(1-Settings!$B$2),2)</f>
        <v>1225.0</v>
      </c>
      <c r="E1559" s="2" t="inlineStr">
        <is>
          <t>Pokemon</t>
        </is>
      </c>
      <c r="F1559" s="2" t="inlineStr">
        <is>
          <t>Coffret</t>
        </is>
      </c>
      <c r="G1559" s="2" t="inlineStr">
        <is>
          <t>Miscellaneous Cards &amp; Products</t>
        </is>
      </c>
      <c r="H1559" s="3" t="n"/>
      <c r="I1559" s="3" t="n"/>
      <c r="J1559" s="3" t="n">
        <v>3000</v>
      </c>
      <c r="K1559" s="3" t="n">
        <v>499.99</v>
      </c>
      <c r="L1559" s="2" t="inlineStr">
        <is>
          <t>TCGplayer</t>
        </is>
      </c>
      <c r="N1559" s="4" t="inlineStr">
        <is>
          <t>https://www.tcgplayer.com/product/245521</t>
        </is>
      </c>
    </row>
    <row r="1560">
      <c r="A1560" s="2" t="inlineStr">
        <is>
          <t>Pokemon - Poke Ball Tin - Dive Ball</t>
        </is>
      </c>
      <c r="B1560" s="3">
        <f>IF(H1560&lt;&gt;"",H1560,IF(I1560&lt;&gt;"",I1560,IF(J1560&lt;&gt;"",J1560,K1560)))</f>
        <v>180.0</v>
      </c>
      <c r="C1560" s="3">
        <f>MEDIAN(H1560:K1560)</f>
        <v>220.0</v>
      </c>
      <c r="D1560" s="3">
        <f>ROUND(C1560*(1-Settings!$B$2),2)</f>
        <v>154.0</v>
      </c>
      <c r="E1560" s="2" t="inlineStr">
        <is>
          <t>Pokemon</t>
        </is>
      </c>
      <c r="F1560" s="2" t="inlineStr">
        <is>
          <t>Coffret</t>
        </is>
      </c>
      <c r="G1560" s="2" t="inlineStr">
        <is>
          <t>Miscellaneous Cards &amp; Products</t>
        </is>
      </c>
      <c r="H1560" s="3" t="n"/>
      <c r="I1560" s="3" t="n">
        <v>180</v>
      </c>
      <c r="J1560" s="3" t="n">
        <v>310</v>
      </c>
      <c r="K1560" s="3" t="n">
        <v>220</v>
      </c>
      <c r="L1560" s="2" t="inlineStr">
        <is>
          <t>TCGplayer</t>
        </is>
      </c>
      <c r="N1560" s="4" t="inlineStr">
        <is>
          <t>https://www.tcgplayer.com/product/210170</t>
        </is>
      </c>
    </row>
    <row r="1561">
      <c r="A1561" s="2" t="inlineStr">
        <is>
          <t>Pokemon - Poke Ball Tin - Dusk Ball</t>
        </is>
      </c>
      <c r="B1561" s="3">
        <f>IF(H1561&lt;&gt;"",H1561,IF(I1561&lt;&gt;"",I1561,IF(J1561&lt;&gt;"",J1561,K1561)))</f>
        <v>226.99</v>
      </c>
      <c r="C1561" s="3">
        <f>MEDIAN(H1561:K1561)</f>
        <v>223.385</v>
      </c>
      <c r="D1561" s="3">
        <f>ROUND(C1561*(1-Settings!$B$2),2)</f>
        <v>156.37</v>
      </c>
      <c r="E1561" s="2" t="inlineStr">
        <is>
          <t>Pokemon</t>
        </is>
      </c>
      <c r="F1561" s="2" t="inlineStr">
        <is>
          <t>Coffret</t>
        </is>
      </c>
      <c r="G1561" s="2" t="inlineStr">
        <is>
          <t>Miscellaneous Cards &amp; Products</t>
        </is>
      </c>
      <c r="H1561" s="3" t="n"/>
      <c r="I1561" s="3" t="n"/>
      <c r="J1561" s="3" t="n">
        <v>226.99</v>
      </c>
      <c r="K1561" s="3" t="n">
        <v>219.78</v>
      </c>
      <c r="L1561" s="2" t="inlineStr">
        <is>
          <t>TCGplayer</t>
        </is>
      </c>
      <c r="N1561" s="4" t="inlineStr">
        <is>
          <t>https://www.tcgplayer.com/product/214268</t>
        </is>
      </c>
    </row>
    <row r="1562">
      <c r="A1562" s="2" t="inlineStr">
        <is>
          <t>Pokemon - Poke Ball Tin - Great Ball</t>
        </is>
      </c>
      <c r="B1562" s="3">
        <f>IF(H1562&lt;&gt;"",H1562,IF(I1562&lt;&gt;"",I1562,IF(J1562&lt;&gt;"",J1562,K1562)))</f>
        <v>25.42</v>
      </c>
      <c r="C1562" s="3">
        <f>MEDIAN(H1562:K1562)</f>
        <v>25.42</v>
      </c>
      <c r="D1562" s="3">
        <f>ROUND(C1562*(1-Settings!$B$2),2)</f>
        <v>17.79</v>
      </c>
      <c r="E1562" s="2" t="inlineStr">
        <is>
          <t>Pokemon</t>
        </is>
      </c>
      <c r="F1562" s="2" t="inlineStr">
        <is>
          <t>Coffret</t>
        </is>
      </c>
      <c r="G1562" s="2" t="inlineStr">
        <is>
          <t>Miscellaneous Cards &amp; Products</t>
        </is>
      </c>
      <c r="H1562" s="3" t="n"/>
      <c r="I1562" s="3" t="n">
        <v>25.42</v>
      </c>
      <c r="J1562" s="3" t="n">
        <v>25.42</v>
      </c>
      <c r="K1562" s="3" t="n">
        <v>19.99</v>
      </c>
      <c r="L1562" s="2" t="inlineStr">
        <is>
          <t>TCGplayer</t>
        </is>
      </c>
      <c r="N1562" s="4" t="inlineStr">
        <is>
          <t>https://www.tcgplayer.com/product/198519</t>
        </is>
      </c>
    </row>
    <row r="1563">
      <c r="A1563" s="2" t="inlineStr">
        <is>
          <t>Pokemon - Poke Ball Tin - Great Ball (Q4 2024)</t>
        </is>
      </c>
      <c r="B1563" s="3">
        <f>IF(H1563&lt;&gt;"",H1563,IF(I1563&lt;&gt;"",I1563,IF(J1563&lt;&gt;"",J1563,K1563)))</f>
        <v>26.07</v>
      </c>
      <c r="C1563" s="3">
        <f>MEDIAN(H1563:K1563)</f>
        <v>29.98</v>
      </c>
      <c r="D1563" s="3">
        <f>ROUND(C1563*(1-Settings!$B$2),2)</f>
        <v>20.99</v>
      </c>
      <c r="E1563" s="2" t="inlineStr">
        <is>
          <t>Pokemon</t>
        </is>
      </c>
      <c r="F1563" s="2" t="inlineStr">
        <is>
          <t>Coffret</t>
        </is>
      </c>
      <c r="G1563" s="2" t="inlineStr">
        <is>
          <t>Miscellaneous Cards &amp; Products</t>
        </is>
      </c>
      <c r="H1563" s="3" t="n"/>
      <c r="I1563" s="3" t="n">
        <v>26.07</v>
      </c>
      <c r="J1563" s="3" t="n">
        <v>29.99</v>
      </c>
      <c r="K1563" s="3" t="n">
        <v>29.98</v>
      </c>
      <c r="L1563" s="2" t="inlineStr">
        <is>
          <t>TCGplayer</t>
        </is>
      </c>
      <c r="N1563" s="4" t="inlineStr">
        <is>
          <t>https://www.tcgplayer.com/product/587366</t>
        </is>
      </c>
    </row>
    <row r="1564">
      <c r="A1564" s="2" t="inlineStr">
        <is>
          <t>Pokemon - Poke Ball Tin - Great Ball (Q4 2025)</t>
        </is>
      </c>
      <c r="B1564" s="3">
        <f>IF(H1564&lt;&gt;"",H1564,IF(I1564&lt;&gt;"",I1564,IF(J1564&lt;&gt;"",J1564,K1564)))</f>
        <v>25.33</v>
      </c>
      <c r="C1564" s="3">
        <f>MEDIAN(H1564:K1564)</f>
        <v>25.0</v>
      </c>
      <c r="D1564" s="3">
        <f>ROUND(C1564*(1-Settings!$B$2),2)</f>
        <v>17.5</v>
      </c>
      <c r="E1564" s="2" t="inlineStr">
        <is>
          <t>Pokemon</t>
        </is>
      </c>
      <c r="F1564" s="2" t="inlineStr">
        <is>
          <t>Coffret</t>
        </is>
      </c>
      <c r="G1564" s="2" t="inlineStr">
        <is>
          <t>Miscellaneous Cards &amp; Products</t>
        </is>
      </c>
      <c r="H1564" s="3" t="n"/>
      <c r="I1564" s="3" t="n">
        <v>25.33</v>
      </c>
      <c r="J1564" s="3" t="n">
        <v>25</v>
      </c>
      <c r="K1564" s="3" t="n">
        <v>21</v>
      </c>
      <c r="L1564" s="2" t="inlineStr">
        <is>
          <t>TCGplayer</t>
        </is>
      </c>
      <c r="N1564" s="4" t="inlineStr">
        <is>
          <t>https://www.tcgplayer.com/product/688966</t>
        </is>
      </c>
    </row>
    <row r="1565">
      <c r="A1565" s="2" t="inlineStr">
        <is>
          <t>Pokemon - Poke Ball Tin - Level Ball</t>
        </is>
      </c>
      <c r="B1565" s="3">
        <f>IF(H1565&lt;&gt;"",H1565,IF(I1565&lt;&gt;"",I1565,IF(J1565&lt;&gt;"",J1565,K1565)))</f>
        <v>74.57</v>
      </c>
      <c r="C1565" s="3">
        <f>MEDIAN(H1565:K1565)</f>
        <v>74.57</v>
      </c>
      <c r="D1565" s="3">
        <f>ROUND(C1565*(1-Settings!$B$2),2)</f>
        <v>52.2</v>
      </c>
      <c r="E1565" s="2" t="inlineStr">
        <is>
          <t>Pokemon</t>
        </is>
      </c>
      <c r="F1565" s="2" t="inlineStr">
        <is>
          <t>Coffret</t>
        </is>
      </c>
      <c r="G1565" s="2" t="inlineStr">
        <is>
          <t>Miscellaneous Cards &amp; Products</t>
        </is>
      </c>
      <c r="H1565" s="3" t="n"/>
      <c r="I1565" s="3" t="n">
        <v>74.56999999999999</v>
      </c>
      <c r="J1565" s="3" t="n">
        <v>74.95</v>
      </c>
      <c r="K1565" s="3" t="n">
        <v>64.45</v>
      </c>
      <c r="L1565" s="2" t="inlineStr">
        <is>
          <t>TCGplayer</t>
        </is>
      </c>
      <c r="N1565" s="4" t="inlineStr">
        <is>
          <t>https://www.tcgplayer.com/product/231292</t>
        </is>
      </c>
    </row>
    <row r="1566">
      <c r="A1566" s="2" t="inlineStr">
        <is>
          <t>Pokemon - Poke Ball Tin - Love Ball</t>
        </is>
      </c>
      <c r="B1566" s="3">
        <f>IF(H1566&lt;&gt;"",H1566,IF(I1566&lt;&gt;"",I1566,IF(J1566&lt;&gt;"",J1566,K1566)))</f>
        <v>275.49</v>
      </c>
      <c r="C1566" s="3">
        <f>MEDIAN(H1566:K1566)</f>
        <v>275.49</v>
      </c>
      <c r="D1566" s="3">
        <f>ROUND(C1566*(1-Settings!$B$2),2)</f>
        <v>192.84</v>
      </c>
      <c r="E1566" s="2" t="inlineStr">
        <is>
          <t>Pokemon</t>
        </is>
      </c>
      <c r="F1566" s="2" t="inlineStr">
        <is>
          <t>Coffret</t>
        </is>
      </c>
      <c r="G1566" s="2" t="inlineStr">
        <is>
          <t>Miscellaneous Cards &amp; Products</t>
        </is>
      </c>
      <c r="H1566" s="3" t="n"/>
      <c r="I1566" s="3" t="n">
        <v>275.49</v>
      </c>
      <c r="J1566" s="3" t="n">
        <v>325</v>
      </c>
      <c r="K1566" s="3" t="n">
        <v>268.39</v>
      </c>
      <c r="L1566" s="2" t="inlineStr">
        <is>
          <t>TCGplayer</t>
        </is>
      </c>
      <c r="N1566" s="4" t="inlineStr">
        <is>
          <t>https://www.tcgplayer.com/product/271585</t>
        </is>
      </c>
    </row>
    <row r="1567">
      <c r="A1567" s="2" t="inlineStr">
        <is>
          <t>Pokemon - Poke Ball Tin - Lure Ball</t>
        </is>
      </c>
      <c r="B1567" s="3">
        <f>IF(H1567&lt;&gt;"",H1567,IF(I1567&lt;&gt;"",I1567,IF(J1567&lt;&gt;"",J1567,K1567)))</f>
        <v>125.0</v>
      </c>
      <c r="C1567" s="3">
        <f>MEDIAN(H1567:K1567)</f>
        <v>139.99</v>
      </c>
      <c r="D1567" s="3">
        <f>ROUND(C1567*(1-Settings!$B$2),2)</f>
        <v>97.99</v>
      </c>
      <c r="E1567" s="2" t="inlineStr">
        <is>
          <t>Pokemon</t>
        </is>
      </c>
      <c r="F1567" s="2" t="inlineStr">
        <is>
          <t>Coffret</t>
        </is>
      </c>
      <c r="G1567" s="2" t="inlineStr">
        <is>
          <t>Miscellaneous Cards &amp; Products</t>
        </is>
      </c>
      <c r="H1567" s="3" t="n"/>
      <c r="I1567" s="3" t="n">
        <v>125</v>
      </c>
      <c r="J1567" s="3" t="n">
        <v>139.99</v>
      </c>
      <c r="K1567" s="3" t="n">
        <v>139.99</v>
      </c>
      <c r="L1567" s="2" t="inlineStr">
        <is>
          <t>TCGplayer</t>
        </is>
      </c>
      <c r="N1567" s="4" t="inlineStr">
        <is>
          <t>https://www.tcgplayer.com/product/516987</t>
        </is>
      </c>
    </row>
    <row r="1568">
      <c r="A1568" s="2" t="inlineStr">
        <is>
          <t>Pokemon - Poke Ball Tin - Luxury Ball</t>
        </is>
      </c>
      <c r="B1568" s="3">
        <f>IF(H1568&lt;&gt;"",H1568,IF(I1568&lt;&gt;"",I1568,IF(J1568&lt;&gt;"",J1568,K1568)))</f>
        <v>90.0</v>
      </c>
      <c r="C1568" s="3">
        <f>MEDIAN(H1568:K1568)</f>
        <v>151.96</v>
      </c>
      <c r="D1568" s="3">
        <f>ROUND(C1568*(1-Settings!$B$2),2)</f>
        <v>106.37</v>
      </c>
      <c r="E1568" s="2" t="inlineStr">
        <is>
          <t>Pokemon</t>
        </is>
      </c>
      <c r="F1568" s="2" t="inlineStr">
        <is>
          <t>Coffret</t>
        </is>
      </c>
      <c r="G1568" s="2" t="inlineStr">
        <is>
          <t>Miscellaneous Cards &amp; Products</t>
        </is>
      </c>
      <c r="H1568" s="3" t="n"/>
      <c r="I1568" s="3" t="n">
        <v>90</v>
      </c>
      <c r="J1568" s="3" t="n">
        <v>151.96</v>
      </c>
      <c r="K1568" s="3" t="n">
        <v>151.96</v>
      </c>
      <c r="L1568" s="2" t="inlineStr">
        <is>
          <t>TCGplayer</t>
        </is>
      </c>
      <c r="N1568" s="4" t="inlineStr">
        <is>
          <t>https://www.tcgplayer.com/product/198520</t>
        </is>
      </c>
    </row>
    <row r="1569">
      <c r="A1569" s="2" t="inlineStr">
        <is>
          <t>Pokemon - Poke Ball Tin - Moon Ball (Q4 2024)</t>
        </is>
      </c>
      <c r="B1569" s="3">
        <f>IF(H1569&lt;&gt;"",H1569,IF(I1569&lt;&gt;"",I1569,IF(J1569&lt;&gt;"",J1569,K1569)))</f>
        <v>29.31</v>
      </c>
      <c r="C1569" s="3">
        <f>MEDIAN(H1569:K1569)</f>
        <v>29.31</v>
      </c>
      <c r="D1569" s="3">
        <f>ROUND(C1569*(1-Settings!$B$2),2)</f>
        <v>20.52</v>
      </c>
      <c r="E1569" s="2" t="inlineStr">
        <is>
          <t>Pokemon</t>
        </is>
      </c>
      <c r="F1569" s="2" t="inlineStr">
        <is>
          <t>Coffret</t>
        </is>
      </c>
      <c r="G1569" s="2" t="inlineStr">
        <is>
          <t>Miscellaneous Cards &amp; Products</t>
        </is>
      </c>
      <c r="H1569" s="3" t="n"/>
      <c r="I1569" s="3" t="n">
        <v>29.31</v>
      </c>
      <c r="J1569" s="3" t="n">
        <v>34.99</v>
      </c>
      <c r="K1569" s="3" t="n">
        <v>25</v>
      </c>
      <c r="L1569" s="2" t="inlineStr">
        <is>
          <t>TCGplayer</t>
        </is>
      </c>
      <c r="N1569" s="4" t="inlineStr">
        <is>
          <t>https://www.tcgplayer.com/product/587369</t>
        </is>
      </c>
    </row>
    <row r="1570">
      <c r="A1570" s="2" t="inlineStr">
        <is>
          <t>Pokemon - Poke Ball Tin - Poke Ball</t>
        </is>
      </c>
      <c r="B1570" s="3">
        <f>IF(H1570&lt;&gt;"",H1570,IF(I1570&lt;&gt;"",I1570,IF(J1570&lt;&gt;"",J1570,K1570)))</f>
        <v>27.41</v>
      </c>
      <c r="C1570" s="3">
        <f>MEDIAN(H1570:K1570)</f>
        <v>27.41</v>
      </c>
      <c r="D1570" s="3">
        <f>ROUND(C1570*(1-Settings!$B$2),2)</f>
        <v>19.19</v>
      </c>
      <c r="E1570" s="2" t="inlineStr">
        <is>
          <t>Pokemon</t>
        </is>
      </c>
      <c r="F1570" s="2" t="inlineStr">
        <is>
          <t>Coffret</t>
        </is>
      </c>
      <c r="G1570" s="2" t="inlineStr">
        <is>
          <t>Miscellaneous Cards &amp; Products</t>
        </is>
      </c>
      <c r="H1570" s="3" t="n"/>
      <c r="I1570" s="3" t="n">
        <v>27.41</v>
      </c>
      <c r="J1570" s="3" t="n">
        <v>29</v>
      </c>
      <c r="K1570" s="3" t="n">
        <v>22.99</v>
      </c>
      <c r="L1570" s="2" t="inlineStr">
        <is>
          <t>TCGplayer</t>
        </is>
      </c>
      <c r="N1570" s="4" t="inlineStr">
        <is>
          <t>https://www.tcgplayer.com/product/181267</t>
        </is>
      </c>
    </row>
    <row r="1571">
      <c r="A1571" s="2" t="inlineStr">
        <is>
          <t>Pokemon - Poke Ball Tin - Poke Ball (Q4 2024)</t>
        </is>
      </c>
      <c r="B1571" s="3">
        <f>IF(H1571&lt;&gt;"",H1571,IF(I1571&lt;&gt;"",I1571,IF(J1571&lt;&gt;"",J1571,K1571)))</f>
        <v>27.26</v>
      </c>
      <c r="C1571" s="3">
        <f>MEDIAN(H1571:K1571)</f>
        <v>59.99</v>
      </c>
      <c r="D1571" s="3">
        <f>ROUND(C1571*(1-Settings!$B$2),2)</f>
        <v>41.99</v>
      </c>
      <c r="E1571" s="2" t="inlineStr">
        <is>
          <t>Pokemon</t>
        </is>
      </c>
      <c r="F1571" s="2" t="inlineStr">
        <is>
          <t>Coffret</t>
        </is>
      </c>
      <c r="G1571" s="2" t="inlineStr">
        <is>
          <t>Miscellaneous Cards &amp; Products</t>
        </is>
      </c>
      <c r="H1571" s="3" t="n"/>
      <c r="I1571" s="3" t="n">
        <v>27.26</v>
      </c>
      <c r="J1571" s="3" t="n">
        <v>62.49</v>
      </c>
      <c r="K1571" s="3" t="n">
        <v>59.99</v>
      </c>
      <c r="L1571" s="2" t="inlineStr">
        <is>
          <t>TCGplayer</t>
        </is>
      </c>
      <c r="N1571" s="4" t="inlineStr">
        <is>
          <t>https://www.tcgplayer.com/product/587365</t>
        </is>
      </c>
    </row>
    <row r="1572">
      <c r="A1572" s="2" t="inlineStr">
        <is>
          <t>Pokemon - Poke Ball Tin - Poke Ball (Q4 2025)</t>
        </is>
      </c>
      <c r="B1572" s="3">
        <f>IF(H1572&lt;&gt;"",H1572,IF(I1572&lt;&gt;"",I1572,IF(J1572&lt;&gt;"",J1572,K1572)))</f>
        <v>28.33</v>
      </c>
      <c r="C1572" s="3">
        <f>MEDIAN(H1572:K1572)</f>
        <v>27.5</v>
      </c>
      <c r="D1572" s="3">
        <f>ROUND(C1572*(1-Settings!$B$2),2)</f>
        <v>19.25</v>
      </c>
      <c r="E1572" s="2" t="inlineStr">
        <is>
          <t>Pokemon</t>
        </is>
      </c>
      <c r="F1572" s="2" t="inlineStr">
        <is>
          <t>Coffret</t>
        </is>
      </c>
      <c r="G1572" s="2" t="inlineStr">
        <is>
          <t>Miscellaneous Cards &amp; Products</t>
        </is>
      </c>
      <c r="H1572" s="3" t="n"/>
      <c r="I1572" s="3" t="n">
        <v>28.33</v>
      </c>
      <c r="J1572" s="3" t="n">
        <v>27.5</v>
      </c>
      <c r="K1572" s="3" t="n">
        <v>23.99</v>
      </c>
      <c r="L1572" s="2" t="inlineStr">
        <is>
          <t>TCGplayer</t>
        </is>
      </c>
      <c r="N1572" s="4" t="inlineStr">
        <is>
          <t>https://www.tcgplayer.com/product/688964</t>
        </is>
      </c>
    </row>
    <row r="1573">
      <c r="A1573" s="2" t="inlineStr">
        <is>
          <t>Pokemon - Poke Ball Tin - Premier Ball</t>
        </is>
      </c>
      <c r="B1573" s="3">
        <f>IF(H1573&lt;&gt;"",H1573,IF(I1573&lt;&gt;"",I1573,IF(J1573&lt;&gt;"",J1573,K1573)))</f>
        <v>24.27</v>
      </c>
      <c r="C1573" s="3">
        <f>MEDIAN(H1573:K1573)</f>
        <v>24.27</v>
      </c>
      <c r="D1573" s="3">
        <f>ROUND(C1573*(1-Settings!$B$2),2)</f>
        <v>16.99</v>
      </c>
      <c r="E1573" s="2" t="inlineStr">
        <is>
          <t>Pokemon</t>
        </is>
      </c>
      <c r="F1573" s="2" t="inlineStr">
        <is>
          <t>Coffret</t>
        </is>
      </c>
      <c r="G1573" s="2" t="inlineStr">
        <is>
          <t>Miscellaneous Cards &amp; Products</t>
        </is>
      </c>
      <c r="H1573" s="3" t="n"/>
      <c r="I1573" s="3" t="n">
        <v>24.27</v>
      </c>
      <c r="J1573" s="3" t="n">
        <v>30</v>
      </c>
      <c r="K1573" s="3" t="n">
        <v>24.27</v>
      </c>
      <c r="L1573" s="2" t="inlineStr">
        <is>
          <t>TCGplayer</t>
        </is>
      </c>
      <c r="N1573" s="4" t="inlineStr">
        <is>
          <t>https://www.tcgplayer.com/product/198522</t>
        </is>
      </c>
    </row>
    <row r="1574">
      <c r="A1574" s="2" t="inlineStr">
        <is>
          <t>Pokemon - Poke Ball Tin - Premier Ball (Q4 2024)</t>
        </is>
      </c>
      <c r="B1574" s="3">
        <f>IF(H1574&lt;&gt;"",H1574,IF(I1574&lt;&gt;"",I1574,IF(J1574&lt;&gt;"",J1574,K1574)))</f>
        <v>23.81</v>
      </c>
      <c r="C1574" s="3">
        <f>MEDIAN(H1574:K1574)</f>
        <v>27.0</v>
      </c>
      <c r="D1574" s="3">
        <f>ROUND(C1574*(1-Settings!$B$2),2)</f>
        <v>18.9</v>
      </c>
      <c r="E1574" s="2" t="inlineStr">
        <is>
          <t>Pokemon</t>
        </is>
      </c>
      <c r="F1574" s="2" t="inlineStr">
        <is>
          <t>Coffret</t>
        </is>
      </c>
      <c r="G1574" s="2" t="inlineStr">
        <is>
          <t>Miscellaneous Cards &amp; Products</t>
        </is>
      </c>
      <c r="H1574" s="3" t="n"/>
      <c r="I1574" s="3" t="n">
        <v>23.81</v>
      </c>
      <c r="J1574" s="3" t="n">
        <v>31</v>
      </c>
      <c r="K1574" s="3" t="n">
        <v>27</v>
      </c>
      <c r="L1574" s="2" t="inlineStr">
        <is>
          <t>TCGplayer</t>
        </is>
      </c>
      <c r="N1574" s="4" t="inlineStr">
        <is>
          <t>https://www.tcgplayer.com/product/587367</t>
        </is>
      </c>
    </row>
    <row r="1575">
      <c r="A1575" s="2" t="inlineStr">
        <is>
          <t>Pokemon - Poke Ball Tin - Premier Ball (Q4 2025)</t>
        </is>
      </c>
      <c r="B1575" s="3">
        <f>IF(H1575&lt;&gt;"",H1575,IF(I1575&lt;&gt;"",I1575,IF(J1575&lt;&gt;"",J1575,K1575)))</f>
        <v>26.26</v>
      </c>
      <c r="C1575" s="3">
        <f>MEDIAN(H1575:K1575)</f>
        <v>25.99</v>
      </c>
      <c r="D1575" s="3">
        <f>ROUND(C1575*(1-Settings!$B$2),2)</f>
        <v>18.19</v>
      </c>
      <c r="E1575" s="2" t="inlineStr">
        <is>
          <t>Pokemon</t>
        </is>
      </c>
      <c r="F1575" s="2" t="inlineStr">
        <is>
          <t>Coffret</t>
        </is>
      </c>
      <c r="G1575" s="2" t="inlineStr">
        <is>
          <t>Miscellaneous Cards &amp; Products</t>
        </is>
      </c>
      <c r="H1575" s="3" t="n"/>
      <c r="I1575" s="3" t="n">
        <v>26.26</v>
      </c>
      <c r="J1575" s="3" t="n">
        <v>25.99</v>
      </c>
      <c r="K1575" s="3" t="n">
        <v>22</v>
      </c>
      <c r="L1575" s="2" t="inlineStr">
        <is>
          <t>TCGplayer</t>
        </is>
      </c>
      <c r="N1575" s="4" t="inlineStr">
        <is>
          <t>https://www.tcgplayer.com/product/688967</t>
        </is>
      </c>
    </row>
    <row r="1576">
      <c r="A1576" s="2" t="inlineStr">
        <is>
          <t>Pokemon - Poke Ball Tin - Quick Ball</t>
        </is>
      </c>
      <c r="B1576" s="3">
        <f>IF(H1576&lt;&gt;"",H1576,IF(I1576&lt;&gt;"",I1576,IF(J1576&lt;&gt;"",J1576,K1576)))</f>
        <v>48.41</v>
      </c>
      <c r="C1576" s="3">
        <f>MEDIAN(H1576:K1576)</f>
        <v>99.97</v>
      </c>
      <c r="D1576" s="3">
        <f>ROUND(C1576*(1-Settings!$B$2),2)</f>
        <v>69.98</v>
      </c>
      <c r="E1576" s="2" t="inlineStr">
        <is>
          <t>Pokemon</t>
        </is>
      </c>
      <c r="F1576" s="2" t="inlineStr">
        <is>
          <t>Coffret</t>
        </is>
      </c>
      <c r="G1576" s="2" t="inlineStr">
        <is>
          <t>Miscellaneous Cards &amp; Products</t>
        </is>
      </c>
      <c r="H1576" s="3" t="n"/>
      <c r="I1576" s="3" t="n">
        <v>48.41</v>
      </c>
      <c r="J1576" s="3" t="n">
        <v>109.97</v>
      </c>
      <c r="K1576" s="3" t="n">
        <v>99.97</v>
      </c>
      <c r="L1576" s="2" t="inlineStr">
        <is>
          <t>TCGplayer</t>
        </is>
      </c>
      <c r="N1576" s="4" t="inlineStr">
        <is>
          <t>https://www.tcgplayer.com/product/181268</t>
        </is>
      </c>
    </row>
    <row r="1577">
      <c r="A1577" s="2" t="inlineStr">
        <is>
          <t>Pokemon - Poke Ball Tin - Repeat Ball</t>
        </is>
      </c>
      <c r="B1577" s="3">
        <f>IF(H1577&lt;&gt;"",H1577,IF(I1577&lt;&gt;"",I1577,IF(J1577&lt;&gt;"",J1577,K1577)))</f>
        <v>25.35</v>
      </c>
      <c r="C1577" s="3">
        <f>MEDIAN(H1577:K1577)</f>
        <v>25.29</v>
      </c>
      <c r="D1577" s="3">
        <f>ROUND(C1577*(1-Settings!$B$2),2)</f>
        <v>17.7</v>
      </c>
      <c r="E1577" s="2" t="inlineStr">
        <is>
          <t>Pokemon</t>
        </is>
      </c>
      <c r="F1577" s="2" t="inlineStr">
        <is>
          <t>Coffret</t>
        </is>
      </c>
      <c r="G1577" s="2" t="inlineStr">
        <is>
          <t>Miscellaneous Cards &amp; Products</t>
        </is>
      </c>
      <c r="H1577" s="3" t="n"/>
      <c r="I1577" s="3" t="n">
        <v>25.35</v>
      </c>
      <c r="J1577" s="3" t="n">
        <v>25.29</v>
      </c>
      <c r="K1577" s="3" t="n">
        <v>20</v>
      </c>
      <c r="L1577" s="2" t="inlineStr">
        <is>
          <t>TCGplayer</t>
        </is>
      </c>
      <c r="N1577" s="4" t="inlineStr">
        <is>
          <t>https://www.tcgplayer.com/product/668648</t>
        </is>
      </c>
    </row>
    <row r="1578">
      <c r="A1578" s="2" t="inlineStr">
        <is>
          <t>Pokemon - Poke Ball Tin - Repeat Ball (Q4 2025)</t>
        </is>
      </c>
      <c r="B1578" s="3">
        <f>IF(H1578&lt;&gt;"",H1578,IF(I1578&lt;&gt;"",I1578,IF(J1578&lt;&gt;"",J1578,K1578)))</f>
        <v>22.84</v>
      </c>
      <c r="C1578" s="3">
        <f>MEDIAN(H1578:K1578)</f>
        <v>22.84</v>
      </c>
      <c r="D1578" s="3">
        <f>ROUND(C1578*(1-Settings!$B$2),2)</f>
        <v>15.99</v>
      </c>
      <c r="E1578" s="2" t="inlineStr">
        <is>
          <t>Pokemon</t>
        </is>
      </c>
      <c r="F1578" s="2" t="inlineStr">
        <is>
          <t>Coffret</t>
        </is>
      </c>
      <c r="G1578" s="2" t="inlineStr">
        <is>
          <t>Miscellaneous Cards &amp; Products</t>
        </is>
      </c>
      <c r="H1578" s="3" t="n"/>
      <c r="I1578" s="3" t="n">
        <v>22.84</v>
      </c>
      <c r="J1578" s="3" t="n">
        <v>27.84</v>
      </c>
      <c r="K1578" s="3" t="n">
        <v>21</v>
      </c>
      <c r="L1578" s="2" t="inlineStr">
        <is>
          <t>TCGplayer</t>
        </is>
      </c>
      <c r="N1578" s="4" t="inlineStr">
        <is>
          <t>https://www.tcgplayer.com/product/688968</t>
        </is>
      </c>
    </row>
    <row r="1579">
      <c r="A1579" s="2" t="inlineStr">
        <is>
          <t>Pokemon - Poke Ball Tin - Ultra Ball</t>
        </is>
      </c>
      <c r="B1579" s="3">
        <f>IF(H1579&lt;&gt;"",H1579,IF(I1579&lt;&gt;"",I1579,IF(J1579&lt;&gt;"",J1579,K1579)))</f>
        <v>25.58</v>
      </c>
      <c r="C1579" s="3">
        <f>MEDIAN(H1579:K1579)</f>
        <v>25.58</v>
      </c>
      <c r="D1579" s="3">
        <f>ROUND(C1579*(1-Settings!$B$2),2)</f>
        <v>17.91</v>
      </c>
      <c r="E1579" s="2" t="inlineStr">
        <is>
          <t>Pokemon</t>
        </is>
      </c>
      <c r="F1579" s="2" t="inlineStr">
        <is>
          <t>Coffret</t>
        </is>
      </c>
      <c r="G1579" s="2" t="inlineStr">
        <is>
          <t>Miscellaneous Cards &amp; Products</t>
        </is>
      </c>
      <c r="H1579" s="3" t="n"/>
      <c r="I1579" s="3" t="n">
        <v>25.58</v>
      </c>
      <c r="J1579" s="3" t="n">
        <v>29.48</v>
      </c>
      <c r="K1579" s="3" t="n">
        <v>20</v>
      </c>
      <c r="L1579" s="2" t="inlineStr">
        <is>
          <t>TCGplayer</t>
        </is>
      </c>
      <c r="N1579" s="4" t="inlineStr">
        <is>
          <t>https://www.tcgplayer.com/product/210169</t>
        </is>
      </c>
    </row>
    <row r="1580">
      <c r="A1580" s="2" t="inlineStr">
        <is>
          <t>Pokemon - Poke Ball Tin - Ultra Ball (Q4 2024)</t>
        </is>
      </c>
      <c r="B1580" s="3">
        <f>IF(H1580&lt;&gt;"",H1580,IF(I1580&lt;&gt;"",I1580,IF(J1580&lt;&gt;"",J1580,K1580)))</f>
        <v>27.4</v>
      </c>
      <c r="C1580" s="3">
        <f>MEDIAN(H1580:K1580)</f>
        <v>29.99</v>
      </c>
      <c r="D1580" s="3">
        <f>ROUND(C1580*(1-Settings!$B$2),2)</f>
        <v>20.99</v>
      </c>
      <c r="E1580" s="2" t="inlineStr">
        <is>
          <t>Pokemon</t>
        </is>
      </c>
      <c r="F1580" s="2" t="inlineStr">
        <is>
          <t>Coffret</t>
        </is>
      </c>
      <c r="G1580" s="2" t="inlineStr">
        <is>
          <t>Miscellaneous Cards &amp; Products</t>
        </is>
      </c>
      <c r="H1580" s="3" t="n"/>
      <c r="I1580" s="3" t="n">
        <v>27.4</v>
      </c>
      <c r="J1580" s="3" t="n">
        <v>29.99</v>
      </c>
      <c r="K1580" s="3" t="n">
        <v>29.99</v>
      </c>
      <c r="L1580" s="2" t="inlineStr">
        <is>
          <t>TCGplayer</t>
        </is>
      </c>
      <c r="N1580" s="4" t="inlineStr">
        <is>
          <t>https://www.tcgplayer.com/product/587368</t>
        </is>
      </c>
    </row>
    <row r="1581">
      <c r="A1581" s="2" t="inlineStr">
        <is>
          <t>Pokemon - Poke Ball Tin - Ultra Ball (Q4 2025)</t>
        </is>
      </c>
      <c r="B1581" s="3">
        <f>IF(H1581&lt;&gt;"",H1581,IF(I1581&lt;&gt;"",I1581,IF(J1581&lt;&gt;"",J1581,K1581)))</f>
        <v>25.67</v>
      </c>
      <c r="C1581" s="3">
        <f>MEDIAN(H1581:K1581)</f>
        <v>25.0</v>
      </c>
      <c r="D1581" s="3">
        <f>ROUND(C1581*(1-Settings!$B$2),2)</f>
        <v>17.5</v>
      </c>
      <c r="E1581" s="2" t="inlineStr">
        <is>
          <t>Pokemon</t>
        </is>
      </c>
      <c r="F1581" s="2" t="inlineStr">
        <is>
          <t>Coffret</t>
        </is>
      </c>
      <c r="G1581" s="2" t="inlineStr">
        <is>
          <t>Miscellaneous Cards &amp; Products</t>
        </is>
      </c>
      <c r="H1581" s="3" t="n"/>
      <c r="I1581" s="3" t="n">
        <v>25.67</v>
      </c>
      <c r="J1581" s="3" t="n">
        <v>25</v>
      </c>
      <c r="K1581" s="3" t="n">
        <v>24.99</v>
      </c>
      <c r="L1581" s="2" t="inlineStr">
        <is>
          <t>TCGplayer</t>
        </is>
      </c>
      <c r="N1581" s="4" t="inlineStr">
        <is>
          <t>https://www.tcgplayer.com/product/688965</t>
        </is>
      </c>
    </row>
    <row r="1582">
      <c r="A1582" s="2" t="inlineStr">
        <is>
          <t>Pokemon Day 2026 Collection</t>
        </is>
      </c>
      <c r="B1582" s="3">
        <f>IF(H1582&lt;&gt;"",H1582,IF(I1582&lt;&gt;"",I1582,IF(J1582&lt;&gt;"",J1582,K1582)))</f>
        <v>37.96</v>
      </c>
      <c r="C1582" s="3">
        <f>MEDIAN(H1582:K1582)</f>
        <v>37.96</v>
      </c>
      <c r="D1582" s="3">
        <f>ROUND(C1582*(1-Settings!$B$2),2)</f>
        <v>26.57</v>
      </c>
      <c r="E1582" s="2" t="inlineStr">
        <is>
          <t>Pokemon</t>
        </is>
      </c>
      <c r="F1582" s="2" t="inlineStr">
        <is>
          <t>Coffret</t>
        </is>
      </c>
      <c r="G1582" s="2" t="inlineStr">
        <is>
          <t>Miscellaneous Cards &amp; Products</t>
        </is>
      </c>
      <c r="H1582" s="3" t="n"/>
      <c r="I1582" s="3" t="n">
        <v>37.96</v>
      </c>
      <c r="J1582" s="3" t="n">
        <v>40</v>
      </c>
      <c r="K1582" s="3" t="n">
        <v>1.5</v>
      </c>
      <c r="L1582" s="2" t="inlineStr">
        <is>
          <t>TCGplayer</t>
        </is>
      </c>
      <c r="N1582" s="4" t="inlineStr">
        <is>
          <t>https://www.tcgplayer.com/product/668590</t>
        </is>
      </c>
    </row>
    <row r="1583">
      <c r="A1583" s="2" t="inlineStr">
        <is>
          <t>Pokemon Stacking Tin: Dragon</t>
        </is>
      </c>
      <c r="B1583" s="3">
        <f>IF(H1583&lt;&gt;"",H1583,IF(I1583&lt;&gt;"",I1583,IF(J1583&lt;&gt;"",J1583,K1583)))</f>
        <v>35.0</v>
      </c>
      <c r="C1583" s="3">
        <f>MEDIAN(H1583:K1583)</f>
        <v>35.0</v>
      </c>
      <c r="D1583" s="3">
        <f>ROUND(C1583*(1-Settings!$B$2),2)</f>
        <v>24.5</v>
      </c>
      <c r="E1583" s="2" t="inlineStr">
        <is>
          <t>Pokemon</t>
        </is>
      </c>
      <c r="F1583" s="2" t="inlineStr">
        <is>
          <t>Coffret</t>
        </is>
      </c>
      <c r="G1583" s="2" t="inlineStr">
        <is>
          <t>Miscellaneous Cards &amp; Products</t>
        </is>
      </c>
      <c r="H1583" s="3" t="n"/>
      <c r="I1583" s="3" t="n">
        <v>35</v>
      </c>
      <c r="J1583" s="3" t="n">
        <v>37.97</v>
      </c>
      <c r="K1583" s="3" t="n">
        <v>34.99</v>
      </c>
      <c r="L1583" s="2" t="inlineStr">
        <is>
          <t>TCGplayer</t>
        </is>
      </c>
      <c r="N1583" s="4" t="inlineStr">
        <is>
          <t>https://www.tcgplayer.com/product/541175</t>
        </is>
      </c>
    </row>
    <row r="1584">
      <c r="A1584" s="2" t="inlineStr">
        <is>
          <t>Pokemon Stacking Tin: Grass</t>
        </is>
      </c>
      <c r="B1584" s="3">
        <f>IF(H1584&lt;&gt;"",H1584,IF(I1584&lt;&gt;"",I1584,IF(J1584&lt;&gt;"",J1584,K1584)))</f>
        <v>52.44</v>
      </c>
      <c r="C1584" s="3">
        <f>MEDIAN(H1584:K1584)</f>
        <v>54.25</v>
      </c>
      <c r="D1584" s="3">
        <f>ROUND(C1584*(1-Settings!$B$2),2)</f>
        <v>37.98</v>
      </c>
      <c r="E1584" s="2" t="inlineStr">
        <is>
          <t>Pokemon</t>
        </is>
      </c>
      <c r="F1584" s="2" t="inlineStr">
        <is>
          <t>Coffret</t>
        </is>
      </c>
      <c r="G1584" s="2" t="inlineStr">
        <is>
          <t>Miscellaneous Cards &amp; Products</t>
        </is>
      </c>
      <c r="H1584" s="3" t="n"/>
      <c r="I1584" s="3" t="n">
        <v>52.44</v>
      </c>
      <c r="J1584" s="3" t="n">
        <v>57.08</v>
      </c>
      <c r="K1584" s="3" t="n">
        <v>54.25</v>
      </c>
      <c r="L1584" s="2" t="inlineStr">
        <is>
          <t>TCGplayer</t>
        </is>
      </c>
      <c r="N1584" s="4" t="inlineStr">
        <is>
          <t>https://www.tcgplayer.com/product/260866</t>
        </is>
      </c>
    </row>
    <row r="1585">
      <c r="A1585" s="2" t="inlineStr">
        <is>
          <t>Pokemon Stacking Tin: Metal</t>
        </is>
      </c>
      <c r="B1585" s="3">
        <f>IF(H1585&lt;&gt;"",H1585,IF(I1585&lt;&gt;"",I1585,IF(J1585&lt;&gt;"",J1585,K1585)))</f>
        <v>26.33</v>
      </c>
      <c r="C1585" s="3">
        <f>MEDIAN(H1585:K1585)</f>
        <v>36.99</v>
      </c>
      <c r="D1585" s="3">
        <f>ROUND(C1585*(1-Settings!$B$2),2)</f>
        <v>25.89</v>
      </c>
      <c r="E1585" s="2" t="inlineStr">
        <is>
          <t>Pokemon</t>
        </is>
      </c>
      <c r="F1585" s="2" t="inlineStr">
        <is>
          <t>Coffret</t>
        </is>
      </c>
      <c r="G1585" s="2" t="inlineStr">
        <is>
          <t>Miscellaneous Cards &amp; Products</t>
        </is>
      </c>
      <c r="H1585" s="3" t="n"/>
      <c r="I1585" s="3" t="n">
        <v>26.33</v>
      </c>
      <c r="J1585" s="3" t="n">
        <v>39.97</v>
      </c>
      <c r="K1585" s="3" t="n">
        <v>36.99</v>
      </c>
      <c r="L1585" s="2" t="inlineStr">
        <is>
          <t>TCGplayer</t>
        </is>
      </c>
      <c r="N1585" s="4" t="inlineStr">
        <is>
          <t>https://www.tcgplayer.com/product/541171</t>
        </is>
      </c>
    </row>
    <row r="1586">
      <c r="A1586" s="2" t="inlineStr">
        <is>
          <t>Pokemon Stacking Tin: Ogerpon</t>
        </is>
      </c>
      <c r="B1586" s="3">
        <f>IF(H1586&lt;&gt;"",H1586,IF(I1586&lt;&gt;"",I1586,IF(J1586&lt;&gt;"",J1586,K1586)))</f>
        <v>27.7</v>
      </c>
      <c r="C1586" s="3">
        <f>MEDIAN(H1586:K1586)</f>
        <v>35.0</v>
      </c>
      <c r="D1586" s="3">
        <f>ROUND(C1586*(1-Settings!$B$2),2)</f>
        <v>24.5</v>
      </c>
      <c r="E1586" s="2" t="inlineStr">
        <is>
          <t>Pokemon</t>
        </is>
      </c>
      <c r="F1586" s="2" t="inlineStr">
        <is>
          <t>Coffret</t>
        </is>
      </c>
      <c r="G1586" s="2" t="inlineStr">
        <is>
          <t>Miscellaneous Cards &amp; Products</t>
        </is>
      </c>
      <c r="H1586" s="3" t="n"/>
      <c r="I1586" s="3" t="n">
        <v>27.7</v>
      </c>
      <c r="J1586" s="3" t="n">
        <v>40</v>
      </c>
      <c r="K1586" s="3" t="n">
        <v>35</v>
      </c>
      <c r="L1586" s="2" t="inlineStr">
        <is>
          <t>TCGplayer</t>
        </is>
      </c>
      <c r="N1586" s="4" t="inlineStr">
        <is>
          <t>https://www.tcgplayer.com/product/616296</t>
        </is>
      </c>
    </row>
    <row r="1587">
      <c r="A1587" s="2" t="inlineStr">
        <is>
          <t>Pokemon Stacking Tin: Paradox Pokemon</t>
        </is>
      </c>
      <c r="B1587" s="3">
        <f>IF(H1587&lt;&gt;"",H1587,IF(I1587&lt;&gt;"",I1587,IF(J1587&lt;&gt;"",J1587,K1587)))</f>
        <v>29.23</v>
      </c>
      <c r="C1587" s="3">
        <f>MEDIAN(H1587:K1587)</f>
        <v>29.23</v>
      </c>
      <c r="D1587" s="3">
        <f>ROUND(C1587*(1-Settings!$B$2),2)</f>
        <v>20.46</v>
      </c>
      <c r="E1587" s="2" t="inlineStr">
        <is>
          <t>Pokemon</t>
        </is>
      </c>
      <c r="F1587" s="2" t="inlineStr">
        <is>
          <t>Coffret</t>
        </is>
      </c>
      <c r="G1587" s="2" t="inlineStr">
        <is>
          <t>Miscellaneous Cards &amp; Products</t>
        </is>
      </c>
      <c r="H1587" s="3" t="n"/>
      <c r="I1587" s="3" t="n">
        <v>29.23</v>
      </c>
      <c r="J1587" s="3" t="n">
        <v>30.48</v>
      </c>
      <c r="K1587" s="3" t="n">
        <v>27</v>
      </c>
      <c r="L1587" s="2" t="inlineStr">
        <is>
          <t>TCGplayer</t>
        </is>
      </c>
      <c r="N1587" s="4" t="inlineStr">
        <is>
          <t>https://www.tcgplayer.com/product/616295</t>
        </is>
      </c>
    </row>
    <row r="1588">
      <c r="A1588" s="2" t="inlineStr">
        <is>
          <t>Pokemon Stacking Tin: Psychic</t>
        </is>
      </c>
      <c r="B1588" s="3">
        <f>IF(H1588&lt;&gt;"",H1588,IF(I1588&lt;&gt;"",I1588,IF(J1588&lt;&gt;"",J1588,K1588)))</f>
        <v>48.97</v>
      </c>
      <c r="C1588" s="3">
        <f>MEDIAN(H1588:K1588)</f>
        <v>48.485</v>
      </c>
      <c r="D1588" s="3">
        <f>ROUND(C1588*(1-Settings!$B$2),2)</f>
        <v>33.94</v>
      </c>
      <c r="E1588" s="2" t="inlineStr">
        <is>
          <t>Pokemon</t>
        </is>
      </c>
      <c r="F1588" s="2" t="inlineStr">
        <is>
          <t>Coffret</t>
        </is>
      </c>
      <c r="G1588" s="2" t="inlineStr">
        <is>
          <t>Miscellaneous Cards &amp; Products</t>
        </is>
      </c>
      <c r="H1588" s="3" t="n"/>
      <c r="I1588" s="3" t="n">
        <v>48.97</v>
      </c>
      <c r="J1588" s="3" t="n"/>
      <c r="K1588" s="3" t="n">
        <v>48</v>
      </c>
      <c r="L1588" s="2" t="inlineStr">
        <is>
          <t>TCGplayer</t>
        </is>
      </c>
      <c r="N1588" s="4" t="inlineStr">
        <is>
          <t>https://www.tcgplayer.com/product/541168</t>
        </is>
      </c>
    </row>
    <row r="1589">
      <c r="A1589" s="2" t="inlineStr">
        <is>
          <t>Pokemon Stacking Tin: Treasures of Ruin</t>
        </is>
      </c>
      <c r="B1589" s="3">
        <f>IF(H1589&lt;&gt;"",H1589,IF(I1589&lt;&gt;"",I1589,IF(J1589&lt;&gt;"",J1589,K1589)))</f>
        <v>29.26</v>
      </c>
      <c r="C1589" s="3">
        <f>MEDIAN(H1589:K1589)</f>
        <v>29.26</v>
      </c>
      <c r="D1589" s="3">
        <f>ROUND(C1589*(1-Settings!$B$2),2)</f>
        <v>20.48</v>
      </c>
      <c r="E1589" s="2" t="inlineStr">
        <is>
          <t>Pokemon</t>
        </is>
      </c>
      <c r="F1589" s="2" t="inlineStr">
        <is>
          <t>Coffret</t>
        </is>
      </c>
      <c r="G1589" s="2" t="inlineStr">
        <is>
          <t>Miscellaneous Cards &amp; Products</t>
        </is>
      </c>
      <c r="H1589" s="3" t="n"/>
      <c r="I1589" s="3" t="n">
        <v>29.26</v>
      </c>
      <c r="J1589" s="3" t="n">
        <v>29.26</v>
      </c>
      <c r="K1589" s="3" t="n">
        <v>25</v>
      </c>
      <c r="L1589" s="2" t="inlineStr">
        <is>
          <t>TCGplayer</t>
        </is>
      </c>
      <c r="N1589" s="4" t="inlineStr">
        <is>
          <t>https://www.tcgplayer.com/product/616294</t>
        </is>
      </c>
    </row>
    <row r="1590">
      <c r="A1590" s="2" t="inlineStr">
        <is>
          <t>Pokemon Stacking Tin: Water</t>
        </is>
      </c>
      <c r="B1590" s="3">
        <f>IF(H1590&lt;&gt;"",H1590,IF(I1590&lt;&gt;"",I1590,IF(J1590&lt;&gt;"",J1590,K1590)))</f>
        <v>50.95</v>
      </c>
      <c r="C1590" s="3">
        <f>MEDIAN(H1590:K1590)</f>
        <v>59.9</v>
      </c>
      <c r="D1590" s="3">
        <f>ROUND(C1590*(1-Settings!$B$2),2)</f>
        <v>41.93</v>
      </c>
      <c r="E1590" s="2" t="inlineStr">
        <is>
          <t>Pokemon</t>
        </is>
      </c>
      <c r="F1590" s="2" t="inlineStr">
        <is>
          <t>Coffret</t>
        </is>
      </c>
      <c r="G1590" s="2" t="inlineStr">
        <is>
          <t>Miscellaneous Cards &amp; Products</t>
        </is>
      </c>
      <c r="H1590" s="3" t="n"/>
      <c r="I1590" s="3" t="n">
        <v>50.95</v>
      </c>
      <c r="J1590" s="3" t="n">
        <v>60.95</v>
      </c>
      <c r="K1590" s="3" t="n">
        <v>59.9</v>
      </c>
      <c r="L1590" s="2" t="inlineStr">
        <is>
          <t>TCGplayer</t>
        </is>
      </c>
      <c r="N1590" s="4" t="inlineStr">
        <is>
          <t>https://www.tcgplayer.com/product/260865</t>
        </is>
      </c>
    </row>
    <row r="1591">
      <c r="A1591" s="2" t="inlineStr">
        <is>
          <t>Pokemon Stacking Tins [Set of 3]</t>
        </is>
      </c>
      <c r="B1591" s="3">
        <f>IF(H1591&lt;&gt;"",H1591,IF(I1591&lt;&gt;"",I1591,IF(J1591&lt;&gt;"",J1591,K1591)))</f>
        <v>156.9</v>
      </c>
      <c r="C1591" s="3">
        <f>MEDIAN(H1591:K1591)</f>
        <v>218.99</v>
      </c>
      <c r="D1591" s="3">
        <f>ROUND(C1591*(1-Settings!$B$2),2)</f>
        <v>153.29</v>
      </c>
      <c r="E1591" s="2" t="inlineStr">
        <is>
          <t>Pokemon</t>
        </is>
      </c>
      <c r="F1591" s="2" t="inlineStr">
        <is>
          <t>Coffret</t>
        </is>
      </c>
      <c r="G1591" s="2" t="inlineStr">
        <is>
          <t>Miscellaneous Cards &amp; Products</t>
        </is>
      </c>
      <c r="H1591" s="3" t="n"/>
      <c r="I1591" s="3" t="n">
        <v>156.9</v>
      </c>
      <c r="J1591" s="3" t="n">
        <v>239.99</v>
      </c>
      <c r="K1591" s="3" t="n">
        <v>218.99</v>
      </c>
      <c r="L1591" s="2" t="inlineStr">
        <is>
          <t>TCGplayer</t>
        </is>
      </c>
      <c r="N1591" s="4" t="inlineStr">
        <is>
          <t>https://www.tcgplayer.com/product/260869</t>
        </is>
      </c>
    </row>
    <row r="1592">
      <c r="A1592" s="2" t="inlineStr">
        <is>
          <t>Pokemon Stacking Tins [Set of 3] (Psychic, Metal, and Dragon)</t>
        </is>
      </c>
      <c r="B1592" s="3">
        <f>IF(H1592&lt;&gt;"",H1592,IF(I1592&lt;&gt;"",I1592,IF(J1592&lt;&gt;"",J1592,K1592)))</f>
        <v>91.04</v>
      </c>
      <c r="C1592" s="3">
        <f>MEDIAN(H1592:K1592)</f>
        <v>99.69</v>
      </c>
      <c r="D1592" s="3">
        <f>ROUND(C1592*(1-Settings!$B$2),2)</f>
        <v>69.78</v>
      </c>
      <c r="E1592" s="2" t="inlineStr">
        <is>
          <t>Pokemon</t>
        </is>
      </c>
      <c r="F1592" s="2" t="inlineStr">
        <is>
          <t>Coffret</t>
        </is>
      </c>
      <c r="G1592" s="2" t="inlineStr">
        <is>
          <t>Miscellaneous Cards &amp; Products</t>
        </is>
      </c>
      <c r="H1592" s="3" t="n"/>
      <c r="I1592" s="3" t="n">
        <v>91.04000000000001</v>
      </c>
      <c r="J1592" s="3" t="n">
        <v>127.34</v>
      </c>
      <c r="K1592" s="3" t="n">
        <v>99.69</v>
      </c>
      <c r="L1592" s="2" t="inlineStr">
        <is>
          <t>TCGplayer</t>
        </is>
      </c>
      <c r="N1592" s="4" t="inlineStr">
        <is>
          <t>https://www.tcgplayer.com/product/541205</t>
        </is>
      </c>
    </row>
    <row r="1593">
      <c r="A1593" s="2" t="inlineStr">
        <is>
          <t>Pokemon Stacking Tins [Set of 6]</t>
        </is>
      </c>
      <c r="B1593" s="3">
        <f>IF(H1593&lt;&gt;"",H1593,IF(I1593&lt;&gt;"",I1593,IF(J1593&lt;&gt;"",J1593,K1593)))</f>
        <v>499.99</v>
      </c>
      <c r="C1593" s="3">
        <f>MEDIAN(H1593:K1593)</f>
        <v>499.99</v>
      </c>
      <c r="D1593" s="3">
        <f>ROUND(C1593*(1-Settings!$B$2),2)</f>
        <v>349.99</v>
      </c>
      <c r="E1593" s="2" t="inlineStr">
        <is>
          <t>Pokemon</t>
        </is>
      </c>
      <c r="F1593" s="2" t="inlineStr">
        <is>
          <t>Coffret</t>
        </is>
      </c>
      <c r="G1593" s="2" t="inlineStr">
        <is>
          <t>Miscellaneous Cards &amp; Products</t>
        </is>
      </c>
      <c r="H1593" s="3" t="n"/>
      <c r="I1593" s="3" t="n"/>
      <c r="J1593" s="3" t="n">
        <v>499.99</v>
      </c>
      <c r="K1593" s="3" t="n">
        <v>499.99</v>
      </c>
      <c r="L1593" s="2" t="inlineStr">
        <is>
          <t>TCGplayer</t>
        </is>
      </c>
      <c r="N1593" s="4" t="inlineStr">
        <is>
          <t>https://www.tcgplayer.com/product/260868</t>
        </is>
      </c>
    </row>
    <row r="1594">
      <c r="A1594" s="2" t="inlineStr">
        <is>
          <t>Pokemon Stacking Tins: Treasures of Ruin, Paradox Pokemon, Ogerpon [Set of 3]</t>
        </is>
      </c>
      <c r="B1594" s="3">
        <f>IF(H1594&lt;&gt;"",H1594,IF(I1594&lt;&gt;"",I1594,IF(J1594&lt;&gt;"",J1594,K1594)))</f>
        <v>86.0</v>
      </c>
      <c r="C1594" s="3">
        <f>MEDIAN(H1594:K1594)</f>
        <v>94.99</v>
      </c>
      <c r="D1594" s="3">
        <f>ROUND(C1594*(1-Settings!$B$2),2)</f>
        <v>66.49</v>
      </c>
      <c r="E1594" s="2" t="inlineStr">
        <is>
          <t>Pokemon</t>
        </is>
      </c>
      <c r="F1594" s="2" t="inlineStr">
        <is>
          <t>Coffret</t>
        </is>
      </c>
      <c r="G1594" s="2" t="inlineStr">
        <is>
          <t>Miscellaneous Cards &amp; Products</t>
        </is>
      </c>
      <c r="H1594" s="3" t="n"/>
      <c r="I1594" s="3" t="n">
        <v>86</v>
      </c>
      <c r="J1594" s="3" t="n">
        <v>94.98999999999999</v>
      </c>
      <c r="K1594" s="3" t="n">
        <v>94.98999999999999</v>
      </c>
      <c r="L1594" s="2" t="inlineStr">
        <is>
          <t>TCGplayer</t>
        </is>
      </c>
      <c r="N1594" s="4" t="inlineStr">
        <is>
          <t>https://www.tcgplayer.com/product/616297</t>
        </is>
      </c>
    </row>
    <row r="1595">
      <c r="A1595" s="2" t="inlineStr">
        <is>
          <t>Pokemon TCG: SWSH Basic Energy Box</t>
        </is>
      </c>
      <c r="B1595" s="3">
        <f>IF(H1595&lt;&gt;"",H1595,IF(I1595&lt;&gt;"",I1595,IF(J1595&lt;&gt;"",J1595,K1595)))</f>
        <v>11.4</v>
      </c>
      <c r="C1595" s="3">
        <f>MEDIAN(H1595:K1595)</f>
        <v>20.0</v>
      </c>
      <c r="D1595" s="3">
        <f>ROUND(C1595*(1-Settings!$B$2),2)</f>
        <v>14.0</v>
      </c>
      <c r="E1595" s="2" t="inlineStr">
        <is>
          <t>Pokemon</t>
        </is>
      </c>
      <c r="F1595" s="2" t="inlineStr">
        <is>
          <t>Coffret</t>
        </is>
      </c>
      <c r="G1595" s="2" t="inlineStr">
        <is>
          <t>Miscellaneous Cards &amp; Products</t>
        </is>
      </c>
      <c r="H1595" s="3" t="n"/>
      <c r="I1595" s="3" t="n">
        <v>11.4</v>
      </c>
      <c r="J1595" s="3" t="n">
        <v>20</v>
      </c>
      <c r="K1595" s="3" t="n">
        <v>20</v>
      </c>
      <c r="L1595" s="2" t="inlineStr">
        <is>
          <t>TCGplayer</t>
        </is>
      </c>
      <c r="N1595" s="4" t="inlineStr">
        <is>
          <t>https://www.tcgplayer.com/product/209322</t>
        </is>
      </c>
    </row>
    <row r="1596">
      <c r="A1596" s="2" t="inlineStr">
        <is>
          <t>Prismatic Evolutions Elite Trainer Box and Pokeball (Sam's Club)</t>
        </is>
      </c>
      <c r="B1596" s="3">
        <f>IF(H1596&lt;&gt;"",H1596,IF(I1596&lt;&gt;"",I1596,IF(J1596&lt;&gt;"",J1596,K1596)))</f>
        <v>197.2</v>
      </c>
      <c r="C1596" s="3">
        <f>MEDIAN(H1596:K1596)</f>
        <v>197.2</v>
      </c>
      <c r="D1596" s="3">
        <f>ROUND(C1596*(1-Settings!$B$2),2)</f>
        <v>138.04</v>
      </c>
      <c r="E1596" s="2" t="inlineStr">
        <is>
          <t>Pokemon</t>
        </is>
      </c>
      <c r="F1596" s="2" t="inlineStr">
        <is>
          <t>Coffret</t>
        </is>
      </c>
      <c r="G1596" s="2" t="inlineStr">
        <is>
          <t>Miscellaneous Cards &amp; Products</t>
        </is>
      </c>
      <c r="H1596" s="3" t="n"/>
      <c r="I1596" s="3" t="n">
        <v>197.2</v>
      </c>
      <c r="J1596" s="3" t="n">
        <v>219.94</v>
      </c>
      <c r="K1596" s="3" t="n">
        <v>83.97</v>
      </c>
      <c r="L1596" s="2" t="inlineStr">
        <is>
          <t>TCGplayer</t>
        </is>
      </c>
      <c r="N1596" s="4" t="inlineStr">
        <is>
          <t>https://www.tcgplayer.com/product/644852</t>
        </is>
      </c>
    </row>
    <row r="1597">
      <c r="A1597" s="2" t="inlineStr">
        <is>
          <t>Prismatic Evolutions Lucario ex &amp; Tyranitar ex Premium Collection (Sam's Club)</t>
        </is>
      </c>
      <c r="B1597" s="3">
        <f>IF(H1597&lt;&gt;"",H1597,IF(I1597&lt;&gt;"",I1597,IF(J1597&lt;&gt;"",J1597,K1597)))</f>
        <v>200.65</v>
      </c>
      <c r="C1597" s="3">
        <f>MEDIAN(H1597:K1597)</f>
        <v>200.65</v>
      </c>
      <c r="D1597" s="3">
        <f>ROUND(C1597*(1-Settings!$B$2),2)</f>
        <v>140.46</v>
      </c>
      <c r="E1597" s="2" t="inlineStr">
        <is>
          <t>Pokemon</t>
        </is>
      </c>
      <c r="F1597" s="2" t="inlineStr">
        <is>
          <t>Coffret</t>
        </is>
      </c>
      <c r="G1597" s="2" t="inlineStr">
        <is>
          <t>Miscellaneous Cards &amp; Products</t>
        </is>
      </c>
      <c r="H1597" s="3" t="n"/>
      <c r="I1597" s="3" t="n">
        <v>200.65</v>
      </c>
      <c r="J1597" s="3" t="n">
        <v>220</v>
      </c>
      <c r="K1597" s="3" t="n">
        <v>85</v>
      </c>
      <c r="L1597" s="2" t="inlineStr">
        <is>
          <t>TCGplayer</t>
        </is>
      </c>
      <c r="N1597" s="4" t="inlineStr">
        <is>
          <t>https://www.tcgplayer.com/product/648365</t>
        </is>
      </c>
    </row>
    <row r="1598">
      <c r="A1598" s="2" t="inlineStr">
        <is>
          <t>Professor Juniper Premium Tournament Collection Box</t>
        </is>
      </c>
      <c r="B1598" s="3">
        <f>IF(H1598&lt;&gt;"",H1598,IF(I1598&lt;&gt;"",I1598,IF(J1598&lt;&gt;"",J1598,K1598)))</f>
        <v>117.22</v>
      </c>
      <c r="C1598" s="3">
        <f>MEDIAN(H1598:K1598)</f>
        <v>117.22</v>
      </c>
      <c r="D1598" s="3">
        <f>ROUND(C1598*(1-Settings!$B$2),2)</f>
        <v>82.05</v>
      </c>
      <c r="E1598" s="2" t="inlineStr">
        <is>
          <t>Pokemon</t>
        </is>
      </c>
      <c r="F1598" s="2" t="inlineStr">
        <is>
          <t>Coffret</t>
        </is>
      </c>
      <c r="G1598" s="2" t="inlineStr">
        <is>
          <t>Miscellaneous Cards &amp; Products</t>
        </is>
      </c>
      <c r="H1598" s="3" t="n"/>
      <c r="I1598" s="3" t="n">
        <v>117.22</v>
      </c>
      <c r="J1598" s="3" t="n">
        <v>151.97</v>
      </c>
      <c r="K1598" s="3" t="n">
        <v>13.25</v>
      </c>
      <c r="L1598" s="2" t="inlineStr">
        <is>
          <t>TCGplayer</t>
        </is>
      </c>
      <c r="N1598" s="4" t="inlineStr">
        <is>
          <t>https://www.tcgplayer.com/product/268713</t>
        </is>
      </c>
    </row>
    <row r="1599">
      <c r="A1599" s="2" t="inlineStr">
        <is>
          <t>Reshiram &amp; Archaludon ex Box [Set of 2]</t>
        </is>
      </c>
      <c r="B1599" s="3">
        <f>IF(H1599&lt;&gt;"",H1599,IF(I1599&lt;&gt;"",I1599,IF(J1599&lt;&gt;"",J1599,K1599)))</f>
        <v>60.49</v>
      </c>
      <c r="C1599" s="3">
        <f>MEDIAN(H1599:K1599)</f>
        <v>67.99</v>
      </c>
      <c r="D1599" s="3">
        <f>ROUND(C1599*(1-Settings!$B$2),2)</f>
        <v>47.59</v>
      </c>
      <c r="E1599" s="2" t="inlineStr">
        <is>
          <t>Pokemon</t>
        </is>
      </c>
      <c r="F1599" s="2" t="inlineStr">
        <is>
          <t>Coffret</t>
        </is>
      </c>
      <c r="G1599" s="2" t="inlineStr">
        <is>
          <t>Miscellaneous Cards &amp; Products</t>
        </is>
      </c>
      <c r="H1599" s="3" t="n"/>
      <c r="I1599" s="3" t="n">
        <v>60.49</v>
      </c>
      <c r="J1599" s="3" t="n">
        <v>84</v>
      </c>
      <c r="K1599" s="3" t="n">
        <v>67.98999999999999</v>
      </c>
      <c r="L1599" s="2" t="inlineStr">
        <is>
          <t>TCGplayer</t>
        </is>
      </c>
      <c r="N1599" s="4" t="inlineStr">
        <is>
          <t>https://www.tcgplayer.com/product/670267</t>
        </is>
      </c>
    </row>
    <row r="1600">
      <c r="A1600" s="2" t="inlineStr">
        <is>
          <t>Reshiram &amp; Charizard GX Premium Collection</t>
        </is>
      </c>
      <c r="B1600" s="3">
        <f>IF(H1600&lt;&gt;"",H1600,IF(I1600&lt;&gt;"",I1600,IF(J1600&lt;&gt;"",J1600,K1600)))</f>
        <v>287.71</v>
      </c>
      <c r="C1600" s="3">
        <f>MEDIAN(H1600:K1600)</f>
        <v>315.0</v>
      </c>
      <c r="D1600" s="3">
        <f>ROUND(C1600*(1-Settings!$B$2),2)</f>
        <v>220.5</v>
      </c>
      <c r="E1600" s="2" t="inlineStr">
        <is>
          <t>Pokemon</t>
        </is>
      </c>
      <c r="F1600" s="2" t="inlineStr">
        <is>
          <t>Coffret</t>
        </is>
      </c>
      <c r="G1600" s="2" t="inlineStr">
        <is>
          <t>Miscellaneous Cards &amp; Products</t>
        </is>
      </c>
      <c r="H1600" s="3" t="n"/>
      <c r="I1600" s="3" t="n">
        <v>287.71</v>
      </c>
      <c r="J1600" s="3" t="n">
        <v>369.99</v>
      </c>
      <c r="K1600" s="3" t="n">
        <v>315</v>
      </c>
      <c r="L1600" s="2" t="inlineStr">
        <is>
          <t>TCGplayer</t>
        </is>
      </c>
      <c r="N1600" s="4" t="inlineStr">
        <is>
          <t>https://www.tcgplayer.com/product/248208</t>
        </is>
      </c>
    </row>
    <row r="1601">
      <c r="A1601" s="2" t="inlineStr">
        <is>
          <t>Reshiram ex Box</t>
        </is>
      </c>
      <c r="B1601" s="3">
        <f>IF(H1601&lt;&gt;"",H1601,IF(I1601&lt;&gt;"",I1601,IF(J1601&lt;&gt;"",J1601,K1601)))</f>
        <v>41.06</v>
      </c>
      <c r="C1601" s="3">
        <f>MEDIAN(H1601:K1601)</f>
        <v>41.06</v>
      </c>
      <c r="D1601" s="3">
        <f>ROUND(C1601*(1-Settings!$B$2),2)</f>
        <v>28.74</v>
      </c>
      <c r="E1601" s="2" t="inlineStr">
        <is>
          <t>Pokemon</t>
        </is>
      </c>
      <c r="F1601" s="2" t="inlineStr">
        <is>
          <t>Coffret</t>
        </is>
      </c>
      <c r="G1601" s="2" t="inlineStr">
        <is>
          <t>Miscellaneous Cards &amp; Products</t>
        </is>
      </c>
      <c r="H1601" s="3" t="n"/>
      <c r="I1601" s="3" t="n">
        <v>41.06</v>
      </c>
      <c r="J1601" s="3" t="n">
        <v>54.99</v>
      </c>
      <c r="K1601" s="3" t="n">
        <v>40</v>
      </c>
      <c r="L1601" s="2" t="inlineStr">
        <is>
          <t>TCGplayer</t>
        </is>
      </c>
      <c r="N1601" s="4" t="inlineStr">
        <is>
          <t>https://www.tcgplayer.com/product/666512</t>
        </is>
      </c>
    </row>
    <row r="1602">
      <c r="A1602" s="2" t="inlineStr">
        <is>
          <t>Retail Exclusive Pokemon Paldean Fates Mini Tins + Poke Ball Tin</t>
        </is>
      </c>
      <c r="B1602" s="3">
        <f>IF(H1602&lt;&gt;"",H1602,IF(I1602&lt;&gt;"",I1602,IF(J1602&lt;&gt;"",J1602,K1602)))</f>
        <v>147.71</v>
      </c>
      <c r="C1602" s="3">
        <f>MEDIAN(H1602:K1602)</f>
        <v>210.0</v>
      </c>
      <c r="D1602" s="3">
        <f>ROUND(C1602*(1-Settings!$B$2),2)</f>
        <v>147.0</v>
      </c>
      <c r="E1602" s="2" t="inlineStr">
        <is>
          <t>Pokemon</t>
        </is>
      </c>
      <c r="F1602" s="2" t="inlineStr">
        <is>
          <t>Coffret</t>
        </is>
      </c>
      <c r="G1602" s="2" t="inlineStr">
        <is>
          <t>Miscellaneous Cards &amp; Products</t>
        </is>
      </c>
      <c r="H1602" s="3" t="n"/>
      <c r="I1602" s="3" t="n">
        <v>147.71</v>
      </c>
      <c r="J1602" s="3" t="n">
        <v>219.88</v>
      </c>
      <c r="K1602" s="3" t="n">
        <v>210</v>
      </c>
      <c r="L1602" s="2" t="inlineStr">
        <is>
          <t>TCGplayer</t>
        </is>
      </c>
      <c r="N1602" s="4" t="inlineStr">
        <is>
          <t>https://www.tcgplayer.com/product/616737</t>
        </is>
      </c>
    </row>
    <row r="1603">
      <c r="A1603" s="2" t="inlineStr">
        <is>
          <t>Salamence Dragons Tin</t>
        </is>
      </c>
      <c r="B1603" s="3">
        <f>IF(H1603&lt;&gt;"",H1603,IF(I1603&lt;&gt;"",I1603,IF(J1603&lt;&gt;"",J1603,K1603)))</f>
        <v>54.97</v>
      </c>
      <c r="C1603" s="3">
        <f>MEDIAN(H1603:K1603)</f>
        <v>69.98</v>
      </c>
      <c r="D1603" s="3">
        <f>ROUND(C1603*(1-Settings!$B$2),2)</f>
        <v>48.99</v>
      </c>
      <c r="E1603" s="2" t="inlineStr">
        <is>
          <t>Pokemon</t>
        </is>
      </c>
      <c r="F1603" s="2" t="inlineStr">
        <is>
          <t>Coffret</t>
        </is>
      </c>
      <c r="G1603" s="2" t="inlineStr">
        <is>
          <t>Miscellaneous Cards &amp; Products</t>
        </is>
      </c>
      <c r="H1603" s="3" t="n"/>
      <c r="I1603" s="3" t="n">
        <v>54.97</v>
      </c>
      <c r="J1603" s="3" t="n">
        <v>76.5</v>
      </c>
      <c r="K1603" s="3" t="n">
        <v>69.98</v>
      </c>
      <c r="L1603" s="2" t="inlineStr">
        <is>
          <t>TCGplayer</t>
        </is>
      </c>
      <c r="N1603" s="4" t="inlineStr">
        <is>
          <t>https://www.tcgplayer.com/product/218438</t>
        </is>
      </c>
    </row>
    <row r="1604">
      <c r="A1604" s="2" t="inlineStr">
        <is>
          <t>Salamence ex &amp; Reshiram ex Premium Collection</t>
        </is>
      </c>
      <c r="B1604" s="3">
        <f>IF(H1604&lt;&gt;"",H1604,IF(I1604&lt;&gt;"",I1604,IF(J1604&lt;&gt;"",J1604,K1604)))</f>
        <v>91.8</v>
      </c>
      <c r="C1604" s="3">
        <f>MEDIAN(H1604:K1604)</f>
        <v>91.8</v>
      </c>
      <c r="D1604" s="3">
        <f>ROUND(C1604*(1-Settings!$B$2),2)</f>
        <v>64.26</v>
      </c>
      <c r="E1604" s="2" t="inlineStr">
        <is>
          <t>Pokemon</t>
        </is>
      </c>
      <c r="F1604" s="2" t="inlineStr">
        <is>
          <t>Coffret</t>
        </is>
      </c>
      <c r="G1604" s="2" t="inlineStr">
        <is>
          <t>Miscellaneous Cards &amp; Products</t>
        </is>
      </c>
      <c r="H1604" s="3" t="n"/>
      <c r="I1604" s="3" t="n">
        <v>91.8</v>
      </c>
      <c r="J1604" s="3" t="n">
        <v>97.5</v>
      </c>
      <c r="K1604" s="3" t="n">
        <v>87.64</v>
      </c>
      <c r="L1604" s="2" t="inlineStr">
        <is>
          <t>TCGplayer</t>
        </is>
      </c>
      <c r="N1604" s="4" t="inlineStr">
        <is>
          <t>https://www.tcgplayer.com/product/653899</t>
        </is>
      </c>
    </row>
    <row r="1605">
      <c r="A1605" s="2" t="inlineStr">
        <is>
          <t>Shaymin VSTAR Premium Collection</t>
        </is>
      </c>
      <c r="B1605" s="3">
        <f>IF(H1605&lt;&gt;"",H1605,IF(I1605&lt;&gt;"",I1605,IF(J1605&lt;&gt;"",J1605,K1605)))</f>
        <v>128.02</v>
      </c>
      <c r="C1605" s="3">
        <f>MEDIAN(H1605:K1605)</f>
        <v>179.99</v>
      </c>
      <c r="D1605" s="3">
        <f>ROUND(C1605*(1-Settings!$B$2),2)</f>
        <v>125.99</v>
      </c>
      <c r="E1605" s="2" t="inlineStr">
        <is>
          <t>Pokemon</t>
        </is>
      </c>
      <c r="F1605" s="2" t="inlineStr">
        <is>
          <t>Coffret</t>
        </is>
      </c>
      <c r="G1605" s="2" t="inlineStr">
        <is>
          <t>Miscellaneous Cards &amp; Products</t>
        </is>
      </c>
      <c r="H1605" s="3" t="n"/>
      <c r="I1605" s="3" t="n">
        <v>128.02</v>
      </c>
      <c r="J1605" s="3" t="n">
        <v>185.48</v>
      </c>
      <c r="K1605" s="3" t="n">
        <v>179.99</v>
      </c>
      <c r="L1605" s="2" t="inlineStr">
        <is>
          <t>TCGplayer</t>
        </is>
      </c>
      <c r="N1605" s="4" t="inlineStr">
        <is>
          <t>https://www.tcgplayer.com/product/286619</t>
        </is>
      </c>
    </row>
    <row r="1606">
      <c r="A1606" s="2" t="inlineStr">
        <is>
          <t>Sinnoh Star Mini Tin [Munchlax]</t>
        </is>
      </c>
      <c r="B1606" s="3">
        <f>IF(H1606&lt;&gt;"",H1606,IF(I1606&lt;&gt;"",I1606,IF(J1606&lt;&gt;"",J1606,K1606)))</f>
        <v>26.99</v>
      </c>
      <c r="C1606" s="3">
        <f>MEDIAN(H1606:K1606)</f>
        <v>98.99</v>
      </c>
      <c r="D1606" s="3">
        <f>ROUND(C1606*(1-Settings!$B$2),2)</f>
        <v>69.29</v>
      </c>
      <c r="E1606" s="2" t="inlineStr">
        <is>
          <t>Pokemon</t>
        </is>
      </c>
      <c r="F1606" s="2" t="inlineStr">
        <is>
          <t>Coffret</t>
        </is>
      </c>
      <c r="G1606" s="2" t="inlineStr">
        <is>
          <t>Miscellaneous Cards &amp; Products</t>
        </is>
      </c>
      <c r="H1606" s="3" t="n"/>
      <c r="I1606" s="3" t="n">
        <v>26.99</v>
      </c>
      <c r="J1606" s="3" t="n">
        <v>99</v>
      </c>
      <c r="K1606" s="3" t="n">
        <v>98.98999999999999</v>
      </c>
      <c r="L1606" s="2" t="inlineStr">
        <is>
          <t>TCGplayer</t>
        </is>
      </c>
      <c r="N1606" s="4" t="inlineStr">
        <is>
          <t>https://www.tcgplayer.com/product/262642</t>
        </is>
      </c>
    </row>
    <row r="1607">
      <c r="A1607" s="2" t="inlineStr">
        <is>
          <t>Sinnoh Star Mini Tin [Piplup]</t>
        </is>
      </c>
      <c r="B1607" s="3">
        <f>IF(H1607&lt;&gt;"",H1607,IF(I1607&lt;&gt;"",I1607,IF(J1607&lt;&gt;"",J1607,K1607)))</f>
        <v>37.99</v>
      </c>
      <c r="C1607" s="3">
        <f>MEDIAN(H1607:K1607)</f>
        <v>80.0</v>
      </c>
      <c r="D1607" s="3">
        <f>ROUND(C1607*(1-Settings!$B$2),2)</f>
        <v>56.0</v>
      </c>
      <c r="E1607" s="2" t="inlineStr">
        <is>
          <t>Pokemon</t>
        </is>
      </c>
      <c r="F1607" s="2" t="inlineStr">
        <is>
          <t>Coffret</t>
        </is>
      </c>
      <c r="G1607" s="2" t="inlineStr">
        <is>
          <t>Miscellaneous Cards &amp; Products</t>
        </is>
      </c>
      <c r="H1607" s="3" t="n"/>
      <c r="I1607" s="3" t="n">
        <v>37.99</v>
      </c>
      <c r="J1607" s="3" t="n">
        <v>90</v>
      </c>
      <c r="K1607" s="3" t="n">
        <v>80</v>
      </c>
      <c r="L1607" s="2" t="inlineStr">
        <is>
          <t>TCGplayer</t>
        </is>
      </c>
      <c r="N1607" s="4" t="inlineStr">
        <is>
          <t>https://www.tcgplayer.com/product/262638</t>
        </is>
      </c>
    </row>
    <row r="1608">
      <c r="A1608" s="2" t="inlineStr">
        <is>
          <t>Sinnoh Star Mini Tin [Riolu]</t>
        </is>
      </c>
      <c r="B1608" s="3">
        <f>IF(H1608&lt;&gt;"",H1608,IF(I1608&lt;&gt;"",I1608,IF(J1608&lt;&gt;"",J1608,K1608)))</f>
        <v>39.98</v>
      </c>
      <c r="C1608" s="3">
        <f>MEDIAN(H1608:K1608)</f>
        <v>39.99</v>
      </c>
      <c r="D1608" s="3">
        <f>ROUND(C1608*(1-Settings!$B$2),2)</f>
        <v>27.99</v>
      </c>
      <c r="E1608" s="2" t="inlineStr">
        <is>
          <t>Pokemon</t>
        </is>
      </c>
      <c r="F1608" s="2" t="inlineStr">
        <is>
          <t>Coffret</t>
        </is>
      </c>
      <c r="G1608" s="2" t="inlineStr">
        <is>
          <t>Miscellaneous Cards &amp; Products</t>
        </is>
      </c>
      <c r="H1608" s="3" t="n"/>
      <c r="I1608" s="3" t="n">
        <v>39.98</v>
      </c>
      <c r="J1608" s="3" t="n">
        <v>42</v>
      </c>
      <c r="K1608" s="3" t="n">
        <v>39.99</v>
      </c>
      <c r="L1608" s="2" t="inlineStr">
        <is>
          <t>TCGplayer</t>
        </is>
      </c>
      <c r="N1608" s="4" t="inlineStr">
        <is>
          <t>https://www.tcgplayer.com/product/262639</t>
        </is>
      </c>
    </row>
    <row r="1609">
      <c r="A1609" s="2" t="inlineStr">
        <is>
          <t>Sinnoh Star Mini Tin [Set of 5]</t>
        </is>
      </c>
      <c r="B1609" s="3">
        <f>IF(H1609&lt;&gt;"",H1609,IF(I1609&lt;&gt;"",I1609,IF(J1609&lt;&gt;"",J1609,K1609)))</f>
        <v>249.99</v>
      </c>
      <c r="C1609" s="3">
        <f>MEDIAN(H1609:K1609)</f>
        <v>199.84</v>
      </c>
      <c r="D1609" s="3">
        <f>ROUND(C1609*(1-Settings!$B$2),2)</f>
        <v>139.89</v>
      </c>
      <c r="E1609" s="2" t="inlineStr">
        <is>
          <t>Pokemon</t>
        </is>
      </c>
      <c r="F1609" s="2" t="inlineStr">
        <is>
          <t>Coffret</t>
        </is>
      </c>
      <c r="G1609" s="2" t="inlineStr">
        <is>
          <t>Miscellaneous Cards &amp; Products</t>
        </is>
      </c>
      <c r="H1609" s="3" t="n"/>
      <c r="I1609" s="3" t="n"/>
      <c r="J1609" s="3" t="n">
        <v>249.99</v>
      </c>
      <c r="K1609" s="3" t="n">
        <v>149.69</v>
      </c>
      <c r="L1609" s="2" t="inlineStr">
        <is>
          <t>TCGplayer</t>
        </is>
      </c>
      <c r="N1609" s="4" t="inlineStr">
        <is>
          <t>https://www.tcgplayer.com/product/263258</t>
        </is>
      </c>
    </row>
    <row r="1610">
      <c r="A1610" s="2" t="inlineStr">
        <is>
          <t>Sinnoh Star Mini Tin [Turtwig]</t>
        </is>
      </c>
      <c r="B1610" s="3">
        <f>IF(H1610&lt;&gt;"",H1610,IF(I1610&lt;&gt;"",I1610,IF(J1610&lt;&gt;"",J1610,K1610)))</f>
        <v>32.54</v>
      </c>
      <c r="C1610" s="3">
        <f>MEDIAN(H1610:K1610)</f>
        <v>45.99</v>
      </c>
      <c r="D1610" s="3">
        <f>ROUND(C1610*(1-Settings!$B$2),2)</f>
        <v>32.19</v>
      </c>
      <c r="E1610" s="2" t="inlineStr">
        <is>
          <t>Pokemon</t>
        </is>
      </c>
      <c r="F1610" s="2" t="inlineStr">
        <is>
          <t>Coffret</t>
        </is>
      </c>
      <c r="G1610" s="2" t="inlineStr">
        <is>
          <t>Miscellaneous Cards &amp; Products</t>
        </is>
      </c>
      <c r="H1610" s="3" t="n"/>
      <c r="I1610" s="3" t="n">
        <v>32.54</v>
      </c>
      <c r="J1610" s="3" t="n">
        <v>47.99</v>
      </c>
      <c r="K1610" s="3" t="n">
        <v>45.99</v>
      </c>
      <c r="L1610" s="2" t="inlineStr">
        <is>
          <t>TCGplayer</t>
        </is>
      </c>
      <c r="N1610" s="4" t="inlineStr">
        <is>
          <t>https://www.tcgplayer.com/product/262640</t>
        </is>
      </c>
    </row>
    <row r="1611">
      <c r="A1611" s="2" t="inlineStr">
        <is>
          <t>Sinnoh Stars Mini Tins 5-Pack</t>
        </is>
      </c>
      <c r="B1611" s="3">
        <f>IF(H1611&lt;&gt;"",H1611,IF(I1611&lt;&gt;"",I1611,IF(J1611&lt;&gt;"",J1611,K1611)))</f>
        <v>199.99</v>
      </c>
      <c r="C1611" s="3">
        <f>MEDIAN(H1611:K1611)</f>
        <v>225.0</v>
      </c>
      <c r="D1611" s="3">
        <f>ROUND(C1611*(1-Settings!$B$2),2)</f>
        <v>157.5</v>
      </c>
      <c r="E1611" s="2" t="inlineStr">
        <is>
          <t>Pokemon</t>
        </is>
      </c>
      <c r="F1611" s="2" t="inlineStr">
        <is>
          <t>Coffret</t>
        </is>
      </c>
      <c r="G1611" s="2" t="inlineStr">
        <is>
          <t>Miscellaneous Cards &amp; Products</t>
        </is>
      </c>
      <c r="H1611" s="3" t="n"/>
      <c r="I1611" s="3" t="n">
        <v>199.99</v>
      </c>
      <c r="J1611" s="3" t="n">
        <v>237</v>
      </c>
      <c r="K1611" s="3" t="n">
        <v>225</v>
      </c>
      <c r="L1611" s="2" t="inlineStr">
        <is>
          <t>TCGplayer</t>
        </is>
      </c>
      <c r="N1611" s="4" t="inlineStr">
        <is>
          <t>https://www.tcgplayer.com/product/532539</t>
        </is>
      </c>
    </row>
    <row r="1612">
      <c r="A1612" s="2" t="inlineStr">
        <is>
          <t>Slashing Legends Tin [Koraidon ex]</t>
        </is>
      </c>
      <c r="B1612" s="3">
        <f>IF(H1612&lt;&gt;"",H1612,IF(I1612&lt;&gt;"",I1612,IF(J1612&lt;&gt;"",J1612,K1612)))</f>
        <v>35.69</v>
      </c>
      <c r="C1612" s="3">
        <f>MEDIAN(H1612:K1612)</f>
        <v>35.69</v>
      </c>
      <c r="D1612" s="3">
        <f>ROUND(C1612*(1-Settings!$B$2),2)</f>
        <v>24.98</v>
      </c>
      <c r="E1612" s="2" t="inlineStr">
        <is>
          <t>Pokemon</t>
        </is>
      </c>
      <c r="F1612" s="2" t="inlineStr">
        <is>
          <t>Coffret</t>
        </is>
      </c>
      <c r="G1612" s="2" t="inlineStr">
        <is>
          <t>Miscellaneous Cards &amp; Products</t>
        </is>
      </c>
      <c r="H1612" s="3" t="n"/>
      <c r="I1612" s="3" t="n">
        <v>35.69</v>
      </c>
      <c r="J1612" s="3" t="n">
        <v>44.49</v>
      </c>
      <c r="K1612" s="3" t="n">
        <v>34</v>
      </c>
      <c r="L1612" s="2" t="inlineStr">
        <is>
          <t>TCGplayer</t>
        </is>
      </c>
      <c r="N1612" s="4" t="inlineStr">
        <is>
          <t>https://www.tcgplayer.com/product/623647</t>
        </is>
      </c>
    </row>
    <row r="1613">
      <c r="A1613" s="2" t="inlineStr">
        <is>
          <t>Slashing Legends Tin [Zacian ex]</t>
        </is>
      </c>
      <c r="B1613" s="3">
        <f>IF(H1613&lt;&gt;"",H1613,IF(I1613&lt;&gt;"",I1613,IF(J1613&lt;&gt;"",J1613,K1613)))</f>
        <v>36.28</v>
      </c>
      <c r="C1613" s="3">
        <f>MEDIAN(H1613:K1613)</f>
        <v>36.28</v>
      </c>
      <c r="D1613" s="3">
        <f>ROUND(C1613*(1-Settings!$B$2),2)</f>
        <v>25.4</v>
      </c>
      <c r="E1613" s="2" t="inlineStr">
        <is>
          <t>Pokemon</t>
        </is>
      </c>
      <c r="F1613" s="2" t="inlineStr">
        <is>
          <t>Coffret</t>
        </is>
      </c>
      <c r="G1613" s="2" t="inlineStr">
        <is>
          <t>Miscellaneous Cards &amp; Products</t>
        </is>
      </c>
      <c r="H1613" s="3" t="n"/>
      <c r="I1613" s="3" t="n">
        <v>36.28</v>
      </c>
      <c r="J1613" s="3" t="n">
        <v>44.49</v>
      </c>
      <c r="K1613" s="3" t="n">
        <v>5</v>
      </c>
      <c r="L1613" s="2" t="inlineStr">
        <is>
          <t>TCGplayer</t>
        </is>
      </c>
      <c r="N1613" s="4" t="inlineStr">
        <is>
          <t>https://www.tcgplayer.com/product/623648</t>
        </is>
      </c>
    </row>
    <row r="1614">
      <c r="A1614" s="2" t="inlineStr">
        <is>
          <t>Small But Mighty Premium Collection</t>
        </is>
      </c>
      <c r="B1614" s="3">
        <f>IF(H1614&lt;&gt;"",H1614,IF(I1614&lt;&gt;"",I1614,IF(J1614&lt;&gt;"",J1614,K1614)))</f>
        <v>749.88</v>
      </c>
      <c r="C1614" s="3">
        <f>MEDIAN(H1614:K1614)</f>
        <v>924.97</v>
      </c>
      <c r="D1614" s="3">
        <f>ROUND(C1614*(1-Settings!$B$2),2)</f>
        <v>647.48</v>
      </c>
      <c r="E1614" s="2" t="inlineStr">
        <is>
          <t>Pokemon</t>
        </is>
      </c>
      <c r="F1614" s="2" t="inlineStr">
        <is>
          <t>Coffret</t>
        </is>
      </c>
      <c r="G1614" s="2" t="inlineStr">
        <is>
          <t>Miscellaneous Cards &amp; Products</t>
        </is>
      </c>
      <c r="H1614" s="3" t="n"/>
      <c r="I1614" s="3" t="n">
        <v>749.88</v>
      </c>
      <c r="J1614" s="3" t="n">
        <v>1100</v>
      </c>
      <c r="K1614" s="3" t="n">
        <v>924.97</v>
      </c>
      <c r="L1614" s="2" t="inlineStr">
        <is>
          <t>TCGplayer</t>
        </is>
      </c>
      <c r="N1614" s="4" t="inlineStr">
        <is>
          <t>https://www.tcgplayer.com/product/226128</t>
        </is>
      </c>
    </row>
    <row r="1615">
      <c r="A1615" s="2" t="inlineStr">
        <is>
          <t>Snorlax &amp; Lapras VMAX Collection</t>
        </is>
      </c>
      <c r="B1615" s="3">
        <f>IF(H1615&lt;&gt;"",H1615,IF(I1615&lt;&gt;"",I1615,IF(J1615&lt;&gt;"",J1615,K1615)))</f>
        <v>380.0</v>
      </c>
      <c r="C1615" s="3">
        <f>MEDIAN(H1615:K1615)</f>
        <v>1000.0</v>
      </c>
      <c r="D1615" s="3">
        <f>ROUND(C1615*(1-Settings!$B$2),2)</f>
        <v>700.0</v>
      </c>
      <c r="E1615" s="2" t="inlineStr">
        <is>
          <t>Pokemon</t>
        </is>
      </c>
      <c r="F1615" s="2" t="inlineStr">
        <is>
          <t>Coffret</t>
        </is>
      </c>
      <c r="G1615" s="2" t="inlineStr">
        <is>
          <t>Miscellaneous Cards &amp; Products</t>
        </is>
      </c>
      <c r="H1615" s="3" t="n"/>
      <c r="I1615" s="3" t="n">
        <v>380</v>
      </c>
      <c r="J1615" s="3" t="n">
        <v>1250</v>
      </c>
      <c r="K1615" s="3" t="n">
        <v>1000</v>
      </c>
      <c r="L1615" s="2" t="inlineStr">
        <is>
          <t>TCGplayer</t>
        </is>
      </c>
      <c r="N1615" s="4" t="inlineStr">
        <is>
          <t>https://www.tcgplayer.com/product/653192</t>
        </is>
      </c>
    </row>
    <row r="1616">
      <c r="A1616" s="2" t="inlineStr">
        <is>
          <t>Snorlax ex &amp; Blissey ex Special Collection</t>
        </is>
      </c>
      <c r="B1616" s="3">
        <f>IF(H1616&lt;&gt;"",H1616,IF(I1616&lt;&gt;"",I1616,IF(J1616&lt;&gt;"",J1616,K1616)))</f>
        <v>81.87</v>
      </c>
      <c r="C1616" s="3">
        <f>MEDIAN(H1616:K1616)</f>
        <v>81.87</v>
      </c>
      <c r="D1616" s="3">
        <f>ROUND(C1616*(1-Settings!$B$2),2)</f>
        <v>57.31</v>
      </c>
      <c r="E1616" s="2" t="inlineStr">
        <is>
          <t>Pokemon</t>
        </is>
      </c>
      <c r="F1616" s="2" t="inlineStr">
        <is>
          <t>Coffret</t>
        </is>
      </c>
      <c r="G1616" s="2" t="inlineStr">
        <is>
          <t>Miscellaneous Cards &amp; Products</t>
        </is>
      </c>
      <c r="H1616" s="3" t="n"/>
      <c r="I1616" s="3" t="n">
        <v>81.87</v>
      </c>
      <c r="J1616" s="3" t="n">
        <v>99.69</v>
      </c>
      <c r="K1616" s="3" t="n">
        <v>64.98</v>
      </c>
      <c r="L1616" s="2" t="inlineStr">
        <is>
          <t>TCGplayer</t>
        </is>
      </c>
      <c r="N1616" s="4" t="inlineStr">
        <is>
          <t>https://www.tcgplayer.com/product/662770</t>
        </is>
      </c>
    </row>
    <row r="1617">
      <c r="A1617" s="2" t="inlineStr">
        <is>
          <t>Spring 2022 Collector Bundle</t>
        </is>
      </c>
      <c r="B1617" s="3">
        <f>IF(H1617&lt;&gt;"",H1617,IF(I1617&lt;&gt;"",I1617,IF(J1617&lt;&gt;"",J1617,K1617)))</f>
        <v>105.76</v>
      </c>
      <c r="C1617" s="3">
        <f>MEDIAN(H1617:K1617)</f>
        <v>109.69</v>
      </c>
      <c r="D1617" s="3">
        <f>ROUND(C1617*(1-Settings!$B$2),2)</f>
        <v>76.78</v>
      </c>
      <c r="E1617" s="2" t="inlineStr">
        <is>
          <t>Pokemon</t>
        </is>
      </c>
      <c r="F1617" s="2" t="inlineStr">
        <is>
          <t>Coffret</t>
        </is>
      </c>
      <c r="G1617" s="2" t="inlineStr">
        <is>
          <t>Miscellaneous Cards &amp; Products</t>
        </is>
      </c>
      <c r="H1617" s="3" t="n"/>
      <c r="I1617" s="3" t="n">
        <v>105.76</v>
      </c>
      <c r="J1617" s="3" t="n">
        <v>119.68</v>
      </c>
      <c r="K1617" s="3" t="n">
        <v>109.69</v>
      </c>
      <c r="L1617" s="2" t="inlineStr">
        <is>
          <t>TCGplayer</t>
        </is>
      </c>
      <c r="N1617" s="4" t="inlineStr">
        <is>
          <t>https://www.tcgplayer.com/product/261779</t>
        </is>
      </c>
    </row>
    <row r="1618">
      <c r="A1618" s="2" t="inlineStr">
        <is>
          <t>Spring 2022 Collector Chest</t>
        </is>
      </c>
      <c r="B1618" s="3">
        <f>IF(H1618&lt;&gt;"",H1618,IF(I1618&lt;&gt;"",I1618,IF(J1618&lt;&gt;"",J1618,K1618)))</f>
        <v>83.58</v>
      </c>
      <c r="C1618" s="3">
        <f>MEDIAN(H1618:K1618)</f>
        <v>83.58</v>
      </c>
      <c r="D1618" s="3">
        <f>ROUND(C1618*(1-Settings!$B$2),2)</f>
        <v>58.51</v>
      </c>
      <c r="E1618" s="2" t="inlineStr">
        <is>
          <t>Pokemon</t>
        </is>
      </c>
      <c r="F1618" s="2" t="inlineStr">
        <is>
          <t>Coffret</t>
        </is>
      </c>
      <c r="G1618" s="2" t="inlineStr">
        <is>
          <t>Miscellaneous Cards &amp; Products</t>
        </is>
      </c>
      <c r="H1618" s="3" t="n"/>
      <c r="I1618" s="3" t="n">
        <v>83.58</v>
      </c>
      <c r="J1618" s="3" t="n">
        <v>92.14</v>
      </c>
      <c r="K1618" s="3" t="n">
        <v>69.98999999999999</v>
      </c>
      <c r="L1618" s="2" t="inlineStr">
        <is>
          <t>TCGplayer</t>
        </is>
      </c>
      <c r="N1618" s="4" t="inlineStr">
        <is>
          <t>https://www.tcgplayer.com/product/265252</t>
        </is>
      </c>
    </row>
    <row r="1619">
      <c r="A1619" s="2" t="inlineStr">
        <is>
          <t>Strong Bonds Tin [Blissey]</t>
        </is>
      </c>
      <c r="B1619" s="3">
        <f>IF(H1619&lt;&gt;"",H1619,IF(I1619&lt;&gt;"",I1619,IF(J1619&lt;&gt;"",J1619,K1619)))</f>
        <v>45.51</v>
      </c>
      <c r="C1619" s="3">
        <f>MEDIAN(H1619:K1619)</f>
        <v>99.99</v>
      </c>
      <c r="D1619" s="3">
        <f>ROUND(C1619*(1-Settings!$B$2),2)</f>
        <v>69.99</v>
      </c>
      <c r="E1619" s="2" t="inlineStr">
        <is>
          <t>Pokemon</t>
        </is>
      </c>
      <c r="F1619" s="2" t="inlineStr">
        <is>
          <t>Coffret</t>
        </is>
      </c>
      <c r="G1619" s="2" t="inlineStr">
        <is>
          <t>Miscellaneous Cards &amp; Products</t>
        </is>
      </c>
      <c r="H1619" s="3" t="n"/>
      <c r="I1619" s="3" t="n">
        <v>45.51</v>
      </c>
      <c r="J1619" s="3" t="n">
        <v>111.48</v>
      </c>
      <c r="K1619" s="3" t="n">
        <v>99.98999999999999</v>
      </c>
      <c r="L1619" s="2" t="inlineStr">
        <is>
          <t>TCGplayer</t>
        </is>
      </c>
      <c r="N1619" s="4" t="inlineStr">
        <is>
          <t>https://www.tcgplayer.com/product/229748</t>
        </is>
      </c>
    </row>
    <row r="1620">
      <c r="A1620" s="2" t="inlineStr">
        <is>
          <t>Strong Bonds Tin [Gardevoir]</t>
        </is>
      </c>
      <c r="B1620" s="3">
        <f>IF(H1620&lt;&gt;"",H1620,IF(I1620&lt;&gt;"",I1620,IF(J1620&lt;&gt;"",J1620,K1620)))</f>
        <v>60.23</v>
      </c>
      <c r="C1620" s="3">
        <f>MEDIAN(H1620:K1620)</f>
        <v>67.99</v>
      </c>
      <c r="D1620" s="3">
        <f>ROUND(C1620*(1-Settings!$B$2),2)</f>
        <v>47.59</v>
      </c>
      <c r="E1620" s="2" t="inlineStr">
        <is>
          <t>Pokemon</t>
        </is>
      </c>
      <c r="F1620" s="2" t="inlineStr">
        <is>
          <t>Coffret</t>
        </is>
      </c>
      <c r="G1620" s="2" t="inlineStr">
        <is>
          <t>Miscellaneous Cards &amp; Products</t>
        </is>
      </c>
      <c r="H1620" s="3" t="n"/>
      <c r="I1620" s="3" t="n">
        <v>60.23</v>
      </c>
      <c r="J1620" s="3" t="n">
        <v>91.48</v>
      </c>
      <c r="K1620" s="3" t="n">
        <v>67.98999999999999</v>
      </c>
      <c r="L1620" s="2" t="inlineStr">
        <is>
          <t>TCGplayer</t>
        </is>
      </c>
      <c r="N1620" s="4" t="inlineStr">
        <is>
          <t>https://www.tcgplayer.com/product/229747</t>
        </is>
      </c>
    </row>
    <row r="1621">
      <c r="A1621" s="2" t="inlineStr">
        <is>
          <t>Summer 2023 Collector's Chest Tin</t>
        </is>
      </c>
      <c r="B1621" s="3">
        <f>IF(H1621&lt;&gt;"",H1621,IF(I1621&lt;&gt;"",I1621,IF(J1621&lt;&gt;"",J1621,K1621)))</f>
        <v>89.71</v>
      </c>
      <c r="C1621" s="3">
        <f>MEDIAN(H1621:K1621)</f>
        <v>89.56</v>
      </c>
      <c r="D1621" s="3">
        <f>ROUND(C1621*(1-Settings!$B$2),2)</f>
        <v>62.69</v>
      </c>
      <c r="E1621" s="2" t="inlineStr">
        <is>
          <t>Pokemon</t>
        </is>
      </c>
      <c r="F1621" s="2" t="inlineStr">
        <is>
          <t>Coffret</t>
        </is>
      </c>
      <c r="G1621" s="2" t="inlineStr">
        <is>
          <t>Miscellaneous Cards &amp; Products</t>
        </is>
      </c>
      <c r="H1621" s="3" t="n"/>
      <c r="I1621" s="3" t="n">
        <v>89.70999999999999</v>
      </c>
      <c r="J1621" s="3" t="n">
        <v>89.56</v>
      </c>
      <c r="K1621" s="3" t="n">
        <v>87.69</v>
      </c>
      <c r="L1621" s="2" t="inlineStr">
        <is>
          <t>TCGplayer</t>
        </is>
      </c>
      <c r="N1621" s="4" t="inlineStr">
        <is>
          <t>https://www.tcgplayer.com/product/497870</t>
        </is>
      </c>
    </row>
    <row r="1622">
      <c r="A1622" s="2" t="inlineStr">
        <is>
          <t>Sword &amp; Shield Ultra-Premium Collection - Zacian &amp; Zamazenta</t>
        </is>
      </c>
      <c r="B1622" s="3">
        <f>IF(H1622&lt;&gt;"",H1622,IF(I1622&lt;&gt;"",I1622,IF(J1622&lt;&gt;"",J1622,K1622)))</f>
        <v>359.55</v>
      </c>
      <c r="C1622" s="3">
        <f>MEDIAN(H1622:K1622)</f>
        <v>369.99</v>
      </c>
      <c r="D1622" s="3">
        <f>ROUND(C1622*(1-Settings!$B$2),2)</f>
        <v>258.99</v>
      </c>
      <c r="E1622" s="2" t="inlineStr">
        <is>
          <t>Pokemon</t>
        </is>
      </c>
      <c r="F1622" s="2" t="inlineStr">
        <is>
          <t>Coffret</t>
        </is>
      </c>
      <c r="G1622" s="2" t="inlineStr">
        <is>
          <t>Miscellaneous Cards &amp; Products</t>
        </is>
      </c>
      <c r="H1622" s="3" t="n"/>
      <c r="I1622" s="3" t="n">
        <v>359.55</v>
      </c>
      <c r="J1622" s="3" t="n">
        <v>474.84</v>
      </c>
      <c r="K1622" s="3" t="n">
        <v>369.99</v>
      </c>
      <c r="L1622" s="2" t="inlineStr">
        <is>
          <t>TCGplayer</t>
        </is>
      </c>
      <c r="N1622" s="4" t="inlineStr">
        <is>
          <t>https://www.tcgplayer.com/product/226136</t>
        </is>
      </c>
    </row>
    <row r="1623">
      <c r="A1623" s="2" t="inlineStr">
        <is>
          <t>TAG TEAM Generations Premium Collection</t>
        </is>
      </c>
      <c r="B1623" s="3">
        <f>IF(H1623&lt;&gt;"",H1623,IF(I1623&lt;&gt;"",I1623,IF(J1623&lt;&gt;"",J1623,K1623)))</f>
        <v>1815.0</v>
      </c>
      <c r="C1623" s="3">
        <f>MEDIAN(H1623:K1623)</f>
        <v>2400.0</v>
      </c>
      <c r="D1623" s="3">
        <f>ROUND(C1623*(1-Settings!$B$2),2)</f>
        <v>1680.0</v>
      </c>
      <c r="E1623" s="2" t="inlineStr">
        <is>
          <t>Pokemon</t>
        </is>
      </c>
      <c r="F1623" s="2" t="inlineStr">
        <is>
          <t>Coffret</t>
        </is>
      </c>
      <c r="G1623" s="2" t="inlineStr">
        <is>
          <t>Miscellaneous Cards &amp; Products</t>
        </is>
      </c>
      <c r="H1623" s="3" t="n"/>
      <c r="I1623" s="3" t="n">
        <v>1815</v>
      </c>
      <c r="J1623" s="3" t="n">
        <v>2699.99</v>
      </c>
      <c r="K1623" s="3" t="n">
        <v>2400</v>
      </c>
      <c r="L1623" s="2" t="inlineStr">
        <is>
          <t>TCGplayer</t>
        </is>
      </c>
      <c r="N1623" s="4" t="inlineStr">
        <is>
          <t>https://www.tcgplayer.com/product/200172</t>
        </is>
      </c>
    </row>
    <row r="1624">
      <c r="A1624" s="2" t="inlineStr">
        <is>
          <t>TAG TEAM Powers Collection [Espeon &amp; Deoxys GX]</t>
        </is>
      </c>
      <c r="B1624" s="3">
        <f>IF(H1624&lt;&gt;"",H1624,IF(I1624&lt;&gt;"",I1624,IF(J1624&lt;&gt;"",J1624,K1624)))</f>
        <v>1914.49</v>
      </c>
      <c r="C1624" s="3">
        <f>MEDIAN(H1624:K1624)</f>
        <v>1907.22</v>
      </c>
      <c r="D1624" s="3">
        <f>ROUND(C1624*(1-Settings!$B$2),2)</f>
        <v>1335.05</v>
      </c>
      <c r="E1624" s="2" t="inlineStr">
        <is>
          <t>Pokemon</t>
        </is>
      </c>
      <c r="F1624" s="2" t="inlineStr">
        <is>
          <t>Coffret</t>
        </is>
      </c>
      <c r="G1624" s="2" t="inlineStr">
        <is>
          <t>Miscellaneous Cards &amp; Products</t>
        </is>
      </c>
      <c r="H1624" s="3" t="n"/>
      <c r="I1624" s="3" t="n"/>
      <c r="J1624" s="3" t="n">
        <v>1914.49</v>
      </c>
      <c r="K1624" s="3" t="n">
        <v>1899.95</v>
      </c>
      <c r="L1624" s="2" t="inlineStr">
        <is>
          <t>TCGplayer</t>
        </is>
      </c>
      <c r="N1624" s="4" t="inlineStr">
        <is>
          <t>https://www.tcgplayer.com/product/209532</t>
        </is>
      </c>
    </row>
    <row r="1625">
      <c r="A1625" s="2" t="inlineStr">
        <is>
          <t>TAG TEAM Powers Collection [Umbreon &amp; Darkrai GX]</t>
        </is>
      </c>
      <c r="B1625" s="3">
        <f>IF(H1625&lt;&gt;"",H1625,IF(I1625&lt;&gt;"",I1625,IF(J1625&lt;&gt;"",J1625,K1625)))</f>
        <v>1849.99</v>
      </c>
      <c r="C1625" s="3">
        <f>MEDIAN(H1625:K1625)</f>
        <v>1899.94</v>
      </c>
      <c r="D1625" s="3">
        <f>ROUND(C1625*(1-Settings!$B$2),2)</f>
        <v>1329.96</v>
      </c>
      <c r="E1625" s="2" t="inlineStr">
        <is>
          <t>Pokemon</t>
        </is>
      </c>
      <c r="F1625" s="2" t="inlineStr">
        <is>
          <t>Coffret</t>
        </is>
      </c>
      <c r="G1625" s="2" t="inlineStr">
        <is>
          <t>Miscellaneous Cards &amp; Products</t>
        </is>
      </c>
      <c r="H1625" s="3" t="n"/>
      <c r="I1625" s="3" t="n">
        <v>1849.99</v>
      </c>
      <c r="J1625" s="3" t="n">
        <v>2200</v>
      </c>
      <c r="K1625" s="3" t="n">
        <v>1899.94</v>
      </c>
      <c r="L1625" s="2" t="inlineStr">
        <is>
          <t>TCGplayer</t>
        </is>
      </c>
      <c r="N1625" s="4" t="inlineStr">
        <is>
          <t>https://www.tcgplayer.com/product/209533</t>
        </is>
      </c>
    </row>
    <row r="1626">
      <c r="A1626" s="2" t="inlineStr">
        <is>
          <t>Tapu Koko Box (International Version)</t>
        </is>
      </c>
      <c r="B1626" s="3">
        <f>IF(H1626&lt;&gt;"",H1626,IF(I1626&lt;&gt;"",I1626,IF(J1626&lt;&gt;"",J1626,K1626)))</f>
        <v>81.71</v>
      </c>
      <c r="C1626" s="3">
        <f>MEDIAN(H1626:K1626)</f>
        <v>94.99</v>
      </c>
      <c r="D1626" s="3">
        <f>ROUND(C1626*(1-Settings!$B$2),2)</f>
        <v>66.49</v>
      </c>
      <c r="E1626" s="2" t="inlineStr">
        <is>
          <t>Pokemon</t>
        </is>
      </c>
      <c r="F1626" s="2" t="inlineStr">
        <is>
          <t>Coffret</t>
        </is>
      </c>
      <c r="G1626" s="2" t="inlineStr">
        <is>
          <t>Miscellaneous Cards &amp; Products</t>
        </is>
      </c>
      <c r="H1626" s="3" t="n"/>
      <c r="I1626" s="3" t="n">
        <v>81.70999999999999</v>
      </c>
      <c r="J1626" s="3" t="n">
        <v>100</v>
      </c>
      <c r="K1626" s="3" t="n">
        <v>94.98999999999999</v>
      </c>
      <c r="L1626" s="2" t="inlineStr">
        <is>
          <t>TCGplayer</t>
        </is>
      </c>
      <c r="N1626" s="4" t="inlineStr">
        <is>
          <t>https://www.tcgplayer.com/product/230426</t>
        </is>
      </c>
    </row>
    <row r="1627">
      <c r="A1627" s="2" t="inlineStr">
        <is>
          <t>Team Rocket Tin [Set of 3]</t>
        </is>
      </c>
      <c r="B1627" s="3">
        <f>IF(H1627&lt;&gt;"",H1627,IF(I1627&lt;&gt;"",I1627,IF(J1627&lt;&gt;"",J1627,K1627)))</f>
        <v>152.76</v>
      </c>
      <c r="C1627" s="3">
        <f>MEDIAN(H1627:K1627)</f>
        <v>179.99</v>
      </c>
      <c r="D1627" s="3">
        <f>ROUND(C1627*(1-Settings!$B$2),2)</f>
        <v>125.99</v>
      </c>
      <c r="E1627" s="2" t="inlineStr">
        <is>
          <t>Pokemon</t>
        </is>
      </c>
      <c r="F1627" s="2" t="inlineStr">
        <is>
          <t>Coffret</t>
        </is>
      </c>
      <c r="G1627" s="2" t="inlineStr">
        <is>
          <t>Miscellaneous Cards &amp; Products</t>
        </is>
      </c>
      <c r="H1627" s="3" t="n"/>
      <c r="I1627" s="3" t="n">
        <v>152.76</v>
      </c>
      <c r="J1627" s="3" t="n">
        <v>186.41</v>
      </c>
      <c r="K1627" s="3" t="n">
        <v>179.99</v>
      </c>
      <c r="L1627" s="2" t="inlineStr">
        <is>
          <t>TCGplayer</t>
        </is>
      </c>
      <c r="N1627" s="4" t="inlineStr">
        <is>
          <t>https://www.tcgplayer.com/product/653216</t>
        </is>
      </c>
    </row>
    <row r="1628">
      <c r="A1628" s="2" t="inlineStr">
        <is>
          <t>Team Rocket Tin [Team Rocket's Mewtwo ex]</t>
        </is>
      </c>
      <c r="B1628" s="3">
        <f>IF(H1628&lt;&gt;"",H1628,IF(I1628&lt;&gt;"",I1628,IF(J1628&lt;&gt;"",J1628,K1628)))</f>
        <v>62.0</v>
      </c>
      <c r="C1628" s="3">
        <f>MEDIAN(H1628:K1628)</f>
        <v>62.0</v>
      </c>
      <c r="D1628" s="3">
        <f>ROUND(C1628*(1-Settings!$B$2),2)</f>
        <v>43.4</v>
      </c>
      <c r="E1628" s="2" t="inlineStr">
        <is>
          <t>Pokemon</t>
        </is>
      </c>
      <c r="F1628" s="2" t="inlineStr">
        <is>
          <t>Coffret</t>
        </is>
      </c>
      <c r="G1628" s="2" t="inlineStr">
        <is>
          <t>Miscellaneous Cards &amp; Products</t>
        </is>
      </c>
      <c r="H1628" s="3" t="n"/>
      <c r="I1628" s="3" t="n">
        <v>62</v>
      </c>
      <c r="J1628" s="3" t="n">
        <v>62.99</v>
      </c>
      <c r="K1628" s="3" t="n">
        <v>49.95</v>
      </c>
      <c r="L1628" s="2" t="inlineStr">
        <is>
          <t>TCGplayer</t>
        </is>
      </c>
      <c r="N1628" s="4" t="inlineStr">
        <is>
          <t>https://www.tcgplayer.com/product/649193</t>
        </is>
      </c>
    </row>
    <row r="1629">
      <c r="A1629" s="2" t="inlineStr">
        <is>
          <t>Team Rocket Tin [Team Rocket's Nidoking ex]</t>
        </is>
      </c>
      <c r="B1629" s="3">
        <f>IF(H1629&lt;&gt;"",H1629,IF(I1629&lt;&gt;"",I1629,IF(J1629&lt;&gt;"",J1629,K1629)))</f>
        <v>47.93</v>
      </c>
      <c r="C1629" s="3">
        <f>MEDIAN(H1629:K1629)</f>
        <v>47.93</v>
      </c>
      <c r="D1629" s="3">
        <f>ROUND(C1629*(1-Settings!$B$2),2)</f>
        <v>33.55</v>
      </c>
      <c r="E1629" s="2" t="inlineStr">
        <is>
          <t>Pokemon</t>
        </is>
      </c>
      <c r="F1629" s="2" t="inlineStr">
        <is>
          <t>Coffret</t>
        </is>
      </c>
      <c r="G1629" s="2" t="inlineStr">
        <is>
          <t>Miscellaneous Cards &amp; Products</t>
        </is>
      </c>
      <c r="H1629" s="3" t="n"/>
      <c r="I1629" s="3" t="n">
        <v>47.93</v>
      </c>
      <c r="J1629" s="3" t="n">
        <v>49.99</v>
      </c>
      <c r="K1629" s="3" t="n">
        <v>40</v>
      </c>
      <c r="L1629" s="2" t="inlineStr">
        <is>
          <t>TCGplayer</t>
        </is>
      </c>
      <c r="N1629" s="4" t="inlineStr">
        <is>
          <t>https://www.tcgplayer.com/product/649194</t>
        </is>
      </c>
    </row>
    <row r="1630">
      <c r="A1630" s="2" t="inlineStr">
        <is>
          <t>Team Rocket Tin [Team Rocket's Nidoking ex] (International Version)</t>
        </is>
      </c>
      <c r="B1630" s="3">
        <f>IF(H1630&lt;&gt;"",H1630,IF(I1630&lt;&gt;"",I1630,IF(J1630&lt;&gt;"",J1630,K1630)))</f>
        <v>99.99</v>
      </c>
      <c r="C1630" s="3">
        <f>MEDIAN(H1630:K1630)</f>
        <v>99.99</v>
      </c>
      <c r="D1630" s="3">
        <f>ROUND(C1630*(1-Settings!$B$2),2)</f>
        <v>69.99</v>
      </c>
      <c r="E1630" s="2" t="inlineStr">
        <is>
          <t>Pokemon</t>
        </is>
      </c>
      <c r="F1630" s="2" t="inlineStr">
        <is>
          <t>Coffret</t>
        </is>
      </c>
      <c r="G1630" s="2" t="inlineStr">
        <is>
          <t>Miscellaneous Cards &amp; Products</t>
        </is>
      </c>
      <c r="H1630" s="3" t="n"/>
      <c r="I1630" s="3" t="n"/>
      <c r="J1630" s="3" t="n">
        <v>99.98999999999999</v>
      </c>
      <c r="K1630" s="3" t="n">
        <v>99.98999999999999</v>
      </c>
      <c r="L1630" s="2" t="inlineStr">
        <is>
          <t>TCGplayer</t>
        </is>
      </c>
      <c r="N1630" s="4" t="inlineStr">
        <is>
          <t>https://www.tcgplayer.com/product/649199</t>
        </is>
      </c>
    </row>
    <row r="1631">
      <c r="A1631" s="2" t="inlineStr">
        <is>
          <t>Team Rocket Tin [Team Rocket's Persian ex]</t>
        </is>
      </c>
      <c r="B1631" s="3">
        <f>IF(H1631&lt;&gt;"",H1631,IF(I1631&lt;&gt;"",I1631,IF(J1631&lt;&gt;"",J1631,K1631)))</f>
        <v>47.66</v>
      </c>
      <c r="C1631" s="3">
        <f>MEDIAN(H1631:K1631)</f>
        <v>47.66</v>
      </c>
      <c r="D1631" s="3">
        <f>ROUND(C1631*(1-Settings!$B$2),2)</f>
        <v>33.36</v>
      </c>
      <c r="E1631" s="2" t="inlineStr">
        <is>
          <t>Pokemon</t>
        </is>
      </c>
      <c r="F1631" s="2" t="inlineStr">
        <is>
          <t>Coffret</t>
        </is>
      </c>
      <c r="G1631" s="2" t="inlineStr">
        <is>
          <t>Miscellaneous Cards &amp; Products</t>
        </is>
      </c>
      <c r="H1631" s="3" t="n"/>
      <c r="I1631" s="3" t="n">
        <v>47.66</v>
      </c>
      <c r="J1631" s="3" t="n">
        <v>50</v>
      </c>
      <c r="K1631" s="3" t="n">
        <v>42.87</v>
      </c>
      <c r="L1631" s="2" t="inlineStr">
        <is>
          <t>TCGplayer</t>
        </is>
      </c>
      <c r="N1631" s="4" t="inlineStr">
        <is>
          <t>https://www.tcgplayer.com/product/649195</t>
        </is>
      </c>
    </row>
    <row r="1632">
      <c r="A1632" s="2" t="inlineStr">
        <is>
          <t>Team Rocket Tin [Team Rocket's Persian ex] (International Version)</t>
        </is>
      </c>
      <c r="B1632" s="3">
        <f>IF(H1632&lt;&gt;"",H1632,IF(I1632&lt;&gt;"",I1632,IF(J1632&lt;&gt;"",J1632,K1632)))</f>
        <v>99.99</v>
      </c>
      <c r="C1632" s="3">
        <f>MEDIAN(H1632:K1632)</f>
        <v>99.99</v>
      </c>
      <c r="D1632" s="3">
        <f>ROUND(C1632*(1-Settings!$B$2),2)</f>
        <v>69.99</v>
      </c>
      <c r="E1632" s="2" t="inlineStr">
        <is>
          <t>Pokemon</t>
        </is>
      </c>
      <c r="F1632" s="2" t="inlineStr">
        <is>
          <t>Coffret</t>
        </is>
      </c>
      <c r="G1632" s="2" t="inlineStr">
        <is>
          <t>Miscellaneous Cards &amp; Products</t>
        </is>
      </c>
      <c r="H1632" s="3" t="n"/>
      <c r="I1632" s="3" t="n">
        <v>99.98999999999999</v>
      </c>
      <c r="J1632" s="3" t="n"/>
      <c r="K1632" s="3" t="n"/>
      <c r="L1632" s="2" t="inlineStr">
        <is>
          <t>TCGplayer</t>
        </is>
      </c>
      <c r="N1632" s="4" t="inlineStr">
        <is>
          <t>https://www.tcgplayer.com/product/649197</t>
        </is>
      </c>
    </row>
    <row r="1633">
      <c r="A1633" s="2" t="inlineStr">
        <is>
          <t>Team Rocket's Mewtwo ex Box</t>
        </is>
      </c>
      <c r="B1633" s="3">
        <f>IF(H1633&lt;&gt;"",H1633,IF(I1633&lt;&gt;"",I1633,IF(J1633&lt;&gt;"",J1633,K1633)))</f>
        <v>56.46</v>
      </c>
      <c r="C1633" s="3">
        <f>MEDIAN(H1633:K1633)</f>
        <v>56.46</v>
      </c>
      <c r="D1633" s="3">
        <f>ROUND(C1633*(1-Settings!$B$2),2)</f>
        <v>39.52</v>
      </c>
      <c r="E1633" s="2" t="inlineStr">
        <is>
          <t>Pokemon</t>
        </is>
      </c>
      <c r="F1633" s="2" t="inlineStr">
        <is>
          <t>Coffret</t>
        </is>
      </c>
      <c r="G1633" s="2" t="inlineStr">
        <is>
          <t>Miscellaneous Cards &amp; Products</t>
        </is>
      </c>
      <c r="H1633" s="3" t="n"/>
      <c r="I1633" s="3" t="n">
        <v>56.46</v>
      </c>
      <c r="J1633" s="3" t="n">
        <v>60.27</v>
      </c>
      <c r="K1633" s="3" t="n">
        <v>50.81</v>
      </c>
      <c r="L1633" s="2" t="inlineStr">
        <is>
          <t>TCGplayer</t>
        </is>
      </c>
      <c r="N1633" s="4" t="inlineStr">
        <is>
          <t>https://www.tcgplayer.com/product/625695</t>
        </is>
      </c>
    </row>
    <row r="1634">
      <c r="A1634" s="2" t="inlineStr">
        <is>
          <t>Team Rocket’s Moltres ex Ultra-Premium Collection</t>
        </is>
      </c>
      <c r="B1634" s="3">
        <f>IF(H1634&lt;&gt;"",H1634,IF(I1634&lt;&gt;"",I1634,IF(J1634&lt;&gt;"",J1634,K1634)))</f>
        <v>345.91</v>
      </c>
      <c r="C1634" s="3">
        <f>MEDIAN(H1634:K1634)</f>
        <v>345.91</v>
      </c>
      <c r="D1634" s="3">
        <f>ROUND(C1634*(1-Settings!$B$2),2)</f>
        <v>242.14</v>
      </c>
      <c r="E1634" s="2" t="inlineStr">
        <is>
          <t>Pokemon</t>
        </is>
      </c>
      <c r="F1634" s="2" t="inlineStr">
        <is>
          <t>Coffret</t>
        </is>
      </c>
      <c r="G1634" s="2" t="inlineStr">
        <is>
          <t>Miscellaneous Cards &amp; Products</t>
        </is>
      </c>
      <c r="H1634" s="3" t="n"/>
      <c r="I1634" s="3" t="n">
        <v>345.91</v>
      </c>
      <c r="J1634" s="3" t="n">
        <v>394.2</v>
      </c>
      <c r="K1634" s="3" t="n">
        <v>304.99</v>
      </c>
      <c r="L1634" s="2" t="inlineStr">
        <is>
          <t>TCGplayer</t>
        </is>
      </c>
      <c r="N1634" s="4" t="inlineStr">
        <is>
          <t>https://www.tcgplayer.com/product/656997</t>
        </is>
      </c>
    </row>
    <row r="1635">
      <c r="A1635" s="2" t="inlineStr">
        <is>
          <t>Tera Team Premium Collection</t>
        </is>
      </c>
      <c r="B1635" s="3">
        <f>IF(H1635&lt;&gt;"",H1635,IF(I1635&lt;&gt;"",I1635,IF(J1635&lt;&gt;"",J1635,K1635)))</f>
        <v>87.6</v>
      </c>
      <c r="C1635" s="3">
        <f>MEDIAN(H1635:K1635)</f>
        <v>87.6</v>
      </c>
      <c r="D1635" s="3">
        <f>ROUND(C1635*(1-Settings!$B$2),2)</f>
        <v>61.32</v>
      </c>
      <c r="E1635" s="2" t="inlineStr">
        <is>
          <t>Pokemon</t>
        </is>
      </c>
      <c r="F1635" s="2" t="inlineStr">
        <is>
          <t>Coffret</t>
        </is>
      </c>
      <c r="G1635" s="2" t="inlineStr">
        <is>
          <t>Miscellaneous Cards &amp; Products</t>
        </is>
      </c>
      <c r="H1635" s="3" t="n"/>
      <c r="I1635" s="3" t="n">
        <v>87.59999999999999</v>
      </c>
      <c r="J1635" s="3" t="n">
        <v>112.75</v>
      </c>
      <c r="K1635" s="3" t="n">
        <v>78.98999999999999</v>
      </c>
      <c r="L1635" s="2" t="inlineStr">
        <is>
          <t>TCGplayer</t>
        </is>
      </c>
      <c r="N1635" s="4" t="inlineStr">
        <is>
          <t>https://www.tcgplayer.com/product/594539</t>
        </is>
      </c>
    </row>
    <row r="1636">
      <c r="A1636" s="2" t="inlineStr">
        <is>
          <t>Terapagos ex Ultra-Premium Collection</t>
        </is>
      </c>
      <c r="B1636" s="3">
        <f>IF(H1636&lt;&gt;"",H1636,IF(I1636&lt;&gt;"",I1636,IF(J1636&lt;&gt;"",J1636,K1636)))</f>
        <v>251.09</v>
      </c>
      <c r="C1636" s="3">
        <f>MEDIAN(H1636:K1636)</f>
        <v>251.09</v>
      </c>
      <c r="D1636" s="3">
        <f>ROUND(C1636*(1-Settings!$B$2),2)</f>
        <v>175.76</v>
      </c>
      <c r="E1636" s="2" t="inlineStr">
        <is>
          <t>Pokemon</t>
        </is>
      </c>
      <c r="F1636" s="2" t="inlineStr">
        <is>
          <t>Coffret</t>
        </is>
      </c>
      <c r="G1636" s="2" t="inlineStr">
        <is>
          <t>Miscellaneous Cards &amp; Products</t>
        </is>
      </c>
      <c r="H1636" s="3" t="n"/>
      <c r="I1636" s="3" t="n">
        <v>251.09</v>
      </c>
      <c r="J1636" s="3" t="n">
        <v>277.73</v>
      </c>
      <c r="K1636" s="3" t="n">
        <v>10</v>
      </c>
      <c r="L1636" s="2" t="inlineStr">
        <is>
          <t>TCGplayer</t>
        </is>
      </c>
      <c r="N1636" s="4" t="inlineStr">
        <is>
          <t>https://www.tcgplayer.com/product/575198</t>
        </is>
      </c>
    </row>
    <row r="1637">
      <c r="A1637" s="2" t="inlineStr">
        <is>
          <t>Trainer's Legendary Box [Ho-Oh]</t>
        </is>
      </c>
      <c r="B1637" s="3">
        <f>IF(H1637&lt;&gt;"",H1637,IF(I1637&lt;&gt;"",I1637,IF(J1637&lt;&gt;"",J1637,K1637)))</f>
        <v>248.99</v>
      </c>
      <c r="C1637" s="3">
        <f>MEDIAN(H1637:K1637)</f>
        <v>249.99</v>
      </c>
      <c r="D1637" s="3">
        <f>ROUND(C1637*(1-Settings!$B$2),2)</f>
        <v>174.99</v>
      </c>
      <c r="E1637" s="2" t="inlineStr">
        <is>
          <t>Pokemon</t>
        </is>
      </c>
      <c r="F1637" s="2" t="inlineStr">
        <is>
          <t>Coffret</t>
        </is>
      </c>
      <c r="G1637" s="2" t="inlineStr">
        <is>
          <t>Miscellaneous Cards &amp; Products</t>
        </is>
      </c>
      <c r="H1637" s="3" t="n"/>
      <c r="I1637" s="3" t="n">
        <v>248.99</v>
      </c>
      <c r="J1637" s="3" t="n">
        <v>267.47</v>
      </c>
      <c r="K1637" s="3" t="n">
        <v>249.99</v>
      </c>
      <c r="L1637" s="2" t="inlineStr">
        <is>
          <t>TCGplayer</t>
        </is>
      </c>
      <c r="N1637" s="4" t="inlineStr">
        <is>
          <t>https://www.tcgplayer.com/product/477255</t>
        </is>
      </c>
    </row>
    <row r="1638">
      <c r="A1638" s="2" t="inlineStr">
        <is>
          <t>Trainer's Legendary Box [Lugia]</t>
        </is>
      </c>
      <c r="B1638" s="3">
        <f>IF(H1638&lt;&gt;"",H1638,IF(I1638&lt;&gt;"",I1638,IF(J1638&lt;&gt;"",J1638,K1638)))</f>
        <v>233.0</v>
      </c>
      <c r="C1638" s="3">
        <f>MEDIAN(H1638:K1638)</f>
        <v>274.99</v>
      </c>
      <c r="D1638" s="3">
        <f>ROUND(C1638*(1-Settings!$B$2),2)</f>
        <v>192.49</v>
      </c>
      <c r="E1638" s="2" t="inlineStr">
        <is>
          <t>Pokemon</t>
        </is>
      </c>
      <c r="F1638" s="2" t="inlineStr">
        <is>
          <t>Coffret</t>
        </is>
      </c>
      <c r="G1638" s="2" t="inlineStr">
        <is>
          <t>Miscellaneous Cards &amp; Products</t>
        </is>
      </c>
      <c r="H1638" s="3" t="n"/>
      <c r="I1638" s="3" t="n">
        <v>233</v>
      </c>
      <c r="J1638" s="3" t="n">
        <v>285</v>
      </c>
      <c r="K1638" s="3" t="n">
        <v>274.99</v>
      </c>
      <c r="L1638" s="2" t="inlineStr">
        <is>
          <t>TCGplayer</t>
        </is>
      </c>
      <c r="N1638" s="4" t="inlineStr">
        <is>
          <t>https://www.tcgplayer.com/product/477254</t>
        </is>
      </c>
    </row>
    <row r="1639">
      <c r="A1639" s="2" t="inlineStr">
        <is>
          <t>Triple Whammy Tin [Darkrai]</t>
        </is>
      </c>
      <c r="B1639" s="3">
        <f>IF(H1639&lt;&gt;"",H1639,IF(I1639&lt;&gt;"",I1639,IF(J1639&lt;&gt;"",J1639,K1639)))</f>
        <v>24.92</v>
      </c>
      <c r="C1639" s="3">
        <f>MEDIAN(H1639:K1639)</f>
        <v>24.92</v>
      </c>
      <c r="D1639" s="3">
        <f>ROUND(C1639*(1-Settings!$B$2),2)</f>
        <v>17.44</v>
      </c>
      <c r="E1639" s="2" t="inlineStr">
        <is>
          <t>Pokemon</t>
        </is>
      </c>
      <c r="F1639" s="2" t="inlineStr">
        <is>
          <t>Coffret</t>
        </is>
      </c>
      <c r="G1639" s="2" t="inlineStr">
        <is>
          <t>Miscellaneous Cards &amp; Products</t>
        </is>
      </c>
      <c r="H1639" s="3" t="n"/>
      <c r="I1639" s="3" t="n">
        <v>24.92</v>
      </c>
      <c r="J1639" s="3" t="n">
        <v>26.73</v>
      </c>
      <c r="K1639" s="3" t="n">
        <v>20</v>
      </c>
      <c r="L1639" s="2" t="inlineStr">
        <is>
          <t>TCGplayer</t>
        </is>
      </c>
      <c r="N1639" s="4" t="inlineStr">
        <is>
          <t>https://www.tcgplayer.com/product/591146</t>
        </is>
      </c>
    </row>
    <row r="1640">
      <c r="A1640" s="2" t="inlineStr">
        <is>
          <t>Triple Whammy Tin [Slaking]</t>
        </is>
      </c>
      <c r="B1640" s="3">
        <f>IF(H1640&lt;&gt;"",H1640,IF(I1640&lt;&gt;"",I1640,IF(J1640&lt;&gt;"",J1640,K1640)))</f>
        <v>23.49</v>
      </c>
      <c r="C1640" s="3">
        <f>MEDIAN(H1640:K1640)</f>
        <v>23.49</v>
      </c>
      <c r="D1640" s="3">
        <f>ROUND(C1640*(1-Settings!$B$2),2)</f>
        <v>16.44</v>
      </c>
      <c r="E1640" s="2" t="inlineStr">
        <is>
          <t>Pokemon</t>
        </is>
      </c>
      <c r="F1640" s="2" t="inlineStr">
        <is>
          <t>Coffret</t>
        </is>
      </c>
      <c r="G1640" s="2" t="inlineStr">
        <is>
          <t>Miscellaneous Cards &amp; Products</t>
        </is>
      </c>
      <c r="H1640" s="3" t="n"/>
      <c r="I1640" s="3" t="n">
        <v>23.49</v>
      </c>
      <c r="J1640" s="3" t="n">
        <v>24.99</v>
      </c>
      <c r="K1640" s="3" t="n">
        <v>18</v>
      </c>
      <c r="L1640" s="2" t="inlineStr">
        <is>
          <t>TCGplayer</t>
        </is>
      </c>
      <c r="N1640" s="4" t="inlineStr">
        <is>
          <t>https://www.tcgplayer.com/product/591147</t>
        </is>
      </c>
    </row>
    <row r="1641">
      <c r="A1641" s="2" t="inlineStr">
        <is>
          <t>Triple Whammy Tin [Tyranitar]</t>
        </is>
      </c>
      <c r="B1641" s="3">
        <f>IF(H1641&lt;&gt;"",H1641,IF(I1641&lt;&gt;"",I1641,IF(J1641&lt;&gt;"",J1641,K1641)))</f>
        <v>25.75</v>
      </c>
      <c r="C1641" s="3">
        <f>MEDIAN(H1641:K1641)</f>
        <v>25.75</v>
      </c>
      <c r="D1641" s="3">
        <f>ROUND(C1641*(1-Settings!$B$2),2)</f>
        <v>18.03</v>
      </c>
      <c r="E1641" s="2" t="inlineStr">
        <is>
          <t>Pokemon</t>
        </is>
      </c>
      <c r="F1641" s="2" t="inlineStr">
        <is>
          <t>Coffret</t>
        </is>
      </c>
      <c r="G1641" s="2" t="inlineStr">
        <is>
          <t>Miscellaneous Cards &amp; Products</t>
        </is>
      </c>
      <c r="H1641" s="3" t="n"/>
      <c r="I1641" s="3" t="n">
        <v>25.75</v>
      </c>
      <c r="J1641" s="3" t="n">
        <v>27</v>
      </c>
      <c r="K1641" s="3" t="n">
        <v>21</v>
      </c>
      <c r="L1641" s="2" t="inlineStr">
        <is>
          <t>TCGplayer</t>
        </is>
      </c>
      <c r="N1641" s="4" t="inlineStr">
        <is>
          <t>https://www.tcgplayer.com/product/591145</t>
        </is>
      </c>
    </row>
    <row r="1642">
      <c r="A1642" s="2" t="inlineStr">
        <is>
          <t>Triple Whammy Tins [Set of 3]</t>
        </is>
      </c>
      <c r="B1642" s="3">
        <f>IF(H1642&lt;&gt;"",H1642,IF(I1642&lt;&gt;"",I1642,IF(J1642&lt;&gt;"",J1642,K1642)))</f>
        <v>63.39</v>
      </c>
      <c r="C1642" s="3">
        <f>MEDIAN(H1642:K1642)</f>
        <v>63.39</v>
      </c>
      <c r="D1642" s="3">
        <f>ROUND(C1642*(1-Settings!$B$2),2)</f>
        <v>44.37</v>
      </c>
      <c r="E1642" s="2" t="inlineStr">
        <is>
          <t>Pokemon</t>
        </is>
      </c>
      <c r="F1642" s="2" t="inlineStr">
        <is>
          <t>Coffret</t>
        </is>
      </c>
      <c r="G1642" s="2" t="inlineStr">
        <is>
          <t>Miscellaneous Cards &amp; Products</t>
        </is>
      </c>
      <c r="H1642" s="3" t="n"/>
      <c r="I1642" s="3" t="n">
        <v>63.39</v>
      </c>
      <c r="J1642" s="3" t="n">
        <v>69.98999999999999</v>
      </c>
      <c r="K1642" s="3" t="n">
        <v>15</v>
      </c>
      <c r="L1642" s="2" t="inlineStr">
        <is>
          <t>TCGplayer</t>
        </is>
      </c>
      <c r="N1642" s="4" t="inlineStr">
        <is>
          <t>https://www.tcgplayer.com/product/648588</t>
        </is>
      </c>
    </row>
    <row r="1643">
      <c r="A1643" s="2" t="inlineStr">
        <is>
          <t>Tyranitar Ex Box</t>
        </is>
      </c>
      <c r="B1643" s="3">
        <f>IF(H1643&lt;&gt;"",H1643,IF(I1643&lt;&gt;"",I1643,IF(J1643&lt;&gt;"",J1643,K1643)))</f>
        <v>74.53</v>
      </c>
      <c r="C1643" s="3">
        <f>MEDIAN(H1643:K1643)</f>
        <v>74.53</v>
      </c>
      <c r="D1643" s="3">
        <f>ROUND(C1643*(1-Settings!$B$2),2)</f>
        <v>52.17</v>
      </c>
      <c r="E1643" s="2" t="inlineStr">
        <is>
          <t>Pokemon</t>
        </is>
      </c>
      <c r="F1643" s="2" t="inlineStr">
        <is>
          <t>Coffret</t>
        </is>
      </c>
      <c r="G1643" s="2" t="inlineStr">
        <is>
          <t>Miscellaneous Cards &amp; Products</t>
        </is>
      </c>
      <c r="H1643" s="3" t="n"/>
      <c r="I1643" s="3" t="n">
        <v>74.53</v>
      </c>
      <c r="J1643" s="3" t="n">
        <v>99.98999999999999</v>
      </c>
      <c r="K1643" s="3" t="n">
        <v>71.3</v>
      </c>
      <c r="L1643" s="2" t="inlineStr">
        <is>
          <t>TCGplayer</t>
        </is>
      </c>
      <c r="N1643" s="4" t="inlineStr">
        <is>
          <t>https://www.tcgplayer.com/product/596518</t>
        </is>
      </c>
    </row>
    <row r="1644">
      <c r="A1644" s="2" t="inlineStr">
        <is>
          <t>V Battle Deck Bundle [Deoxys V / Zeraora V]</t>
        </is>
      </c>
      <c r="B1644" s="3">
        <f>IF(H1644&lt;&gt;"",H1644,IF(I1644&lt;&gt;"",I1644,IF(J1644&lt;&gt;"",J1644,K1644)))</f>
        <v>32.82</v>
      </c>
      <c r="C1644" s="3">
        <f>MEDIAN(H1644:K1644)</f>
        <v>32.82</v>
      </c>
      <c r="D1644" s="3">
        <f>ROUND(C1644*(1-Settings!$B$2),2)</f>
        <v>22.97</v>
      </c>
      <c r="E1644" s="2" t="inlineStr">
        <is>
          <t>Pokemon</t>
        </is>
      </c>
      <c r="F1644" s="2" t="inlineStr">
        <is>
          <t>Coffret</t>
        </is>
      </c>
      <c r="G1644" s="2" t="inlineStr">
        <is>
          <t>Miscellaneous Cards &amp; Products</t>
        </is>
      </c>
      <c r="H1644" s="3" t="n"/>
      <c r="I1644" s="3" t="n">
        <v>32.82</v>
      </c>
      <c r="J1644" s="3" t="n">
        <v>33.91</v>
      </c>
      <c r="K1644" s="3" t="n">
        <v>22.32</v>
      </c>
      <c r="L1644" s="2" t="inlineStr">
        <is>
          <t>TCGplayer</t>
        </is>
      </c>
      <c r="N1644" s="4" t="inlineStr">
        <is>
          <t>https://www.tcgplayer.com/product/280864</t>
        </is>
      </c>
    </row>
    <row r="1645">
      <c r="A1645" s="2" t="inlineStr">
        <is>
          <t>V Battle Deck Bundle [Lycanroc V / Corviknight V]</t>
        </is>
      </c>
      <c r="B1645" s="3">
        <f>IF(H1645&lt;&gt;"",H1645,IF(I1645&lt;&gt;"",I1645,IF(J1645&lt;&gt;"",J1645,K1645)))</f>
        <v>24.22</v>
      </c>
      <c r="C1645" s="3">
        <f>MEDIAN(H1645:K1645)</f>
        <v>24.22</v>
      </c>
      <c r="D1645" s="3">
        <f>ROUND(C1645*(1-Settings!$B$2),2)</f>
        <v>16.95</v>
      </c>
      <c r="E1645" s="2" t="inlineStr">
        <is>
          <t>Pokemon</t>
        </is>
      </c>
      <c r="F1645" s="2" t="inlineStr">
        <is>
          <t>Coffret</t>
        </is>
      </c>
      <c r="G1645" s="2" t="inlineStr">
        <is>
          <t>Miscellaneous Cards &amp; Products</t>
        </is>
      </c>
      <c r="H1645" s="3" t="n"/>
      <c r="I1645" s="3" t="n">
        <v>24.22</v>
      </c>
      <c r="J1645" s="3" t="n">
        <v>24.99</v>
      </c>
      <c r="K1645" s="3" t="n">
        <v>20.61</v>
      </c>
      <c r="L1645" s="2" t="inlineStr">
        <is>
          <t>TCGplayer</t>
        </is>
      </c>
      <c r="N1645" s="4" t="inlineStr">
        <is>
          <t>https://www.tcgplayer.com/product/263542</t>
        </is>
      </c>
    </row>
    <row r="1646">
      <c r="A1646" s="2" t="inlineStr">
        <is>
          <t>V Battle Deck Bundle [Rayquaza V/Noivern V]</t>
        </is>
      </c>
      <c r="B1646" s="3">
        <f>IF(H1646&lt;&gt;"",H1646,IF(I1646&lt;&gt;"",I1646,IF(J1646&lt;&gt;"",J1646,K1646)))</f>
        <v>52.18</v>
      </c>
      <c r="C1646" s="3">
        <f>MEDIAN(H1646:K1646)</f>
        <v>64.99</v>
      </c>
      <c r="D1646" s="3">
        <f>ROUND(C1646*(1-Settings!$B$2),2)</f>
        <v>45.49</v>
      </c>
      <c r="E1646" s="2" t="inlineStr">
        <is>
          <t>Pokemon</t>
        </is>
      </c>
      <c r="F1646" s="2" t="inlineStr">
        <is>
          <t>Coffret</t>
        </is>
      </c>
      <c r="G1646" s="2" t="inlineStr">
        <is>
          <t>Miscellaneous Cards &amp; Products</t>
        </is>
      </c>
      <c r="H1646" s="3" t="n"/>
      <c r="I1646" s="3" t="n">
        <v>52.18</v>
      </c>
      <c r="J1646" s="3" t="n">
        <v>73.84</v>
      </c>
      <c r="K1646" s="3" t="n">
        <v>64.98999999999999</v>
      </c>
      <c r="L1646" s="2" t="inlineStr">
        <is>
          <t>TCGplayer</t>
        </is>
      </c>
      <c r="N1646" s="4" t="inlineStr">
        <is>
          <t>https://www.tcgplayer.com/product/245728</t>
        </is>
      </c>
    </row>
    <row r="1647">
      <c r="A1647" s="2" t="inlineStr">
        <is>
          <t>V Battle Deck Bundle [Venusaur V/Blastoise V]</t>
        </is>
      </c>
      <c r="B1647" s="3">
        <f>IF(H1647&lt;&gt;"",H1647,IF(I1647&lt;&gt;"",I1647,IF(J1647&lt;&gt;"",J1647,K1647)))</f>
        <v>69.39</v>
      </c>
      <c r="C1647" s="3">
        <f>MEDIAN(H1647:K1647)</f>
        <v>89.99</v>
      </c>
      <c r="D1647" s="3">
        <f>ROUND(C1647*(1-Settings!$B$2),2)</f>
        <v>62.99</v>
      </c>
      <c r="E1647" s="2" t="inlineStr">
        <is>
          <t>Pokemon</t>
        </is>
      </c>
      <c r="F1647" s="2" t="inlineStr">
        <is>
          <t>Coffret</t>
        </is>
      </c>
      <c r="G1647" s="2" t="inlineStr">
        <is>
          <t>Miscellaneous Cards &amp; Products</t>
        </is>
      </c>
      <c r="H1647" s="3" t="n"/>
      <c r="I1647" s="3" t="n">
        <v>69.39</v>
      </c>
      <c r="J1647" s="3" t="n">
        <v>89.98999999999999</v>
      </c>
      <c r="K1647" s="3" t="n">
        <v>89.98999999999999</v>
      </c>
      <c r="L1647" s="2" t="inlineStr">
        <is>
          <t>TCGplayer</t>
        </is>
      </c>
      <c r="N1647" s="4" t="inlineStr">
        <is>
          <t>https://www.tcgplayer.com/product/230394</t>
        </is>
      </c>
    </row>
    <row r="1648">
      <c r="A1648" s="2" t="inlineStr">
        <is>
          <t>V Battle Deck Bundle [Victini V/Gardevoir V]</t>
        </is>
      </c>
      <c r="B1648" s="3">
        <f>IF(H1648&lt;&gt;"",H1648,IF(I1648&lt;&gt;"",I1648,IF(J1648&lt;&gt;"",J1648,K1648)))</f>
        <v>42.87</v>
      </c>
      <c r="C1648" s="3">
        <f>MEDIAN(H1648:K1648)</f>
        <v>38.0</v>
      </c>
      <c r="D1648" s="3">
        <f>ROUND(C1648*(1-Settings!$B$2),2)</f>
        <v>26.6</v>
      </c>
      <c r="E1648" s="2" t="inlineStr">
        <is>
          <t>Pokemon</t>
        </is>
      </c>
      <c r="F1648" s="2" t="inlineStr">
        <is>
          <t>Coffret</t>
        </is>
      </c>
      <c r="G1648" s="2" t="inlineStr">
        <is>
          <t>Miscellaneous Cards &amp; Products</t>
        </is>
      </c>
      <c r="H1648" s="3" t="n"/>
      <c r="I1648" s="3" t="n">
        <v>42.87</v>
      </c>
      <c r="J1648" s="3" t="n">
        <v>38</v>
      </c>
      <c r="K1648" s="3" t="n">
        <v>36</v>
      </c>
      <c r="L1648" s="2" t="inlineStr">
        <is>
          <t>TCGplayer</t>
        </is>
      </c>
      <c r="N1648" s="4" t="inlineStr">
        <is>
          <t>https://www.tcgplayer.com/product/233354</t>
        </is>
      </c>
    </row>
    <row r="1649">
      <c r="A1649" s="2" t="inlineStr">
        <is>
          <t>V Forces Tin [Mew V]</t>
        </is>
      </c>
      <c r="B1649" s="3">
        <f>IF(H1649&lt;&gt;"",H1649,IF(I1649&lt;&gt;"",I1649,IF(J1649&lt;&gt;"",J1649,K1649)))</f>
        <v>72.32</v>
      </c>
      <c r="C1649" s="3">
        <f>MEDIAN(H1649:K1649)</f>
        <v>80.0</v>
      </c>
      <c r="D1649" s="3">
        <f>ROUND(C1649*(1-Settings!$B$2),2)</f>
        <v>56.0</v>
      </c>
      <c r="E1649" s="2" t="inlineStr">
        <is>
          <t>Pokemon</t>
        </is>
      </c>
      <c r="F1649" s="2" t="inlineStr">
        <is>
          <t>Coffret</t>
        </is>
      </c>
      <c r="G1649" s="2" t="inlineStr">
        <is>
          <t>Miscellaneous Cards &amp; Products</t>
        </is>
      </c>
      <c r="H1649" s="3" t="n"/>
      <c r="I1649" s="3" t="n">
        <v>72.31999999999999</v>
      </c>
      <c r="J1649" s="3" t="n">
        <v>93</v>
      </c>
      <c r="K1649" s="3" t="n">
        <v>80</v>
      </c>
      <c r="L1649" s="2" t="inlineStr">
        <is>
          <t>TCGplayer</t>
        </is>
      </c>
      <c r="N1649" s="4" t="inlineStr">
        <is>
          <t>https://www.tcgplayer.com/product/230402</t>
        </is>
      </c>
    </row>
    <row r="1650">
      <c r="A1650" s="2" t="inlineStr">
        <is>
          <t>V Forces Tin [Set of 3]</t>
        </is>
      </c>
      <c r="B1650" s="3">
        <f>IF(H1650&lt;&gt;"",H1650,IF(I1650&lt;&gt;"",I1650,IF(J1650&lt;&gt;"",J1650,K1650)))</f>
        <v>206.32</v>
      </c>
      <c r="C1650" s="3">
        <f>MEDIAN(H1650:K1650)</f>
        <v>289.77</v>
      </c>
      <c r="D1650" s="3">
        <f>ROUND(C1650*(1-Settings!$B$2),2)</f>
        <v>202.84</v>
      </c>
      <c r="E1650" s="2" t="inlineStr">
        <is>
          <t>Pokemon</t>
        </is>
      </c>
      <c r="F1650" s="2" t="inlineStr">
        <is>
          <t>Coffret</t>
        </is>
      </c>
      <c r="G1650" s="2" t="inlineStr">
        <is>
          <t>Miscellaneous Cards &amp; Products</t>
        </is>
      </c>
      <c r="H1650" s="3" t="n"/>
      <c r="I1650" s="3" t="n">
        <v>206.32</v>
      </c>
      <c r="J1650" s="3" t="n">
        <v>289.77</v>
      </c>
      <c r="K1650" s="3" t="n">
        <v>289.77</v>
      </c>
      <c r="L1650" s="2" t="inlineStr">
        <is>
          <t>TCGplayer</t>
        </is>
      </c>
      <c r="N1650" s="4" t="inlineStr">
        <is>
          <t>https://www.tcgplayer.com/product/230403</t>
        </is>
      </c>
    </row>
    <row r="1651">
      <c r="A1651" s="2" t="inlineStr">
        <is>
          <t>V Heroes Tin [Espeon V]</t>
        </is>
      </c>
      <c r="B1651" s="3">
        <f>IF(H1651&lt;&gt;"",H1651,IF(I1651&lt;&gt;"",I1651,IF(J1651&lt;&gt;"",J1651,K1651)))</f>
        <v>82.23</v>
      </c>
      <c r="C1651" s="3">
        <f>MEDIAN(H1651:K1651)</f>
        <v>85.0</v>
      </c>
      <c r="D1651" s="3">
        <f>ROUND(C1651*(1-Settings!$B$2),2)</f>
        <v>59.5</v>
      </c>
      <c r="E1651" s="2" t="inlineStr">
        <is>
          <t>Pokemon</t>
        </is>
      </c>
      <c r="F1651" s="2" t="inlineStr">
        <is>
          <t>Coffret</t>
        </is>
      </c>
      <c r="G1651" s="2" t="inlineStr">
        <is>
          <t>Miscellaneous Cards &amp; Products</t>
        </is>
      </c>
      <c r="H1651" s="3" t="n"/>
      <c r="I1651" s="3" t="n">
        <v>82.23</v>
      </c>
      <c r="J1651" s="3" t="n">
        <v>127.47</v>
      </c>
      <c r="K1651" s="3" t="n">
        <v>85</v>
      </c>
      <c r="L1651" s="2" t="inlineStr">
        <is>
          <t>TCGplayer</t>
        </is>
      </c>
      <c r="N1651" s="4" t="inlineStr">
        <is>
          <t>https://www.tcgplayer.com/product/262969</t>
        </is>
      </c>
    </row>
    <row r="1652">
      <c r="A1652" s="2" t="inlineStr">
        <is>
          <t>V Heroes Tin [Espeon V] (International Version)</t>
        </is>
      </c>
      <c r="B1652" s="3">
        <f>IF(H1652&lt;&gt;"",H1652,IF(I1652&lt;&gt;"",I1652,IF(J1652&lt;&gt;"",J1652,K1652)))</f>
        <v>68.49</v>
      </c>
      <c r="C1652" s="3">
        <f>MEDIAN(H1652:K1652)</f>
        <v>98.85</v>
      </c>
      <c r="D1652" s="3">
        <f>ROUND(C1652*(1-Settings!$B$2),2)</f>
        <v>69.2</v>
      </c>
      <c r="E1652" s="2" t="inlineStr">
        <is>
          <t>Pokemon</t>
        </is>
      </c>
      <c r="F1652" s="2" t="inlineStr">
        <is>
          <t>Coffret</t>
        </is>
      </c>
      <c r="G1652" s="2" t="inlineStr">
        <is>
          <t>Miscellaneous Cards &amp; Products</t>
        </is>
      </c>
      <c r="H1652" s="3" t="n"/>
      <c r="I1652" s="3" t="n">
        <v>68.48999999999999</v>
      </c>
      <c r="J1652" s="3" t="n">
        <v>99.40000000000001</v>
      </c>
      <c r="K1652" s="3" t="n">
        <v>98.84999999999999</v>
      </c>
      <c r="L1652" s="2" t="inlineStr">
        <is>
          <t>TCGplayer</t>
        </is>
      </c>
      <c r="N1652" s="4" t="inlineStr">
        <is>
          <t>https://www.tcgplayer.com/product/270153</t>
        </is>
      </c>
    </row>
    <row r="1653">
      <c r="A1653" s="2" t="inlineStr">
        <is>
          <t>V Heroes Tin [Set of 3]</t>
        </is>
      </c>
      <c r="B1653" s="3">
        <f>IF(H1653&lt;&gt;"",H1653,IF(I1653&lt;&gt;"",I1653,IF(J1653&lt;&gt;"",J1653,K1653)))</f>
        <v>302.97</v>
      </c>
      <c r="C1653" s="3">
        <f>MEDIAN(H1653:K1653)</f>
        <v>302.97</v>
      </c>
      <c r="D1653" s="3">
        <f>ROUND(C1653*(1-Settings!$B$2),2)</f>
        <v>212.08</v>
      </c>
      <c r="E1653" s="2" t="inlineStr">
        <is>
          <t>Pokemon</t>
        </is>
      </c>
      <c r="F1653" s="2" t="inlineStr">
        <is>
          <t>Coffret</t>
        </is>
      </c>
      <c r="G1653" s="2" t="inlineStr">
        <is>
          <t>Miscellaneous Cards &amp; Products</t>
        </is>
      </c>
      <c r="H1653" s="3" t="n"/>
      <c r="I1653" s="3" t="n">
        <v>302.97</v>
      </c>
      <c r="J1653" s="3" t="n">
        <v>324.92</v>
      </c>
      <c r="K1653" s="3" t="n">
        <v>290</v>
      </c>
      <c r="L1653" s="2" t="inlineStr">
        <is>
          <t>TCGplayer</t>
        </is>
      </c>
      <c r="N1653" s="4" t="inlineStr">
        <is>
          <t>https://www.tcgplayer.com/product/262972</t>
        </is>
      </c>
    </row>
    <row r="1654">
      <c r="A1654" s="2" t="inlineStr">
        <is>
          <t>V Heroes Tin [Set of 3] (International Version)</t>
        </is>
      </c>
      <c r="B1654" s="3">
        <f>IF(H1654&lt;&gt;"",H1654,IF(I1654&lt;&gt;"",I1654,IF(J1654&lt;&gt;"",J1654,K1654)))</f>
        <v>195.95</v>
      </c>
      <c r="C1654" s="3">
        <f>MEDIAN(H1654:K1654)</f>
        <v>295.0</v>
      </c>
      <c r="D1654" s="3">
        <f>ROUND(C1654*(1-Settings!$B$2),2)</f>
        <v>206.5</v>
      </c>
      <c r="E1654" s="2" t="inlineStr">
        <is>
          <t>Pokemon</t>
        </is>
      </c>
      <c r="F1654" s="2" t="inlineStr">
        <is>
          <t>Coffret</t>
        </is>
      </c>
      <c r="G1654" s="2" t="inlineStr">
        <is>
          <t>Miscellaneous Cards &amp; Products</t>
        </is>
      </c>
      <c r="H1654" s="3" t="n"/>
      <c r="I1654" s="3" t="n">
        <v>195.95</v>
      </c>
      <c r="J1654" s="3" t="n">
        <v>295</v>
      </c>
      <c r="K1654" s="3" t="n">
        <v>295</v>
      </c>
      <c r="L1654" s="2" t="inlineStr">
        <is>
          <t>TCGplayer</t>
        </is>
      </c>
      <c r="N1654" s="4" t="inlineStr">
        <is>
          <t>https://www.tcgplayer.com/product/270154</t>
        </is>
      </c>
    </row>
    <row r="1655">
      <c r="A1655" s="2" t="inlineStr">
        <is>
          <t>V Heroes Tin [Sylveon V]</t>
        </is>
      </c>
      <c r="B1655" s="3">
        <f>IF(H1655&lt;&gt;"",H1655,IF(I1655&lt;&gt;"",I1655,IF(J1655&lt;&gt;"",J1655,K1655)))</f>
        <v>109.53</v>
      </c>
      <c r="C1655" s="3">
        <f>MEDIAN(H1655:K1655)</f>
        <v>109.53</v>
      </c>
      <c r="D1655" s="3">
        <f>ROUND(C1655*(1-Settings!$B$2),2)</f>
        <v>76.67</v>
      </c>
      <c r="E1655" s="2" t="inlineStr">
        <is>
          <t>Pokemon</t>
        </is>
      </c>
      <c r="F1655" s="2" t="inlineStr">
        <is>
          <t>Coffret</t>
        </is>
      </c>
      <c r="G1655" s="2" t="inlineStr">
        <is>
          <t>Miscellaneous Cards &amp; Products</t>
        </is>
      </c>
      <c r="H1655" s="3" t="n"/>
      <c r="I1655" s="3" t="n">
        <v>109.53</v>
      </c>
      <c r="J1655" s="3" t="n">
        <v>123.75</v>
      </c>
      <c r="K1655" s="3" t="n">
        <v>14.99</v>
      </c>
      <c r="L1655" s="2" t="inlineStr">
        <is>
          <t>TCGplayer</t>
        </is>
      </c>
      <c r="N1655" s="4" t="inlineStr">
        <is>
          <t>https://www.tcgplayer.com/product/262970</t>
        </is>
      </c>
    </row>
    <row r="1656">
      <c r="A1656" s="2" t="inlineStr">
        <is>
          <t>V Heroes Tin [Sylveon V] (International Version)</t>
        </is>
      </c>
      <c r="B1656" s="3">
        <f>IF(H1656&lt;&gt;"",H1656,IF(I1656&lt;&gt;"",I1656,IF(J1656&lt;&gt;"",J1656,K1656)))</f>
        <v>72.59</v>
      </c>
      <c r="C1656" s="3">
        <f>MEDIAN(H1656:K1656)</f>
        <v>98.88</v>
      </c>
      <c r="D1656" s="3">
        <f>ROUND(C1656*(1-Settings!$B$2),2)</f>
        <v>69.22</v>
      </c>
      <c r="E1656" s="2" t="inlineStr">
        <is>
          <t>Pokemon</t>
        </is>
      </c>
      <c r="F1656" s="2" t="inlineStr">
        <is>
          <t>Coffret</t>
        </is>
      </c>
      <c r="G1656" s="2" t="inlineStr">
        <is>
          <t>Miscellaneous Cards &amp; Products</t>
        </is>
      </c>
      <c r="H1656" s="3" t="n"/>
      <c r="I1656" s="3" t="n">
        <v>72.59</v>
      </c>
      <c r="J1656" s="3" t="n">
        <v>112.5</v>
      </c>
      <c r="K1656" s="3" t="n">
        <v>98.88</v>
      </c>
      <c r="L1656" s="2" t="inlineStr">
        <is>
          <t>TCGplayer</t>
        </is>
      </c>
      <c r="N1656" s="4" t="inlineStr">
        <is>
          <t>https://www.tcgplayer.com/product/270151</t>
        </is>
      </c>
    </row>
    <row r="1657">
      <c r="A1657" s="2" t="inlineStr">
        <is>
          <t>V Heroes Tin [Umbreon V]</t>
        </is>
      </c>
      <c r="B1657" s="3">
        <f>IF(H1657&lt;&gt;"",H1657,IF(I1657&lt;&gt;"",I1657,IF(J1657&lt;&gt;"",J1657,K1657)))</f>
        <v>115.0</v>
      </c>
      <c r="C1657" s="3">
        <f>MEDIAN(H1657:K1657)</f>
        <v>115.0</v>
      </c>
      <c r="D1657" s="3">
        <f>ROUND(C1657*(1-Settings!$B$2),2)</f>
        <v>80.5</v>
      </c>
      <c r="E1657" s="2" t="inlineStr">
        <is>
          <t>Pokemon</t>
        </is>
      </c>
      <c r="F1657" s="2" t="inlineStr">
        <is>
          <t>Coffret</t>
        </is>
      </c>
      <c r="G1657" s="2" t="inlineStr">
        <is>
          <t>Miscellaneous Cards &amp; Products</t>
        </is>
      </c>
      <c r="H1657" s="3" t="n"/>
      <c r="I1657" s="3" t="n">
        <v>115</v>
      </c>
      <c r="J1657" s="3" t="n">
        <v>129.49</v>
      </c>
      <c r="K1657" s="3" t="n">
        <v>14.99</v>
      </c>
      <c r="L1657" s="2" t="inlineStr">
        <is>
          <t>TCGplayer</t>
        </is>
      </c>
      <c r="N1657" s="4" t="inlineStr">
        <is>
          <t>https://www.tcgplayer.com/product/262971</t>
        </is>
      </c>
    </row>
    <row r="1658">
      <c r="A1658" s="2" t="inlineStr">
        <is>
          <t>V Heroes Tin [Umbreon V] (International Version)</t>
        </is>
      </c>
      <c r="B1658" s="3">
        <f>IF(H1658&lt;&gt;"",H1658,IF(I1658&lt;&gt;"",I1658,IF(J1658&lt;&gt;"",J1658,K1658)))</f>
        <v>71.52</v>
      </c>
      <c r="C1658" s="3">
        <f>MEDIAN(H1658:K1658)</f>
        <v>71.52</v>
      </c>
      <c r="D1658" s="3">
        <f>ROUND(C1658*(1-Settings!$B$2),2)</f>
        <v>50.06</v>
      </c>
      <c r="E1658" s="2" t="inlineStr">
        <is>
          <t>Pokemon</t>
        </is>
      </c>
      <c r="F1658" s="2" t="inlineStr">
        <is>
          <t>Coffret</t>
        </is>
      </c>
      <c r="G1658" s="2" t="inlineStr">
        <is>
          <t>Miscellaneous Cards &amp; Products</t>
        </is>
      </c>
      <c r="H1658" s="3" t="n"/>
      <c r="I1658" s="3" t="n">
        <v>71.52</v>
      </c>
      <c r="J1658" s="3" t="n">
        <v>85.41</v>
      </c>
      <c r="K1658" s="3" t="n">
        <v>71.52</v>
      </c>
      <c r="L1658" s="2" t="inlineStr">
        <is>
          <t>TCGplayer</t>
        </is>
      </c>
      <c r="N1658" s="4" t="inlineStr">
        <is>
          <t>https://www.tcgplayer.com/product/270152</t>
        </is>
      </c>
    </row>
    <row r="1659">
      <c r="A1659" s="2" t="inlineStr">
        <is>
          <t>V Powers Tin [Eevee V]</t>
        </is>
      </c>
      <c r="B1659" s="3">
        <f>IF(H1659&lt;&gt;"",H1659,IF(I1659&lt;&gt;"",I1659,IF(J1659&lt;&gt;"",J1659,K1659)))</f>
        <v>94.24</v>
      </c>
      <c r="C1659" s="3">
        <f>MEDIAN(H1659:K1659)</f>
        <v>106.95</v>
      </c>
      <c r="D1659" s="3">
        <f>ROUND(C1659*(1-Settings!$B$2),2)</f>
        <v>74.87</v>
      </c>
      <c r="E1659" s="2" t="inlineStr">
        <is>
          <t>Pokemon</t>
        </is>
      </c>
      <c r="F1659" s="2" t="inlineStr">
        <is>
          <t>Coffret</t>
        </is>
      </c>
      <c r="G1659" s="2" t="inlineStr">
        <is>
          <t>Miscellaneous Cards &amp; Products</t>
        </is>
      </c>
      <c r="H1659" s="3" t="n"/>
      <c r="I1659" s="3" t="n">
        <v>94.23999999999999</v>
      </c>
      <c r="J1659" s="3" t="n">
        <v>153.47</v>
      </c>
      <c r="K1659" s="3" t="n">
        <v>106.95</v>
      </c>
      <c r="L1659" s="2" t="inlineStr">
        <is>
          <t>TCGplayer</t>
        </is>
      </c>
      <c r="N1659" s="4" t="inlineStr">
        <is>
          <t>https://www.tcgplayer.com/product/220310</t>
        </is>
      </c>
    </row>
    <row r="1660">
      <c r="A1660" s="2" t="inlineStr">
        <is>
          <t>V Powers Tin [Eevee V] (International Version)</t>
        </is>
      </c>
      <c r="B1660" s="3">
        <f>IF(H1660&lt;&gt;"",H1660,IF(I1660&lt;&gt;"",I1660,IF(J1660&lt;&gt;"",J1660,K1660)))</f>
        <v>56.92</v>
      </c>
      <c r="C1660" s="3">
        <f>MEDIAN(H1660:K1660)</f>
        <v>57.99</v>
      </c>
      <c r="D1660" s="3">
        <f>ROUND(C1660*(1-Settings!$B$2),2)</f>
        <v>40.59</v>
      </c>
      <c r="E1660" s="2" t="inlineStr">
        <is>
          <t>Pokemon</t>
        </is>
      </c>
      <c r="F1660" s="2" t="inlineStr">
        <is>
          <t>Coffret</t>
        </is>
      </c>
      <c r="G1660" s="2" t="inlineStr">
        <is>
          <t>Miscellaneous Cards &amp; Products</t>
        </is>
      </c>
      <c r="H1660" s="3" t="n"/>
      <c r="I1660" s="3" t="n">
        <v>56.92</v>
      </c>
      <c r="J1660" s="3" t="n">
        <v>63.95</v>
      </c>
      <c r="K1660" s="3" t="n">
        <v>57.99</v>
      </c>
      <c r="L1660" s="2" t="inlineStr">
        <is>
          <t>TCGplayer</t>
        </is>
      </c>
      <c r="N1660" s="4" t="inlineStr">
        <is>
          <t>https://www.tcgplayer.com/product/256831</t>
        </is>
      </c>
    </row>
    <row r="1661">
      <c r="A1661" s="2" t="inlineStr">
        <is>
          <t>V Powers Tin [Eternatus V]</t>
        </is>
      </c>
      <c r="B1661" s="3">
        <f>IF(H1661&lt;&gt;"",H1661,IF(I1661&lt;&gt;"",I1661,IF(J1661&lt;&gt;"",J1661,K1661)))</f>
        <v>68.63</v>
      </c>
      <c r="C1661" s="3">
        <f>MEDIAN(H1661:K1661)</f>
        <v>68.63</v>
      </c>
      <c r="D1661" s="3">
        <f>ROUND(C1661*(1-Settings!$B$2),2)</f>
        <v>48.04</v>
      </c>
      <c r="E1661" s="2" t="inlineStr">
        <is>
          <t>Pokemon</t>
        </is>
      </c>
      <c r="F1661" s="2" t="inlineStr">
        <is>
          <t>Coffret</t>
        </is>
      </c>
      <c r="G1661" s="2" t="inlineStr">
        <is>
          <t>Miscellaneous Cards &amp; Products</t>
        </is>
      </c>
      <c r="H1661" s="3" t="n"/>
      <c r="I1661" s="3" t="n">
        <v>68.63</v>
      </c>
      <c r="J1661" s="3" t="n">
        <v>90</v>
      </c>
      <c r="K1661" s="3" t="n">
        <v>66</v>
      </c>
      <c r="L1661" s="2" t="inlineStr">
        <is>
          <t>TCGplayer</t>
        </is>
      </c>
      <c r="N1661" s="4" t="inlineStr">
        <is>
          <t>https://www.tcgplayer.com/product/220311</t>
        </is>
      </c>
    </row>
    <row r="1662">
      <c r="A1662" s="2" t="inlineStr">
        <is>
          <t>V Powers Tin [Eternatus V] (International Version)</t>
        </is>
      </c>
      <c r="B1662" s="3">
        <f>IF(H1662&lt;&gt;"",H1662,IF(I1662&lt;&gt;"",I1662,IF(J1662&lt;&gt;"",J1662,K1662)))</f>
        <v>45.99</v>
      </c>
      <c r="C1662" s="3">
        <f>MEDIAN(H1662:K1662)</f>
        <v>45.99</v>
      </c>
      <c r="D1662" s="3">
        <f>ROUND(C1662*(1-Settings!$B$2),2)</f>
        <v>32.19</v>
      </c>
      <c r="E1662" s="2" t="inlineStr">
        <is>
          <t>Pokemon</t>
        </is>
      </c>
      <c r="F1662" s="2" t="inlineStr">
        <is>
          <t>Coffret</t>
        </is>
      </c>
      <c r="G1662" s="2" t="inlineStr">
        <is>
          <t>Miscellaneous Cards &amp; Products</t>
        </is>
      </c>
      <c r="H1662" s="3" t="n"/>
      <c r="I1662" s="3" t="n">
        <v>45.99</v>
      </c>
      <c r="J1662" s="3" t="n">
        <v>50</v>
      </c>
      <c r="K1662" s="3" t="n">
        <v>45.99</v>
      </c>
      <c r="L1662" s="2" t="inlineStr">
        <is>
          <t>TCGplayer</t>
        </is>
      </c>
      <c r="N1662" s="4" t="inlineStr">
        <is>
          <t>https://www.tcgplayer.com/product/256832</t>
        </is>
      </c>
    </row>
    <row r="1663">
      <c r="A1663" s="2" t="inlineStr">
        <is>
          <t>V Powers Tin [Pikachu V]</t>
        </is>
      </c>
      <c r="B1663" s="3">
        <f>IF(H1663&lt;&gt;"",H1663,IF(I1663&lt;&gt;"",I1663,IF(J1663&lt;&gt;"",J1663,K1663)))</f>
        <v>79.65</v>
      </c>
      <c r="C1663" s="3">
        <f>MEDIAN(H1663:K1663)</f>
        <v>80.0</v>
      </c>
      <c r="D1663" s="3">
        <f>ROUND(C1663*(1-Settings!$B$2),2)</f>
        <v>56.0</v>
      </c>
      <c r="E1663" s="2" t="inlineStr">
        <is>
          <t>Pokemon</t>
        </is>
      </c>
      <c r="F1663" s="2" t="inlineStr">
        <is>
          <t>Coffret</t>
        </is>
      </c>
      <c r="G1663" s="2" t="inlineStr">
        <is>
          <t>Miscellaneous Cards &amp; Products</t>
        </is>
      </c>
      <c r="H1663" s="3" t="n"/>
      <c r="I1663" s="3" t="n">
        <v>79.65000000000001</v>
      </c>
      <c r="J1663" s="3" t="n">
        <v>90.98999999999999</v>
      </c>
      <c r="K1663" s="3" t="n">
        <v>80</v>
      </c>
      <c r="L1663" s="2" t="inlineStr">
        <is>
          <t>TCGplayer</t>
        </is>
      </c>
      <c r="N1663" s="4" t="inlineStr">
        <is>
          <t>https://www.tcgplayer.com/product/220308</t>
        </is>
      </c>
    </row>
    <row r="1664">
      <c r="A1664" s="2" t="inlineStr">
        <is>
          <t>V Powers Tin [Pikachu V] (International Version)</t>
        </is>
      </c>
      <c r="B1664" s="3">
        <f>IF(H1664&lt;&gt;"",H1664,IF(I1664&lt;&gt;"",I1664,IF(J1664&lt;&gt;"",J1664,K1664)))</f>
        <v>55.61</v>
      </c>
      <c r="C1664" s="3">
        <f>MEDIAN(H1664:K1664)</f>
        <v>62.0</v>
      </c>
      <c r="D1664" s="3">
        <f>ROUND(C1664*(1-Settings!$B$2),2)</f>
        <v>43.4</v>
      </c>
      <c r="E1664" s="2" t="inlineStr">
        <is>
          <t>Pokemon</t>
        </is>
      </c>
      <c r="F1664" s="2" t="inlineStr">
        <is>
          <t>Coffret</t>
        </is>
      </c>
      <c r="G1664" s="2" t="inlineStr">
        <is>
          <t>Miscellaneous Cards &amp; Products</t>
        </is>
      </c>
      <c r="H1664" s="3" t="n"/>
      <c r="I1664" s="3" t="n">
        <v>55.61</v>
      </c>
      <c r="J1664" s="3" t="n">
        <v>72.98999999999999</v>
      </c>
      <c r="K1664" s="3" t="n">
        <v>62</v>
      </c>
      <c r="L1664" s="2" t="inlineStr">
        <is>
          <t>TCGplayer</t>
        </is>
      </c>
      <c r="N1664" s="4" t="inlineStr">
        <is>
          <t>https://www.tcgplayer.com/product/256830</t>
        </is>
      </c>
    </row>
    <row r="1665">
      <c r="A1665" s="2" t="inlineStr">
        <is>
          <t>V Powers Tin [Set of 3]</t>
        </is>
      </c>
      <c r="B1665" s="3">
        <f>IF(H1665&lt;&gt;"",H1665,IF(I1665&lt;&gt;"",I1665,IF(J1665&lt;&gt;"",J1665,K1665)))</f>
        <v>239.99</v>
      </c>
      <c r="C1665" s="3">
        <f>MEDIAN(H1665:K1665)</f>
        <v>244.0</v>
      </c>
      <c r="D1665" s="3">
        <f>ROUND(C1665*(1-Settings!$B$2),2)</f>
        <v>170.8</v>
      </c>
      <c r="E1665" s="2" t="inlineStr">
        <is>
          <t>Pokemon</t>
        </is>
      </c>
      <c r="F1665" s="2" t="inlineStr">
        <is>
          <t>Coffret</t>
        </is>
      </c>
      <c r="G1665" s="2" t="inlineStr">
        <is>
          <t>Miscellaneous Cards &amp; Products</t>
        </is>
      </c>
      <c r="H1665" s="3" t="n"/>
      <c r="I1665" s="3" t="n">
        <v>239.99</v>
      </c>
      <c r="J1665" s="3" t="n">
        <v>244</v>
      </c>
      <c r="K1665" s="3" t="n">
        <v>244</v>
      </c>
      <c r="L1665" s="2" t="inlineStr">
        <is>
          <t>TCGplayer</t>
        </is>
      </c>
      <c r="N1665" s="4" t="inlineStr">
        <is>
          <t>https://www.tcgplayer.com/product/221761</t>
        </is>
      </c>
    </row>
    <row r="1666">
      <c r="A1666" s="2" t="inlineStr">
        <is>
          <t>V Powers Tin [Set of 3] (International Version)</t>
        </is>
      </c>
      <c r="B1666" s="3">
        <f>IF(H1666&lt;&gt;"",H1666,IF(I1666&lt;&gt;"",I1666,IF(J1666&lt;&gt;"",J1666,K1666)))</f>
        <v>143.48</v>
      </c>
      <c r="C1666" s="3">
        <f>MEDIAN(H1666:K1666)</f>
        <v>188.0</v>
      </c>
      <c r="D1666" s="3">
        <f>ROUND(C1666*(1-Settings!$B$2),2)</f>
        <v>131.6</v>
      </c>
      <c r="E1666" s="2" t="inlineStr">
        <is>
          <t>Pokemon</t>
        </is>
      </c>
      <c r="F1666" s="2" t="inlineStr">
        <is>
          <t>Coffret</t>
        </is>
      </c>
      <c r="G1666" s="2" t="inlineStr">
        <is>
          <t>Miscellaneous Cards &amp; Products</t>
        </is>
      </c>
      <c r="H1666" s="3" t="n"/>
      <c r="I1666" s="3" t="n">
        <v>143.48</v>
      </c>
      <c r="J1666" s="3" t="n">
        <v>299.99</v>
      </c>
      <c r="K1666" s="3" t="n">
        <v>188</v>
      </c>
      <c r="L1666" s="2" t="inlineStr">
        <is>
          <t>TCGplayer</t>
        </is>
      </c>
      <c r="N1666" s="4" t="inlineStr">
        <is>
          <t>https://www.tcgplayer.com/product/256833</t>
        </is>
      </c>
    </row>
    <row r="1667">
      <c r="A1667" s="2" t="inlineStr">
        <is>
          <t>Vaporeon VMAX Premium Collection</t>
        </is>
      </c>
      <c r="B1667" s="3">
        <f>IF(H1667&lt;&gt;"",H1667,IF(I1667&lt;&gt;"",I1667,IF(J1667&lt;&gt;"",J1667,K1667)))</f>
        <v>363.53</v>
      </c>
      <c r="C1667" s="3">
        <f>MEDIAN(H1667:K1667)</f>
        <v>363.53</v>
      </c>
      <c r="D1667" s="3">
        <f>ROUND(C1667*(1-Settings!$B$2),2)</f>
        <v>254.47</v>
      </c>
      <c r="E1667" s="2" t="inlineStr">
        <is>
          <t>Pokemon</t>
        </is>
      </c>
      <c r="F1667" s="2" t="inlineStr">
        <is>
          <t>Coffret</t>
        </is>
      </c>
      <c r="G1667" s="2" t="inlineStr">
        <is>
          <t>Miscellaneous Cards &amp; Products</t>
        </is>
      </c>
      <c r="H1667" s="3" t="n"/>
      <c r="I1667" s="3" t="n">
        <v>363.53</v>
      </c>
      <c r="J1667" s="3" t="n">
        <v>425</v>
      </c>
      <c r="K1667" s="3" t="n">
        <v>340.99</v>
      </c>
      <c r="L1667" s="2" t="inlineStr">
        <is>
          <t>TCGplayer</t>
        </is>
      </c>
      <c r="N1667" s="4" t="inlineStr">
        <is>
          <t>https://www.tcgplayer.com/product/249689</t>
        </is>
      </c>
    </row>
    <row r="1668">
      <c r="A1668" s="2" t="inlineStr">
        <is>
          <t>Venusaur ex &amp; Blastoise ex Premium Collection</t>
        </is>
      </c>
      <c r="B1668" s="3">
        <f>IF(H1668&lt;&gt;"",H1668,IF(I1668&lt;&gt;"",I1668,IF(J1668&lt;&gt;"",J1668,K1668)))</f>
        <v>89.65</v>
      </c>
      <c r="C1668" s="3">
        <f>MEDIAN(H1668:K1668)</f>
        <v>89.65</v>
      </c>
      <c r="D1668" s="3">
        <f>ROUND(C1668*(1-Settings!$B$2),2)</f>
        <v>62.76</v>
      </c>
      <c r="E1668" s="2" t="inlineStr">
        <is>
          <t>Pokemon</t>
        </is>
      </c>
      <c r="F1668" s="2" t="inlineStr">
        <is>
          <t>Coffret</t>
        </is>
      </c>
      <c r="G1668" s="2" t="inlineStr">
        <is>
          <t>Miscellaneous Cards &amp; Products</t>
        </is>
      </c>
      <c r="H1668" s="3" t="n"/>
      <c r="I1668" s="3" t="n">
        <v>89.65000000000001</v>
      </c>
      <c r="J1668" s="3" t="n">
        <v>93.69</v>
      </c>
      <c r="K1668" s="3" t="n">
        <v>68.06999999999999</v>
      </c>
      <c r="L1668" s="2" t="inlineStr">
        <is>
          <t>TCGplayer</t>
        </is>
      </c>
      <c r="N1668" s="4" t="inlineStr">
        <is>
          <t>https://www.tcgplayer.com/product/635621</t>
        </is>
      </c>
    </row>
    <row r="1669">
      <c r="A1669" s="2" t="inlineStr">
        <is>
          <t>Venusaur VMAX Battle Box</t>
        </is>
      </c>
      <c r="B1669" s="3">
        <f>IF(H1669&lt;&gt;"",H1669,IF(I1669&lt;&gt;"",I1669,IF(J1669&lt;&gt;"",J1669,K1669)))</f>
        <v>86.47</v>
      </c>
      <c r="C1669" s="3">
        <f>MEDIAN(H1669:K1669)</f>
        <v>86.47</v>
      </c>
      <c r="D1669" s="3">
        <f>ROUND(C1669*(1-Settings!$B$2),2)</f>
        <v>60.53</v>
      </c>
      <c r="E1669" s="2" t="inlineStr">
        <is>
          <t>Pokemon</t>
        </is>
      </c>
      <c r="F1669" s="2" t="inlineStr">
        <is>
          <t>Coffret</t>
        </is>
      </c>
      <c r="G1669" s="2" t="inlineStr">
        <is>
          <t>Miscellaneous Cards &amp; Products</t>
        </is>
      </c>
      <c r="H1669" s="3" t="n"/>
      <c r="I1669" s="3" t="n">
        <v>86.47</v>
      </c>
      <c r="J1669" s="3" t="n">
        <v>104.95</v>
      </c>
      <c r="K1669" s="3" t="n">
        <v>74.98999999999999</v>
      </c>
      <c r="L1669" s="2" t="inlineStr">
        <is>
          <t>TCGplayer</t>
        </is>
      </c>
      <c r="N1669" s="4" t="inlineStr">
        <is>
          <t>https://www.tcgplayer.com/product/231294</t>
        </is>
      </c>
    </row>
    <row r="1670">
      <c r="A1670" s="2" t="inlineStr">
        <is>
          <t>Vibrant Paldea Mini Tin [Arboliva]</t>
        </is>
      </c>
      <c r="B1670" s="3">
        <f>IF(H1670&lt;&gt;"",H1670,IF(I1670&lt;&gt;"",I1670,IF(J1670&lt;&gt;"",J1670,K1670)))</f>
        <v>25.97</v>
      </c>
      <c r="C1670" s="3">
        <f>MEDIAN(H1670:K1670)</f>
        <v>59.99</v>
      </c>
      <c r="D1670" s="3">
        <f>ROUND(C1670*(1-Settings!$B$2),2)</f>
        <v>41.99</v>
      </c>
      <c r="E1670" s="2" t="inlineStr">
        <is>
          <t>Pokemon</t>
        </is>
      </c>
      <c r="F1670" s="2" t="inlineStr">
        <is>
          <t>Coffret</t>
        </is>
      </c>
      <c r="G1670" s="2" t="inlineStr">
        <is>
          <t>Miscellaneous Cards &amp; Products</t>
        </is>
      </c>
      <c r="H1670" s="3" t="n"/>
      <c r="I1670" s="3" t="n">
        <v>25.97</v>
      </c>
      <c r="J1670" s="3" t="n">
        <v>59.99</v>
      </c>
      <c r="K1670" s="3" t="n">
        <v>59.99</v>
      </c>
      <c r="L1670" s="2" t="inlineStr">
        <is>
          <t>TCGplayer</t>
        </is>
      </c>
      <c r="N1670" s="4" t="inlineStr">
        <is>
          <t>https://www.tcgplayer.com/product/554181</t>
        </is>
      </c>
    </row>
    <row r="1671">
      <c r="A1671" s="2" t="inlineStr">
        <is>
          <t>Vibrant Paldea Mini Tin [Ceruledge]</t>
        </is>
      </c>
      <c r="B1671" s="3">
        <f>IF(H1671&lt;&gt;"",H1671,IF(I1671&lt;&gt;"",I1671,IF(J1671&lt;&gt;"",J1671,K1671)))</f>
        <v>47.0</v>
      </c>
      <c r="C1671" s="3">
        <f>MEDIAN(H1671:K1671)</f>
        <v>45.0</v>
      </c>
      <c r="D1671" s="3">
        <f>ROUND(C1671*(1-Settings!$B$2),2)</f>
        <v>31.5</v>
      </c>
      <c r="E1671" s="2" t="inlineStr">
        <is>
          <t>Pokemon</t>
        </is>
      </c>
      <c r="F1671" s="2" t="inlineStr">
        <is>
          <t>Coffret</t>
        </is>
      </c>
      <c r="G1671" s="2" t="inlineStr">
        <is>
          <t>Miscellaneous Cards &amp; Products</t>
        </is>
      </c>
      <c r="H1671" s="3" t="n"/>
      <c r="I1671" s="3" t="n">
        <v>47</v>
      </c>
      <c r="J1671" s="3" t="n">
        <v>45</v>
      </c>
      <c r="K1671" s="3" t="n">
        <v>45</v>
      </c>
      <c r="L1671" s="2" t="inlineStr">
        <is>
          <t>TCGplayer</t>
        </is>
      </c>
      <c r="N1671" s="4" t="inlineStr">
        <is>
          <t>https://www.tcgplayer.com/product/554183</t>
        </is>
      </c>
    </row>
    <row r="1672">
      <c r="A1672" s="2" t="inlineStr">
        <is>
          <t>Vibrant Paldea Mini Tin [Dachsbun]</t>
        </is>
      </c>
      <c r="B1672" s="3">
        <f>IF(H1672&lt;&gt;"",H1672,IF(I1672&lt;&gt;"",I1672,IF(J1672&lt;&gt;"",J1672,K1672)))</f>
        <v>42.75</v>
      </c>
      <c r="C1672" s="3">
        <f>MEDIAN(H1672:K1672)</f>
        <v>42.75</v>
      </c>
      <c r="D1672" s="3">
        <f>ROUND(C1672*(1-Settings!$B$2),2)</f>
        <v>29.93</v>
      </c>
      <c r="E1672" s="2" t="inlineStr">
        <is>
          <t>Pokemon</t>
        </is>
      </c>
      <c r="F1672" s="2" t="inlineStr">
        <is>
          <t>Coffret</t>
        </is>
      </c>
      <c r="G1672" s="2" t="inlineStr">
        <is>
          <t>Miscellaneous Cards &amp; Products</t>
        </is>
      </c>
      <c r="H1672" s="3" t="n"/>
      <c r="I1672" s="3" t="n">
        <v>42.75</v>
      </c>
      <c r="J1672" s="3" t="n"/>
      <c r="K1672" s="3" t="n"/>
      <c r="L1672" s="2" t="inlineStr">
        <is>
          <t>TCGplayer</t>
        </is>
      </c>
      <c r="N1672" s="4" t="inlineStr">
        <is>
          <t>https://www.tcgplayer.com/product/554179</t>
        </is>
      </c>
    </row>
    <row r="1673">
      <c r="A1673" s="2" t="inlineStr">
        <is>
          <t>Vibrant Paldea Mini Tin [Espathra]</t>
        </is>
      </c>
      <c r="B1673" s="3">
        <f>IF(H1673&lt;&gt;"",H1673,IF(I1673&lt;&gt;"",I1673,IF(J1673&lt;&gt;"",J1673,K1673)))</f>
        <v>23.86</v>
      </c>
      <c r="C1673" s="3">
        <f>MEDIAN(H1673:K1673)</f>
        <v>23.86</v>
      </c>
      <c r="D1673" s="3">
        <f>ROUND(C1673*(1-Settings!$B$2),2)</f>
        <v>16.7</v>
      </c>
      <c r="E1673" s="2" t="inlineStr">
        <is>
          <t>Pokemon</t>
        </is>
      </c>
      <c r="F1673" s="2" t="inlineStr">
        <is>
          <t>Coffret</t>
        </is>
      </c>
      <c r="G1673" s="2" t="inlineStr">
        <is>
          <t>Miscellaneous Cards &amp; Products</t>
        </is>
      </c>
      <c r="H1673" s="3" t="n"/>
      <c r="I1673" s="3" t="n">
        <v>23.86</v>
      </c>
      <c r="J1673" s="3" t="n">
        <v>24</v>
      </c>
      <c r="K1673" s="3" t="n">
        <v>22</v>
      </c>
      <c r="L1673" s="2" t="inlineStr">
        <is>
          <t>TCGplayer</t>
        </is>
      </c>
      <c r="N1673" s="4" t="inlineStr">
        <is>
          <t>https://www.tcgplayer.com/product/554180</t>
        </is>
      </c>
    </row>
    <row r="1674">
      <c r="A1674" s="2" t="inlineStr">
        <is>
          <t>Vibrant Paldea Mini Tin [Palafin]</t>
        </is>
      </c>
      <c r="B1674" s="3">
        <f>IF(H1674&lt;&gt;"",H1674,IF(I1674&lt;&gt;"",I1674,IF(J1674&lt;&gt;"",J1674,K1674)))</f>
        <v>28.5</v>
      </c>
      <c r="C1674" s="3">
        <f>MEDIAN(H1674:K1674)</f>
        <v>25.25</v>
      </c>
      <c r="D1674" s="3">
        <f>ROUND(C1674*(1-Settings!$B$2),2)</f>
        <v>17.68</v>
      </c>
      <c r="E1674" s="2" t="inlineStr">
        <is>
          <t>Pokemon</t>
        </is>
      </c>
      <c r="F1674" s="2" t="inlineStr">
        <is>
          <t>Coffret</t>
        </is>
      </c>
      <c r="G1674" s="2" t="inlineStr">
        <is>
          <t>Miscellaneous Cards &amp; Products</t>
        </is>
      </c>
      <c r="H1674" s="3" t="n"/>
      <c r="I1674" s="3" t="n"/>
      <c r="J1674" s="3" t="n">
        <v>28.5</v>
      </c>
      <c r="K1674" s="3" t="n">
        <v>22</v>
      </c>
      <c r="L1674" s="2" t="inlineStr">
        <is>
          <t>TCGplayer</t>
        </is>
      </c>
      <c r="N1674" s="4" t="inlineStr">
        <is>
          <t>https://www.tcgplayer.com/product/554182</t>
        </is>
      </c>
    </row>
    <row r="1675">
      <c r="A1675" s="2" t="inlineStr">
        <is>
          <t>Virizion V Box</t>
        </is>
      </c>
      <c r="B1675" s="3">
        <f>IF(H1675&lt;&gt;"",H1675,IF(I1675&lt;&gt;"",I1675,IF(J1675&lt;&gt;"",J1675,K1675)))</f>
        <v>63.49</v>
      </c>
      <c r="C1675" s="3">
        <f>MEDIAN(H1675:K1675)</f>
        <v>74.98</v>
      </c>
      <c r="D1675" s="3">
        <f>ROUND(C1675*(1-Settings!$B$2),2)</f>
        <v>52.49</v>
      </c>
      <c r="E1675" s="2" t="inlineStr">
        <is>
          <t>Pokemon</t>
        </is>
      </c>
      <c r="F1675" s="2" t="inlineStr">
        <is>
          <t>Coffret</t>
        </is>
      </c>
      <c r="G1675" s="2" t="inlineStr">
        <is>
          <t>Miscellaneous Cards &amp; Products</t>
        </is>
      </c>
      <c r="H1675" s="3" t="n"/>
      <c r="I1675" s="3" t="n">
        <v>63.49</v>
      </c>
      <c r="J1675" s="3" t="n">
        <v>80</v>
      </c>
      <c r="K1675" s="3" t="n">
        <v>74.98</v>
      </c>
      <c r="L1675" s="2" t="inlineStr">
        <is>
          <t>TCGplayer</t>
        </is>
      </c>
      <c r="N1675" s="4" t="inlineStr">
        <is>
          <t>https://www.tcgplayer.com/product/280847</t>
        </is>
      </c>
    </row>
    <row r="1676">
      <c r="A1676" s="2" t="inlineStr">
        <is>
          <t>VMAX Dragons Premium Collection</t>
        </is>
      </c>
      <c r="B1676" s="3">
        <f>IF(H1676&lt;&gt;"",H1676,IF(I1676&lt;&gt;"",I1676,IF(J1676&lt;&gt;"",J1676,K1676)))</f>
        <v>245.58</v>
      </c>
      <c r="C1676" s="3">
        <f>MEDIAN(H1676:K1676)</f>
        <v>297.99</v>
      </c>
      <c r="D1676" s="3">
        <f>ROUND(C1676*(1-Settings!$B$2),2)</f>
        <v>208.59</v>
      </c>
      <c r="E1676" s="2" t="inlineStr">
        <is>
          <t>Pokemon</t>
        </is>
      </c>
      <c r="F1676" s="2" t="inlineStr">
        <is>
          <t>Coffret</t>
        </is>
      </c>
      <c r="G1676" s="2" t="inlineStr">
        <is>
          <t>Miscellaneous Cards &amp; Products</t>
        </is>
      </c>
      <c r="H1676" s="3" t="n"/>
      <c r="I1676" s="3" t="n">
        <v>245.58</v>
      </c>
      <c r="J1676" s="3" t="n">
        <v>349.99</v>
      </c>
      <c r="K1676" s="3" t="n">
        <v>297.99</v>
      </c>
      <c r="L1676" s="2" t="inlineStr">
        <is>
          <t>TCGplayer</t>
        </is>
      </c>
      <c r="N1676" s="4" t="inlineStr">
        <is>
          <t>https://www.tcgplayer.com/product/287228</t>
        </is>
      </c>
    </row>
    <row r="1677">
      <c r="A1677" s="2" t="inlineStr">
        <is>
          <t>Zeraora VMAX &amp; VSTAR Battle Box</t>
        </is>
      </c>
      <c r="B1677" s="3">
        <f>IF(H1677&lt;&gt;"",H1677,IF(I1677&lt;&gt;"",I1677,IF(J1677&lt;&gt;"",J1677,K1677)))</f>
        <v>100.94</v>
      </c>
      <c r="C1677" s="3">
        <f>MEDIAN(H1677:K1677)</f>
        <v>134.98</v>
      </c>
      <c r="D1677" s="3">
        <f>ROUND(C1677*(1-Settings!$B$2),2)</f>
        <v>94.49</v>
      </c>
      <c r="E1677" s="2" t="inlineStr">
        <is>
          <t>Pokemon</t>
        </is>
      </c>
      <c r="F1677" s="2" t="inlineStr">
        <is>
          <t>Coffret</t>
        </is>
      </c>
      <c r="G1677" s="2" t="inlineStr">
        <is>
          <t>Miscellaneous Cards &amp; Products</t>
        </is>
      </c>
      <c r="H1677" s="3" t="n"/>
      <c r="I1677" s="3" t="n">
        <v>100.94</v>
      </c>
      <c r="J1677" s="3" t="n">
        <v>135</v>
      </c>
      <c r="K1677" s="3" t="n">
        <v>134.98</v>
      </c>
      <c r="L1677" s="2" t="inlineStr">
        <is>
          <t>TCGplayer</t>
        </is>
      </c>
      <c r="N1677" s="4" t="inlineStr">
        <is>
          <t>https://www.tcgplayer.com/product/282003</t>
        </is>
      </c>
    </row>
    <row r="1678">
      <c r="A1678" s="2" t="inlineStr">
        <is>
          <t>Neo Destiny 2-Pack Blister</t>
        </is>
      </c>
      <c r="B1678" s="3">
        <f>IF(H1678&lt;&gt;"",H1678,IF(I1678&lt;&gt;"",I1678,IF(J1678&lt;&gt;"",J1678,K1678)))</f>
        <v>1212.5</v>
      </c>
      <c r="C1678" s="3">
        <f>MEDIAN(H1678:K1678)</f>
        <v>1212.5</v>
      </c>
      <c r="D1678" s="3">
        <f>ROUND(C1678*(1-Settings!$B$2),2)</f>
        <v>848.75</v>
      </c>
      <c r="E1678" s="2" t="inlineStr">
        <is>
          <t>Pokemon</t>
        </is>
      </c>
      <c r="F1678" s="2" t="inlineStr">
        <is>
          <t>Coffret</t>
        </is>
      </c>
      <c r="G1678" s="2" t="inlineStr">
        <is>
          <t>Neo Destiny</t>
        </is>
      </c>
      <c r="H1678" s="3" t="n">
        <v>1212.5</v>
      </c>
      <c r="I1678" s="3" t="n"/>
      <c r="J1678" s="3" t="n"/>
      <c r="K1678" s="3" t="n"/>
      <c r="L1678" s="2" t="inlineStr">
        <is>
          <t>PriceCharting</t>
        </is>
      </c>
      <c r="M1678" s="4" t="inlineStr">
        <is>
          <t>https://www.pricecharting.com/game/pokemon-neo-destiny/2-pack-blister</t>
        </is>
      </c>
    </row>
    <row r="1679">
      <c r="A1679" s="2" t="inlineStr">
        <is>
          <t>Neo Discovery 2-Pack Blister</t>
        </is>
      </c>
      <c r="B1679" s="3">
        <f>IF(H1679&lt;&gt;"",H1679,IF(I1679&lt;&gt;"",I1679,IF(J1679&lt;&gt;"",J1679,K1679)))</f>
        <v>1026.27</v>
      </c>
      <c r="C1679" s="3">
        <f>MEDIAN(H1679:K1679)</f>
        <v>1026.27</v>
      </c>
      <c r="D1679" s="3">
        <f>ROUND(C1679*(1-Settings!$B$2),2)</f>
        <v>718.39</v>
      </c>
      <c r="E1679" s="2" t="inlineStr">
        <is>
          <t>Pokemon</t>
        </is>
      </c>
      <c r="F1679" s="2" t="inlineStr">
        <is>
          <t>Coffret</t>
        </is>
      </c>
      <c r="G1679" s="2" t="inlineStr">
        <is>
          <t>Neo Discovery</t>
        </is>
      </c>
      <c r="H1679" s="3" t="n">
        <v>1026.27</v>
      </c>
      <c r="I1679" s="3" t="n"/>
      <c r="J1679" s="3" t="n"/>
      <c r="K1679" s="3" t="n"/>
      <c r="L1679" s="2" t="inlineStr">
        <is>
          <t>PriceCharting</t>
        </is>
      </c>
      <c r="M1679" s="4" t="inlineStr">
        <is>
          <t>https://www.pricecharting.com/game/pokemon-neo-discovery/2-pack-blister</t>
        </is>
      </c>
    </row>
    <row r="1680">
      <c r="A1680" s="2" t="inlineStr">
        <is>
          <t>Neo Genesis 2-Pack Blister</t>
        </is>
      </c>
      <c r="B1680" s="3">
        <f>IF(H1680&lt;&gt;"",H1680,IF(I1680&lt;&gt;"",I1680,IF(J1680&lt;&gt;"",J1680,K1680)))</f>
        <v>1249.99</v>
      </c>
      <c r="C1680" s="3">
        <f>MEDIAN(H1680:K1680)</f>
        <v>1249.99</v>
      </c>
      <c r="D1680" s="3">
        <f>ROUND(C1680*(1-Settings!$B$2),2)</f>
        <v>874.99</v>
      </c>
      <c r="E1680" s="2" t="inlineStr">
        <is>
          <t>Pokemon</t>
        </is>
      </c>
      <c r="F1680" s="2" t="inlineStr">
        <is>
          <t>Coffret</t>
        </is>
      </c>
      <c r="G1680" s="2" t="inlineStr">
        <is>
          <t>Neo Genesis</t>
        </is>
      </c>
      <c r="H1680" s="3" t="n">
        <v>1249.99</v>
      </c>
      <c r="I1680" s="3" t="n"/>
      <c r="J1680" s="3" t="n"/>
      <c r="K1680" s="3" t="n"/>
      <c r="L1680" s="2" t="inlineStr">
        <is>
          <t>PriceCharting</t>
        </is>
      </c>
      <c r="M1680" s="4" t="inlineStr">
        <is>
          <t>https://www.pricecharting.com/game/pokemon-neo-genesis/2-pack-blister</t>
        </is>
      </c>
    </row>
    <row r="1681">
      <c r="A1681" s="2" t="inlineStr">
        <is>
          <t>Neo Premium File 1</t>
        </is>
      </c>
      <c r="B1681" s="3">
        <f>IF(H1681&lt;&gt;"",H1681,IF(I1681&lt;&gt;"",I1681,IF(J1681&lt;&gt;"",J1681,K1681)))</f>
        <v>235.82</v>
      </c>
      <c r="C1681" s="3">
        <f>MEDIAN(H1681:K1681)</f>
        <v>226.385</v>
      </c>
      <c r="D1681" s="3">
        <f>ROUND(C1681*(1-Settings!$B$2),2)</f>
        <v>158.47</v>
      </c>
      <c r="E1681" s="2" t="inlineStr">
        <is>
          <t>Pokemon</t>
        </is>
      </c>
      <c r="F1681" s="2" t="inlineStr">
        <is>
          <t>Coffret</t>
        </is>
      </c>
      <c r="G1681" s="2" t="inlineStr">
        <is>
          <t>Neo Premium File 1</t>
        </is>
      </c>
      <c r="H1681" s="3" t="n"/>
      <c r="I1681" s="3" t="n">
        <v>235.82</v>
      </c>
      <c r="J1681" s="3" t="n"/>
      <c r="K1681" s="3" t="n">
        <v>216.95</v>
      </c>
      <c r="L1681" s="2" t="inlineStr">
        <is>
          <t>TCGplayer</t>
        </is>
      </c>
      <c r="N1681" s="4" t="inlineStr">
        <is>
          <t>https://www.tcgplayer.com/product/703888</t>
        </is>
      </c>
    </row>
    <row r="1682">
      <c r="A1682" s="2" t="inlineStr">
        <is>
          <t>Neo Revelation 2-Pack Blister</t>
        </is>
      </c>
      <c r="B1682" s="3">
        <f>IF(H1682&lt;&gt;"",H1682,IF(I1682&lt;&gt;"",I1682,IF(J1682&lt;&gt;"",J1682,K1682)))</f>
        <v>1999.99</v>
      </c>
      <c r="C1682" s="3">
        <f>MEDIAN(H1682:K1682)</f>
        <v>1999.99</v>
      </c>
      <c r="D1682" s="3">
        <f>ROUND(C1682*(1-Settings!$B$2),2)</f>
        <v>1399.99</v>
      </c>
      <c r="E1682" s="2" t="inlineStr">
        <is>
          <t>Pokemon</t>
        </is>
      </c>
      <c r="F1682" s="2" t="inlineStr">
        <is>
          <t>Coffret</t>
        </is>
      </c>
      <c r="G1682" s="2" t="inlineStr">
        <is>
          <t>Neo Revelation</t>
        </is>
      </c>
      <c r="H1682" s="3" t="n">
        <v>1999.99</v>
      </c>
      <c r="I1682" s="3" t="n"/>
      <c r="J1682" s="3" t="n"/>
      <c r="K1682" s="3" t="n"/>
      <c r="L1682" s="2" t="inlineStr">
        <is>
          <t>PriceCharting</t>
        </is>
      </c>
      <c r="M1682" s="4" t="inlineStr">
        <is>
          <t>https://www.pricecharting.com/game/pokemon-neo-revelation/2-pack-blister</t>
        </is>
      </c>
    </row>
    <row r="1683">
      <c r="A1683" s="2" t="inlineStr">
        <is>
          <t>EX Tin [Kyurem]</t>
        </is>
      </c>
      <c r="B1683" s="3">
        <f>IF(H1683&lt;&gt;"",H1683,IF(I1683&lt;&gt;"",I1683,IF(J1683&lt;&gt;"",J1683,K1683)))</f>
        <v>700.0</v>
      </c>
      <c r="C1683" s="3">
        <f>MEDIAN(H1683:K1683)</f>
        <v>700.0</v>
      </c>
      <c r="D1683" s="3">
        <f>ROUND(C1683*(1-Settings!$B$2),2)</f>
        <v>490.0</v>
      </c>
      <c r="E1683" s="2" t="inlineStr">
        <is>
          <t>Pokemon</t>
        </is>
      </c>
      <c r="F1683" s="2" t="inlineStr">
        <is>
          <t>Coffret</t>
        </is>
      </c>
      <c r="G1683" s="2" t="inlineStr">
        <is>
          <t>Next Destinies</t>
        </is>
      </c>
      <c r="H1683" s="3" t="n"/>
      <c r="I1683" s="3" t="n">
        <v>700</v>
      </c>
      <c r="J1683" s="3" t="n"/>
      <c r="K1683" s="3" t="n"/>
      <c r="L1683" s="2" t="inlineStr">
        <is>
          <t>TCGplayer</t>
        </is>
      </c>
      <c r="N1683" s="4" t="inlineStr">
        <is>
          <t>https://www.tcgplayer.com/product/98637</t>
        </is>
      </c>
    </row>
    <row r="1684">
      <c r="A1684" s="2" t="inlineStr">
        <is>
          <t>Next Destinies 2-Pack Blister</t>
        </is>
      </c>
      <c r="B1684" s="3">
        <f>IF(H1684&lt;&gt;"",H1684,IF(I1684&lt;&gt;"",I1684,IF(J1684&lt;&gt;"",J1684,K1684)))</f>
        <v>216.23</v>
      </c>
      <c r="C1684" s="3">
        <f>MEDIAN(H1684:K1684)</f>
        <v>216.23</v>
      </c>
      <c r="D1684" s="3">
        <f>ROUND(C1684*(1-Settings!$B$2),2)</f>
        <v>151.36</v>
      </c>
      <c r="E1684" s="2" t="inlineStr">
        <is>
          <t>Pokemon</t>
        </is>
      </c>
      <c r="F1684" s="2" t="inlineStr">
        <is>
          <t>Coffret</t>
        </is>
      </c>
      <c r="G1684" s="2" t="inlineStr">
        <is>
          <t>Next Destinies</t>
        </is>
      </c>
      <c r="H1684" s="3" t="n">
        <v>216.23</v>
      </c>
      <c r="I1684" s="3" t="n"/>
      <c r="J1684" s="3" t="n"/>
      <c r="K1684" s="3" t="n"/>
      <c r="L1684" s="2" t="inlineStr">
        <is>
          <t>PriceCharting</t>
        </is>
      </c>
      <c r="M1684" s="4" t="inlineStr">
        <is>
          <t>https://www.pricecharting.com/game/pokemon-next-destinies/2-pack-blister</t>
        </is>
      </c>
    </row>
    <row r="1685">
      <c r="A1685" s="2" t="inlineStr">
        <is>
          <t>Next Destinies Black Kyurem Box</t>
        </is>
      </c>
      <c r="B1685" s="3">
        <f>IF(H1685&lt;&gt;"",H1685,IF(I1685&lt;&gt;"",I1685,IF(J1685&lt;&gt;"",J1685,K1685)))</f>
        <v>551.18</v>
      </c>
      <c r="C1685" s="3">
        <f>MEDIAN(H1685:K1685)</f>
        <v>551.18</v>
      </c>
      <c r="D1685" s="3">
        <f>ROUND(C1685*(1-Settings!$B$2),2)</f>
        <v>385.83</v>
      </c>
      <c r="E1685" s="2" t="inlineStr">
        <is>
          <t>Pokemon</t>
        </is>
      </c>
      <c r="F1685" s="2" t="inlineStr">
        <is>
          <t>Coffret</t>
        </is>
      </c>
      <c r="G1685" s="2" t="inlineStr">
        <is>
          <t>Next Destinies</t>
        </is>
      </c>
      <c r="H1685" s="3" t="n">
        <v>551.1799999999999</v>
      </c>
      <c r="I1685" s="3" t="n"/>
      <c r="J1685" s="3" t="n"/>
      <c r="K1685" s="3" t="n"/>
      <c r="L1685" s="2" t="inlineStr">
        <is>
          <t>PriceCharting</t>
        </is>
      </c>
      <c r="M1685" s="4" t="inlineStr">
        <is>
          <t>https://www.pricecharting.com/game/pokemon-next-destinies/black-kyurem-box</t>
        </is>
      </c>
    </row>
    <row r="1686">
      <c r="A1686" s="2" t="inlineStr">
        <is>
          <t>Noble Victories Scraggy 2-Pack Blister</t>
        </is>
      </c>
      <c r="B1686" s="3">
        <f>IF(H1686&lt;&gt;"",H1686,IF(I1686&lt;&gt;"",I1686,IF(J1686&lt;&gt;"",J1686,K1686)))</f>
        <v>200.0</v>
      </c>
      <c r="C1686" s="3">
        <f>MEDIAN(H1686:K1686)</f>
        <v>200.0</v>
      </c>
      <c r="D1686" s="3">
        <f>ROUND(C1686*(1-Settings!$B$2),2)</f>
        <v>140.0</v>
      </c>
      <c r="E1686" s="2" t="inlineStr">
        <is>
          <t>Pokemon</t>
        </is>
      </c>
      <c r="F1686" s="2" t="inlineStr">
        <is>
          <t>Coffret</t>
        </is>
      </c>
      <c r="G1686" s="2" t="inlineStr">
        <is>
          <t>Noble Victories</t>
        </is>
      </c>
      <c r="H1686" s="3" t="n">
        <v>200</v>
      </c>
      <c r="I1686" s="3" t="n"/>
      <c r="J1686" s="3" t="n"/>
      <c r="K1686" s="3" t="n"/>
      <c r="L1686" s="2" t="inlineStr">
        <is>
          <t>PriceCharting</t>
        </is>
      </c>
      <c r="M1686" s="4" t="inlineStr">
        <is>
          <t>https://www.pricecharting.com/game/pokemon-noble-victories/scraggy-2-pack-blister</t>
        </is>
      </c>
    </row>
    <row r="1687">
      <c r="A1687" s="2" t="inlineStr">
        <is>
          <t>Obsidian Flames Eevee 3-Pack Blister</t>
        </is>
      </c>
      <c r="B1687" s="3">
        <f>IF(H1687&lt;&gt;"",H1687,IF(I1687&lt;&gt;"",I1687,IF(J1687&lt;&gt;"",J1687,K1687)))</f>
        <v>35.0</v>
      </c>
      <c r="C1687" s="3">
        <f>MEDIAN(H1687:K1687)</f>
        <v>35.0</v>
      </c>
      <c r="D1687" s="3">
        <f>ROUND(C1687*(1-Settings!$B$2),2)</f>
        <v>24.5</v>
      </c>
      <c r="E1687" s="2" t="inlineStr">
        <is>
          <t>Pokemon</t>
        </is>
      </c>
      <c r="F1687" s="2" t="inlineStr">
        <is>
          <t>Coffret</t>
        </is>
      </c>
      <c r="G1687" s="2" t="inlineStr">
        <is>
          <t>Obsidian Flames</t>
        </is>
      </c>
      <c r="H1687" s="3" t="n">
        <v>35</v>
      </c>
      <c r="I1687" s="3" t="n"/>
      <c r="J1687" s="3" t="n"/>
      <c r="K1687" s="3" t="n"/>
      <c r="L1687" s="2" t="inlineStr">
        <is>
          <t>PriceCharting</t>
        </is>
      </c>
      <c r="M1687" s="4" t="inlineStr">
        <is>
          <t>https://www.pricecharting.com/game/pokemon-obsidian-flames/eevee-3-pack-blister</t>
        </is>
      </c>
    </row>
    <row r="1688">
      <c r="A1688" s="2" t="inlineStr">
        <is>
          <t>Obsidian Flames Elite Trainer Box [Pokemon Center]</t>
        </is>
      </c>
      <c r="B1688" s="3">
        <f>IF(H1688&lt;&gt;"",H1688,IF(I1688&lt;&gt;"",I1688,IF(J1688&lt;&gt;"",J1688,K1688)))</f>
        <v>669.1</v>
      </c>
      <c r="C1688" s="3">
        <f>MEDIAN(H1688:K1688)</f>
        <v>669.1</v>
      </c>
      <c r="D1688" s="3">
        <f>ROUND(C1688*(1-Settings!$B$2),2)</f>
        <v>468.37</v>
      </c>
      <c r="E1688" s="2" t="inlineStr">
        <is>
          <t>Pokemon</t>
        </is>
      </c>
      <c r="F1688" s="2" t="inlineStr">
        <is>
          <t>Coffret</t>
        </is>
      </c>
      <c r="G1688" s="2" t="inlineStr">
        <is>
          <t>Obsidian Flames</t>
        </is>
      </c>
      <c r="H1688" s="3" t="n">
        <v>669.1</v>
      </c>
      <c r="I1688" s="3" t="n"/>
      <c r="J1688" s="3" t="n"/>
      <c r="K1688" s="3" t="n"/>
      <c r="L1688" s="2" t="inlineStr">
        <is>
          <t>PriceCharting</t>
        </is>
      </c>
      <c r="M1688" s="4" t="inlineStr">
        <is>
          <t>https://www.pricecharting.com/game/pokemon-obsidian-flames/elite-trainer-box-pokemon-center</t>
        </is>
      </c>
    </row>
    <row r="1689">
      <c r="A1689" s="2" t="inlineStr">
        <is>
          <t>Obsidian Flames Gyarados EX Premium Collection</t>
        </is>
      </c>
      <c r="B1689" s="3">
        <f>IF(H1689&lt;&gt;"",H1689,IF(I1689&lt;&gt;"",I1689,IF(J1689&lt;&gt;"",J1689,K1689)))</f>
        <v>139.99</v>
      </c>
      <c r="C1689" s="3">
        <f>MEDIAN(H1689:K1689)</f>
        <v>139.99</v>
      </c>
      <c r="D1689" s="3">
        <f>ROUND(C1689*(1-Settings!$B$2),2)</f>
        <v>97.99</v>
      </c>
      <c r="E1689" s="2" t="inlineStr">
        <is>
          <t>Pokemon</t>
        </is>
      </c>
      <c r="F1689" s="2" t="inlineStr">
        <is>
          <t>Coffret</t>
        </is>
      </c>
      <c r="G1689" s="2" t="inlineStr">
        <is>
          <t>Obsidian Flames</t>
        </is>
      </c>
      <c r="H1689" s="3" t="n">
        <v>139.99</v>
      </c>
      <c r="I1689" s="3" t="n"/>
      <c r="J1689" s="3" t="n"/>
      <c r="K1689" s="3" t="n"/>
      <c r="L1689" s="2" t="inlineStr">
        <is>
          <t>PriceCharting</t>
        </is>
      </c>
      <c r="M1689" s="4" t="inlineStr">
        <is>
          <t>https://www.pricecharting.com/game/pokemon-obsidian-flames/gyarados-ex-premium-collection</t>
        </is>
      </c>
    </row>
    <row r="1690">
      <c r="A1690" s="2" t="inlineStr">
        <is>
          <t>Obsidian Flames Hanger Box</t>
        </is>
      </c>
      <c r="B1690" s="3">
        <f>IF(H1690&lt;&gt;"",H1690,IF(I1690&lt;&gt;"",I1690,IF(J1690&lt;&gt;"",J1690,K1690)))</f>
        <v>31.02</v>
      </c>
      <c r="C1690" s="3">
        <f>MEDIAN(H1690:K1690)</f>
        <v>31.02</v>
      </c>
      <c r="D1690" s="3">
        <f>ROUND(C1690*(1-Settings!$B$2),2)</f>
        <v>21.71</v>
      </c>
      <c r="E1690" s="2" t="inlineStr">
        <is>
          <t>Pokemon</t>
        </is>
      </c>
      <c r="F1690" s="2" t="inlineStr">
        <is>
          <t>Coffret</t>
        </is>
      </c>
      <c r="G1690" s="2" t="inlineStr">
        <is>
          <t>Obsidian Flames</t>
        </is>
      </c>
      <c r="H1690" s="3" t="n">
        <v>31.02</v>
      </c>
      <c r="I1690" s="3" t="n"/>
      <c r="J1690" s="3" t="n"/>
      <c r="K1690" s="3" t="n"/>
      <c r="L1690" s="2" t="inlineStr">
        <is>
          <t>PriceCharting</t>
        </is>
      </c>
      <c r="M1690" s="4" t="inlineStr">
        <is>
          <t>https://www.pricecharting.com/game/pokemon-obsidian-flames/hanger-box</t>
        </is>
      </c>
    </row>
    <row r="1691">
      <c r="A1691" s="2" t="inlineStr">
        <is>
          <t>Paldea Evolved Elite Trainer Box [Pokemon Center]</t>
        </is>
      </c>
      <c r="B1691" s="3">
        <f>IF(H1691&lt;&gt;"",H1691,IF(I1691&lt;&gt;"",I1691,IF(J1691&lt;&gt;"",J1691,K1691)))</f>
        <v>559.75</v>
      </c>
      <c r="C1691" s="3">
        <f>MEDIAN(H1691:K1691)</f>
        <v>559.75</v>
      </c>
      <c r="D1691" s="3">
        <f>ROUND(C1691*(1-Settings!$B$2),2)</f>
        <v>391.83</v>
      </c>
      <c r="E1691" s="2" t="inlineStr">
        <is>
          <t>Pokemon</t>
        </is>
      </c>
      <c r="F1691" s="2" t="inlineStr">
        <is>
          <t>Coffret</t>
        </is>
      </c>
      <c r="G1691" s="2" t="inlineStr">
        <is>
          <t>Paldea Evolved</t>
        </is>
      </c>
      <c r="H1691" s="3" t="n">
        <v>559.75</v>
      </c>
      <c r="I1691" s="3" t="n"/>
      <c r="J1691" s="3" t="n"/>
      <c r="K1691" s="3" t="n"/>
      <c r="L1691" s="2" t="inlineStr">
        <is>
          <t>PriceCharting</t>
        </is>
      </c>
      <c r="M1691" s="4" t="inlineStr">
        <is>
          <t>https://www.pricecharting.com/game/pokemon-paldea-evolved/elite-trainer-box-pokemon-center</t>
        </is>
      </c>
    </row>
    <row r="1692">
      <c r="A1692" s="2" t="inlineStr">
        <is>
          <t>Paldea Evolved Koraidon Ex Tin</t>
        </is>
      </c>
      <c r="B1692" s="3">
        <f>IF(H1692&lt;&gt;"",H1692,IF(I1692&lt;&gt;"",I1692,IF(J1692&lt;&gt;"",J1692,K1692)))</f>
        <v>39.78</v>
      </c>
      <c r="C1692" s="3">
        <f>MEDIAN(H1692:K1692)</f>
        <v>39.78</v>
      </c>
      <c r="D1692" s="3">
        <f>ROUND(C1692*(1-Settings!$B$2),2)</f>
        <v>27.85</v>
      </c>
      <c r="E1692" s="2" t="inlineStr">
        <is>
          <t>Pokemon</t>
        </is>
      </c>
      <c r="F1692" s="2" t="inlineStr">
        <is>
          <t>Coffret</t>
        </is>
      </c>
      <c r="G1692" s="2" t="inlineStr">
        <is>
          <t>Paldea Evolved</t>
        </is>
      </c>
      <c r="H1692" s="3" t="n">
        <v>39.78</v>
      </c>
      <c r="I1692" s="3" t="n"/>
      <c r="J1692" s="3" t="n"/>
      <c r="K1692" s="3" t="n"/>
      <c r="L1692" s="2" t="inlineStr">
        <is>
          <t>PriceCharting</t>
        </is>
      </c>
      <c r="M1692" s="4" t="inlineStr">
        <is>
          <t>https://www.pricecharting.com/game/pokemon-paldea-evolved/koraidon-ex-tin</t>
        </is>
      </c>
    </row>
    <row r="1693">
      <c r="A1693" s="2" t="inlineStr">
        <is>
          <t>Paldea Evolved Paldea Legends Koraidon Tin</t>
        </is>
      </c>
      <c r="B1693" s="3">
        <f>IF(H1693&lt;&gt;"",H1693,IF(I1693&lt;&gt;"",I1693,IF(J1693&lt;&gt;"",J1693,K1693)))</f>
        <v>48.34</v>
      </c>
      <c r="C1693" s="3">
        <f>MEDIAN(H1693:K1693)</f>
        <v>48.34</v>
      </c>
      <c r="D1693" s="3">
        <f>ROUND(C1693*(1-Settings!$B$2),2)</f>
        <v>33.84</v>
      </c>
      <c r="E1693" s="2" t="inlineStr">
        <is>
          <t>Pokemon</t>
        </is>
      </c>
      <c r="F1693" s="2" t="inlineStr">
        <is>
          <t>Coffret</t>
        </is>
      </c>
      <c r="G1693" s="2" t="inlineStr">
        <is>
          <t>Paldea Evolved</t>
        </is>
      </c>
      <c r="H1693" s="3" t="n">
        <v>48.34</v>
      </c>
      <c r="I1693" s="3" t="n"/>
      <c r="J1693" s="3" t="n"/>
      <c r="K1693" s="3" t="n"/>
      <c r="L1693" s="2" t="inlineStr">
        <is>
          <t>PriceCharting</t>
        </is>
      </c>
      <c r="M1693" s="4" t="inlineStr">
        <is>
          <t>https://www.pricecharting.com/game/pokemon-paldea-evolved/paldea-legends-koraidon-tin</t>
        </is>
      </c>
    </row>
    <row r="1694">
      <c r="A1694" s="2" t="inlineStr">
        <is>
          <t>Paldea Evolved Paldea Legends Miraidon Tin</t>
        </is>
      </c>
      <c r="B1694" s="3">
        <f>IF(H1694&lt;&gt;"",H1694,IF(I1694&lt;&gt;"",I1694,IF(J1694&lt;&gt;"",J1694,K1694)))</f>
        <v>51.42</v>
      </c>
      <c r="C1694" s="3">
        <f>MEDIAN(H1694:K1694)</f>
        <v>51.42</v>
      </c>
      <c r="D1694" s="3">
        <f>ROUND(C1694*(1-Settings!$B$2),2)</f>
        <v>35.99</v>
      </c>
      <c r="E1694" s="2" t="inlineStr">
        <is>
          <t>Pokemon</t>
        </is>
      </c>
      <c r="F1694" s="2" t="inlineStr">
        <is>
          <t>Coffret</t>
        </is>
      </c>
      <c r="G1694" s="2" t="inlineStr">
        <is>
          <t>Paldea Evolved</t>
        </is>
      </c>
      <c r="H1694" s="3" t="n">
        <v>51.42</v>
      </c>
      <c r="I1694" s="3" t="n"/>
      <c r="J1694" s="3" t="n"/>
      <c r="K1694" s="3" t="n"/>
      <c r="L1694" s="2" t="inlineStr">
        <is>
          <t>PriceCharting</t>
        </is>
      </c>
      <c r="M1694" s="4" t="inlineStr">
        <is>
          <t>https://www.pricecharting.com/game/pokemon-paldea-evolved/paldea-legends-miraidon-tin</t>
        </is>
      </c>
    </row>
    <row r="1695">
      <c r="A1695" s="2" t="inlineStr">
        <is>
          <t>Paldean Fates 5-Mini Tin Set</t>
        </is>
      </c>
      <c r="B1695" s="3">
        <f>IF(H1695&lt;&gt;"",H1695,IF(I1695&lt;&gt;"",I1695,IF(J1695&lt;&gt;"",J1695,K1695)))</f>
        <v>380.59</v>
      </c>
      <c r="C1695" s="3">
        <f>MEDIAN(H1695:K1695)</f>
        <v>380.59</v>
      </c>
      <c r="D1695" s="3">
        <f>ROUND(C1695*(1-Settings!$B$2),2)</f>
        <v>266.41</v>
      </c>
      <c r="E1695" s="2" t="inlineStr">
        <is>
          <t>Pokemon</t>
        </is>
      </c>
      <c r="F1695" s="2" t="inlineStr">
        <is>
          <t>Coffret</t>
        </is>
      </c>
      <c r="G1695" s="2" t="inlineStr">
        <is>
          <t>Paldean Fates</t>
        </is>
      </c>
      <c r="H1695" s="3" t="n">
        <v>380.59</v>
      </c>
      <c r="I1695" s="3" t="n"/>
      <c r="J1695" s="3" t="n"/>
      <c r="K1695" s="3" t="n"/>
      <c r="L1695" s="2" t="inlineStr">
        <is>
          <t>PriceCharting</t>
        </is>
      </c>
      <c r="M1695" s="4" t="inlineStr">
        <is>
          <t>https://www.pricecharting.com/game/pokemon-paldean-fates/5-mini-tin-set</t>
        </is>
      </c>
    </row>
    <row r="1696">
      <c r="A1696" s="2" t="inlineStr">
        <is>
          <t>Paldean Fates Elite Trainer Box [Pokemon Center]</t>
        </is>
      </c>
      <c r="B1696" s="3">
        <f>IF(H1696&lt;&gt;"",H1696,IF(I1696&lt;&gt;"",I1696,IF(J1696&lt;&gt;"",J1696,K1696)))</f>
        <v>533.07</v>
      </c>
      <c r="C1696" s="3">
        <f>MEDIAN(H1696:K1696)</f>
        <v>533.07</v>
      </c>
      <c r="D1696" s="3">
        <f>ROUND(C1696*(1-Settings!$B$2),2)</f>
        <v>373.15</v>
      </c>
      <c r="E1696" s="2" t="inlineStr">
        <is>
          <t>Pokemon</t>
        </is>
      </c>
      <c r="F1696" s="2" t="inlineStr">
        <is>
          <t>Coffret</t>
        </is>
      </c>
      <c r="G1696" s="2" t="inlineStr">
        <is>
          <t>Paldean Fates</t>
        </is>
      </c>
      <c r="H1696" s="3" t="n">
        <v>533.0700000000001</v>
      </c>
      <c r="I1696" s="3" t="n"/>
      <c r="J1696" s="3" t="n"/>
      <c r="K1696" s="3" t="n"/>
      <c r="L1696" s="2" t="inlineStr">
        <is>
          <t>PriceCharting</t>
        </is>
      </c>
      <c r="M1696" s="4" t="inlineStr">
        <is>
          <t>https://www.pricecharting.com/game/pokemon-paldean-fates/elite-trainer-box-pokemon-center</t>
        </is>
      </c>
    </row>
    <row r="1697">
      <c r="A1697" s="2" t="inlineStr">
        <is>
          <t>Paldean Fates International Tin: Iron Treads Ex</t>
        </is>
      </c>
      <c r="B1697" s="3">
        <f>IF(H1697&lt;&gt;"",H1697,IF(I1697&lt;&gt;"",I1697,IF(J1697&lt;&gt;"",J1697,K1697)))</f>
        <v>131.0</v>
      </c>
      <c r="C1697" s="3">
        <f>MEDIAN(H1697:K1697)</f>
        <v>131.0</v>
      </c>
      <c r="D1697" s="3">
        <f>ROUND(C1697*(1-Settings!$B$2),2)</f>
        <v>91.7</v>
      </c>
      <c r="E1697" s="2" t="inlineStr">
        <is>
          <t>Pokemon</t>
        </is>
      </c>
      <c r="F1697" s="2" t="inlineStr">
        <is>
          <t>Coffret</t>
        </is>
      </c>
      <c r="G1697" s="2" t="inlineStr">
        <is>
          <t>Paldean Fates</t>
        </is>
      </c>
      <c r="H1697" s="3" t="n">
        <v>131</v>
      </c>
      <c r="I1697" s="3" t="n"/>
      <c r="J1697" s="3" t="n"/>
      <c r="K1697" s="3" t="n"/>
      <c r="L1697" s="2" t="inlineStr">
        <is>
          <t>PriceCharting</t>
        </is>
      </c>
      <c r="M1697" s="4" t="inlineStr">
        <is>
          <t>https://www.pricecharting.com/game/pokemon-paldean-fates/international-tin-iron-treads-ex</t>
        </is>
      </c>
    </row>
    <row r="1698">
      <c r="A1698" s="2" t="inlineStr">
        <is>
          <t>Paldean Fates Meowscarada ex Premium Collection Box</t>
        </is>
      </c>
      <c r="B1698" s="3">
        <f>IF(H1698&lt;&gt;"",H1698,IF(I1698&lt;&gt;"",I1698,IF(J1698&lt;&gt;"",J1698,K1698)))</f>
        <v>215.62</v>
      </c>
      <c r="C1698" s="3">
        <f>MEDIAN(H1698:K1698)</f>
        <v>215.62</v>
      </c>
      <c r="D1698" s="3">
        <f>ROUND(C1698*(1-Settings!$B$2),2)</f>
        <v>150.93</v>
      </c>
      <c r="E1698" s="2" t="inlineStr">
        <is>
          <t>Pokemon</t>
        </is>
      </c>
      <c r="F1698" s="2" t="inlineStr">
        <is>
          <t>Coffret</t>
        </is>
      </c>
      <c r="G1698" s="2" t="inlineStr">
        <is>
          <t>Paldean Fates</t>
        </is>
      </c>
      <c r="H1698" s="3" t="n">
        <v>215.62</v>
      </c>
      <c r="I1698" s="3" t="n"/>
      <c r="J1698" s="3" t="n"/>
      <c r="K1698" s="3" t="n"/>
      <c r="L1698" s="2" t="inlineStr">
        <is>
          <t>PriceCharting</t>
        </is>
      </c>
      <c r="M1698" s="4" t="inlineStr">
        <is>
          <t>https://www.pricecharting.com/game/pokemon-paldean-fates/meowscarada-ex-premium-collection-box</t>
        </is>
      </c>
    </row>
    <row r="1699">
      <c r="A1699" s="2" t="inlineStr">
        <is>
          <t>Paldean Fates Quaquaval ex Premium Collection Box</t>
        </is>
      </c>
      <c r="B1699" s="3">
        <f>IF(H1699&lt;&gt;"",H1699,IF(I1699&lt;&gt;"",I1699,IF(J1699&lt;&gt;"",J1699,K1699)))</f>
        <v>230.0</v>
      </c>
      <c r="C1699" s="3">
        <f>MEDIAN(H1699:K1699)</f>
        <v>230.0</v>
      </c>
      <c r="D1699" s="3">
        <f>ROUND(C1699*(1-Settings!$B$2),2)</f>
        <v>161.0</v>
      </c>
      <c r="E1699" s="2" t="inlineStr">
        <is>
          <t>Pokemon</t>
        </is>
      </c>
      <c r="F1699" s="2" t="inlineStr">
        <is>
          <t>Coffret</t>
        </is>
      </c>
      <c r="G1699" s="2" t="inlineStr">
        <is>
          <t>Paldean Fates</t>
        </is>
      </c>
      <c r="H1699" s="3" t="n">
        <v>230</v>
      </c>
      <c r="I1699" s="3" t="n"/>
      <c r="J1699" s="3" t="n"/>
      <c r="K1699" s="3" t="n"/>
      <c r="L1699" s="2" t="inlineStr">
        <is>
          <t>PriceCharting</t>
        </is>
      </c>
      <c r="M1699" s="4" t="inlineStr">
        <is>
          <t>https://www.pricecharting.com/game/pokemon-paldean-fates/quaquaval-ex-premium-collection-box</t>
        </is>
      </c>
    </row>
    <row r="1700">
      <c r="A1700" s="2" t="inlineStr">
        <is>
          <t>Paldean Fates Sealed Charizard ex Tin</t>
        </is>
      </c>
      <c r="B1700" s="3">
        <f>IF(H1700&lt;&gt;"",H1700,IF(I1700&lt;&gt;"",I1700,IF(J1700&lt;&gt;"",J1700,K1700)))</f>
        <v>195.1</v>
      </c>
      <c r="C1700" s="3">
        <f>MEDIAN(H1700:K1700)</f>
        <v>195.1</v>
      </c>
      <c r="D1700" s="3">
        <f>ROUND(C1700*(1-Settings!$B$2),2)</f>
        <v>136.57</v>
      </c>
      <c r="E1700" s="2" t="inlineStr">
        <is>
          <t>Pokemon</t>
        </is>
      </c>
      <c r="F1700" s="2" t="inlineStr">
        <is>
          <t>Coffret</t>
        </is>
      </c>
      <c r="G1700" s="2" t="inlineStr">
        <is>
          <t>Paldean Fates</t>
        </is>
      </c>
      <c r="H1700" s="3" t="n">
        <v>195.1</v>
      </c>
      <c r="I1700" s="3" t="n"/>
      <c r="J1700" s="3" t="n"/>
      <c r="K1700" s="3" t="n"/>
      <c r="L1700" s="2" t="inlineStr">
        <is>
          <t>PriceCharting</t>
        </is>
      </c>
      <c r="M1700" s="4" t="inlineStr">
        <is>
          <t>https://www.pricecharting.com/game/pokemon-paldean-fates/sealed-charizard-ex-tin</t>
        </is>
      </c>
    </row>
    <row r="1701">
      <c r="A1701" s="2" t="inlineStr">
        <is>
          <t>Paldean Fates Sealed Great Tusk Ex Tin</t>
        </is>
      </c>
      <c r="B1701" s="3">
        <f>IF(H1701&lt;&gt;"",H1701,IF(I1701&lt;&gt;"",I1701,IF(J1701&lt;&gt;"",J1701,K1701)))</f>
        <v>141.29</v>
      </c>
      <c r="C1701" s="3">
        <f>MEDIAN(H1701:K1701)</f>
        <v>141.29</v>
      </c>
      <c r="D1701" s="3">
        <f>ROUND(C1701*(1-Settings!$B$2),2)</f>
        <v>98.9</v>
      </c>
      <c r="E1701" s="2" t="inlineStr">
        <is>
          <t>Pokemon</t>
        </is>
      </c>
      <c r="F1701" s="2" t="inlineStr">
        <is>
          <t>Coffret</t>
        </is>
      </c>
      <c r="G1701" s="2" t="inlineStr">
        <is>
          <t>Paldean Fates</t>
        </is>
      </c>
      <c r="H1701" s="3" t="n">
        <v>141.29</v>
      </c>
      <c r="I1701" s="3" t="n"/>
      <c r="J1701" s="3" t="n"/>
      <c r="K1701" s="3" t="n"/>
      <c r="L1701" s="2" t="inlineStr">
        <is>
          <t>PriceCharting</t>
        </is>
      </c>
      <c r="M1701" s="4" t="inlineStr">
        <is>
          <t>https://www.pricecharting.com/game/pokemon-paldean-fates/sealed-great-tusk-ex-tin</t>
        </is>
      </c>
    </row>
    <row r="1702">
      <c r="A1702" s="2" t="inlineStr">
        <is>
          <t>Paldean Fates Sealed Iron Treads Ex Tin</t>
        </is>
      </c>
      <c r="B1702" s="3">
        <f>IF(H1702&lt;&gt;"",H1702,IF(I1702&lt;&gt;"",I1702,IF(J1702&lt;&gt;"",J1702,K1702)))</f>
        <v>133.68</v>
      </c>
      <c r="C1702" s="3">
        <f>MEDIAN(H1702:K1702)</f>
        <v>133.68</v>
      </c>
      <c r="D1702" s="3">
        <f>ROUND(C1702*(1-Settings!$B$2),2)</f>
        <v>93.58</v>
      </c>
      <c r="E1702" s="2" t="inlineStr">
        <is>
          <t>Pokemon</t>
        </is>
      </c>
      <c r="F1702" s="2" t="inlineStr">
        <is>
          <t>Coffret</t>
        </is>
      </c>
      <c r="G1702" s="2" t="inlineStr">
        <is>
          <t>Paldean Fates</t>
        </is>
      </c>
      <c r="H1702" s="3" t="n">
        <v>133.68</v>
      </c>
      <c r="I1702" s="3" t="n"/>
      <c r="J1702" s="3" t="n"/>
      <c r="K1702" s="3" t="n"/>
      <c r="L1702" s="2" t="inlineStr">
        <is>
          <t>PriceCharting</t>
        </is>
      </c>
      <c r="M1702" s="4" t="inlineStr">
        <is>
          <t>https://www.pricecharting.com/game/pokemon-paldean-fates/sealed-iron-treads-ex-tin</t>
        </is>
      </c>
    </row>
    <row r="1703">
      <c r="A1703" s="2" t="inlineStr">
        <is>
          <t>Paldean Fates Skeledirge ex Premium Collection Box</t>
        </is>
      </c>
      <c r="B1703" s="3">
        <f>IF(H1703&lt;&gt;"",H1703,IF(I1703&lt;&gt;"",I1703,IF(J1703&lt;&gt;"",J1703,K1703)))</f>
        <v>238.51</v>
      </c>
      <c r="C1703" s="3">
        <f>MEDIAN(H1703:K1703)</f>
        <v>238.51</v>
      </c>
      <c r="D1703" s="3">
        <f>ROUND(C1703*(1-Settings!$B$2),2)</f>
        <v>166.96</v>
      </c>
      <c r="E1703" s="2" t="inlineStr">
        <is>
          <t>Pokemon</t>
        </is>
      </c>
      <c r="F1703" s="2" t="inlineStr">
        <is>
          <t>Coffret</t>
        </is>
      </c>
      <c r="G1703" s="2" t="inlineStr">
        <is>
          <t>Paldean Fates</t>
        </is>
      </c>
      <c r="H1703" s="3" t="n">
        <v>238.51</v>
      </c>
      <c r="I1703" s="3" t="n"/>
      <c r="J1703" s="3" t="n"/>
      <c r="K1703" s="3" t="n"/>
      <c r="L1703" s="2" t="inlineStr">
        <is>
          <t>PriceCharting</t>
        </is>
      </c>
      <c r="M1703" s="4" t="inlineStr">
        <is>
          <t>https://www.pricecharting.com/game/pokemon-paldean-fates/skeledirge-ex-premium-collection-box</t>
        </is>
      </c>
    </row>
    <row r="1704">
      <c r="A1704" s="2" t="inlineStr">
        <is>
          <t>Paradox Rift Arctibax 3-Pack Blister</t>
        </is>
      </c>
      <c r="B1704" s="3">
        <f>IF(H1704&lt;&gt;"",H1704,IF(I1704&lt;&gt;"",I1704,IF(J1704&lt;&gt;"",J1704,K1704)))</f>
        <v>24.75</v>
      </c>
      <c r="C1704" s="3">
        <f>MEDIAN(H1704:K1704)</f>
        <v>24.75</v>
      </c>
      <c r="D1704" s="3">
        <f>ROUND(C1704*(1-Settings!$B$2),2)</f>
        <v>17.33</v>
      </c>
      <c r="E1704" s="2" t="inlineStr">
        <is>
          <t>Pokemon</t>
        </is>
      </c>
      <c r="F1704" s="2" t="inlineStr">
        <is>
          <t>Coffret</t>
        </is>
      </c>
      <c r="G1704" s="2" t="inlineStr">
        <is>
          <t>Paradox Rift</t>
        </is>
      </c>
      <c r="H1704" s="3" t="n">
        <v>24.75</v>
      </c>
      <c r="I1704" s="3" t="n"/>
      <c r="J1704" s="3" t="n"/>
      <c r="K1704" s="3" t="n"/>
      <c r="L1704" s="2" t="inlineStr">
        <is>
          <t>PriceCharting</t>
        </is>
      </c>
      <c r="M1704" s="4" t="inlineStr">
        <is>
          <t>https://www.pricecharting.com/game/pokemon-paradox-rift/arctibax-3-pack-blister</t>
        </is>
      </c>
    </row>
    <row r="1705">
      <c r="A1705" s="2" t="inlineStr">
        <is>
          <t>Paradox Rift Combined Powers Premium Collection Box</t>
        </is>
      </c>
      <c r="B1705" s="3">
        <f>IF(H1705&lt;&gt;"",H1705,IF(I1705&lt;&gt;"",I1705,IF(J1705&lt;&gt;"",J1705,K1705)))</f>
        <v>120.0</v>
      </c>
      <c r="C1705" s="3">
        <f>MEDIAN(H1705:K1705)</f>
        <v>120.0</v>
      </c>
      <c r="D1705" s="3">
        <f>ROUND(C1705*(1-Settings!$B$2),2)</f>
        <v>84.0</v>
      </c>
      <c r="E1705" s="2" t="inlineStr">
        <is>
          <t>Pokemon</t>
        </is>
      </c>
      <c r="F1705" s="2" t="inlineStr">
        <is>
          <t>Coffret</t>
        </is>
      </c>
      <c r="G1705" s="2" t="inlineStr">
        <is>
          <t>Paradox Rift</t>
        </is>
      </c>
      <c r="H1705" s="3" t="n">
        <v>120</v>
      </c>
      <c r="I1705" s="3" t="n"/>
      <c r="J1705" s="3" t="n"/>
      <c r="K1705" s="3" t="n"/>
      <c r="L1705" s="2" t="inlineStr">
        <is>
          <t>PriceCharting</t>
        </is>
      </c>
      <c r="M1705" s="4" t="inlineStr">
        <is>
          <t>https://www.pricecharting.com/game/pokemon-paradox-rift/combined-powers-premium-collection-box</t>
        </is>
      </c>
    </row>
    <row r="1706">
      <c r="A1706" s="2" t="inlineStr">
        <is>
          <t>Paradox Rift Elite Trainer Box [Iron Valiant Pokemon Center]</t>
        </is>
      </c>
      <c r="B1706" s="3">
        <f>IF(H1706&lt;&gt;"",H1706,IF(I1706&lt;&gt;"",I1706,IF(J1706&lt;&gt;"",J1706,K1706)))</f>
        <v>187.5</v>
      </c>
      <c r="C1706" s="3">
        <f>MEDIAN(H1706:K1706)</f>
        <v>187.5</v>
      </c>
      <c r="D1706" s="3">
        <f>ROUND(C1706*(1-Settings!$B$2),2)</f>
        <v>131.25</v>
      </c>
      <c r="E1706" s="2" t="inlineStr">
        <is>
          <t>Pokemon</t>
        </is>
      </c>
      <c r="F1706" s="2" t="inlineStr">
        <is>
          <t>Coffret</t>
        </is>
      </c>
      <c r="G1706" s="2" t="inlineStr">
        <is>
          <t>Paradox Rift</t>
        </is>
      </c>
      <c r="H1706" s="3" t="n">
        <v>187.5</v>
      </c>
      <c r="I1706" s="3" t="n"/>
      <c r="J1706" s="3" t="n"/>
      <c r="K1706" s="3" t="n"/>
      <c r="L1706" s="2" t="inlineStr">
        <is>
          <t>PriceCharting</t>
        </is>
      </c>
      <c r="M1706" s="4" t="inlineStr">
        <is>
          <t>https://www.pricecharting.com/game/pokemon-paradox-rift/elite-trainer-box-iron-valiant-pokemon-center</t>
        </is>
      </c>
    </row>
    <row r="1707">
      <c r="A1707" s="2" t="inlineStr">
        <is>
          <t>Paradox Rift Elite Trainer Box [Roaring Moon Pokemon Center]</t>
        </is>
      </c>
      <c r="B1707" s="3">
        <f>IF(H1707&lt;&gt;"",H1707,IF(I1707&lt;&gt;"",I1707,IF(J1707&lt;&gt;"",J1707,K1707)))</f>
        <v>211.0</v>
      </c>
      <c r="C1707" s="3">
        <f>MEDIAN(H1707:K1707)</f>
        <v>211.0</v>
      </c>
      <c r="D1707" s="3">
        <f>ROUND(C1707*(1-Settings!$B$2),2)</f>
        <v>147.7</v>
      </c>
      <c r="E1707" s="2" t="inlineStr">
        <is>
          <t>Pokemon</t>
        </is>
      </c>
      <c r="F1707" s="2" t="inlineStr">
        <is>
          <t>Coffret</t>
        </is>
      </c>
      <c r="G1707" s="2" t="inlineStr">
        <is>
          <t>Paradox Rift</t>
        </is>
      </c>
      <c r="H1707" s="3" t="n">
        <v>211</v>
      </c>
      <c r="I1707" s="3" t="n"/>
      <c r="J1707" s="3" t="n"/>
      <c r="K1707" s="3" t="n"/>
      <c r="L1707" s="2" t="inlineStr">
        <is>
          <t>PriceCharting</t>
        </is>
      </c>
      <c r="M1707" s="4" t="inlineStr">
        <is>
          <t>https://www.pricecharting.com/game/pokemon-paradox-rift/elite-trainer-box-roaring-moon-pokemon-center</t>
        </is>
      </c>
    </row>
    <row r="1708">
      <c r="A1708" s="2" t="inlineStr">
        <is>
          <t>Paradox Rift Triple Whammy Tin [Darkrai]</t>
        </is>
      </c>
      <c r="B1708" s="3">
        <f>IF(H1708&lt;&gt;"",H1708,IF(I1708&lt;&gt;"",I1708,IF(J1708&lt;&gt;"",J1708,K1708)))</f>
        <v>27.24</v>
      </c>
      <c r="C1708" s="3">
        <f>MEDIAN(H1708:K1708)</f>
        <v>27.24</v>
      </c>
      <c r="D1708" s="3">
        <f>ROUND(C1708*(1-Settings!$B$2),2)</f>
        <v>19.07</v>
      </c>
      <c r="E1708" s="2" t="inlineStr">
        <is>
          <t>Pokemon</t>
        </is>
      </c>
      <c r="F1708" s="2" t="inlineStr">
        <is>
          <t>Coffret</t>
        </is>
      </c>
      <c r="G1708" s="2" t="inlineStr">
        <is>
          <t>Paradox Rift</t>
        </is>
      </c>
      <c r="H1708" s="3" t="n">
        <v>27.24</v>
      </c>
      <c r="I1708" s="3" t="n"/>
      <c r="J1708" s="3" t="n"/>
      <c r="K1708" s="3" t="n"/>
      <c r="L1708" s="2" t="inlineStr">
        <is>
          <t>PriceCharting</t>
        </is>
      </c>
      <c r="M1708" s="4" t="inlineStr">
        <is>
          <t>https://www.pricecharting.com/game/pokemon-paradox-rift/triple-whammy-tin-darkrai</t>
        </is>
      </c>
    </row>
    <row r="1709">
      <c r="A1709" s="2" t="inlineStr">
        <is>
          <t>Paradox Rift Triple Whammy Tin [Slaking]</t>
        </is>
      </c>
      <c r="B1709" s="3">
        <f>IF(H1709&lt;&gt;"",H1709,IF(I1709&lt;&gt;"",I1709,IF(J1709&lt;&gt;"",J1709,K1709)))</f>
        <v>23.87</v>
      </c>
      <c r="C1709" s="3">
        <f>MEDIAN(H1709:K1709)</f>
        <v>23.87</v>
      </c>
      <c r="D1709" s="3">
        <f>ROUND(C1709*(1-Settings!$B$2),2)</f>
        <v>16.71</v>
      </c>
      <c r="E1709" s="2" t="inlineStr">
        <is>
          <t>Pokemon</t>
        </is>
      </c>
      <c r="F1709" s="2" t="inlineStr">
        <is>
          <t>Coffret</t>
        </is>
      </c>
      <c r="G1709" s="2" t="inlineStr">
        <is>
          <t>Paradox Rift</t>
        </is>
      </c>
      <c r="H1709" s="3" t="n">
        <v>23.87</v>
      </c>
      <c r="I1709" s="3" t="n"/>
      <c r="J1709" s="3" t="n"/>
      <c r="K1709" s="3" t="n"/>
      <c r="L1709" s="2" t="inlineStr">
        <is>
          <t>PriceCharting</t>
        </is>
      </c>
      <c r="M1709" s="4" t="inlineStr">
        <is>
          <t>https://www.pricecharting.com/game/pokemon-paradox-rift/triple-whammy-tin-slaking</t>
        </is>
      </c>
    </row>
    <row r="1710">
      <c r="A1710" s="2" t="inlineStr">
        <is>
          <t>Paradox Rift Triple Whammy Tin [Tyranitar]</t>
        </is>
      </c>
      <c r="B1710" s="3">
        <f>IF(H1710&lt;&gt;"",H1710,IF(I1710&lt;&gt;"",I1710,IF(J1710&lt;&gt;"",J1710,K1710)))</f>
        <v>26.99</v>
      </c>
      <c r="C1710" s="3">
        <f>MEDIAN(H1710:K1710)</f>
        <v>26.99</v>
      </c>
      <c r="D1710" s="3">
        <f>ROUND(C1710*(1-Settings!$B$2),2)</f>
        <v>18.89</v>
      </c>
      <c r="E1710" s="2" t="inlineStr">
        <is>
          <t>Pokemon</t>
        </is>
      </c>
      <c r="F1710" s="2" t="inlineStr">
        <is>
          <t>Coffret</t>
        </is>
      </c>
      <c r="G1710" s="2" t="inlineStr">
        <is>
          <t>Paradox Rift</t>
        </is>
      </c>
      <c r="H1710" s="3" t="n">
        <v>26.99</v>
      </c>
      <c r="I1710" s="3" t="n"/>
      <c r="J1710" s="3" t="n"/>
      <c r="K1710" s="3" t="n"/>
      <c r="L1710" s="2" t="inlineStr">
        <is>
          <t>PriceCharting</t>
        </is>
      </c>
      <c r="M1710" s="4" t="inlineStr">
        <is>
          <t>https://www.pricecharting.com/game/pokemon-paradox-rift/triple-whammy-tin-tyranitar</t>
        </is>
      </c>
    </row>
    <row r="1711">
      <c r="A1711" s="2" t="inlineStr">
        <is>
          <t>Perfect Order Booster Bundle</t>
        </is>
      </c>
      <c r="B1711" s="3">
        <f>IF(H1711&lt;&gt;"",H1711,IF(I1711&lt;&gt;"",I1711,IF(J1711&lt;&gt;"",J1711,K1711)))</f>
        <v>39.95</v>
      </c>
      <c r="C1711" s="3">
        <f>MEDIAN(H1711:K1711)</f>
        <v>39.95</v>
      </c>
      <c r="D1711" s="3">
        <f>ROUND(C1711*(1-Settings!$B$2),2)</f>
        <v>27.97</v>
      </c>
      <c r="E1711" s="2" t="inlineStr">
        <is>
          <t>Pokemon</t>
        </is>
      </c>
      <c r="F1711" s="2" t="inlineStr">
        <is>
          <t>Coffret</t>
        </is>
      </c>
      <c r="G1711" s="2" t="inlineStr">
        <is>
          <t>Perfect Order</t>
        </is>
      </c>
      <c r="H1711" s="3" t="n">
        <v>39.95</v>
      </c>
      <c r="I1711" s="3" t="n"/>
      <c r="J1711" s="3" t="n"/>
      <c r="K1711" s="3" t="n"/>
      <c r="L1711" s="2" t="inlineStr">
        <is>
          <t>PriceCharting</t>
        </is>
      </c>
      <c r="M1711" s="4" t="inlineStr">
        <is>
          <t>https://www.pricecharting.com/game/pokemon-perfect-order/booster-bundle</t>
        </is>
      </c>
    </row>
    <row r="1712">
      <c r="A1712" s="2" t="inlineStr">
        <is>
          <t>Perfect Order Build &amp; Battle Box</t>
        </is>
      </c>
      <c r="B1712" s="3">
        <f>IF(H1712&lt;&gt;"",H1712,IF(I1712&lt;&gt;"",I1712,IF(J1712&lt;&gt;"",J1712,K1712)))</f>
        <v>38.0</v>
      </c>
      <c r="C1712" s="3">
        <f>MEDIAN(H1712:K1712)</f>
        <v>38.0</v>
      </c>
      <c r="D1712" s="3">
        <f>ROUND(C1712*(1-Settings!$B$2),2)</f>
        <v>26.6</v>
      </c>
      <c r="E1712" s="2" t="inlineStr">
        <is>
          <t>Pokemon</t>
        </is>
      </c>
      <c r="F1712" s="2" t="inlineStr">
        <is>
          <t>Coffret</t>
        </is>
      </c>
      <c r="G1712" s="2" t="inlineStr">
        <is>
          <t>Perfect Order</t>
        </is>
      </c>
      <c r="H1712" s="3" t="n">
        <v>38</v>
      </c>
      <c r="I1712" s="3" t="n"/>
      <c r="J1712" s="3" t="n"/>
      <c r="K1712" s="3" t="n"/>
      <c r="L1712" s="2" t="inlineStr">
        <is>
          <t>PriceCharting</t>
        </is>
      </c>
      <c r="M1712" s="4" t="inlineStr">
        <is>
          <t>https://www.pricecharting.com/game/pokemon-perfect-order/build-&amp;-battle-box</t>
        </is>
      </c>
    </row>
    <row r="1713">
      <c r="A1713" s="2" t="inlineStr">
        <is>
          <t>Perfect Order Elite Trainer Box</t>
        </is>
      </c>
      <c r="B1713" s="3">
        <f>IF(H1713&lt;&gt;"",H1713,IF(I1713&lt;&gt;"",I1713,IF(J1713&lt;&gt;"",J1713,K1713)))</f>
        <v>66.0</v>
      </c>
      <c r="C1713" s="3">
        <f>MEDIAN(H1713:K1713)</f>
        <v>66.0</v>
      </c>
      <c r="D1713" s="3">
        <f>ROUND(C1713*(1-Settings!$B$2),2)</f>
        <v>46.2</v>
      </c>
      <c r="E1713" s="2" t="inlineStr">
        <is>
          <t>Pokemon</t>
        </is>
      </c>
      <c r="F1713" s="2" t="inlineStr">
        <is>
          <t>Coffret</t>
        </is>
      </c>
      <c r="G1713" s="2" t="inlineStr">
        <is>
          <t>Perfect Order</t>
        </is>
      </c>
      <c r="H1713" s="3" t="n">
        <v>66</v>
      </c>
      <c r="I1713" s="3" t="n"/>
      <c r="J1713" s="3" t="n"/>
      <c r="K1713" s="3" t="n"/>
      <c r="L1713" s="2" t="inlineStr">
        <is>
          <t>PriceCharting</t>
        </is>
      </c>
      <c r="M1713" s="4" t="inlineStr">
        <is>
          <t>https://www.pricecharting.com/game/pokemon-perfect-order/elite-trainer-box</t>
        </is>
      </c>
    </row>
    <row r="1714">
      <c r="A1714" s="2" t="inlineStr">
        <is>
          <t>Perfect Order Elite Trainer Box [Pokemon Center]</t>
        </is>
      </c>
      <c r="B1714" s="3">
        <f>IF(H1714&lt;&gt;"",H1714,IF(I1714&lt;&gt;"",I1714,IF(J1714&lt;&gt;"",J1714,K1714)))</f>
        <v>121.69</v>
      </c>
      <c r="C1714" s="3">
        <f>MEDIAN(H1714:K1714)</f>
        <v>121.69</v>
      </c>
      <c r="D1714" s="3">
        <f>ROUND(C1714*(1-Settings!$B$2),2)</f>
        <v>85.18</v>
      </c>
      <c r="E1714" s="2" t="inlineStr">
        <is>
          <t>Pokemon</t>
        </is>
      </c>
      <c r="F1714" s="2" t="inlineStr">
        <is>
          <t>Coffret</t>
        </is>
      </c>
      <c r="G1714" s="2" t="inlineStr">
        <is>
          <t>Perfect Order</t>
        </is>
      </c>
      <c r="H1714" s="3" t="n">
        <v>121.69</v>
      </c>
      <c r="I1714" s="3" t="n"/>
      <c r="J1714" s="3" t="n"/>
      <c r="K1714" s="3" t="n"/>
      <c r="L1714" s="2" t="inlineStr">
        <is>
          <t>PriceCharting</t>
        </is>
      </c>
      <c r="M1714" s="4" t="inlineStr">
        <is>
          <t>https://www.pricecharting.com/game/pokemon-perfect-order/elite-trainer-box-pokemon-center</t>
        </is>
      </c>
    </row>
    <row r="1715">
      <c r="A1715" s="2" t="inlineStr">
        <is>
          <t>Phantasmal Flames Booster Bundle</t>
        </is>
      </c>
      <c r="B1715" s="3">
        <f>IF(H1715&lt;&gt;"",H1715,IF(I1715&lt;&gt;"",I1715,IF(J1715&lt;&gt;"",J1715,K1715)))</f>
        <v>75.0</v>
      </c>
      <c r="C1715" s="3">
        <f>MEDIAN(H1715:K1715)</f>
        <v>75.0</v>
      </c>
      <c r="D1715" s="3">
        <f>ROUND(C1715*(1-Settings!$B$2),2)</f>
        <v>52.5</v>
      </c>
      <c r="E1715" s="2" t="inlineStr">
        <is>
          <t>Pokemon</t>
        </is>
      </c>
      <c r="F1715" s="2" t="inlineStr">
        <is>
          <t>Coffret</t>
        </is>
      </c>
      <c r="G1715" s="2" t="inlineStr">
        <is>
          <t>Phantasmal Flames</t>
        </is>
      </c>
      <c r="H1715" s="3" t="n">
        <v>75</v>
      </c>
      <c r="I1715" s="3" t="n"/>
      <c r="J1715" s="3" t="n"/>
      <c r="K1715" s="3" t="n"/>
      <c r="L1715" s="2" t="inlineStr">
        <is>
          <t>PriceCharting</t>
        </is>
      </c>
      <c r="M1715" s="4" t="inlineStr">
        <is>
          <t>https://www.pricecharting.com/game/pokemon-phantasmal-flames/booster-bundle</t>
        </is>
      </c>
    </row>
    <row r="1716">
      <c r="A1716" s="2" t="inlineStr">
        <is>
          <t>Phantasmal Flames Build &amp; Battle Box</t>
        </is>
      </c>
      <c r="B1716" s="3">
        <f>IF(H1716&lt;&gt;"",H1716,IF(I1716&lt;&gt;"",I1716,IF(J1716&lt;&gt;"",J1716,K1716)))</f>
        <v>63.95</v>
      </c>
      <c r="C1716" s="3">
        <f>MEDIAN(H1716:K1716)</f>
        <v>63.95</v>
      </c>
      <c r="D1716" s="3">
        <f>ROUND(C1716*(1-Settings!$B$2),2)</f>
        <v>44.77</v>
      </c>
      <c r="E1716" s="2" t="inlineStr">
        <is>
          <t>Pokemon</t>
        </is>
      </c>
      <c r="F1716" s="2" t="inlineStr">
        <is>
          <t>Coffret</t>
        </is>
      </c>
      <c r="G1716" s="2" t="inlineStr">
        <is>
          <t>Phantasmal Flames</t>
        </is>
      </c>
      <c r="H1716" s="3" t="n">
        <v>63.95</v>
      </c>
      <c r="I1716" s="3" t="n"/>
      <c r="J1716" s="3" t="n"/>
      <c r="K1716" s="3" t="n"/>
      <c r="L1716" s="2" t="inlineStr">
        <is>
          <t>PriceCharting</t>
        </is>
      </c>
      <c r="M1716" s="4" t="inlineStr">
        <is>
          <t>https://www.pricecharting.com/game/pokemon-phantasmal-flames/build-&amp;-battle-box</t>
        </is>
      </c>
    </row>
    <row r="1717">
      <c r="A1717" s="2" t="inlineStr">
        <is>
          <t>Phantasmal Flames Elite Trainer Box</t>
        </is>
      </c>
      <c r="B1717" s="3">
        <f>IF(H1717&lt;&gt;"",H1717,IF(I1717&lt;&gt;"",I1717,IF(J1717&lt;&gt;"",J1717,K1717)))</f>
        <v>148.19</v>
      </c>
      <c r="C1717" s="3">
        <f>MEDIAN(H1717:K1717)</f>
        <v>148.19</v>
      </c>
      <c r="D1717" s="3">
        <f>ROUND(C1717*(1-Settings!$B$2),2)</f>
        <v>103.73</v>
      </c>
      <c r="E1717" s="2" t="inlineStr">
        <is>
          <t>Pokemon</t>
        </is>
      </c>
      <c r="F1717" s="2" t="inlineStr">
        <is>
          <t>Coffret</t>
        </is>
      </c>
      <c r="G1717" s="2" t="inlineStr">
        <is>
          <t>Phantasmal Flames</t>
        </is>
      </c>
      <c r="H1717" s="3" t="n">
        <v>148.19</v>
      </c>
      <c r="I1717" s="3" t="n"/>
      <c r="J1717" s="3" t="n"/>
      <c r="K1717" s="3" t="n"/>
      <c r="L1717" s="2" t="inlineStr">
        <is>
          <t>PriceCharting</t>
        </is>
      </c>
      <c r="M1717" s="4" t="inlineStr">
        <is>
          <t>https://www.pricecharting.com/game/pokemon-phantasmal-flames/elite-trainer-box</t>
        </is>
      </c>
    </row>
    <row r="1718">
      <c r="A1718" s="2" t="inlineStr">
        <is>
          <t>Phantasmal Flames Elite Trainer Box [Pokemon Center]</t>
        </is>
      </c>
      <c r="B1718" s="3">
        <f>IF(H1718&lt;&gt;"",H1718,IF(I1718&lt;&gt;"",I1718,IF(J1718&lt;&gt;"",J1718,K1718)))</f>
        <v>277.5</v>
      </c>
      <c r="C1718" s="3">
        <f>MEDIAN(H1718:K1718)</f>
        <v>277.5</v>
      </c>
      <c r="D1718" s="3">
        <f>ROUND(C1718*(1-Settings!$B$2),2)</f>
        <v>194.25</v>
      </c>
      <c r="E1718" s="2" t="inlineStr">
        <is>
          <t>Pokemon</t>
        </is>
      </c>
      <c r="F1718" s="2" t="inlineStr">
        <is>
          <t>Coffret</t>
        </is>
      </c>
      <c r="G1718" s="2" t="inlineStr">
        <is>
          <t>Phantasmal Flames</t>
        </is>
      </c>
      <c r="H1718" s="3" t="n">
        <v>277.5</v>
      </c>
      <c r="I1718" s="3" t="n"/>
      <c r="J1718" s="3" t="n"/>
      <c r="K1718" s="3" t="n"/>
      <c r="L1718" s="2" t="inlineStr">
        <is>
          <t>PriceCharting</t>
        </is>
      </c>
      <c r="M1718" s="4" t="inlineStr">
        <is>
          <t>https://www.pricecharting.com/game/pokemon-phantasmal-flames/elite-trainer-box-pokemon-center</t>
        </is>
      </c>
    </row>
    <row r="1719">
      <c r="A1719" s="2" t="inlineStr">
        <is>
          <t>Phantasmal Flames Mega Charizard X Ex Ultra-Premium Collection</t>
        </is>
      </c>
      <c r="B1719" s="3">
        <f>IF(H1719&lt;&gt;"",H1719,IF(I1719&lt;&gt;"",I1719,IF(J1719&lt;&gt;"",J1719,K1719)))</f>
        <v>229.97</v>
      </c>
      <c r="C1719" s="3">
        <f>MEDIAN(H1719:K1719)</f>
        <v>229.97</v>
      </c>
      <c r="D1719" s="3">
        <f>ROUND(C1719*(1-Settings!$B$2),2)</f>
        <v>160.98</v>
      </c>
      <c r="E1719" s="2" t="inlineStr">
        <is>
          <t>Pokemon</t>
        </is>
      </c>
      <c r="F1719" s="2" t="inlineStr">
        <is>
          <t>Coffret</t>
        </is>
      </c>
      <c r="G1719" s="2" t="inlineStr">
        <is>
          <t>Phantasmal Flames</t>
        </is>
      </c>
      <c r="H1719" s="3" t="n">
        <v>229.97</v>
      </c>
      <c r="I1719" s="3" t="n"/>
      <c r="J1719" s="3" t="n"/>
      <c r="K1719" s="3" t="n"/>
      <c r="L1719" s="2" t="inlineStr">
        <is>
          <t>PriceCharting</t>
        </is>
      </c>
      <c r="M1719" s="4" t="inlineStr">
        <is>
          <t>https://www.pricecharting.com/game/pokemon-phantasmal-flames/mega-charizard-x-ex-ultra-premium-collection</t>
        </is>
      </c>
    </row>
    <row r="1720">
      <c r="A1720" s="2" t="inlineStr">
        <is>
          <t>Phantom Forces 3-Pack Blister</t>
        </is>
      </c>
      <c r="B1720" s="3">
        <f>IF(H1720&lt;&gt;"",H1720,IF(I1720&lt;&gt;"",I1720,IF(J1720&lt;&gt;"",J1720,K1720)))</f>
        <v>649.99</v>
      </c>
      <c r="C1720" s="3">
        <f>MEDIAN(H1720:K1720)</f>
        <v>649.99</v>
      </c>
      <c r="D1720" s="3">
        <f>ROUND(C1720*(1-Settings!$B$2),2)</f>
        <v>454.99</v>
      </c>
      <c r="E1720" s="2" t="inlineStr">
        <is>
          <t>Pokemon</t>
        </is>
      </c>
      <c r="F1720" s="2" t="inlineStr">
        <is>
          <t>Coffret</t>
        </is>
      </c>
      <c r="G1720" s="2" t="inlineStr">
        <is>
          <t>Phantom Forces</t>
        </is>
      </c>
      <c r="H1720" s="3" t="n">
        <v>649.99</v>
      </c>
      <c r="I1720" s="3" t="n"/>
      <c r="J1720" s="3" t="n"/>
      <c r="K1720" s="3" t="n"/>
      <c r="L1720" s="2" t="inlineStr">
        <is>
          <t>PriceCharting</t>
        </is>
      </c>
      <c r="M1720" s="4" t="inlineStr">
        <is>
          <t>https://www.pricecharting.com/game/pokemon-phantom-forces/3-pack-blister</t>
        </is>
      </c>
    </row>
    <row r="1721">
      <c r="A1721" s="2" t="inlineStr">
        <is>
          <t>Pikachu World Collection Promo Set (2010)</t>
        </is>
      </c>
      <c r="B1721" s="3">
        <f>IF(H1721&lt;&gt;"",H1721,IF(I1721&lt;&gt;"",I1721,IF(J1721&lt;&gt;"",J1721,K1721)))</f>
        <v>450.0</v>
      </c>
      <c r="C1721" s="3">
        <f>MEDIAN(H1721:K1721)</f>
        <v>450.0</v>
      </c>
      <c r="D1721" s="3">
        <f>ROUND(C1721*(1-Settings!$B$2),2)</f>
        <v>315.0</v>
      </c>
      <c r="E1721" s="2" t="inlineStr">
        <is>
          <t>Pokemon</t>
        </is>
      </c>
      <c r="F1721" s="2" t="inlineStr">
        <is>
          <t>Coffret</t>
        </is>
      </c>
      <c r="G1721" s="2" t="inlineStr">
        <is>
          <t>Pikachu World Collection Promos</t>
        </is>
      </c>
      <c r="H1721" s="3" t="n"/>
      <c r="I1721" s="3" t="n"/>
      <c r="J1721" s="3" t="n"/>
      <c r="K1721" s="3" t="n">
        <v>450</v>
      </c>
      <c r="L1721" s="2" t="inlineStr">
        <is>
          <t>TCGplayer</t>
        </is>
      </c>
      <c r="N1721" s="4" t="inlineStr">
        <is>
          <t>https://www.tcgplayer.com/product/215162</t>
        </is>
      </c>
    </row>
    <row r="1722">
      <c r="A1722" s="2" t="inlineStr">
        <is>
          <t>Pitch Black 3-Pack Blister</t>
        </is>
      </c>
      <c r="B1722" s="3">
        <f>IF(H1722&lt;&gt;"",H1722,IF(I1722&lt;&gt;"",I1722,IF(J1722&lt;&gt;"",J1722,K1722)))</f>
        <v>20.8</v>
      </c>
      <c r="C1722" s="3">
        <f>MEDIAN(H1722:K1722)</f>
        <v>20.8</v>
      </c>
      <c r="D1722" s="3">
        <f>ROUND(C1722*(1-Settings!$B$2),2)</f>
        <v>14.56</v>
      </c>
      <c r="E1722" s="2" t="inlineStr">
        <is>
          <t>Pokemon</t>
        </is>
      </c>
      <c r="F1722" s="2" t="inlineStr">
        <is>
          <t>Coffret</t>
        </is>
      </c>
      <c r="G1722" s="2" t="inlineStr">
        <is>
          <t>Pitch Black</t>
        </is>
      </c>
      <c r="H1722" s="3" t="n">
        <v>20.8</v>
      </c>
      <c r="I1722" s="3" t="n"/>
      <c r="J1722" s="3" t="n"/>
      <c r="K1722" s="3" t="n"/>
      <c r="L1722" s="2" t="inlineStr">
        <is>
          <t>PriceCharting</t>
        </is>
      </c>
      <c r="M1722" s="4" t="inlineStr">
        <is>
          <t>https://www.pricecharting.com/game/pokemon-pitch-black/3-pack-blister</t>
        </is>
      </c>
    </row>
    <row r="1723">
      <c r="A1723" s="2" t="inlineStr">
        <is>
          <t>Pitch Black Booster Bundle</t>
        </is>
      </c>
      <c r="B1723" s="3">
        <f>IF(H1723&lt;&gt;"",H1723,IF(I1723&lt;&gt;"",I1723,IF(J1723&lt;&gt;"",J1723,K1723)))</f>
        <v>39.19</v>
      </c>
      <c r="C1723" s="3">
        <f>MEDIAN(H1723:K1723)</f>
        <v>39.19</v>
      </c>
      <c r="D1723" s="3">
        <f>ROUND(C1723*(1-Settings!$B$2),2)</f>
        <v>27.43</v>
      </c>
      <c r="E1723" s="2" t="inlineStr">
        <is>
          <t>Pokemon</t>
        </is>
      </c>
      <c r="F1723" s="2" t="inlineStr">
        <is>
          <t>Coffret</t>
        </is>
      </c>
      <c r="G1723" s="2" t="inlineStr">
        <is>
          <t>Pitch Black</t>
        </is>
      </c>
      <c r="H1723" s="3" t="n">
        <v>39.19</v>
      </c>
      <c r="I1723" s="3" t="n"/>
      <c r="J1723" s="3" t="n"/>
      <c r="K1723" s="3" t="n"/>
      <c r="L1723" s="2" t="inlineStr">
        <is>
          <t>PriceCharting</t>
        </is>
      </c>
      <c r="M1723" s="4" t="inlineStr">
        <is>
          <t>https://www.pricecharting.com/game/pokemon-pitch-black/booster-bundle</t>
        </is>
      </c>
    </row>
    <row r="1724">
      <c r="A1724" s="2" t="inlineStr">
        <is>
          <t>Pitch Black Build &amp; Battle Box</t>
        </is>
      </c>
      <c r="B1724" s="3">
        <f>IF(H1724&lt;&gt;"",H1724,IF(I1724&lt;&gt;"",I1724,IF(J1724&lt;&gt;"",J1724,K1724)))</f>
        <v>38.39</v>
      </c>
      <c r="C1724" s="3">
        <f>MEDIAN(H1724:K1724)</f>
        <v>38.39</v>
      </c>
      <c r="D1724" s="3">
        <f>ROUND(C1724*(1-Settings!$B$2),2)</f>
        <v>26.87</v>
      </c>
      <c r="E1724" s="2" t="inlineStr">
        <is>
          <t>Pokemon</t>
        </is>
      </c>
      <c r="F1724" s="2" t="inlineStr">
        <is>
          <t>Coffret</t>
        </is>
      </c>
      <c r="G1724" s="2" t="inlineStr">
        <is>
          <t>Pitch Black</t>
        </is>
      </c>
      <c r="H1724" s="3" t="n">
        <v>38.39</v>
      </c>
      <c r="I1724" s="3" t="n"/>
      <c r="J1724" s="3" t="n"/>
      <c r="K1724" s="3" t="n"/>
      <c r="L1724" s="2" t="inlineStr">
        <is>
          <t>PriceCharting</t>
        </is>
      </c>
      <c r="M1724" s="4" t="inlineStr">
        <is>
          <t>https://www.pricecharting.com/game/pokemon-pitch-black/build-&amp;-battle-box</t>
        </is>
      </c>
    </row>
    <row r="1725">
      <c r="A1725" s="2" t="inlineStr">
        <is>
          <t>Pitch Black Elite Trainer Box</t>
        </is>
      </c>
      <c r="B1725" s="3">
        <f>IF(H1725&lt;&gt;"",H1725,IF(I1725&lt;&gt;"",I1725,IF(J1725&lt;&gt;"",J1725,K1725)))</f>
        <v>70.0</v>
      </c>
      <c r="C1725" s="3">
        <f>MEDIAN(H1725:K1725)</f>
        <v>70.0</v>
      </c>
      <c r="D1725" s="3">
        <f>ROUND(C1725*(1-Settings!$B$2),2)</f>
        <v>49.0</v>
      </c>
      <c r="E1725" s="2" t="inlineStr">
        <is>
          <t>Pokemon</t>
        </is>
      </c>
      <c r="F1725" s="2" t="inlineStr">
        <is>
          <t>Coffret</t>
        </is>
      </c>
      <c r="G1725" s="2" t="inlineStr">
        <is>
          <t>Pitch Black</t>
        </is>
      </c>
      <c r="H1725" s="3" t="n">
        <v>70</v>
      </c>
      <c r="I1725" s="3" t="n"/>
      <c r="J1725" s="3" t="n"/>
      <c r="K1725" s="3" t="n"/>
      <c r="L1725" s="2" t="inlineStr">
        <is>
          <t>PriceCharting</t>
        </is>
      </c>
      <c r="M1725" s="4" t="inlineStr">
        <is>
          <t>https://www.pricecharting.com/game/pokemon-pitch-black/elite-trainer-box</t>
        </is>
      </c>
    </row>
    <row r="1726">
      <c r="A1726" s="2" t="inlineStr">
        <is>
          <t>Pitch Black Elite Trainer Box [Pokemon Center]</t>
        </is>
      </c>
      <c r="B1726" s="3">
        <f>IF(H1726&lt;&gt;"",H1726,IF(I1726&lt;&gt;"",I1726,IF(J1726&lt;&gt;"",J1726,K1726)))</f>
        <v>124.44</v>
      </c>
      <c r="C1726" s="3">
        <f>MEDIAN(H1726:K1726)</f>
        <v>124.44</v>
      </c>
      <c r="D1726" s="3">
        <f>ROUND(C1726*(1-Settings!$B$2),2)</f>
        <v>87.11</v>
      </c>
      <c r="E1726" s="2" t="inlineStr">
        <is>
          <t>Pokemon</t>
        </is>
      </c>
      <c r="F1726" s="2" t="inlineStr">
        <is>
          <t>Coffret</t>
        </is>
      </c>
      <c r="G1726" s="2" t="inlineStr">
        <is>
          <t>Pitch Black</t>
        </is>
      </c>
      <c r="H1726" s="3" t="n">
        <v>124.44</v>
      </c>
      <c r="I1726" s="3" t="n"/>
      <c r="J1726" s="3" t="n"/>
      <c r="K1726" s="3" t="n"/>
      <c r="L1726" s="2" t="inlineStr">
        <is>
          <t>PriceCharting</t>
        </is>
      </c>
      <c r="M1726" s="4" t="inlineStr">
        <is>
          <t>https://www.pricecharting.com/game/pokemon-pitch-black/elite-trainer-box-pokemon-center</t>
        </is>
      </c>
    </row>
    <row r="1727">
      <c r="A1727" s="2" t="inlineStr">
        <is>
          <t>Plasma Blast Elite Trainer Box</t>
        </is>
      </c>
      <c r="B1727" s="3">
        <f>IF(H1727&lt;&gt;"",H1727,IF(I1727&lt;&gt;"",I1727,IF(J1727&lt;&gt;"",J1727,K1727)))</f>
        <v>6349.5</v>
      </c>
      <c r="C1727" s="3">
        <f>MEDIAN(H1727:K1727)</f>
        <v>6349.5</v>
      </c>
      <c r="D1727" s="3">
        <f>ROUND(C1727*(1-Settings!$B$2),2)</f>
        <v>4444.65</v>
      </c>
      <c r="E1727" s="2" t="inlineStr">
        <is>
          <t>Pokemon</t>
        </is>
      </c>
      <c r="F1727" s="2" t="inlineStr">
        <is>
          <t>Coffret</t>
        </is>
      </c>
      <c r="G1727" s="2" t="inlineStr">
        <is>
          <t>Plasma Blast</t>
        </is>
      </c>
      <c r="H1727" s="3" t="n">
        <v>6349.5</v>
      </c>
      <c r="I1727" s="3" t="n"/>
      <c r="J1727" s="3" t="n"/>
      <c r="K1727" s="3" t="n"/>
      <c r="L1727" s="2" t="inlineStr">
        <is>
          <t>PriceCharting</t>
        </is>
      </c>
      <c r="M1727" s="4" t="inlineStr">
        <is>
          <t>https://www.pricecharting.com/game/pokemon-plasma-blast/elite-trainer-box</t>
        </is>
      </c>
    </row>
    <row r="1728">
      <c r="A1728" s="2" t="inlineStr">
        <is>
          <t>Team Plasma Tin [Deoxys EX]</t>
        </is>
      </c>
      <c r="B1728" s="3">
        <f>IF(H1728&lt;&gt;"",H1728,IF(I1728&lt;&gt;"",I1728,IF(J1728&lt;&gt;"",J1728,K1728)))</f>
        <v>1000.0</v>
      </c>
      <c r="C1728" s="3">
        <f>MEDIAN(H1728:K1728)</f>
        <v>19999.99</v>
      </c>
      <c r="D1728" s="3">
        <f>ROUND(C1728*(1-Settings!$B$2),2)</f>
        <v>13999.99</v>
      </c>
      <c r="E1728" s="2" t="inlineStr">
        <is>
          <t>Pokemon</t>
        </is>
      </c>
      <c r="F1728" s="2" t="inlineStr">
        <is>
          <t>Coffret</t>
        </is>
      </c>
      <c r="G1728" s="2" t="inlineStr">
        <is>
          <t>Plasma Blast</t>
        </is>
      </c>
      <c r="H1728" s="3" t="n"/>
      <c r="I1728" s="3" t="n">
        <v>1000</v>
      </c>
      <c r="J1728" s="3" t="n">
        <v>19999.99</v>
      </c>
      <c r="K1728" s="3" t="n">
        <v>19999.99</v>
      </c>
      <c r="L1728" s="2" t="inlineStr">
        <is>
          <t>TCGplayer</t>
        </is>
      </c>
      <c r="N1728" s="4" t="inlineStr">
        <is>
          <t>https://www.tcgplayer.com/product/137096</t>
        </is>
      </c>
    </row>
    <row r="1729">
      <c r="A1729" s="2" t="inlineStr">
        <is>
          <t>Team Plasma Tin [Lugia EX]</t>
        </is>
      </c>
      <c r="B1729" s="3">
        <f>IF(H1729&lt;&gt;"",H1729,IF(I1729&lt;&gt;"",I1729,IF(J1729&lt;&gt;"",J1729,K1729)))</f>
        <v>3500.0</v>
      </c>
      <c r="C1729" s="3">
        <f>MEDIAN(H1729:K1729)</f>
        <v>3500.0</v>
      </c>
      <c r="D1729" s="3">
        <f>ROUND(C1729*(1-Settings!$B$2),2)</f>
        <v>2450.0</v>
      </c>
      <c r="E1729" s="2" t="inlineStr">
        <is>
          <t>Pokemon</t>
        </is>
      </c>
      <c r="F1729" s="2" t="inlineStr">
        <is>
          <t>Coffret</t>
        </is>
      </c>
      <c r="G1729" s="2" t="inlineStr">
        <is>
          <t>Plasma Blast</t>
        </is>
      </c>
      <c r="H1729" s="3" t="n"/>
      <c r="I1729" s="3" t="n"/>
      <c r="J1729" s="3" t="n">
        <v>3500</v>
      </c>
      <c r="K1729" s="3" t="n">
        <v>3500</v>
      </c>
      <c r="L1729" s="2" t="inlineStr">
        <is>
          <t>TCGplayer</t>
        </is>
      </c>
      <c r="N1729" s="4" t="inlineStr">
        <is>
          <t>https://www.tcgplayer.com/product/137095</t>
        </is>
      </c>
    </row>
    <row r="1730">
      <c r="A1730" s="2" t="inlineStr">
        <is>
          <t>Plasma Storm 2-Pack Blister</t>
        </is>
      </c>
      <c r="B1730" s="3">
        <f>IF(H1730&lt;&gt;"",H1730,IF(I1730&lt;&gt;"",I1730,IF(J1730&lt;&gt;"",J1730,K1730)))</f>
        <v>654.9</v>
      </c>
      <c r="C1730" s="3">
        <f>MEDIAN(H1730:K1730)</f>
        <v>654.9</v>
      </c>
      <c r="D1730" s="3">
        <f>ROUND(C1730*(1-Settings!$B$2),2)</f>
        <v>458.43</v>
      </c>
      <c r="E1730" s="2" t="inlineStr">
        <is>
          <t>Pokemon</t>
        </is>
      </c>
      <c r="F1730" s="2" t="inlineStr">
        <is>
          <t>Coffret</t>
        </is>
      </c>
      <c r="G1730" s="2" t="inlineStr">
        <is>
          <t>Plasma Storm</t>
        </is>
      </c>
      <c r="H1730" s="3" t="n">
        <v>654.9</v>
      </c>
      <c r="I1730" s="3" t="n"/>
      <c r="J1730" s="3" t="n"/>
      <c r="K1730" s="3" t="n"/>
      <c r="L1730" s="2" t="inlineStr">
        <is>
          <t>PriceCharting</t>
        </is>
      </c>
      <c r="M1730" s="4" t="inlineStr">
        <is>
          <t>https://www.pricecharting.com/game/pokemon-plasma-storm/2-pack-blister</t>
        </is>
      </c>
    </row>
    <row r="1731">
      <c r="A1731" s="2" t="inlineStr">
        <is>
          <t>Plasma Storm Elite Trainer Box</t>
        </is>
      </c>
      <c r="B1731" s="3">
        <f>IF(H1731&lt;&gt;"",H1731,IF(I1731&lt;&gt;"",I1731,IF(J1731&lt;&gt;"",J1731,K1731)))</f>
        <v>14450.0</v>
      </c>
      <c r="C1731" s="3">
        <f>MEDIAN(H1731:K1731)</f>
        <v>14450.0</v>
      </c>
      <c r="D1731" s="3">
        <f>ROUND(C1731*(1-Settings!$B$2),2)</f>
        <v>10115.0</v>
      </c>
      <c r="E1731" s="2" t="inlineStr">
        <is>
          <t>Pokemon</t>
        </is>
      </c>
      <c r="F1731" s="2" t="inlineStr">
        <is>
          <t>Coffret</t>
        </is>
      </c>
      <c r="G1731" s="2" t="inlineStr">
        <is>
          <t>Plasma Storm</t>
        </is>
      </c>
      <c r="H1731" s="3" t="n">
        <v>14450</v>
      </c>
      <c r="I1731" s="3" t="n"/>
      <c r="J1731" s="3" t="n"/>
      <c r="K1731" s="3" t="n"/>
      <c r="L1731" s="2" t="inlineStr">
        <is>
          <t>PriceCharting</t>
        </is>
      </c>
      <c r="M1731" s="4" t="inlineStr">
        <is>
          <t>https://www.pricecharting.com/game/pokemon-plasma-storm/elite-trainer-box</t>
        </is>
      </c>
    </row>
    <row r="1732">
      <c r="A1732" s="2" t="inlineStr">
        <is>
          <t>Plasma Storm Garchomp EX Collection Box</t>
        </is>
      </c>
      <c r="B1732" s="3">
        <f>IF(H1732&lt;&gt;"",H1732,IF(I1732&lt;&gt;"",I1732,IF(J1732&lt;&gt;"",J1732,K1732)))</f>
        <v>378.98</v>
      </c>
      <c r="C1732" s="3">
        <f>MEDIAN(H1732:K1732)</f>
        <v>378.98</v>
      </c>
      <c r="D1732" s="3">
        <f>ROUND(C1732*(1-Settings!$B$2),2)</f>
        <v>265.29</v>
      </c>
      <c r="E1732" s="2" t="inlineStr">
        <is>
          <t>Pokemon</t>
        </is>
      </c>
      <c r="F1732" s="2" t="inlineStr">
        <is>
          <t>Coffret</t>
        </is>
      </c>
      <c r="G1732" s="2" t="inlineStr">
        <is>
          <t>Plasma Storm</t>
        </is>
      </c>
      <c r="H1732" s="3" t="n">
        <v>378.98</v>
      </c>
      <c r="I1732" s="3" t="n"/>
      <c r="J1732" s="3" t="n"/>
      <c r="K1732" s="3" t="n"/>
      <c r="L1732" s="2" t="inlineStr">
        <is>
          <t>PriceCharting</t>
        </is>
      </c>
      <c r="M1732" s="4" t="inlineStr">
        <is>
          <t>https://www.pricecharting.com/game/pokemon-plasma-storm/garchomp-ex-collection-box</t>
        </is>
      </c>
    </row>
    <row r="1733">
      <c r="A1733" s="2" t="inlineStr">
        <is>
          <t>Platinum Series Collection</t>
        </is>
      </c>
      <c r="B1733" s="3">
        <f>IF(H1733&lt;&gt;"",H1733,IF(I1733&lt;&gt;"",I1733,IF(J1733&lt;&gt;"",J1733,K1733)))</f>
        <v>4600.0</v>
      </c>
      <c r="C1733" s="3">
        <f>MEDIAN(H1733:K1733)</f>
        <v>4600.0</v>
      </c>
      <c r="D1733" s="3">
        <f>ROUND(C1733*(1-Settings!$B$2),2)</f>
        <v>3220.0</v>
      </c>
      <c r="E1733" s="2" t="inlineStr">
        <is>
          <t>Pokemon</t>
        </is>
      </c>
      <c r="F1733" s="2" t="inlineStr">
        <is>
          <t>Coffret</t>
        </is>
      </c>
      <c r="G1733" s="2" t="inlineStr">
        <is>
          <t>Platinum</t>
        </is>
      </c>
      <c r="H1733" s="3" t="n">
        <v>4600</v>
      </c>
      <c r="I1733" s="3" t="n"/>
      <c r="J1733" s="3" t="n"/>
      <c r="K1733" s="3" t="n"/>
      <c r="L1733" s="2" t="inlineStr">
        <is>
          <t>PriceCharting</t>
        </is>
      </c>
      <c r="M1733" s="4" t="inlineStr">
        <is>
          <t>https://www.pricecharting.com/game/pokemon-platinum/platinum-series-collection</t>
        </is>
      </c>
    </row>
    <row r="1734">
      <c r="A1734" s="2" t="inlineStr">
        <is>
          <t>Pokemon GO Collection [Alolan Exeggutor V]</t>
        </is>
      </c>
      <c r="B1734" s="3">
        <f>IF(H1734&lt;&gt;"",H1734,IF(I1734&lt;&gt;"",I1734,IF(J1734&lt;&gt;"",J1734,K1734)))</f>
        <v>52.67</v>
      </c>
      <c r="C1734" s="3">
        <f>MEDIAN(H1734:K1734)</f>
        <v>52.67</v>
      </c>
      <c r="D1734" s="3">
        <f>ROUND(C1734*(1-Settings!$B$2),2)</f>
        <v>36.87</v>
      </c>
      <c r="E1734" s="2" t="inlineStr">
        <is>
          <t>Pokemon</t>
        </is>
      </c>
      <c r="F1734" s="2" t="inlineStr">
        <is>
          <t>Coffret</t>
        </is>
      </c>
      <c r="G1734" s="2" t="inlineStr">
        <is>
          <t>Pokemon GO</t>
        </is>
      </c>
      <c r="H1734" s="3" t="n"/>
      <c r="I1734" s="3" t="n">
        <v>52.67</v>
      </c>
      <c r="J1734" s="3" t="n">
        <v>58.49</v>
      </c>
      <c r="K1734" s="3" t="n">
        <v>52.67</v>
      </c>
      <c r="L1734" s="2" t="inlineStr">
        <is>
          <t>TCGplayer</t>
        </is>
      </c>
      <c r="N1734" s="4" t="inlineStr">
        <is>
          <t>https://www.tcgplayer.com/product/270716</t>
        </is>
      </c>
    </row>
    <row r="1735">
      <c r="A1735" s="2" t="inlineStr">
        <is>
          <t>Pokemon GO Elite Trainer Box</t>
        </is>
      </c>
      <c r="B1735" s="3">
        <f>IF(H1735&lt;&gt;"",H1735,IF(I1735&lt;&gt;"",I1735,IF(J1735&lt;&gt;"",J1735,K1735)))</f>
        <v>170.47</v>
      </c>
      <c r="C1735" s="3">
        <f>MEDIAN(H1735:K1735)</f>
        <v>170.47</v>
      </c>
      <c r="D1735" s="3">
        <f>ROUND(C1735*(1-Settings!$B$2),2)</f>
        <v>119.33</v>
      </c>
      <c r="E1735" s="2" t="inlineStr">
        <is>
          <t>Pokemon</t>
        </is>
      </c>
      <c r="F1735" s="2" t="inlineStr">
        <is>
          <t>Coffret</t>
        </is>
      </c>
      <c r="G1735" s="2" t="inlineStr">
        <is>
          <t>Pokemon GO</t>
        </is>
      </c>
      <c r="H1735" s="3" t="n"/>
      <c r="I1735" s="3" t="n">
        <v>170.47</v>
      </c>
      <c r="J1735" s="3" t="n">
        <v>179.99</v>
      </c>
      <c r="K1735" s="3" t="n">
        <v>159.55</v>
      </c>
      <c r="L1735" s="2" t="inlineStr">
        <is>
          <t>TCGplayer</t>
        </is>
      </c>
      <c r="N1735" s="4" t="inlineStr">
        <is>
          <t>https://www.tcgplayer.com/product/270708</t>
        </is>
      </c>
    </row>
    <row r="1736">
      <c r="A1736" s="2" t="inlineStr">
        <is>
          <t>Pokemon GO Mini Tin [Blissey]</t>
        </is>
      </c>
      <c r="B1736" s="3">
        <f>IF(H1736&lt;&gt;"",H1736,IF(I1736&lt;&gt;"",I1736,IF(J1736&lt;&gt;"",J1736,K1736)))</f>
        <v>27.92</v>
      </c>
      <c r="C1736" s="3">
        <f>MEDIAN(H1736:K1736)</f>
        <v>45.0</v>
      </c>
      <c r="D1736" s="3">
        <f>ROUND(C1736*(1-Settings!$B$2),2)</f>
        <v>31.5</v>
      </c>
      <c r="E1736" s="2" t="inlineStr">
        <is>
          <t>Pokemon</t>
        </is>
      </c>
      <c r="F1736" s="2" t="inlineStr">
        <is>
          <t>Coffret</t>
        </is>
      </c>
      <c r="G1736" s="2" t="inlineStr">
        <is>
          <t>Pokemon GO</t>
        </is>
      </c>
      <c r="H1736" s="3" t="n"/>
      <c r="I1736" s="3" t="n">
        <v>27.92</v>
      </c>
      <c r="J1736" s="3" t="n">
        <v>49.69</v>
      </c>
      <c r="K1736" s="3" t="n">
        <v>45</v>
      </c>
      <c r="L1736" s="2" t="inlineStr">
        <is>
          <t>TCGplayer</t>
        </is>
      </c>
      <c r="N1736" s="4" t="inlineStr">
        <is>
          <t>https://www.tcgplayer.com/product/270729</t>
        </is>
      </c>
    </row>
    <row r="1737">
      <c r="A1737" s="2" t="inlineStr">
        <is>
          <t>Pokemon GO Mini Tin [Eevee]</t>
        </is>
      </c>
      <c r="B1737" s="3">
        <f>IF(H1737&lt;&gt;"",H1737,IF(I1737&lt;&gt;"",I1737,IF(J1737&lt;&gt;"",J1737,K1737)))</f>
        <v>34.77</v>
      </c>
      <c r="C1737" s="3">
        <f>MEDIAN(H1737:K1737)</f>
        <v>34.77</v>
      </c>
      <c r="D1737" s="3">
        <f>ROUND(C1737*(1-Settings!$B$2),2)</f>
        <v>24.34</v>
      </c>
      <c r="E1737" s="2" t="inlineStr">
        <is>
          <t>Pokemon</t>
        </is>
      </c>
      <c r="F1737" s="2" t="inlineStr">
        <is>
          <t>Coffret</t>
        </is>
      </c>
      <c r="G1737" s="2" t="inlineStr">
        <is>
          <t>Pokemon GO</t>
        </is>
      </c>
      <c r="H1737" s="3" t="n"/>
      <c r="I1737" s="3" t="n">
        <v>34.77</v>
      </c>
      <c r="J1737" s="3" t="n">
        <v>49.83</v>
      </c>
      <c r="K1737" s="3" t="n">
        <v>10</v>
      </c>
      <c r="L1737" s="2" t="inlineStr">
        <is>
          <t>TCGplayer</t>
        </is>
      </c>
      <c r="N1737" s="4" t="inlineStr">
        <is>
          <t>https://www.tcgplayer.com/product/270731</t>
        </is>
      </c>
    </row>
    <row r="1738">
      <c r="A1738" s="2" t="inlineStr">
        <is>
          <t>Pokemon GO Mini Tin [Magikarp]</t>
        </is>
      </c>
      <c r="B1738" s="3">
        <f>IF(H1738&lt;&gt;"",H1738,IF(I1738&lt;&gt;"",I1738,IF(J1738&lt;&gt;"",J1738,K1738)))</f>
        <v>48.56</v>
      </c>
      <c r="C1738" s="3">
        <f>MEDIAN(H1738:K1738)</f>
        <v>61.97</v>
      </c>
      <c r="D1738" s="3">
        <f>ROUND(C1738*(1-Settings!$B$2),2)</f>
        <v>43.38</v>
      </c>
      <c r="E1738" s="2" t="inlineStr">
        <is>
          <t>Pokemon</t>
        </is>
      </c>
      <c r="F1738" s="2" t="inlineStr">
        <is>
          <t>Coffret</t>
        </is>
      </c>
      <c r="G1738" s="2" t="inlineStr">
        <is>
          <t>Pokemon GO</t>
        </is>
      </c>
      <c r="H1738" s="3" t="n"/>
      <c r="I1738" s="3" t="n">
        <v>48.56</v>
      </c>
      <c r="J1738" s="3" t="n">
        <v>70.97</v>
      </c>
      <c r="K1738" s="3" t="n">
        <v>61.97</v>
      </c>
      <c r="L1738" s="2" t="inlineStr">
        <is>
          <t>TCGplayer</t>
        </is>
      </c>
      <c r="N1738" s="4" t="inlineStr">
        <is>
          <t>https://www.tcgplayer.com/product/270728</t>
        </is>
      </c>
    </row>
    <row r="1739">
      <c r="A1739" s="2" t="inlineStr">
        <is>
          <t>Pokemon GO Mini Tin [Pikachu]</t>
        </is>
      </c>
      <c r="B1739" s="3">
        <f>IF(H1739&lt;&gt;"",H1739,IF(I1739&lt;&gt;"",I1739,IF(J1739&lt;&gt;"",J1739,K1739)))</f>
        <v>32.0</v>
      </c>
      <c r="C1739" s="3">
        <f>MEDIAN(H1739:K1739)</f>
        <v>32.0</v>
      </c>
      <c r="D1739" s="3">
        <f>ROUND(C1739*(1-Settings!$B$2),2)</f>
        <v>22.4</v>
      </c>
      <c r="E1739" s="2" t="inlineStr">
        <is>
          <t>Pokemon</t>
        </is>
      </c>
      <c r="F1739" s="2" t="inlineStr">
        <is>
          <t>Coffret</t>
        </is>
      </c>
      <c r="G1739" s="2" t="inlineStr">
        <is>
          <t>Pokemon GO</t>
        </is>
      </c>
      <c r="H1739" s="3" t="n"/>
      <c r="I1739" s="3" t="n">
        <v>32</v>
      </c>
      <c r="J1739" s="3" t="n">
        <v>47.34</v>
      </c>
      <c r="K1739" s="3" t="n">
        <v>1.5</v>
      </c>
      <c r="L1739" s="2" t="inlineStr">
        <is>
          <t>TCGplayer</t>
        </is>
      </c>
      <c r="N1739" s="4" t="inlineStr">
        <is>
          <t>https://www.tcgplayer.com/product/270730</t>
        </is>
      </c>
    </row>
    <row r="1740">
      <c r="A1740" s="2" t="inlineStr">
        <is>
          <t>Pokemon GO Mini Tin [Snorlax]</t>
        </is>
      </c>
      <c r="B1740" s="3">
        <f>IF(H1740&lt;&gt;"",H1740,IF(I1740&lt;&gt;"",I1740,IF(J1740&lt;&gt;"",J1740,K1740)))</f>
        <v>54.44</v>
      </c>
      <c r="C1740" s="3">
        <f>MEDIAN(H1740:K1740)</f>
        <v>98.98</v>
      </c>
      <c r="D1740" s="3">
        <f>ROUND(C1740*(1-Settings!$B$2),2)</f>
        <v>69.29</v>
      </c>
      <c r="E1740" s="2" t="inlineStr">
        <is>
          <t>Pokemon</t>
        </is>
      </c>
      <c r="F1740" s="2" t="inlineStr">
        <is>
          <t>Coffret</t>
        </is>
      </c>
      <c r="G1740" s="2" t="inlineStr">
        <is>
          <t>Pokemon GO</t>
        </is>
      </c>
      <c r="H1740" s="3" t="n"/>
      <c r="I1740" s="3" t="n">
        <v>54.44</v>
      </c>
      <c r="J1740" s="3" t="n">
        <v>98.98</v>
      </c>
      <c r="K1740" s="3" t="n">
        <v>98.98</v>
      </c>
      <c r="L1740" s="2" t="inlineStr">
        <is>
          <t>TCGplayer</t>
        </is>
      </c>
      <c r="N1740" s="4" t="inlineStr">
        <is>
          <t>https://www.tcgplayer.com/product/270732</t>
        </is>
      </c>
    </row>
    <row r="1741">
      <c r="A1741" s="2" t="inlineStr">
        <is>
          <t>Pokemon GO Pin Collection [Bulbasaur]</t>
        </is>
      </c>
      <c r="B1741" s="3">
        <f>IF(H1741&lt;&gt;"",H1741,IF(I1741&lt;&gt;"",I1741,IF(J1741&lt;&gt;"",J1741,K1741)))</f>
        <v>53.43</v>
      </c>
      <c r="C1741" s="3">
        <f>MEDIAN(H1741:K1741)</f>
        <v>61.0</v>
      </c>
      <c r="D1741" s="3">
        <f>ROUND(C1741*(1-Settings!$B$2),2)</f>
        <v>42.7</v>
      </c>
      <c r="E1741" s="2" t="inlineStr">
        <is>
          <t>Pokemon</t>
        </is>
      </c>
      <c r="F1741" s="2" t="inlineStr">
        <is>
          <t>Coffret</t>
        </is>
      </c>
      <c r="G1741" s="2" t="inlineStr">
        <is>
          <t>Pokemon GO</t>
        </is>
      </c>
      <c r="H1741" s="3" t="n"/>
      <c r="I1741" s="3" t="n">
        <v>53.43</v>
      </c>
      <c r="J1741" s="3" t="n">
        <v>75</v>
      </c>
      <c r="K1741" s="3" t="n">
        <v>61</v>
      </c>
      <c r="L1741" s="2" t="inlineStr">
        <is>
          <t>TCGplayer</t>
        </is>
      </c>
      <c r="N1741" s="4" t="inlineStr">
        <is>
          <t>https://www.tcgplayer.com/product/275825</t>
        </is>
      </c>
    </row>
    <row r="1742">
      <c r="A1742" s="2" t="inlineStr">
        <is>
          <t>Pokemon GO Pin Collection [Charmander]</t>
        </is>
      </c>
      <c r="B1742" s="3">
        <f>IF(H1742&lt;&gt;"",H1742,IF(I1742&lt;&gt;"",I1742,IF(J1742&lt;&gt;"",J1742,K1742)))</f>
        <v>73.91</v>
      </c>
      <c r="C1742" s="3">
        <f>MEDIAN(H1742:K1742)</f>
        <v>84.01</v>
      </c>
      <c r="D1742" s="3">
        <f>ROUND(C1742*(1-Settings!$B$2),2)</f>
        <v>58.81</v>
      </c>
      <c r="E1742" s="2" t="inlineStr">
        <is>
          <t>Pokemon</t>
        </is>
      </c>
      <c r="F1742" s="2" t="inlineStr">
        <is>
          <t>Coffret</t>
        </is>
      </c>
      <c r="G1742" s="2" t="inlineStr">
        <is>
          <t>Pokemon GO</t>
        </is>
      </c>
      <c r="H1742" s="3" t="n"/>
      <c r="I1742" s="3" t="n">
        <v>73.91</v>
      </c>
      <c r="J1742" s="3" t="n">
        <v>97</v>
      </c>
      <c r="K1742" s="3" t="n">
        <v>84.01000000000001</v>
      </c>
      <c r="L1742" s="2" t="inlineStr">
        <is>
          <t>TCGplayer</t>
        </is>
      </c>
      <c r="N1742" s="4" t="inlineStr">
        <is>
          <t>https://www.tcgplayer.com/product/275826</t>
        </is>
      </c>
    </row>
    <row r="1743">
      <c r="A1743" s="2" t="inlineStr">
        <is>
          <t>Pokemon GO Pin Collection [Squirtle]</t>
        </is>
      </c>
      <c r="B1743" s="3">
        <f>IF(H1743&lt;&gt;"",H1743,IF(I1743&lt;&gt;"",I1743,IF(J1743&lt;&gt;"",J1743,K1743)))</f>
        <v>60.67</v>
      </c>
      <c r="C1743" s="3">
        <f>MEDIAN(H1743:K1743)</f>
        <v>73.0</v>
      </c>
      <c r="D1743" s="3">
        <f>ROUND(C1743*(1-Settings!$B$2),2)</f>
        <v>51.1</v>
      </c>
      <c r="E1743" s="2" t="inlineStr">
        <is>
          <t>Pokemon</t>
        </is>
      </c>
      <c r="F1743" s="2" t="inlineStr">
        <is>
          <t>Coffret</t>
        </is>
      </c>
      <c r="G1743" s="2" t="inlineStr">
        <is>
          <t>Pokemon GO</t>
        </is>
      </c>
      <c r="H1743" s="3" t="n"/>
      <c r="I1743" s="3" t="n">
        <v>60.67</v>
      </c>
      <c r="J1743" s="3" t="n">
        <v>89</v>
      </c>
      <c r="K1743" s="3" t="n">
        <v>73</v>
      </c>
      <c r="L1743" s="2" t="inlineStr">
        <is>
          <t>TCGplayer</t>
        </is>
      </c>
      <c r="N1743" s="4" t="inlineStr">
        <is>
          <t>https://www.tcgplayer.com/product/275827</t>
        </is>
      </c>
    </row>
    <row r="1744">
      <c r="A1744" s="2" t="inlineStr">
        <is>
          <t>Pokemon GO Poke Ball Tin - Great Ball</t>
        </is>
      </c>
      <c r="B1744" s="3">
        <f>IF(H1744&lt;&gt;"",H1744,IF(I1744&lt;&gt;"",I1744,IF(J1744&lt;&gt;"",J1744,K1744)))</f>
        <v>42.77</v>
      </c>
      <c r="C1744" s="3">
        <f>MEDIAN(H1744:K1744)</f>
        <v>42.385000000000005</v>
      </c>
      <c r="D1744" s="3">
        <f>ROUND(C1744*(1-Settings!$B$2),2)</f>
        <v>29.67</v>
      </c>
      <c r="E1744" s="2" t="inlineStr">
        <is>
          <t>Pokemon</t>
        </is>
      </c>
      <c r="F1744" s="2" t="inlineStr">
        <is>
          <t>Coffret</t>
        </is>
      </c>
      <c r="G1744" s="2" t="inlineStr">
        <is>
          <t>Pokemon GO</t>
        </is>
      </c>
      <c r="H1744" s="3" t="n"/>
      <c r="I1744" s="3" t="n"/>
      <c r="J1744" s="3" t="n">
        <v>42.77</v>
      </c>
      <c r="K1744" s="3" t="n">
        <v>42</v>
      </c>
      <c r="L1744" s="2" t="inlineStr">
        <is>
          <t>TCGplayer</t>
        </is>
      </c>
      <c r="N1744" s="4" t="inlineStr">
        <is>
          <t>https://www.tcgplayer.com/product/270733</t>
        </is>
      </c>
    </row>
    <row r="1745">
      <c r="A1745" s="2" t="inlineStr">
        <is>
          <t>Pokemon GO Poke Ball Tin - Ultra Ball</t>
        </is>
      </c>
      <c r="B1745" s="3">
        <f>IF(H1745&lt;&gt;"",H1745,IF(I1745&lt;&gt;"",I1745,IF(J1745&lt;&gt;"",J1745,K1745)))</f>
        <v>47.49</v>
      </c>
      <c r="C1745" s="3">
        <f>MEDIAN(H1745:K1745)</f>
        <v>43.745000000000005</v>
      </c>
      <c r="D1745" s="3">
        <f>ROUND(C1745*(1-Settings!$B$2),2)</f>
        <v>30.62</v>
      </c>
      <c r="E1745" s="2" t="inlineStr">
        <is>
          <t>Pokemon</t>
        </is>
      </c>
      <c r="F1745" s="2" t="inlineStr">
        <is>
          <t>Coffret</t>
        </is>
      </c>
      <c r="G1745" s="2" t="inlineStr">
        <is>
          <t>Pokemon GO</t>
        </is>
      </c>
      <c r="H1745" s="3" t="n"/>
      <c r="I1745" s="3" t="n"/>
      <c r="J1745" s="3" t="n">
        <v>47.49</v>
      </c>
      <c r="K1745" s="3" t="n">
        <v>40</v>
      </c>
      <c r="L1745" s="2" t="inlineStr">
        <is>
          <t>TCGplayer</t>
        </is>
      </c>
      <c r="N1745" s="4" t="inlineStr">
        <is>
          <t>https://www.tcgplayer.com/product/270735</t>
        </is>
      </c>
    </row>
    <row r="1746">
      <c r="A1746" s="2" t="inlineStr">
        <is>
          <t>Pokemon GO Pokemon Center Elite Trainer Box Plus (Exclusive)</t>
        </is>
      </c>
      <c r="B1746" s="3">
        <f>IF(H1746&lt;&gt;"",H1746,IF(I1746&lt;&gt;"",I1746,IF(J1746&lt;&gt;"",J1746,K1746)))</f>
        <v>235.31</v>
      </c>
      <c r="C1746" s="3">
        <f>MEDIAN(H1746:K1746)</f>
        <v>238.0</v>
      </c>
      <c r="D1746" s="3">
        <f>ROUND(C1746*(1-Settings!$B$2),2)</f>
        <v>166.6</v>
      </c>
      <c r="E1746" s="2" t="inlineStr">
        <is>
          <t>Pokemon</t>
        </is>
      </c>
      <c r="F1746" s="2" t="inlineStr">
        <is>
          <t>Coffret</t>
        </is>
      </c>
      <c r="G1746" s="2" t="inlineStr">
        <is>
          <t>Pokemon GO</t>
        </is>
      </c>
      <c r="H1746" s="3" t="n"/>
      <c r="I1746" s="3" t="n">
        <v>235.31</v>
      </c>
      <c r="J1746" s="3" t="n">
        <v>287.49</v>
      </c>
      <c r="K1746" s="3" t="n">
        <v>238</v>
      </c>
      <c r="L1746" s="2" t="inlineStr">
        <is>
          <t>TCGplayer</t>
        </is>
      </c>
      <c r="N1746" s="4" t="inlineStr">
        <is>
          <t>https://www.tcgplayer.com/product/270709</t>
        </is>
      </c>
    </row>
    <row r="1747">
      <c r="A1747" s="2" t="inlineStr">
        <is>
          <t>Pokemon GO Premium Collection [Radiant Eevee]</t>
        </is>
      </c>
      <c r="B1747" s="3">
        <f>IF(H1747&lt;&gt;"",H1747,IF(I1747&lt;&gt;"",I1747,IF(J1747&lt;&gt;"",J1747,K1747)))</f>
        <v>166.99</v>
      </c>
      <c r="C1747" s="3">
        <f>MEDIAN(H1747:K1747)</f>
        <v>166.99</v>
      </c>
      <c r="D1747" s="3">
        <f>ROUND(C1747*(1-Settings!$B$2),2)</f>
        <v>116.89</v>
      </c>
      <c r="E1747" s="2" t="inlineStr">
        <is>
          <t>Pokemon</t>
        </is>
      </c>
      <c r="F1747" s="2" t="inlineStr">
        <is>
          <t>Coffret</t>
        </is>
      </c>
      <c r="G1747" s="2" t="inlineStr">
        <is>
          <t>Pokemon GO</t>
        </is>
      </c>
      <c r="H1747" s="3" t="n"/>
      <c r="I1747" s="3" t="n">
        <v>166.99</v>
      </c>
      <c r="J1747" s="3" t="n">
        <v>199.97</v>
      </c>
      <c r="K1747" s="3" t="n">
        <v>10</v>
      </c>
      <c r="L1747" s="2" t="inlineStr">
        <is>
          <t>TCGplayer</t>
        </is>
      </c>
      <c r="N1747" s="4" t="inlineStr">
        <is>
          <t>https://www.tcgplayer.com/product/270717</t>
        </is>
      </c>
    </row>
    <row r="1748">
      <c r="A1748" s="2" t="inlineStr">
        <is>
          <t>Pokemon GO Special Collection - Team Instinct</t>
        </is>
      </c>
      <c r="B1748" s="3">
        <f>IF(H1748&lt;&gt;"",H1748,IF(I1748&lt;&gt;"",I1748,IF(J1748&lt;&gt;"",J1748,K1748)))</f>
        <v>85.27</v>
      </c>
      <c r="C1748" s="3">
        <f>MEDIAN(H1748:K1748)</f>
        <v>112.0</v>
      </c>
      <c r="D1748" s="3">
        <f>ROUND(C1748*(1-Settings!$B$2),2)</f>
        <v>78.4</v>
      </c>
      <c r="E1748" s="2" t="inlineStr">
        <is>
          <t>Pokemon</t>
        </is>
      </c>
      <c r="F1748" s="2" t="inlineStr">
        <is>
          <t>Coffret</t>
        </is>
      </c>
      <c r="G1748" s="2" t="inlineStr">
        <is>
          <t>Pokemon GO</t>
        </is>
      </c>
      <c r="H1748" s="3" t="n"/>
      <c r="I1748" s="3" t="n">
        <v>85.27</v>
      </c>
      <c r="J1748" s="3" t="n">
        <v>112.99</v>
      </c>
      <c r="K1748" s="3" t="n">
        <v>112</v>
      </c>
      <c r="L1748" s="2" t="inlineStr">
        <is>
          <t>TCGplayer</t>
        </is>
      </c>
      <c r="N1748" s="4" t="inlineStr">
        <is>
          <t>https://www.tcgplayer.com/product/270713</t>
        </is>
      </c>
    </row>
    <row r="1749">
      <c r="A1749" s="2" t="inlineStr">
        <is>
          <t>Pokemon GO Special Collection - Team Mystic</t>
        </is>
      </c>
      <c r="B1749" s="3">
        <f>IF(H1749&lt;&gt;"",H1749,IF(I1749&lt;&gt;"",I1749,IF(J1749&lt;&gt;"",J1749,K1749)))</f>
        <v>117.55</v>
      </c>
      <c r="C1749" s="3">
        <f>MEDIAN(H1749:K1749)</f>
        <v>117.55</v>
      </c>
      <c r="D1749" s="3">
        <f>ROUND(C1749*(1-Settings!$B$2),2)</f>
        <v>82.29</v>
      </c>
      <c r="E1749" s="2" t="inlineStr">
        <is>
          <t>Pokemon</t>
        </is>
      </c>
      <c r="F1749" s="2" t="inlineStr">
        <is>
          <t>Coffret</t>
        </is>
      </c>
      <c r="G1749" s="2" t="inlineStr">
        <is>
          <t>Pokemon GO</t>
        </is>
      </c>
      <c r="H1749" s="3" t="n"/>
      <c r="I1749" s="3" t="n">
        <v>117.55</v>
      </c>
      <c r="J1749" s="3" t="n">
        <v>139.5</v>
      </c>
      <c r="K1749" s="3" t="n">
        <v>117.55</v>
      </c>
      <c r="L1749" s="2" t="inlineStr">
        <is>
          <t>TCGplayer</t>
        </is>
      </c>
      <c r="N1749" s="4" t="inlineStr">
        <is>
          <t>https://www.tcgplayer.com/product/270714</t>
        </is>
      </c>
    </row>
    <row r="1750">
      <c r="A1750" s="2" t="inlineStr">
        <is>
          <t>Pokemon GO Special Collection - Team Valor</t>
        </is>
      </c>
      <c r="B1750" s="3">
        <f>IF(H1750&lt;&gt;"",H1750,IF(I1750&lt;&gt;"",I1750,IF(J1750&lt;&gt;"",J1750,K1750)))</f>
        <v>92.97</v>
      </c>
      <c r="C1750" s="3">
        <f>MEDIAN(H1750:K1750)</f>
        <v>92.97</v>
      </c>
      <c r="D1750" s="3">
        <f>ROUND(C1750*(1-Settings!$B$2),2)</f>
        <v>65.08</v>
      </c>
      <c r="E1750" s="2" t="inlineStr">
        <is>
          <t>Pokemon</t>
        </is>
      </c>
      <c r="F1750" s="2" t="inlineStr">
        <is>
          <t>Coffret</t>
        </is>
      </c>
      <c r="G1750" s="2" t="inlineStr">
        <is>
          <t>Pokemon GO</t>
        </is>
      </c>
      <c r="H1750" s="3" t="n"/>
      <c r="I1750" s="3" t="n">
        <v>92.97</v>
      </c>
      <c r="J1750" s="3" t="n">
        <v>128</v>
      </c>
      <c r="K1750" s="3" t="n">
        <v>92.97</v>
      </c>
      <c r="L1750" s="2" t="inlineStr">
        <is>
          <t>TCGplayer</t>
        </is>
      </c>
      <c r="N1750" s="4" t="inlineStr">
        <is>
          <t>https://www.tcgplayer.com/product/270715</t>
        </is>
      </c>
    </row>
    <row r="1751">
      <c r="A1751" s="2" t="inlineStr">
        <is>
          <t>Pokemon GO Special Collection [Set of 3]</t>
        </is>
      </c>
      <c r="B1751" s="3">
        <f>IF(H1751&lt;&gt;"",H1751,IF(I1751&lt;&gt;"",I1751,IF(J1751&lt;&gt;"",J1751,K1751)))</f>
        <v>271.44</v>
      </c>
      <c r="C1751" s="3">
        <f>MEDIAN(H1751:K1751)</f>
        <v>271.44</v>
      </c>
      <c r="D1751" s="3">
        <f>ROUND(C1751*(1-Settings!$B$2),2)</f>
        <v>190.01</v>
      </c>
      <c r="E1751" s="2" t="inlineStr">
        <is>
          <t>Pokemon</t>
        </is>
      </c>
      <c r="F1751" s="2" t="inlineStr">
        <is>
          <t>Coffret</t>
        </is>
      </c>
      <c r="G1751" s="2" t="inlineStr">
        <is>
          <t>Pokemon GO</t>
        </is>
      </c>
      <c r="H1751" s="3" t="n"/>
      <c r="I1751" s="3" t="n">
        <v>271.44</v>
      </c>
      <c r="J1751" s="3" t="n">
        <v>585.99</v>
      </c>
      <c r="K1751" s="3" t="n">
        <v>271.44</v>
      </c>
      <c r="L1751" s="2" t="inlineStr">
        <is>
          <t>TCGplayer</t>
        </is>
      </c>
      <c r="N1751" s="4" t="inlineStr">
        <is>
          <t>https://www.tcgplayer.com/product/271502</t>
        </is>
      </c>
    </row>
    <row r="1752">
      <c r="A1752" s="2" t="inlineStr">
        <is>
          <t>Pokemon GO Tin [Blissey]</t>
        </is>
      </c>
      <c r="B1752" s="3">
        <f>IF(H1752&lt;&gt;"",H1752,IF(I1752&lt;&gt;"",I1752,IF(J1752&lt;&gt;"",J1752,K1752)))</f>
        <v>49.36</v>
      </c>
      <c r="C1752" s="3">
        <f>MEDIAN(H1752:K1752)</f>
        <v>49.66</v>
      </c>
      <c r="D1752" s="3">
        <f>ROUND(C1752*(1-Settings!$B$2),2)</f>
        <v>34.76</v>
      </c>
      <c r="E1752" s="2" t="inlineStr">
        <is>
          <t>Pokemon</t>
        </is>
      </c>
      <c r="F1752" s="2" t="inlineStr">
        <is>
          <t>Coffret</t>
        </is>
      </c>
      <c r="G1752" s="2" t="inlineStr">
        <is>
          <t>Pokemon GO</t>
        </is>
      </c>
      <c r="H1752" s="3" t="n"/>
      <c r="I1752" s="3" t="n">
        <v>49.36</v>
      </c>
      <c r="J1752" s="3" t="n">
        <v>60</v>
      </c>
      <c r="K1752" s="3" t="n">
        <v>49.66</v>
      </c>
      <c r="L1752" s="2" t="inlineStr">
        <is>
          <t>TCGplayer</t>
        </is>
      </c>
      <c r="N1752" s="4" t="inlineStr">
        <is>
          <t>https://www.tcgplayer.com/product/270725</t>
        </is>
      </c>
    </row>
    <row r="1753">
      <c r="A1753" s="2" t="inlineStr">
        <is>
          <t>Pokemon GO Tin [Pikachu]</t>
        </is>
      </c>
      <c r="B1753" s="3">
        <f>IF(H1753&lt;&gt;"",H1753,IF(I1753&lt;&gt;"",I1753,IF(J1753&lt;&gt;"",J1753,K1753)))</f>
        <v>71.6</v>
      </c>
      <c r="C1753" s="3">
        <f>MEDIAN(H1753:K1753)</f>
        <v>79.95</v>
      </c>
      <c r="D1753" s="3">
        <f>ROUND(C1753*(1-Settings!$B$2),2)</f>
        <v>55.97</v>
      </c>
      <c r="E1753" s="2" t="inlineStr">
        <is>
          <t>Pokemon</t>
        </is>
      </c>
      <c r="F1753" s="2" t="inlineStr">
        <is>
          <t>Coffret</t>
        </is>
      </c>
      <c r="G1753" s="2" t="inlineStr">
        <is>
          <t>Pokemon GO</t>
        </is>
      </c>
      <c r="H1753" s="3" t="n"/>
      <c r="I1753" s="3" t="n">
        <v>71.59999999999999</v>
      </c>
      <c r="J1753" s="3" t="n">
        <v>89.98</v>
      </c>
      <c r="K1753" s="3" t="n">
        <v>79.95</v>
      </c>
      <c r="L1753" s="2" t="inlineStr">
        <is>
          <t>TCGplayer</t>
        </is>
      </c>
      <c r="N1753" s="4" t="inlineStr">
        <is>
          <t>https://www.tcgplayer.com/product/270726</t>
        </is>
      </c>
    </row>
    <row r="1754">
      <c r="A1754" s="2" t="inlineStr">
        <is>
          <t>Pokemon GO Tin [Set of 3]</t>
        </is>
      </c>
      <c r="B1754" s="3">
        <f>IF(H1754&lt;&gt;"",H1754,IF(I1754&lt;&gt;"",I1754,IF(J1754&lt;&gt;"",J1754,K1754)))</f>
        <v>161.26</v>
      </c>
      <c r="C1754" s="3">
        <f>MEDIAN(H1754:K1754)</f>
        <v>186.0</v>
      </c>
      <c r="D1754" s="3">
        <f>ROUND(C1754*(1-Settings!$B$2),2)</f>
        <v>130.2</v>
      </c>
      <c r="E1754" s="2" t="inlineStr">
        <is>
          <t>Pokemon</t>
        </is>
      </c>
      <c r="F1754" s="2" t="inlineStr">
        <is>
          <t>Coffret</t>
        </is>
      </c>
      <c r="G1754" s="2" t="inlineStr">
        <is>
          <t>Pokemon GO</t>
        </is>
      </c>
      <c r="H1754" s="3" t="n"/>
      <c r="I1754" s="3" t="n">
        <v>161.26</v>
      </c>
      <c r="J1754" s="3" t="n">
        <v>200</v>
      </c>
      <c r="K1754" s="3" t="n">
        <v>186</v>
      </c>
      <c r="L1754" s="2" t="inlineStr">
        <is>
          <t>TCGplayer</t>
        </is>
      </c>
      <c r="N1754" s="4" t="inlineStr">
        <is>
          <t>https://www.tcgplayer.com/product/271503</t>
        </is>
      </c>
    </row>
    <row r="1755">
      <c r="A1755" s="2" t="inlineStr">
        <is>
          <t>Pokemon GO Tin [Snorlax]</t>
        </is>
      </c>
      <c r="B1755" s="3">
        <f>IF(H1755&lt;&gt;"",H1755,IF(I1755&lt;&gt;"",I1755,IF(J1755&lt;&gt;"",J1755,K1755)))</f>
        <v>71.63</v>
      </c>
      <c r="C1755" s="3">
        <f>MEDIAN(H1755:K1755)</f>
        <v>81.99</v>
      </c>
      <c r="D1755" s="3">
        <f>ROUND(C1755*(1-Settings!$B$2),2)</f>
        <v>57.39</v>
      </c>
      <c r="E1755" s="2" t="inlineStr">
        <is>
          <t>Pokemon</t>
        </is>
      </c>
      <c r="F1755" s="2" t="inlineStr">
        <is>
          <t>Coffret</t>
        </is>
      </c>
      <c r="G1755" s="2" t="inlineStr">
        <is>
          <t>Pokemon GO</t>
        </is>
      </c>
      <c r="H1755" s="3" t="n"/>
      <c r="I1755" s="3" t="n">
        <v>71.63</v>
      </c>
      <c r="J1755" s="3" t="n">
        <v>91.98</v>
      </c>
      <c r="K1755" s="3" t="n">
        <v>81.98999999999999</v>
      </c>
      <c r="L1755" s="2" t="inlineStr">
        <is>
          <t>TCGplayer</t>
        </is>
      </c>
      <c r="N1755" s="4" t="inlineStr">
        <is>
          <t>https://www.tcgplayer.com/product/270727</t>
        </is>
      </c>
    </row>
    <row r="1756">
      <c r="A1756" s="2" t="inlineStr">
        <is>
          <t>Pokemon GO V Battle Deck Bundle [Mewtwo V/Melmetal V]</t>
        </is>
      </c>
      <c r="B1756" s="3">
        <f>IF(H1756&lt;&gt;"",H1756,IF(I1756&lt;&gt;"",I1756,IF(J1756&lt;&gt;"",J1756,K1756)))</f>
        <v>44.98</v>
      </c>
      <c r="C1756" s="3">
        <f>MEDIAN(H1756:K1756)</f>
        <v>44.98</v>
      </c>
      <c r="D1756" s="3">
        <f>ROUND(C1756*(1-Settings!$B$2),2)</f>
        <v>31.49</v>
      </c>
      <c r="E1756" s="2" t="inlineStr">
        <is>
          <t>Pokemon</t>
        </is>
      </c>
      <c r="F1756" s="2" t="inlineStr">
        <is>
          <t>Coffret</t>
        </is>
      </c>
      <c r="G1756" s="2" t="inlineStr">
        <is>
          <t>Pokemon GO</t>
        </is>
      </c>
      <c r="H1756" s="3" t="n"/>
      <c r="I1756" s="3" t="n">
        <v>44.98</v>
      </c>
      <c r="J1756" s="3" t="n">
        <v>46.99</v>
      </c>
      <c r="K1756" s="3" t="n">
        <v>44.17</v>
      </c>
      <c r="L1756" s="2" t="inlineStr">
        <is>
          <t>TCGplayer</t>
        </is>
      </c>
      <c r="N1756" s="4" t="inlineStr">
        <is>
          <t>https://www.tcgplayer.com/product/270712</t>
        </is>
      </c>
    </row>
    <row r="1757">
      <c r="A1757" s="2" t="inlineStr">
        <is>
          <t>Primal Clash Primal Groudon Collection Box</t>
        </is>
      </c>
      <c r="B1757" s="3">
        <f>IF(H1757&lt;&gt;"",H1757,IF(I1757&lt;&gt;"",I1757,IF(J1757&lt;&gt;"",J1757,K1757)))</f>
        <v>355.75</v>
      </c>
      <c r="C1757" s="3">
        <f>MEDIAN(H1757:K1757)</f>
        <v>355.75</v>
      </c>
      <c r="D1757" s="3">
        <f>ROUND(C1757*(1-Settings!$B$2),2)</f>
        <v>249.03</v>
      </c>
      <c r="E1757" s="2" t="inlineStr">
        <is>
          <t>Pokemon</t>
        </is>
      </c>
      <c r="F1757" s="2" t="inlineStr">
        <is>
          <t>Coffret</t>
        </is>
      </c>
      <c r="G1757" s="2" t="inlineStr">
        <is>
          <t>Primal Clash</t>
        </is>
      </c>
      <c r="H1757" s="3" t="n">
        <v>355.75</v>
      </c>
      <c r="I1757" s="3" t="n"/>
      <c r="J1757" s="3" t="n"/>
      <c r="K1757" s="3" t="n"/>
      <c r="L1757" s="2" t="inlineStr">
        <is>
          <t>PriceCharting</t>
        </is>
      </c>
      <c r="M1757" s="4" t="inlineStr">
        <is>
          <t>https://www.pricecharting.com/game/pokemon-primal-clash/primal-groudon-collection-box</t>
        </is>
      </c>
    </row>
    <row r="1758">
      <c r="A1758" s="2" t="inlineStr">
        <is>
          <t>Primal Clash Primal Kyogre Collection Box</t>
        </is>
      </c>
      <c r="B1758" s="3">
        <f>IF(H1758&lt;&gt;"",H1758,IF(I1758&lt;&gt;"",I1758,IF(J1758&lt;&gt;"",J1758,K1758)))</f>
        <v>550.0</v>
      </c>
      <c r="C1758" s="3">
        <f>MEDIAN(H1758:K1758)</f>
        <v>550.0</v>
      </c>
      <c r="D1758" s="3">
        <f>ROUND(C1758*(1-Settings!$B$2),2)</f>
        <v>385.0</v>
      </c>
      <c r="E1758" s="2" t="inlineStr">
        <is>
          <t>Pokemon</t>
        </is>
      </c>
      <c r="F1758" s="2" t="inlineStr">
        <is>
          <t>Coffret</t>
        </is>
      </c>
      <c r="G1758" s="2" t="inlineStr">
        <is>
          <t>Primal Clash</t>
        </is>
      </c>
      <c r="H1758" s="3" t="n">
        <v>550</v>
      </c>
      <c r="I1758" s="3" t="n"/>
      <c r="J1758" s="3" t="n"/>
      <c r="K1758" s="3" t="n"/>
      <c r="L1758" s="2" t="inlineStr">
        <is>
          <t>PriceCharting</t>
        </is>
      </c>
      <c r="M1758" s="4" t="inlineStr">
        <is>
          <t>https://www.pricecharting.com/game/pokemon-primal-clash/primal-kyogre-collection-box</t>
        </is>
      </c>
    </row>
    <row r="1759">
      <c r="A1759" s="2" t="inlineStr">
        <is>
          <t>Prismatic Evolutions Collectors Chest</t>
        </is>
      </c>
      <c r="B1759" s="3">
        <f>IF(H1759&lt;&gt;"",H1759,IF(I1759&lt;&gt;"",I1759,IF(J1759&lt;&gt;"",J1759,K1759)))</f>
        <v>61.9</v>
      </c>
      <c r="C1759" s="3">
        <f>MEDIAN(H1759:K1759)</f>
        <v>61.9</v>
      </c>
      <c r="D1759" s="3">
        <f>ROUND(C1759*(1-Settings!$B$2),2)</f>
        <v>43.33</v>
      </c>
      <c r="E1759" s="2" t="inlineStr">
        <is>
          <t>Pokemon</t>
        </is>
      </c>
      <c r="F1759" s="2" t="inlineStr">
        <is>
          <t>Coffret</t>
        </is>
      </c>
      <c r="G1759" s="2" t="inlineStr">
        <is>
          <t>Prismatic Evolutions</t>
        </is>
      </c>
      <c r="H1759" s="3" t="n">
        <v>61.9</v>
      </c>
      <c r="I1759" s="3" t="n"/>
      <c r="J1759" s="3" t="n"/>
      <c r="K1759" s="3" t="n"/>
      <c r="L1759" s="2" t="inlineStr">
        <is>
          <t>PriceCharting</t>
        </is>
      </c>
      <c r="M1759" s="4" t="inlineStr">
        <is>
          <t>https://www.pricecharting.com/game/pokemon-prismatic-evolutions/collectors-chest</t>
        </is>
      </c>
    </row>
    <row r="1760">
      <c r="A1760" s="2" t="inlineStr">
        <is>
          <t>Prismatic Evolutions Costco 2-Pack Trainer Box &amp; Booster Bundle</t>
        </is>
      </c>
      <c r="B1760" s="3">
        <f>IF(H1760&lt;&gt;"",H1760,IF(I1760&lt;&gt;"",I1760,IF(J1760&lt;&gt;"",J1760,K1760)))</f>
        <v>280.5</v>
      </c>
      <c r="C1760" s="3">
        <f>MEDIAN(H1760:K1760)</f>
        <v>280.5</v>
      </c>
      <c r="D1760" s="3">
        <f>ROUND(C1760*(1-Settings!$B$2),2)</f>
        <v>196.35</v>
      </c>
      <c r="E1760" s="2" t="inlineStr">
        <is>
          <t>Pokemon</t>
        </is>
      </c>
      <c r="F1760" s="2" t="inlineStr">
        <is>
          <t>Coffret</t>
        </is>
      </c>
      <c r="G1760" s="2" t="inlineStr">
        <is>
          <t>Prismatic Evolutions</t>
        </is>
      </c>
      <c r="H1760" s="3" t="n">
        <v>280.5</v>
      </c>
      <c r="I1760" s="3" t="n"/>
      <c r="J1760" s="3" t="n"/>
      <c r="K1760" s="3" t="n"/>
      <c r="L1760" s="2" t="inlineStr">
        <is>
          <t>PriceCharting</t>
        </is>
      </c>
      <c r="M1760" s="4" t="inlineStr">
        <is>
          <t>https://www.pricecharting.com/game/pokemon-prismatic-evolutions/costco-2-pack-trainer-box-&amp;-booster-bundle</t>
        </is>
      </c>
    </row>
    <row r="1761">
      <c r="A1761" s="2" t="inlineStr">
        <is>
          <t>Prismatic Evolutions Costco 8-Pack Mini Tins</t>
        </is>
      </c>
      <c r="B1761" s="3">
        <f>IF(H1761&lt;&gt;"",H1761,IF(I1761&lt;&gt;"",I1761,IF(J1761&lt;&gt;"",J1761,K1761)))</f>
        <v>273.46</v>
      </c>
      <c r="C1761" s="3">
        <f>MEDIAN(H1761:K1761)</f>
        <v>273.46</v>
      </c>
      <c r="D1761" s="3">
        <f>ROUND(C1761*(1-Settings!$B$2),2)</f>
        <v>191.42</v>
      </c>
      <c r="E1761" s="2" t="inlineStr">
        <is>
          <t>Pokemon</t>
        </is>
      </c>
      <c r="F1761" s="2" t="inlineStr">
        <is>
          <t>Coffret</t>
        </is>
      </c>
      <c r="G1761" s="2" t="inlineStr">
        <is>
          <t>Prismatic Evolutions</t>
        </is>
      </c>
      <c r="H1761" s="3" t="n">
        <v>273.46</v>
      </c>
      <c r="I1761" s="3" t="n"/>
      <c r="J1761" s="3" t="n"/>
      <c r="K1761" s="3" t="n"/>
      <c r="L1761" s="2" t="inlineStr">
        <is>
          <t>PriceCharting</t>
        </is>
      </c>
      <c r="M1761" s="4" t="inlineStr">
        <is>
          <t>https://www.pricecharting.com/game/pokemon-prismatic-evolutions/costco-8-pack-mini-tins</t>
        </is>
      </c>
    </row>
    <row r="1762">
      <c r="A1762" s="2" t="inlineStr">
        <is>
          <t>Prismatic Evolutions Elite Trainer Box [Pokemon Center]</t>
        </is>
      </c>
      <c r="B1762" s="3">
        <f>IF(H1762&lt;&gt;"",H1762,IF(I1762&lt;&gt;"",I1762,IF(J1762&lt;&gt;"",J1762,K1762)))</f>
        <v>410.72</v>
      </c>
      <c r="C1762" s="3">
        <f>MEDIAN(H1762:K1762)</f>
        <v>410.72</v>
      </c>
      <c r="D1762" s="3">
        <f>ROUND(C1762*(1-Settings!$B$2),2)</f>
        <v>287.5</v>
      </c>
      <c r="E1762" s="2" t="inlineStr">
        <is>
          <t>Pokemon</t>
        </is>
      </c>
      <c r="F1762" s="2" t="inlineStr">
        <is>
          <t>Coffret</t>
        </is>
      </c>
      <c r="G1762" s="2" t="inlineStr">
        <is>
          <t>Prismatic Evolutions</t>
        </is>
      </c>
      <c r="H1762" s="3" t="n">
        <v>410.72</v>
      </c>
      <c r="I1762" s="3" t="n"/>
      <c r="J1762" s="3" t="n"/>
      <c r="K1762" s="3" t="n"/>
      <c r="L1762" s="2" t="inlineStr">
        <is>
          <t>PriceCharting</t>
        </is>
      </c>
      <c r="M1762" s="4" t="inlineStr">
        <is>
          <t>https://www.pricecharting.com/game/pokemon-prismatic-evolutions/elite-trainer-box-pokemon-center</t>
        </is>
      </c>
    </row>
    <row r="1763">
      <c r="A1763" s="2" t="inlineStr">
        <is>
          <t>Prismatic Evolutions Lucario Ex &amp; Tyranitar Ex Premium Collection</t>
        </is>
      </c>
      <c r="B1763" s="3">
        <f>IF(H1763&lt;&gt;"",H1763,IF(I1763&lt;&gt;"",I1763,IF(J1763&lt;&gt;"",J1763,K1763)))</f>
        <v>204.0</v>
      </c>
      <c r="C1763" s="3">
        <f>MEDIAN(H1763:K1763)</f>
        <v>204.0</v>
      </c>
      <c r="D1763" s="3">
        <f>ROUND(C1763*(1-Settings!$B$2),2)</f>
        <v>142.8</v>
      </c>
      <c r="E1763" s="2" t="inlineStr">
        <is>
          <t>Pokemon</t>
        </is>
      </c>
      <c r="F1763" s="2" t="inlineStr">
        <is>
          <t>Coffret</t>
        </is>
      </c>
      <c r="G1763" s="2" t="inlineStr">
        <is>
          <t>Prismatic Evolutions</t>
        </is>
      </c>
      <c r="H1763" s="3" t="n">
        <v>204</v>
      </c>
      <c r="I1763" s="3" t="n"/>
      <c r="J1763" s="3" t="n"/>
      <c r="K1763" s="3" t="n"/>
      <c r="L1763" s="2" t="inlineStr">
        <is>
          <t>PriceCharting</t>
        </is>
      </c>
      <c r="M1763" s="4" t="inlineStr">
        <is>
          <t>https://www.pricecharting.com/game/pokemon-prismatic-evolutions/lucario-ex-&amp;-tyranitar-ex-premium-collection</t>
        </is>
      </c>
    </row>
    <row r="1764">
      <c r="A1764" s="2" t="inlineStr">
        <is>
          <t>Prismatic Evolutions Sam's Club Elite Trainer Box And Pokeball</t>
        </is>
      </c>
      <c r="B1764" s="3">
        <f>IF(H1764&lt;&gt;"",H1764,IF(I1764&lt;&gt;"",I1764,IF(J1764&lt;&gt;"",J1764,K1764)))</f>
        <v>198.54</v>
      </c>
      <c r="C1764" s="3">
        <f>MEDIAN(H1764:K1764)</f>
        <v>198.54</v>
      </c>
      <c r="D1764" s="3">
        <f>ROUND(C1764*(1-Settings!$B$2),2)</f>
        <v>138.98</v>
      </c>
      <c r="E1764" s="2" t="inlineStr">
        <is>
          <t>Pokemon</t>
        </is>
      </c>
      <c r="F1764" s="2" t="inlineStr">
        <is>
          <t>Coffret</t>
        </is>
      </c>
      <c r="G1764" s="2" t="inlineStr">
        <is>
          <t>Prismatic Evolutions</t>
        </is>
      </c>
      <c r="H1764" s="3" t="n">
        <v>198.54</v>
      </c>
      <c r="I1764" s="3" t="n"/>
      <c r="J1764" s="3" t="n"/>
      <c r="K1764" s="3" t="n"/>
      <c r="L1764" s="2" t="inlineStr">
        <is>
          <t>PriceCharting</t>
        </is>
      </c>
      <c r="M1764" s="4" t="inlineStr">
        <is>
          <t>https://www.pricecharting.com/game/pokemon-prismatic-evolutions/sam's-club-elite-trainer-box-and-pokeball</t>
        </is>
      </c>
    </row>
    <row r="1765">
      <c r="A1765" s="2" t="inlineStr">
        <is>
          <t>Prismatic Evolutions Sealed Poster Collection</t>
        </is>
      </c>
      <c r="B1765" s="3">
        <f>IF(H1765&lt;&gt;"",H1765,IF(I1765&lt;&gt;"",I1765,IF(J1765&lt;&gt;"",J1765,K1765)))</f>
        <v>41.22</v>
      </c>
      <c r="C1765" s="3">
        <f>MEDIAN(H1765:K1765)</f>
        <v>41.22</v>
      </c>
      <c r="D1765" s="3">
        <f>ROUND(C1765*(1-Settings!$B$2),2)</f>
        <v>28.85</v>
      </c>
      <c r="E1765" s="2" t="inlineStr">
        <is>
          <t>Pokemon</t>
        </is>
      </c>
      <c r="F1765" s="2" t="inlineStr">
        <is>
          <t>Coffret</t>
        </is>
      </c>
      <c r="G1765" s="2" t="inlineStr">
        <is>
          <t>Prismatic Evolutions</t>
        </is>
      </c>
      <c r="H1765" s="3" t="n">
        <v>41.22</v>
      </c>
      <c r="I1765" s="3" t="n"/>
      <c r="J1765" s="3" t="n"/>
      <c r="K1765" s="3" t="n"/>
      <c r="L1765" s="2" t="inlineStr">
        <is>
          <t>PriceCharting</t>
        </is>
      </c>
      <c r="M1765" s="4" t="inlineStr">
        <is>
          <t>https://www.pricecharting.com/game/pokemon-prismatic-evolutions/sealed-poster-collection</t>
        </is>
      </c>
    </row>
    <row r="1766">
      <c r="A1766" s="2" t="inlineStr">
        <is>
          <t>Prismatic Evolutions Super Premium Collection Box</t>
        </is>
      </c>
      <c r="B1766" s="3">
        <f>IF(H1766&lt;&gt;"",H1766,IF(I1766&lt;&gt;"",I1766,IF(J1766&lt;&gt;"",J1766,K1766)))</f>
        <v>248.56</v>
      </c>
      <c r="C1766" s="3">
        <f>MEDIAN(H1766:K1766)</f>
        <v>248.56</v>
      </c>
      <c r="D1766" s="3">
        <f>ROUND(C1766*(1-Settings!$B$2),2)</f>
        <v>173.99</v>
      </c>
      <c r="E1766" s="2" t="inlineStr">
        <is>
          <t>Pokemon</t>
        </is>
      </c>
      <c r="F1766" s="2" t="inlineStr">
        <is>
          <t>Coffret</t>
        </is>
      </c>
      <c r="G1766" s="2" t="inlineStr">
        <is>
          <t>Prismatic Evolutions</t>
        </is>
      </c>
      <c r="H1766" s="3" t="n">
        <v>248.56</v>
      </c>
      <c r="I1766" s="3" t="n"/>
      <c r="J1766" s="3" t="n"/>
      <c r="K1766" s="3" t="n"/>
      <c r="L1766" s="2" t="inlineStr">
        <is>
          <t>PriceCharting</t>
        </is>
      </c>
      <c r="M1766" s="4" t="inlineStr">
        <is>
          <t>https://www.pricecharting.com/game/pokemon-prismatic-evolutions/super-premium-collection-box</t>
        </is>
      </c>
    </row>
    <row r="1767">
      <c r="A1767" s="2" t="inlineStr">
        <is>
          <t>Prismatic Evolutions Surprise Box + Booster Bundle</t>
        </is>
      </c>
      <c r="B1767" s="3">
        <f>IF(H1767&lt;&gt;"",H1767,IF(I1767&lt;&gt;"",I1767,IF(J1767&lt;&gt;"",J1767,K1767)))</f>
        <v>142.0</v>
      </c>
      <c r="C1767" s="3">
        <f>MEDIAN(H1767:K1767)</f>
        <v>142.0</v>
      </c>
      <c r="D1767" s="3">
        <f>ROUND(C1767*(1-Settings!$B$2),2)</f>
        <v>99.4</v>
      </c>
      <c r="E1767" s="2" t="inlineStr">
        <is>
          <t>Pokemon</t>
        </is>
      </c>
      <c r="F1767" s="2" t="inlineStr">
        <is>
          <t>Coffret</t>
        </is>
      </c>
      <c r="G1767" s="2" t="inlineStr">
        <is>
          <t>Prismatic Evolutions</t>
        </is>
      </c>
      <c r="H1767" s="3" t="n">
        <v>142</v>
      </c>
      <c r="I1767" s="3" t="n"/>
      <c r="J1767" s="3" t="n"/>
      <c r="K1767" s="3" t="n"/>
      <c r="L1767" s="2" t="inlineStr">
        <is>
          <t>PriceCharting</t>
        </is>
      </c>
      <c r="M1767" s="4" t="inlineStr">
        <is>
          <t>https://www.pricecharting.com/game/pokemon-prismatic-evolutions/surprise-box-+-booster-bundle</t>
        </is>
      </c>
    </row>
    <row r="1768">
      <c r="A1768" s="2" t="inlineStr">
        <is>
          <t>Promo 2-Pack Blister [Raikou]</t>
        </is>
      </c>
      <c r="B1768" s="3">
        <f>IF(H1768&lt;&gt;"",H1768,IF(I1768&lt;&gt;"",I1768,IF(J1768&lt;&gt;"",J1768,K1768)))</f>
        <v>19.96</v>
      </c>
      <c r="C1768" s="3">
        <f>MEDIAN(H1768:K1768)</f>
        <v>19.96</v>
      </c>
      <c r="D1768" s="3">
        <f>ROUND(C1768*(1-Settings!$B$2),2)</f>
        <v>13.97</v>
      </c>
      <c r="E1768" s="2" t="inlineStr">
        <is>
          <t>Pokemon</t>
        </is>
      </c>
      <c r="F1768" s="2" t="inlineStr">
        <is>
          <t>Coffret</t>
        </is>
      </c>
      <c r="G1768" s="2" t="inlineStr">
        <is>
          <t>Promo</t>
        </is>
      </c>
      <c r="H1768" s="3" t="n">
        <v>19.96</v>
      </c>
      <c r="I1768" s="3" t="n"/>
      <c r="J1768" s="3" t="n"/>
      <c r="K1768" s="3" t="n"/>
      <c r="L1768" s="2" t="inlineStr">
        <is>
          <t>PriceCharting</t>
        </is>
      </c>
      <c r="M1768" s="4" t="inlineStr">
        <is>
          <t>https://www.pricecharting.com/game/pokemon-promo/2-pack-blister-raikou</t>
        </is>
      </c>
    </row>
    <row r="1769">
      <c r="A1769" s="2" t="inlineStr">
        <is>
          <t>Promo 2-Pack Blister [Vileplume]</t>
        </is>
      </c>
      <c r="B1769" s="3">
        <f>IF(H1769&lt;&gt;"",H1769,IF(I1769&lt;&gt;"",I1769,IF(J1769&lt;&gt;"",J1769,K1769)))</f>
        <v>18.95</v>
      </c>
      <c r="C1769" s="3">
        <f>MEDIAN(H1769:K1769)</f>
        <v>18.95</v>
      </c>
      <c r="D1769" s="3">
        <f>ROUND(C1769*(1-Settings!$B$2),2)</f>
        <v>13.27</v>
      </c>
      <c r="E1769" s="2" t="inlineStr">
        <is>
          <t>Pokemon</t>
        </is>
      </c>
      <c r="F1769" s="2" t="inlineStr">
        <is>
          <t>Coffret</t>
        </is>
      </c>
      <c r="G1769" s="2" t="inlineStr">
        <is>
          <t>Promo</t>
        </is>
      </c>
      <c r="H1769" s="3" t="n">
        <v>18.95</v>
      </c>
      <c r="I1769" s="3" t="n"/>
      <c r="J1769" s="3" t="n"/>
      <c r="K1769" s="3" t="n"/>
      <c r="L1769" s="2" t="inlineStr">
        <is>
          <t>PriceCharting</t>
        </is>
      </c>
      <c r="M1769" s="4" t="inlineStr">
        <is>
          <t>https://www.pricecharting.com/game/pokemon-promo/2-pack-blister-vileplume</t>
        </is>
      </c>
    </row>
    <row r="1770">
      <c r="A1770" s="2" t="inlineStr">
        <is>
          <t>Promo 2-Pack Blister Pack [Team Rocket's Articuno, Zapdos &amp; Tyranitar]</t>
        </is>
      </c>
      <c r="B1770" s="3">
        <f>IF(H1770&lt;&gt;"",H1770,IF(I1770&lt;&gt;"",I1770,IF(J1770&lt;&gt;"",J1770,K1770)))</f>
        <v>21.99</v>
      </c>
      <c r="C1770" s="3">
        <f>MEDIAN(H1770:K1770)</f>
        <v>21.99</v>
      </c>
      <c r="D1770" s="3">
        <f>ROUND(C1770*(1-Settings!$B$2),2)</f>
        <v>15.39</v>
      </c>
      <c r="E1770" s="2" t="inlineStr">
        <is>
          <t>Pokemon</t>
        </is>
      </c>
      <c r="F1770" s="2" t="inlineStr">
        <is>
          <t>Coffret</t>
        </is>
      </c>
      <c r="G1770" s="2" t="inlineStr">
        <is>
          <t>Promo</t>
        </is>
      </c>
      <c r="H1770" s="3" t="n">
        <v>21.99</v>
      </c>
      <c r="I1770" s="3" t="n"/>
      <c r="J1770" s="3" t="n"/>
      <c r="K1770" s="3" t="n"/>
      <c r="L1770" s="2" t="inlineStr">
        <is>
          <t>PriceCharting</t>
        </is>
      </c>
      <c r="M1770" s="4" t="inlineStr">
        <is>
          <t>https://www.pricecharting.com/game/pokemon-promo/2-pack-blister-pack-team-rocket's-articuno-zapdos-&amp;-tyranitar</t>
        </is>
      </c>
    </row>
    <row r="1771">
      <c r="A1771" s="2" t="inlineStr">
        <is>
          <t>Promo 2-Pack Blister: Zarude</t>
        </is>
      </c>
      <c r="B1771" s="3">
        <f>IF(H1771&lt;&gt;"",H1771,IF(I1771&lt;&gt;"",I1771,IF(J1771&lt;&gt;"",J1771,K1771)))</f>
        <v>20.44</v>
      </c>
      <c r="C1771" s="3">
        <f>MEDIAN(H1771:K1771)</f>
        <v>20.44</v>
      </c>
      <c r="D1771" s="3">
        <f>ROUND(C1771*(1-Settings!$B$2),2)</f>
        <v>14.31</v>
      </c>
      <c r="E1771" s="2" t="inlineStr">
        <is>
          <t>Pokemon</t>
        </is>
      </c>
      <c r="F1771" s="2" t="inlineStr">
        <is>
          <t>Coffret</t>
        </is>
      </c>
      <c r="G1771" s="2" t="inlineStr">
        <is>
          <t>Promo</t>
        </is>
      </c>
      <c r="H1771" s="3" t="n">
        <v>20.44</v>
      </c>
      <c r="I1771" s="3" t="n"/>
      <c r="J1771" s="3" t="n"/>
      <c r="K1771" s="3" t="n"/>
      <c r="L1771" s="2" t="inlineStr">
        <is>
          <t>PriceCharting</t>
        </is>
      </c>
      <c r="M1771" s="4" t="inlineStr">
        <is>
          <t>https://www.pricecharting.com/game/pokemon-promo/2-pack-blister-zarude</t>
        </is>
      </c>
    </row>
    <row r="1772">
      <c r="A1772" s="2" t="inlineStr">
        <is>
          <t>Promo 2025 Holiday Calendar Box [Costco]</t>
        </is>
      </c>
      <c r="B1772" s="3">
        <f>IF(H1772&lt;&gt;"",H1772,IF(I1772&lt;&gt;"",I1772,IF(J1772&lt;&gt;"",J1772,K1772)))</f>
        <v>76.02</v>
      </c>
      <c r="C1772" s="3">
        <f>MEDIAN(H1772:K1772)</f>
        <v>76.02</v>
      </c>
      <c r="D1772" s="3">
        <f>ROUND(C1772*(1-Settings!$B$2),2)</f>
        <v>53.21</v>
      </c>
      <c r="E1772" s="2" t="inlineStr">
        <is>
          <t>Pokemon</t>
        </is>
      </c>
      <c r="F1772" s="2" t="inlineStr">
        <is>
          <t>Coffret</t>
        </is>
      </c>
      <c r="G1772" s="2" t="inlineStr">
        <is>
          <t>Promo</t>
        </is>
      </c>
      <c r="H1772" s="3" t="n">
        <v>76.02</v>
      </c>
      <c r="I1772" s="3" t="n"/>
      <c r="J1772" s="3" t="n"/>
      <c r="K1772" s="3" t="n"/>
      <c r="L1772" s="2" t="inlineStr">
        <is>
          <t>PriceCharting</t>
        </is>
      </c>
      <c r="M1772" s="4" t="inlineStr">
        <is>
          <t>https://www.pricecharting.com/game/pokemon-promo/2025-holiday-calendar-box-costco</t>
        </is>
      </c>
    </row>
    <row r="1773">
      <c r="A1773" s="2" t="inlineStr">
        <is>
          <t>Promo 2025 Pokemon Collector Chest</t>
        </is>
      </c>
      <c r="B1773" s="3">
        <f>IF(H1773&lt;&gt;"",H1773,IF(I1773&lt;&gt;"",I1773,IF(J1773&lt;&gt;"",J1773,K1773)))</f>
        <v>47.8</v>
      </c>
      <c r="C1773" s="3">
        <f>MEDIAN(H1773:K1773)</f>
        <v>47.8</v>
      </c>
      <c r="D1773" s="3">
        <f>ROUND(C1773*(1-Settings!$B$2),2)</f>
        <v>33.46</v>
      </c>
      <c r="E1773" s="2" t="inlineStr">
        <is>
          <t>Pokemon</t>
        </is>
      </c>
      <c r="F1773" s="2" t="inlineStr">
        <is>
          <t>Coffret</t>
        </is>
      </c>
      <c r="G1773" s="2" t="inlineStr">
        <is>
          <t>Promo</t>
        </is>
      </c>
      <c r="H1773" s="3" t="n">
        <v>47.8</v>
      </c>
      <c r="I1773" s="3" t="n"/>
      <c r="J1773" s="3" t="n"/>
      <c r="K1773" s="3" t="n"/>
      <c r="L1773" s="2" t="inlineStr">
        <is>
          <t>PriceCharting</t>
        </is>
      </c>
      <c r="M1773" s="4" t="inlineStr">
        <is>
          <t>https://www.pricecharting.com/game/pokemon-promo/2025-pokemon-collector-chest</t>
        </is>
      </c>
    </row>
    <row r="1774">
      <c r="A1774" s="2" t="inlineStr">
        <is>
          <t>Promo 4-Pack Blister Pack</t>
        </is>
      </c>
      <c r="B1774" s="3">
        <f>IF(H1774&lt;&gt;"",H1774,IF(I1774&lt;&gt;"",I1774,IF(J1774&lt;&gt;"",J1774,K1774)))</f>
        <v>1375.0</v>
      </c>
      <c r="C1774" s="3">
        <f>MEDIAN(H1774:K1774)</f>
        <v>1375.0</v>
      </c>
      <c r="D1774" s="3">
        <f>ROUND(C1774*(1-Settings!$B$2),2)</f>
        <v>962.5</v>
      </c>
      <c r="E1774" s="2" t="inlineStr">
        <is>
          <t>Pokemon</t>
        </is>
      </c>
      <c r="F1774" s="2" t="inlineStr">
        <is>
          <t>Coffret</t>
        </is>
      </c>
      <c r="G1774" s="2" t="inlineStr">
        <is>
          <t>Promo</t>
        </is>
      </c>
      <c r="H1774" s="3" t="n">
        <v>1375</v>
      </c>
      <c r="I1774" s="3" t="n"/>
      <c r="J1774" s="3" t="n"/>
      <c r="K1774" s="3" t="n"/>
      <c r="L1774" s="2" t="inlineStr">
        <is>
          <t>PriceCharting</t>
        </is>
      </c>
      <c r="M1774" s="4" t="inlineStr">
        <is>
          <t>https://www.pricecharting.com/game/pokemon-promo/4-pack-blister-pack</t>
        </is>
      </c>
    </row>
    <row r="1775">
      <c r="A1775" s="2" t="inlineStr">
        <is>
          <t>Promo Alolan Sandslash GX Box</t>
        </is>
      </c>
      <c r="B1775" s="3">
        <f>IF(H1775&lt;&gt;"",H1775,IF(I1775&lt;&gt;"",I1775,IF(J1775&lt;&gt;"",J1775,K1775)))</f>
        <v>370.0</v>
      </c>
      <c r="C1775" s="3">
        <f>MEDIAN(H1775:K1775)</f>
        <v>370.0</v>
      </c>
      <c r="D1775" s="3">
        <f>ROUND(C1775*(1-Settings!$B$2),2)</f>
        <v>259.0</v>
      </c>
      <c r="E1775" s="2" t="inlineStr">
        <is>
          <t>Pokemon</t>
        </is>
      </c>
      <c r="F1775" s="2" t="inlineStr">
        <is>
          <t>Coffret</t>
        </is>
      </c>
      <c r="G1775" s="2" t="inlineStr">
        <is>
          <t>Promo</t>
        </is>
      </c>
      <c r="H1775" s="3" t="n">
        <v>370</v>
      </c>
      <c r="I1775" s="3" t="n"/>
      <c r="J1775" s="3" t="n"/>
      <c r="K1775" s="3" t="n"/>
      <c r="L1775" s="2" t="inlineStr">
        <is>
          <t>PriceCharting</t>
        </is>
      </c>
      <c r="M1775" s="4" t="inlineStr">
        <is>
          <t>https://www.pricecharting.com/game/pokemon-promo/alolan-sandslash-gx-box</t>
        </is>
      </c>
    </row>
    <row r="1776">
      <c r="A1776" s="2" t="inlineStr">
        <is>
          <t>Promo Annihilape Ex Box</t>
        </is>
      </c>
      <c r="B1776" s="3">
        <f>IF(H1776&lt;&gt;"",H1776,IF(I1776&lt;&gt;"",I1776,IF(J1776&lt;&gt;"",J1776,K1776)))</f>
        <v>53.87</v>
      </c>
      <c r="C1776" s="3">
        <f>MEDIAN(H1776:K1776)</f>
        <v>53.87</v>
      </c>
      <c r="D1776" s="3">
        <f>ROUND(C1776*(1-Settings!$B$2),2)</f>
        <v>37.71</v>
      </c>
      <c r="E1776" s="2" t="inlineStr">
        <is>
          <t>Pokemon</t>
        </is>
      </c>
      <c r="F1776" s="2" t="inlineStr">
        <is>
          <t>Coffret</t>
        </is>
      </c>
      <c r="G1776" s="2" t="inlineStr">
        <is>
          <t>Promo</t>
        </is>
      </c>
      <c r="H1776" s="3" t="n">
        <v>53.87</v>
      </c>
      <c r="I1776" s="3" t="n"/>
      <c r="J1776" s="3" t="n"/>
      <c r="K1776" s="3" t="n"/>
      <c r="L1776" s="2" t="inlineStr">
        <is>
          <t>PriceCharting</t>
        </is>
      </c>
      <c r="M1776" s="4" t="inlineStr">
        <is>
          <t>https://www.pricecharting.com/game/pokemon-promo/annihilape-ex-box</t>
        </is>
      </c>
    </row>
    <row r="1777">
      <c r="A1777" s="2" t="inlineStr">
        <is>
          <t>Promo Archaludon Ex Box</t>
        </is>
      </c>
      <c r="B1777" s="3">
        <f>IF(H1777&lt;&gt;"",H1777,IF(I1777&lt;&gt;"",I1777,IF(J1777&lt;&gt;"",J1777,K1777)))</f>
        <v>38.98</v>
      </c>
      <c r="C1777" s="3">
        <f>MEDIAN(H1777:K1777)</f>
        <v>38.98</v>
      </c>
      <c r="D1777" s="3">
        <f>ROUND(C1777*(1-Settings!$B$2),2)</f>
        <v>27.29</v>
      </c>
      <c r="E1777" s="2" t="inlineStr">
        <is>
          <t>Pokemon</t>
        </is>
      </c>
      <c r="F1777" s="2" t="inlineStr">
        <is>
          <t>Coffret</t>
        </is>
      </c>
      <c r="G1777" s="2" t="inlineStr">
        <is>
          <t>Promo</t>
        </is>
      </c>
      <c r="H1777" s="3" t="n">
        <v>38.98</v>
      </c>
      <c r="I1777" s="3" t="n"/>
      <c r="J1777" s="3" t="n"/>
      <c r="K1777" s="3" t="n"/>
      <c r="L1777" s="2" t="inlineStr">
        <is>
          <t>PriceCharting</t>
        </is>
      </c>
      <c r="M1777" s="4" t="inlineStr">
        <is>
          <t>https://www.pricecharting.com/game/pokemon-promo/archaludon-ex-box</t>
        </is>
      </c>
    </row>
    <row r="1778">
      <c r="A1778" s="2" t="inlineStr">
        <is>
          <t>Promo Ascended Heroes Tin [Mega Emboar Ex]</t>
        </is>
      </c>
      <c r="B1778" s="3">
        <f>IF(H1778&lt;&gt;"",H1778,IF(I1778&lt;&gt;"",I1778,IF(J1778&lt;&gt;"",J1778,K1778)))</f>
        <v>43.01</v>
      </c>
      <c r="C1778" s="3">
        <f>MEDIAN(H1778:K1778)</f>
        <v>43.01</v>
      </c>
      <c r="D1778" s="3">
        <f>ROUND(C1778*(1-Settings!$B$2),2)</f>
        <v>30.11</v>
      </c>
      <c r="E1778" s="2" t="inlineStr">
        <is>
          <t>Pokemon</t>
        </is>
      </c>
      <c r="F1778" s="2" t="inlineStr">
        <is>
          <t>Coffret</t>
        </is>
      </c>
      <c r="G1778" s="2" t="inlineStr">
        <is>
          <t>Promo</t>
        </is>
      </c>
      <c r="H1778" s="3" t="n">
        <v>43.01</v>
      </c>
      <c r="I1778" s="3" t="n"/>
      <c r="J1778" s="3" t="n"/>
      <c r="K1778" s="3" t="n"/>
      <c r="L1778" s="2" t="inlineStr">
        <is>
          <t>PriceCharting</t>
        </is>
      </c>
      <c r="M1778" s="4" t="inlineStr">
        <is>
          <t>https://www.pricecharting.com/game/pokemon-promo/ascended-heroes-tin-mega-emboar-ex</t>
        </is>
      </c>
    </row>
    <row r="1779">
      <c r="A1779" s="2" t="inlineStr">
        <is>
          <t>Promo Ascended Heroes Tin [Mega Feraligatr Ex]</t>
        </is>
      </c>
      <c r="B1779" s="3">
        <f>IF(H1779&lt;&gt;"",H1779,IF(I1779&lt;&gt;"",I1779,IF(J1779&lt;&gt;"",J1779,K1779)))</f>
        <v>46.42</v>
      </c>
      <c r="C1779" s="3">
        <f>MEDIAN(H1779:K1779)</f>
        <v>46.42</v>
      </c>
      <c r="D1779" s="3">
        <f>ROUND(C1779*(1-Settings!$B$2),2)</f>
        <v>32.49</v>
      </c>
      <c r="E1779" s="2" t="inlineStr">
        <is>
          <t>Pokemon</t>
        </is>
      </c>
      <c r="F1779" s="2" t="inlineStr">
        <is>
          <t>Coffret</t>
        </is>
      </c>
      <c r="G1779" s="2" t="inlineStr">
        <is>
          <t>Promo</t>
        </is>
      </c>
      <c r="H1779" s="3" t="n">
        <v>46.42</v>
      </c>
      <c r="I1779" s="3" t="n"/>
      <c r="J1779" s="3" t="n"/>
      <c r="K1779" s="3" t="n"/>
      <c r="L1779" s="2" t="inlineStr">
        <is>
          <t>PriceCharting</t>
        </is>
      </c>
      <c r="M1779" s="4" t="inlineStr">
        <is>
          <t>https://www.pricecharting.com/game/pokemon-promo/ascended-heroes-tin-mega-feraligatr-ex</t>
        </is>
      </c>
    </row>
    <row r="1780">
      <c r="A1780" s="2" t="inlineStr">
        <is>
          <t>Promo Ascended Heroes Tin [Mega Meganium Ex]</t>
        </is>
      </c>
      <c r="B1780" s="3">
        <f>IF(H1780&lt;&gt;"",H1780,IF(I1780&lt;&gt;"",I1780,IF(J1780&lt;&gt;"",J1780,K1780)))</f>
        <v>48.0</v>
      </c>
      <c r="C1780" s="3">
        <f>MEDIAN(H1780:K1780)</f>
        <v>48.0</v>
      </c>
      <c r="D1780" s="3">
        <f>ROUND(C1780*(1-Settings!$B$2),2)</f>
        <v>33.6</v>
      </c>
      <c r="E1780" s="2" t="inlineStr">
        <is>
          <t>Pokemon</t>
        </is>
      </c>
      <c r="F1780" s="2" t="inlineStr">
        <is>
          <t>Coffret</t>
        </is>
      </c>
      <c r="G1780" s="2" t="inlineStr">
        <is>
          <t>Promo</t>
        </is>
      </c>
      <c r="H1780" s="3" t="n">
        <v>48</v>
      </c>
      <c r="I1780" s="3" t="n"/>
      <c r="J1780" s="3" t="n"/>
      <c r="K1780" s="3" t="n"/>
      <c r="L1780" s="2" t="inlineStr">
        <is>
          <t>PriceCharting</t>
        </is>
      </c>
      <c r="M1780" s="4" t="inlineStr">
        <is>
          <t>https://www.pricecharting.com/game/pokemon-promo/ascended-heroes-tin-mega-meganium-ex</t>
        </is>
      </c>
    </row>
    <row r="1781">
      <c r="A1781" s="2" t="inlineStr">
        <is>
          <t>Promo Azure Legends Tin: Dialga Ex</t>
        </is>
      </c>
      <c r="B1781" s="3">
        <f>IF(H1781&lt;&gt;"",H1781,IF(I1781&lt;&gt;"",I1781,IF(J1781&lt;&gt;"",J1781,K1781)))</f>
        <v>36.5</v>
      </c>
      <c r="C1781" s="3">
        <f>MEDIAN(H1781:K1781)</f>
        <v>36.5</v>
      </c>
      <c r="D1781" s="3">
        <f>ROUND(C1781*(1-Settings!$B$2),2)</f>
        <v>25.55</v>
      </c>
      <c r="E1781" s="2" t="inlineStr">
        <is>
          <t>Pokemon</t>
        </is>
      </c>
      <c r="F1781" s="2" t="inlineStr">
        <is>
          <t>Coffret</t>
        </is>
      </c>
      <c r="G1781" s="2" t="inlineStr">
        <is>
          <t>Promo</t>
        </is>
      </c>
      <c r="H1781" s="3" t="n">
        <v>36.5</v>
      </c>
      <c r="I1781" s="3" t="n"/>
      <c r="J1781" s="3" t="n"/>
      <c r="K1781" s="3" t="n"/>
      <c r="L1781" s="2" t="inlineStr">
        <is>
          <t>PriceCharting</t>
        </is>
      </c>
      <c r="M1781" s="4" t="inlineStr">
        <is>
          <t>https://www.pricecharting.com/game/pokemon-promo/azure-legends-tin-dialga-ex</t>
        </is>
      </c>
    </row>
    <row r="1782">
      <c r="A1782" s="2" t="inlineStr">
        <is>
          <t>Promo Azure Legends Tin: Dialga Ex [International]</t>
        </is>
      </c>
      <c r="B1782" s="3">
        <f>IF(H1782&lt;&gt;"",H1782,IF(I1782&lt;&gt;"",I1782,IF(J1782&lt;&gt;"",J1782,K1782)))</f>
        <v>33.92</v>
      </c>
      <c r="C1782" s="3">
        <f>MEDIAN(H1782:K1782)</f>
        <v>33.92</v>
      </c>
      <c r="D1782" s="3">
        <f>ROUND(C1782*(1-Settings!$B$2),2)</f>
        <v>23.74</v>
      </c>
      <c r="E1782" s="2" t="inlineStr">
        <is>
          <t>Pokemon</t>
        </is>
      </c>
      <c r="F1782" s="2" t="inlineStr">
        <is>
          <t>Coffret</t>
        </is>
      </c>
      <c r="G1782" s="2" t="inlineStr">
        <is>
          <t>Promo</t>
        </is>
      </c>
      <c r="H1782" s="3" t="n">
        <v>33.92</v>
      </c>
      <c r="I1782" s="3" t="n"/>
      <c r="J1782" s="3" t="n"/>
      <c r="K1782" s="3" t="n"/>
      <c r="L1782" s="2" t="inlineStr">
        <is>
          <t>PriceCharting</t>
        </is>
      </c>
      <c r="M1782" s="4" t="inlineStr">
        <is>
          <t>https://www.pricecharting.com/game/pokemon-promo/azure-legends-tin-dialga-ex-international</t>
        </is>
      </c>
    </row>
    <row r="1783">
      <c r="A1783" s="2" t="inlineStr">
        <is>
          <t>Promo Azure Legends Tin: Kyogre Ex</t>
        </is>
      </c>
      <c r="B1783" s="3">
        <f>IF(H1783&lt;&gt;"",H1783,IF(I1783&lt;&gt;"",I1783,IF(J1783&lt;&gt;"",J1783,K1783)))</f>
        <v>41.38</v>
      </c>
      <c r="C1783" s="3">
        <f>MEDIAN(H1783:K1783)</f>
        <v>41.38</v>
      </c>
      <c r="D1783" s="3">
        <f>ROUND(C1783*(1-Settings!$B$2),2)</f>
        <v>28.97</v>
      </c>
      <c r="E1783" s="2" t="inlineStr">
        <is>
          <t>Pokemon</t>
        </is>
      </c>
      <c r="F1783" s="2" t="inlineStr">
        <is>
          <t>Coffret</t>
        </is>
      </c>
      <c r="G1783" s="2" t="inlineStr">
        <is>
          <t>Promo</t>
        </is>
      </c>
      <c r="H1783" s="3" t="n">
        <v>41.38</v>
      </c>
      <c r="I1783" s="3" t="n"/>
      <c r="J1783" s="3" t="n"/>
      <c r="K1783" s="3" t="n"/>
      <c r="L1783" s="2" t="inlineStr">
        <is>
          <t>PriceCharting</t>
        </is>
      </c>
      <c r="M1783" s="4" t="inlineStr">
        <is>
          <t>https://www.pricecharting.com/game/pokemon-promo/azure-legends-tin-kyogre-ex</t>
        </is>
      </c>
    </row>
    <row r="1784">
      <c r="A1784" s="2" t="inlineStr">
        <is>
          <t>Promo Azure Legends Tin: Kyogre Ex [International]</t>
        </is>
      </c>
      <c r="B1784" s="3">
        <f>IF(H1784&lt;&gt;"",H1784,IF(I1784&lt;&gt;"",I1784,IF(J1784&lt;&gt;"",J1784,K1784)))</f>
        <v>37.56</v>
      </c>
      <c r="C1784" s="3">
        <f>MEDIAN(H1784:K1784)</f>
        <v>37.56</v>
      </c>
      <c r="D1784" s="3">
        <f>ROUND(C1784*(1-Settings!$B$2),2)</f>
        <v>26.29</v>
      </c>
      <c r="E1784" s="2" t="inlineStr">
        <is>
          <t>Pokemon</t>
        </is>
      </c>
      <c r="F1784" s="2" t="inlineStr">
        <is>
          <t>Coffret</t>
        </is>
      </c>
      <c r="G1784" s="2" t="inlineStr">
        <is>
          <t>Promo</t>
        </is>
      </c>
      <c r="H1784" s="3" t="n">
        <v>37.56</v>
      </c>
      <c r="I1784" s="3" t="n"/>
      <c r="J1784" s="3" t="n"/>
      <c r="K1784" s="3" t="n"/>
      <c r="L1784" s="2" t="inlineStr">
        <is>
          <t>PriceCharting</t>
        </is>
      </c>
      <c r="M1784" s="4" t="inlineStr">
        <is>
          <t>https://www.pricecharting.com/game/pokemon-promo/azure-legends-tin-kyogre-ex-international</t>
        </is>
      </c>
    </row>
    <row r="1785">
      <c r="A1785" s="2" t="inlineStr">
        <is>
          <t>Promo Azure Legends Tin: Xerneas Ex</t>
        </is>
      </c>
      <c r="B1785" s="3">
        <f>IF(H1785&lt;&gt;"",H1785,IF(I1785&lt;&gt;"",I1785,IF(J1785&lt;&gt;"",J1785,K1785)))</f>
        <v>33.99</v>
      </c>
      <c r="C1785" s="3">
        <f>MEDIAN(H1785:K1785)</f>
        <v>33.99</v>
      </c>
      <c r="D1785" s="3">
        <f>ROUND(C1785*(1-Settings!$B$2),2)</f>
        <v>23.79</v>
      </c>
      <c r="E1785" s="2" t="inlineStr">
        <is>
          <t>Pokemon</t>
        </is>
      </c>
      <c r="F1785" s="2" t="inlineStr">
        <is>
          <t>Coffret</t>
        </is>
      </c>
      <c r="G1785" s="2" t="inlineStr">
        <is>
          <t>Promo</t>
        </is>
      </c>
      <c r="H1785" s="3" t="n">
        <v>33.99</v>
      </c>
      <c r="I1785" s="3" t="n"/>
      <c r="J1785" s="3" t="n"/>
      <c r="K1785" s="3" t="n"/>
      <c r="L1785" s="2" t="inlineStr">
        <is>
          <t>PriceCharting</t>
        </is>
      </c>
      <c r="M1785" s="4" t="inlineStr">
        <is>
          <t>https://www.pricecharting.com/game/pokemon-promo/azure-legends-tin-xerneas-ex</t>
        </is>
      </c>
    </row>
    <row r="1786">
      <c r="A1786" s="2" t="inlineStr">
        <is>
          <t>Promo Azure Legends Tin: Xerneas Ex [International]</t>
        </is>
      </c>
      <c r="B1786" s="3">
        <f>IF(H1786&lt;&gt;"",H1786,IF(I1786&lt;&gt;"",I1786,IF(J1786&lt;&gt;"",J1786,K1786)))</f>
        <v>34.96</v>
      </c>
      <c r="C1786" s="3">
        <f>MEDIAN(H1786:K1786)</f>
        <v>34.96</v>
      </c>
      <c r="D1786" s="3">
        <f>ROUND(C1786*(1-Settings!$B$2),2)</f>
        <v>24.47</v>
      </c>
      <c r="E1786" s="2" t="inlineStr">
        <is>
          <t>Pokemon</t>
        </is>
      </c>
      <c r="F1786" s="2" t="inlineStr">
        <is>
          <t>Coffret</t>
        </is>
      </c>
      <c r="G1786" s="2" t="inlineStr">
        <is>
          <t>Promo</t>
        </is>
      </c>
      <c r="H1786" s="3" t="n">
        <v>34.96</v>
      </c>
      <c r="I1786" s="3" t="n"/>
      <c r="J1786" s="3" t="n"/>
      <c r="K1786" s="3" t="n"/>
      <c r="L1786" s="2" t="inlineStr">
        <is>
          <t>PriceCharting</t>
        </is>
      </c>
      <c r="M1786" s="4" t="inlineStr">
        <is>
          <t>https://www.pricecharting.com/game/pokemon-promo/azure-legends-tin-xerneas-ex-international</t>
        </is>
      </c>
    </row>
    <row r="1787">
      <c r="A1787" s="2" t="inlineStr">
        <is>
          <t>Promo Black Kyurem Ex Box</t>
        </is>
      </c>
      <c r="B1787" s="3">
        <f>IF(H1787&lt;&gt;"",H1787,IF(I1787&lt;&gt;"",I1787,IF(J1787&lt;&gt;"",J1787,K1787)))</f>
        <v>39.25</v>
      </c>
      <c r="C1787" s="3">
        <f>MEDIAN(H1787:K1787)</f>
        <v>39.25</v>
      </c>
      <c r="D1787" s="3">
        <f>ROUND(C1787*(1-Settings!$B$2),2)</f>
        <v>27.48</v>
      </c>
      <c r="E1787" s="2" t="inlineStr">
        <is>
          <t>Pokemon</t>
        </is>
      </c>
      <c r="F1787" s="2" t="inlineStr">
        <is>
          <t>Coffret</t>
        </is>
      </c>
      <c r="G1787" s="2" t="inlineStr">
        <is>
          <t>Promo</t>
        </is>
      </c>
      <c r="H1787" s="3" t="n">
        <v>39.25</v>
      </c>
      <c r="I1787" s="3" t="n"/>
      <c r="J1787" s="3" t="n"/>
      <c r="K1787" s="3" t="n"/>
      <c r="L1787" s="2" t="inlineStr">
        <is>
          <t>PriceCharting</t>
        </is>
      </c>
      <c r="M1787" s="4" t="inlineStr">
        <is>
          <t>https://www.pricecharting.com/game/pokemon-promo/black-kyurem-ex-box</t>
        </is>
      </c>
    </row>
    <row r="1788">
      <c r="A1788" s="2" t="inlineStr">
        <is>
          <t>Promo Blaziken Ex &amp; Volcanion Ex Premium Collection</t>
        </is>
      </c>
      <c r="B1788" s="3">
        <f>IF(H1788&lt;&gt;"",H1788,IF(I1788&lt;&gt;"",I1788,IF(J1788&lt;&gt;"",J1788,K1788)))</f>
        <v>89.76</v>
      </c>
      <c r="C1788" s="3">
        <f>MEDIAN(H1788:K1788)</f>
        <v>89.76</v>
      </c>
      <c r="D1788" s="3">
        <f>ROUND(C1788*(1-Settings!$B$2),2)</f>
        <v>62.83</v>
      </c>
      <c r="E1788" s="2" t="inlineStr">
        <is>
          <t>Pokemon</t>
        </is>
      </c>
      <c r="F1788" s="2" t="inlineStr">
        <is>
          <t>Coffret</t>
        </is>
      </c>
      <c r="G1788" s="2" t="inlineStr">
        <is>
          <t>Promo</t>
        </is>
      </c>
      <c r="H1788" s="3" t="n">
        <v>89.76000000000001</v>
      </c>
      <c r="I1788" s="3" t="n"/>
      <c r="J1788" s="3" t="n"/>
      <c r="K1788" s="3" t="n"/>
      <c r="L1788" s="2" t="inlineStr">
        <is>
          <t>PriceCharting</t>
        </is>
      </c>
      <c r="M1788" s="4" t="inlineStr">
        <is>
          <t>https://www.pricecharting.com/game/pokemon-promo/blaziken-ex-&amp;-volcanion-ex-premium-collection</t>
        </is>
      </c>
    </row>
    <row r="1789">
      <c r="A1789" s="2" t="inlineStr">
        <is>
          <t>Promo Celebi &amp; Venusaur Tin</t>
        </is>
      </c>
      <c r="B1789" s="3">
        <f>IF(H1789&lt;&gt;"",H1789,IF(I1789&lt;&gt;"",I1789,IF(J1789&lt;&gt;"",J1789,K1789)))</f>
        <v>625.0</v>
      </c>
      <c r="C1789" s="3">
        <f>MEDIAN(H1789:K1789)</f>
        <v>625.0</v>
      </c>
      <c r="D1789" s="3">
        <f>ROUND(C1789*(1-Settings!$B$2),2)</f>
        <v>437.5</v>
      </c>
      <c r="E1789" s="2" t="inlineStr">
        <is>
          <t>Pokemon</t>
        </is>
      </c>
      <c r="F1789" s="2" t="inlineStr">
        <is>
          <t>Coffret</t>
        </is>
      </c>
      <c r="G1789" s="2" t="inlineStr">
        <is>
          <t>Promo</t>
        </is>
      </c>
      <c r="H1789" s="3" t="n">
        <v>625</v>
      </c>
      <c r="I1789" s="3" t="n"/>
      <c r="J1789" s="3" t="n"/>
      <c r="K1789" s="3" t="n"/>
      <c r="L1789" s="2" t="inlineStr">
        <is>
          <t>PriceCharting</t>
        </is>
      </c>
      <c r="M1789" s="4" t="inlineStr">
        <is>
          <t>https://www.pricecharting.com/game/pokemon-promo/celebi-&amp;-venusaur-tin</t>
        </is>
      </c>
    </row>
    <row r="1790">
      <c r="A1790" s="2" t="inlineStr">
        <is>
          <t>Promo Charizard Ex Special Collection Box</t>
        </is>
      </c>
      <c r="B1790" s="3">
        <f>IF(H1790&lt;&gt;"",H1790,IF(I1790&lt;&gt;"",I1790,IF(J1790&lt;&gt;"",J1790,K1790)))</f>
        <v>60.0</v>
      </c>
      <c r="C1790" s="3">
        <f>MEDIAN(H1790:K1790)</f>
        <v>60.0</v>
      </c>
      <c r="D1790" s="3">
        <f>ROUND(C1790*(1-Settings!$B$2),2)</f>
        <v>42.0</v>
      </c>
      <c r="E1790" s="2" t="inlineStr">
        <is>
          <t>Pokemon</t>
        </is>
      </c>
      <c r="F1790" s="2" t="inlineStr">
        <is>
          <t>Coffret</t>
        </is>
      </c>
      <c r="G1790" s="2" t="inlineStr">
        <is>
          <t>Promo</t>
        </is>
      </c>
      <c r="H1790" s="3" t="n">
        <v>60</v>
      </c>
      <c r="I1790" s="3" t="n"/>
      <c r="J1790" s="3" t="n"/>
      <c r="K1790" s="3" t="n"/>
      <c r="L1790" s="2" t="inlineStr">
        <is>
          <t>PriceCharting</t>
        </is>
      </c>
      <c r="M1790" s="4" t="inlineStr">
        <is>
          <t>https://www.pricecharting.com/game/pokemon-promo/charizard-ex-special-collection-box</t>
        </is>
      </c>
    </row>
    <row r="1791">
      <c r="A1791" s="2" t="inlineStr">
        <is>
          <t>Promo Charizard Ex Super Premium Collection Box</t>
        </is>
      </c>
      <c r="B1791" s="3">
        <f>IF(H1791&lt;&gt;"",H1791,IF(I1791&lt;&gt;"",I1791,IF(J1791&lt;&gt;"",J1791,K1791)))</f>
        <v>131.0</v>
      </c>
      <c r="C1791" s="3">
        <f>MEDIAN(H1791:K1791)</f>
        <v>131.0</v>
      </c>
      <c r="D1791" s="3">
        <f>ROUND(C1791*(1-Settings!$B$2),2)</f>
        <v>91.7</v>
      </c>
      <c r="E1791" s="2" t="inlineStr">
        <is>
          <t>Pokemon</t>
        </is>
      </c>
      <c r="F1791" s="2" t="inlineStr">
        <is>
          <t>Coffret</t>
        </is>
      </c>
      <c r="G1791" s="2" t="inlineStr">
        <is>
          <t>Promo</t>
        </is>
      </c>
      <c r="H1791" s="3" t="n">
        <v>131</v>
      </c>
      <c r="I1791" s="3" t="n"/>
      <c r="J1791" s="3" t="n"/>
      <c r="K1791" s="3" t="n"/>
      <c r="L1791" s="2" t="inlineStr">
        <is>
          <t>PriceCharting</t>
        </is>
      </c>
      <c r="M1791" s="4" t="inlineStr">
        <is>
          <t>https://www.pricecharting.com/game/pokemon-promo/charizard-ex-super-premium-collection-box</t>
        </is>
      </c>
    </row>
    <row r="1792">
      <c r="A1792" s="2" t="inlineStr">
        <is>
          <t>Promo Charizard EX Tin</t>
        </is>
      </c>
      <c r="B1792" s="3">
        <f>IF(H1792&lt;&gt;"",H1792,IF(I1792&lt;&gt;"",I1792,IF(J1792&lt;&gt;"",J1792,K1792)))</f>
        <v>125.02</v>
      </c>
      <c r="C1792" s="3">
        <f>MEDIAN(H1792:K1792)</f>
        <v>125.02</v>
      </c>
      <c r="D1792" s="3">
        <f>ROUND(C1792*(1-Settings!$B$2),2)</f>
        <v>87.51</v>
      </c>
      <c r="E1792" s="2" t="inlineStr">
        <is>
          <t>Pokemon</t>
        </is>
      </c>
      <c r="F1792" s="2" t="inlineStr">
        <is>
          <t>Coffret</t>
        </is>
      </c>
      <c r="G1792" s="2" t="inlineStr">
        <is>
          <t>Promo</t>
        </is>
      </c>
      <c r="H1792" s="3" t="n">
        <v>125.02</v>
      </c>
      <c r="I1792" s="3" t="n"/>
      <c r="J1792" s="3" t="n"/>
      <c r="K1792" s="3" t="n"/>
      <c r="L1792" s="2" t="inlineStr">
        <is>
          <t>PriceCharting</t>
        </is>
      </c>
      <c r="M1792" s="4" t="inlineStr">
        <is>
          <t>https://www.pricecharting.com/game/pokemon-promo/charizard-ex-tin</t>
        </is>
      </c>
    </row>
    <row r="1793">
      <c r="A1793" s="2" t="inlineStr">
        <is>
          <t>Promo Darkrai Vstar Premium Collection Box</t>
        </is>
      </c>
      <c r="B1793" s="3">
        <f>IF(H1793&lt;&gt;"",H1793,IF(I1793&lt;&gt;"",I1793,IF(J1793&lt;&gt;"",J1793,K1793)))</f>
        <v>155.0</v>
      </c>
      <c r="C1793" s="3">
        <f>MEDIAN(H1793:K1793)</f>
        <v>155.0</v>
      </c>
      <c r="D1793" s="3">
        <f>ROUND(C1793*(1-Settings!$B$2),2)</f>
        <v>108.5</v>
      </c>
      <c r="E1793" s="2" t="inlineStr">
        <is>
          <t>Pokemon</t>
        </is>
      </c>
      <c r="F1793" s="2" t="inlineStr">
        <is>
          <t>Coffret</t>
        </is>
      </c>
      <c r="G1793" s="2" t="inlineStr">
        <is>
          <t>Promo</t>
        </is>
      </c>
      <c r="H1793" s="3" t="n">
        <v>155</v>
      </c>
      <c r="I1793" s="3" t="n"/>
      <c r="J1793" s="3" t="n"/>
      <c r="K1793" s="3" t="n"/>
      <c r="L1793" s="2" t="inlineStr">
        <is>
          <t>PriceCharting</t>
        </is>
      </c>
      <c r="M1793" s="4" t="inlineStr">
        <is>
          <t>https://www.pricecharting.com/game/pokemon-promo/darkrai-vstar-premium-collection-box</t>
        </is>
      </c>
    </row>
    <row r="1794">
      <c r="A1794" s="2" t="inlineStr">
        <is>
          <t>Promo Deoxys VMAX &amp; VSTAR Battle Box</t>
        </is>
      </c>
      <c r="B1794" s="3">
        <f>IF(H1794&lt;&gt;"",H1794,IF(I1794&lt;&gt;"",I1794,IF(J1794&lt;&gt;"",J1794,K1794)))</f>
        <v>86.87</v>
      </c>
      <c r="C1794" s="3">
        <f>MEDIAN(H1794:K1794)</f>
        <v>86.87</v>
      </c>
      <c r="D1794" s="3">
        <f>ROUND(C1794*(1-Settings!$B$2),2)</f>
        <v>60.81</v>
      </c>
      <c r="E1794" s="2" t="inlineStr">
        <is>
          <t>Pokemon</t>
        </is>
      </c>
      <c r="F1794" s="2" t="inlineStr">
        <is>
          <t>Coffret</t>
        </is>
      </c>
      <c r="G1794" s="2" t="inlineStr">
        <is>
          <t>Promo</t>
        </is>
      </c>
      <c r="H1794" s="3" t="n">
        <v>86.87</v>
      </c>
      <c r="I1794" s="3" t="n"/>
      <c r="J1794" s="3" t="n"/>
      <c r="K1794" s="3" t="n"/>
      <c r="L1794" s="2" t="inlineStr">
        <is>
          <t>PriceCharting</t>
        </is>
      </c>
      <c r="M1794" s="4" t="inlineStr">
        <is>
          <t>https://www.pricecharting.com/game/pokemon-promo/deoxys-vmax-&amp;-vstar-battle-box</t>
        </is>
      </c>
    </row>
    <row r="1795">
      <c r="A1795" s="2" t="inlineStr">
        <is>
          <t>Promo Divergent Powers Tin [Hisuian Decidueye V]</t>
        </is>
      </c>
      <c r="B1795" s="3">
        <f>IF(H1795&lt;&gt;"",H1795,IF(I1795&lt;&gt;"",I1795,IF(J1795&lt;&gt;"",J1795,K1795)))</f>
        <v>98.0</v>
      </c>
      <c r="C1795" s="3">
        <f>MEDIAN(H1795:K1795)</f>
        <v>98.0</v>
      </c>
      <c r="D1795" s="3">
        <f>ROUND(C1795*(1-Settings!$B$2),2)</f>
        <v>68.6</v>
      </c>
      <c r="E1795" s="2" t="inlineStr">
        <is>
          <t>Pokemon</t>
        </is>
      </c>
      <c r="F1795" s="2" t="inlineStr">
        <is>
          <t>Coffret</t>
        </is>
      </c>
      <c r="G1795" s="2" t="inlineStr">
        <is>
          <t>Promo</t>
        </is>
      </c>
      <c r="H1795" s="3" t="n">
        <v>98</v>
      </c>
      <c r="I1795" s="3" t="n"/>
      <c r="J1795" s="3" t="n"/>
      <c r="K1795" s="3" t="n"/>
      <c r="L1795" s="2" t="inlineStr">
        <is>
          <t>PriceCharting</t>
        </is>
      </c>
      <c r="M1795" s="4" t="inlineStr">
        <is>
          <t>https://www.pricecharting.com/game/pokemon-promo/divergent-powers-tin-hisuian-decidueye-v</t>
        </is>
      </c>
    </row>
    <row r="1796">
      <c r="A1796" s="2" t="inlineStr">
        <is>
          <t>Promo Divergent Powers Tin [Hisuian Decidueye V] [International]</t>
        </is>
      </c>
      <c r="B1796" s="3">
        <f>IF(H1796&lt;&gt;"",H1796,IF(I1796&lt;&gt;"",I1796,IF(J1796&lt;&gt;"",J1796,K1796)))</f>
        <v>42.64</v>
      </c>
      <c r="C1796" s="3">
        <f>MEDIAN(H1796:K1796)</f>
        <v>42.64</v>
      </c>
      <c r="D1796" s="3">
        <f>ROUND(C1796*(1-Settings!$B$2),2)</f>
        <v>29.85</v>
      </c>
      <c r="E1796" s="2" t="inlineStr">
        <is>
          <t>Pokemon</t>
        </is>
      </c>
      <c r="F1796" s="2" t="inlineStr">
        <is>
          <t>Coffret</t>
        </is>
      </c>
      <c r="G1796" s="2" t="inlineStr">
        <is>
          <t>Promo</t>
        </is>
      </c>
      <c r="H1796" s="3" t="n">
        <v>42.64</v>
      </c>
      <c r="I1796" s="3" t="n"/>
      <c r="J1796" s="3" t="n"/>
      <c r="K1796" s="3" t="n"/>
      <c r="L1796" s="2" t="inlineStr">
        <is>
          <t>PriceCharting</t>
        </is>
      </c>
      <c r="M1796" s="4" t="inlineStr">
        <is>
          <t>https://www.pricecharting.com/game/pokemon-promo/divergent-powers-tin-hisuian-decidueye-v-international</t>
        </is>
      </c>
    </row>
    <row r="1797">
      <c r="A1797" s="2" t="inlineStr">
        <is>
          <t>Promo Divergent Powers Tin [Hisuian Samurott V]</t>
        </is>
      </c>
      <c r="B1797" s="3">
        <f>IF(H1797&lt;&gt;"",H1797,IF(I1797&lt;&gt;"",I1797,IF(J1797&lt;&gt;"",J1797,K1797)))</f>
        <v>98.5</v>
      </c>
      <c r="C1797" s="3">
        <f>MEDIAN(H1797:K1797)</f>
        <v>98.5</v>
      </c>
      <c r="D1797" s="3">
        <f>ROUND(C1797*(1-Settings!$B$2),2)</f>
        <v>68.95</v>
      </c>
      <c r="E1797" s="2" t="inlineStr">
        <is>
          <t>Pokemon</t>
        </is>
      </c>
      <c r="F1797" s="2" t="inlineStr">
        <is>
          <t>Coffret</t>
        </is>
      </c>
      <c r="G1797" s="2" t="inlineStr">
        <is>
          <t>Promo</t>
        </is>
      </c>
      <c r="H1797" s="3" t="n">
        <v>98.5</v>
      </c>
      <c r="I1797" s="3" t="n"/>
      <c r="J1797" s="3" t="n"/>
      <c r="K1797" s="3" t="n"/>
      <c r="L1797" s="2" t="inlineStr">
        <is>
          <t>PriceCharting</t>
        </is>
      </c>
      <c r="M1797" s="4" t="inlineStr">
        <is>
          <t>https://www.pricecharting.com/game/pokemon-promo/divergent-powers-tin-hisuian-samurott-v</t>
        </is>
      </c>
    </row>
    <row r="1798">
      <c r="A1798" s="2" t="inlineStr">
        <is>
          <t>Promo Divergent Powers Tin [Hisuian Samurott V] [International]</t>
        </is>
      </c>
      <c r="B1798" s="3">
        <f>IF(H1798&lt;&gt;"",H1798,IF(I1798&lt;&gt;"",I1798,IF(J1798&lt;&gt;"",J1798,K1798)))</f>
        <v>72.96</v>
      </c>
      <c r="C1798" s="3">
        <f>MEDIAN(H1798:K1798)</f>
        <v>72.96</v>
      </c>
      <c r="D1798" s="3">
        <f>ROUND(C1798*(1-Settings!$B$2),2)</f>
        <v>51.07</v>
      </c>
      <c r="E1798" s="2" t="inlineStr">
        <is>
          <t>Pokemon</t>
        </is>
      </c>
      <c r="F1798" s="2" t="inlineStr">
        <is>
          <t>Coffret</t>
        </is>
      </c>
      <c r="G1798" s="2" t="inlineStr">
        <is>
          <t>Promo</t>
        </is>
      </c>
      <c r="H1798" s="3" t="n">
        <v>72.95999999999999</v>
      </c>
      <c r="I1798" s="3" t="n"/>
      <c r="J1798" s="3" t="n"/>
      <c r="K1798" s="3" t="n"/>
      <c r="L1798" s="2" t="inlineStr">
        <is>
          <t>PriceCharting</t>
        </is>
      </c>
      <c r="M1798" s="4" t="inlineStr">
        <is>
          <t>https://www.pricecharting.com/game/pokemon-promo/divergent-powers-tin-hisuian-samurott-v-international</t>
        </is>
      </c>
    </row>
    <row r="1799">
      <c r="A1799" s="2" t="inlineStr">
        <is>
          <t>Promo Divergent Powers Tin [Hisuian Typhlosion V]</t>
        </is>
      </c>
      <c r="B1799" s="3">
        <f>IF(H1799&lt;&gt;"",H1799,IF(I1799&lt;&gt;"",I1799,IF(J1799&lt;&gt;"",J1799,K1799)))</f>
        <v>111.0</v>
      </c>
      <c r="C1799" s="3">
        <f>MEDIAN(H1799:K1799)</f>
        <v>111.0</v>
      </c>
      <c r="D1799" s="3">
        <f>ROUND(C1799*(1-Settings!$B$2),2)</f>
        <v>77.7</v>
      </c>
      <c r="E1799" s="2" t="inlineStr">
        <is>
          <t>Pokemon</t>
        </is>
      </c>
      <c r="F1799" s="2" t="inlineStr">
        <is>
          <t>Coffret</t>
        </is>
      </c>
      <c r="G1799" s="2" t="inlineStr">
        <is>
          <t>Promo</t>
        </is>
      </c>
      <c r="H1799" s="3" t="n">
        <v>111</v>
      </c>
      <c r="I1799" s="3" t="n"/>
      <c r="J1799" s="3" t="n"/>
      <c r="K1799" s="3" t="n"/>
      <c r="L1799" s="2" t="inlineStr">
        <is>
          <t>PriceCharting</t>
        </is>
      </c>
      <c r="M1799" s="4" t="inlineStr">
        <is>
          <t>https://www.pricecharting.com/game/pokemon-promo/divergent-powers-tin-hisuian-typhlosion-v</t>
        </is>
      </c>
    </row>
    <row r="1800">
      <c r="A1800" s="2" t="inlineStr">
        <is>
          <t>Promo Divergent Powers Tin [Hisuian Typhlosion V] [International]</t>
        </is>
      </c>
      <c r="B1800" s="3">
        <f>IF(H1800&lt;&gt;"",H1800,IF(I1800&lt;&gt;"",I1800,IF(J1800&lt;&gt;"",J1800,K1800)))</f>
        <v>61.88</v>
      </c>
      <c r="C1800" s="3">
        <f>MEDIAN(H1800:K1800)</f>
        <v>61.88</v>
      </c>
      <c r="D1800" s="3">
        <f>ROUND(C1800*(1-Settings!$B$2),2)</f>
        <v>43.32</v>
      </c>
      <c r="E1800" s="2" t="inlineStr">
        <is>
          <t>Pokemon</t>
        </is>
      </c>
      <c r="F1800" s="2" t="inlineStr">
        <is>
          <t>Coffret</t>
        </is>
      </c>
      <c r="G1800" s="2" t="inlineStr">
        <is>
          <t>Promo</t>
        </is>
      </c>
      <c r="H1800" s="3" t="n">
        <v>61.88</v>
      </c>
      <c r="I1800" s="3" t="n"/>
      <c r="J1800" s="3" t="n"/>
      <c r="K1800" s="3" t="n"/>
      <c r="L1800" s="2" t="inlineStr">
        <is>
          <t>PriceCharting</t>
        </is>
      </c>
      <c r="M1800" s="4" t="inlineStr">
        <is>
          <t>https://www.pricecharting.com/game/pokemon-promo/divergent-powers-tin-hisuian-typhlosion-v-international</t>
        </is>
      </c>
    </row>
    <row r="1801">
      <c r="A1801" s="2" t="inlineStr">
        <is>
          <t>Promo Dragon Stacking Tin</t>
        </is>
      </c>
      <c r="B1801" s="3">
        <f>IF(H1801&lt;&gt;"",H1801,IF(I1801&lt;&gt;"",I1801,IF(J1801&lt;&gt;"",J1801,K1801)))</f>
        <v>33.54</v>
      </c>
      <c r="C1801" s="3">
        <f>MEDIAN(H1801:K1801)</f>
        <v>33.54</v>
      </c>
      <c r="D1801" s="3">
        <f>ROUND(C1801*(1-Settings!$B$2),2)</f>
        <v>23.48</v>
      </c>
      <c r="E1801" s="2" t="inlineStr">
        <is>
          <t>Pokemon</t>
        </is>
      </c>
      <c r="F1801" s="2" t="inlineStr">
        <is>
          <t>Coffret</t>
        </is>
      </c>
      <c r="G1801" s="2" t="inlineStr">
        <is>
          <t>Promo</t>
        </is>
      </c>
      <c r="H1801" s="3" t="n">
        <v>33.54</v>
      </c>
      <c r="I1801" s="3" t="n"/>
      <c r="J1801" s="3" t="n"/>
      <c r="K1801" s="3" t="n"/>
      <c r="L1801" s="2" t="inlineStr">
        <is>
          <t>PriceCharting</t>
        </is>
      </c>
      <c r="M1801" s="4" t="inlineStr">
        <is>
          <t>https://www.pricecharting.com/game/pokemon-promo/dragon-stacking-tin</t>
        </is>
      </c>
    </row>
    <row r="1802">
      <c r="A1802" s="2" t="inlineStr">
        <is>
          <t>Promo Eevee &amp; Snorlax GX Tin</t>
        </is>
      </c>
      <c r="B1802" s="3">
        <f>IF(H1802&lt;&gt;"",H1802,IF(I1802&lt;&gt;"",I1802,IF(J1802&lt;&gt;"",J1802,K1802)))</f>
        <v>700.0</v>
      </c>
      <c r="C1802" s="3">
        <f>MEDIAN(H1802:K1802)</f>
        <v>700.0</v>
      </c>
      <c r="D1802" s="3">
        <f>ROUND(C1802*(1-Settings!$B$2),2)</f>
        <v>490.0</v>
      </c>
      <c r="E1802" s="2" t="inlineStr">
        <is>
          <t>Pokemon</t>
        </is>
      </c>
      <c r="F1802" s="2" t="inlineStr">
        <is>
          <t>Coffret</t>
        </is>
      </c>
      <c r="G1802" s="2" t="inlineStr">
        <is>
          <t>Promo</t>
        </is>
      </c>
      <c r="H1802" s="3" t="n">
        <v>700</v>
      </c>
      <c r="I1802" s="3" t="n"/>
      <c r="J1802" s="3" t="n"/>
      <c r="K1802" s="3" t="n"/>
      <c r="L1802" s="2" t="inlineStr">
        <is>
          <t>PriceCharting</t>
        </is>
      </c>
      <c r="M1802" s="4" t="inlineStr">
        <is>
          <t>https://www.pricecharting.com/game/pokemon-promo/eevee-&amp;-snorlax-gx-tin</t>
        </is>
      </c>
    </row>
    <row r="1803">
      <c r="A1803" s="2" t="inlineStr">
        <is>
          <t>Promo Eevee Pokemon Treasure Chest Tin</t>
        </is>
      </c>
      <c r="B1803" s="3">
        <f>IF(H1803&lt;&gt;"",H1803,IF(I1803&lt;&gt;"",I1803,IF(J1803&lt;&gt;"",J1803,K1803)))</f>
        <v>100.0</v>
      </c>
      <c r="C1803" s="3">
        <f>MEDIAN(H1803:K1803)</f>
        <v>100.0</v>
      </c>
      <c r="D1803" s="3">
        <f>ROUND(C1803*(1-Settings!$B$2),2)</f>
        <v>70.0</v>
      </c>
      <c r="E1803" s="2" t="inlineStr">
        <is>
          <t>Pokemon</t>
        </is>
      </c>
      <c r="F1803" s="2" t="inlineStr">
        <is>
          <t>Coffret</t>
        </is>
      </c>
      <c r="G1803" s="2" t="inlineStr">
        <is>
          <t>Promo</t>
        </is>
      </c>
      <c r="H1803" s="3" t="n">
        <v>100</v>
      </c>
      <c r="I1803" s="3" t="n"/>
      <c r="J1803" s="3" t="n"/>
      <c r="K1803" s="3" t="n"/>
      <c r="L1803" s="2" t="inlineStr">
        <is>
          <t>PriceCharting</t>
        </is>
      </c>
      <c r="M1803" s="4" t="inlineStr">
        <is>
          <t>https://www.pricecharting.com/game/pokemon-promo/eevee-pokemon-treasure-chest-tin</t>
        </is>
      </c>
    </row>
    <row r="1804">
      <c r="A1804" s="2" t="inlineStr">
        <is>
          <t>Promo Enhanced 2-Pack Blister Pack [Galarian Articuno, Galarian Zapdos, &amp; Galarian Moltres]</t>
        </is>
      </c>
      <c r="B1804" s="3">
        <f>IF(H1804&lt;&gt;"",H1804,IF(I1804&lt;&gt;"",I1804,IF(J1804&lt;&gt;"",J1804,K1804)))</f>
        <v>52.48</v>
      </c>
      <c r="C1804" s="3">
        <f>MEDIAN(H1804:K1804)</f>
        <v>52.48</v>
      </c>
      <c r="D1804" s="3">
        <f>ROUND(C1804*(1-Settings!$B$2),2)</f>
        <v>36.74</v>
      </c>
      <c r="E1804" s="2" t="inlineStr">
        <is>
          <t>Pokemon</t>
        </is>
      </c>
      <c r="F1804" s="2" t="inlineStr">
        <is>
          <t>Coffret</t>
        </is>
      </c>
      <c r="G1804" s="2" t="inlineStr">
        <is>
          <t>Promo</t>
        </is>
      </c>
      <c r="H1804" s="3" t="n">
        <v>52.48</v>
      </c>
      <c r="I1804" s="3" t="n"/>
      <c r="J1804" s="3" t="n"/>
      <c r="K1804" s="3" t="n"/>
      <c r="L1804" s="2" t="inlineStr">
        <is>
          <t>PriceCharting</t>
        </is>
      </c>
      <c r="M1804" s="4" t="inlineStr">
        <is>
          <t>https://www.pricecharting.com/game/pokemon-promo/enhanced-2-pack-blister-pack-galarian-articuno-galarian-zapdos-&amp;-galarian-moltres</t>
        </is>
      </c>
    </row>
    <row r="1805">
      <c r="A1805" s="2" t="inlineStr">
        <is>
          <t>Promo Enhanced 2-Pack Blister Pack: Gengar, Marshadow, Team Rocket's Mimikyu</t>
        </is>
      </c>
      <c r="B1805" s="3">
        <f>IF(H1805&lt;&gt;"",H1805,IF(I1805&lt;&gt;"",I1805,IF(J1805&lt;&gt;"",J1805,K1805)))</f>
        <v>25.19</v>
      </c>
      <c r="C1805" s="3">
        <f>MEDIAN(H1805:K1805)</f>
        <v>25.19</v>
      </c>
      <c r="D1805" s="3">
        <f>ROUND(C1805*(1-Settings!$B$2),2)</f>
        <v>17.63</v>
      </c>
      <c r="E1805" s="2" t="inlineStr">
        <is>
          <t>Pokemon</t>
        </is>
      </c>
      <c r="F1805" s="2" t="inlineStr">
        <is>
          <t>Coffret</t>
        </is>
      </c>
      <c r="G1805" s="2" t="inlineStr">
        <is>
          <t>Promo</t>
        </is>
      </c>
      <c r="H1805" s="3" t="n">
        <v>25.19</v>
      </c>
      <c r="I1805" s="3" t="n"/>
      <c r="J1805" s="3" t="n"/>
      <c r="K1805" s="3" t="n"/>
      <c r="L1805" s="2" t="inlineStr">
        <is>
          <t>PriceCharting</t>
        </is>
      </c>
      <c r="M1805" s="4" t="inlineStr">
        <is>
          <t>https://www.pricecharting.com/game/pokemon-promo/enhanced-2-pack-blister-pack-gengar-marshadow-team-rocket's-mimikyu</t>
        </is>
      </c>
    </row>
    <row r="1806">
      <c r="A1806" s="2" t="inlineStr">
        <is>
          <t>Promo Enhanced 2-Pack Blister Pack: Latios, Zekrom &amp; Palkia</t>
        </is>
      </c>
      <c r="B1806" s="3">
        <f>IF(H1806&lt;&gt;"",H1806,IF(I1806&lt;&gt;"",I1806,IF(J1806&lt;&gt;"",J1806,K1806)))</f>
        <v>19.65</v>
      </c>
      <c r="C1806" s="3">
        <f>MEDIAN(H1806:K1806)</f>
        <v>19.65</v>
      </c>
      <c r="D1806" s="3">
        <f>ROUND(C1806*(1-Settings!$B$2),2)</f>
        <v>13.76</v>
      </c>
      <c r="E1806" s="2" t="inlineStr">
        <is>
          <t>Pokemon</t>
        </is>
      </c>
      <c r="F1806" s="2" t="inlineStr">
        <is>
          <t>Coffret</t>
        </is>
      </c>
      <c r="G1806" s="2" t="inlineStr">
        <is>
          <t>Promo</t>
        </is>
      </c>
      <c r="H1806" s="3" t="n">
        <v>19.65</v>
      </c>
      <c r="I1806" s="3" t="n"/>
      <c r="J1806" s="3" t="n"/>
      <c r="K1806" s="3" t="n"/>
      <c r="L1806" s="2" t="inlineStr">
        <is>
          <t>PriceCharting</t>
        </is>
      </c>
      <c r="M1806" s="4" t="inlineStr">
        <is>
          <t>https://www.pricecharting.com/game/pokemon-promo/enhanced-2-pack-blister-pack-latios-zekrom-&amp;-palkia</t>
        </is>
      </c>
    </row>
    <row r="1807">
      <c r="A1807" s="2" t="inlineStr">
        <is>
          <t>Promo Evolving Powers Premium Collection</t>
        </is>
      </c>
      <c r="B1807" s="3">
        <f>IF(H1807&lt;&gt;"",H1807,IF(I1807&lt;&gt;"",I1807,IF(J1807&lt;&gt;"",J1807,K1807)))</f>
        <v>193.24</v>
      </c>
      <c r="C1807" s="3">
        <f>MEDIAN(H1807:K1807)</f>
        <v>193.24</v>
      </c>
      <c r="D1807" s="3">
        <f>ROUND(C1807*(1-Settings!$B$2),2)</f>
        <v>135.27</v>
      </c>
      <c r="E1807" s="2" t="inlineStr">
        <is>
          <t>Pokemon</t>
        </is>
      </c>
      <c r="F1807" s="2" t="inlineStr">
        <is>
          <t>Coffret</t>
        </is>
      </c>
      <c r="G1807" s="2" t="inlineStr">
        <is>
          <t>Promo</t>
        </is>
      </c>
      <c r="H1807" s="3" t="n">
        <v>193.24</v>
      </c>
      <c r="I1807" s="3" t="n"/>
      <c r="J1807" s="3" t="n"/>
      <c r="K1807" s="3" t="n"/>
      <c r="L1807" s="2" t="inlineStr">
        <is>
          <t>PriceCharting</t>
        </is>
      </c>
      <c r="M1807" s="4" t="inlineStr">
        <is>
          <t>https://www.pricecharting.com/game/pokemon-promo/evolving-powers-premium-collection</t>
        </is>
      </c>
    </row>
    <row r="1808">
      <c r="A1808" s="2" t="inlineStr">
        <is>
          <t>Promo Factory Sealed Paldea Adventure Chest</t>
        </is>
      </c>
      <c r="B1808" s="3">
        <f>IF(H1808&lt;&gt;"",H1808,IF(I1808&lt;&gt;"",I1808,IF(J1808&lt;&gt;"",J1808,K1808)))</f>
        <v>117.7</v>
      </c>
      <c r="C1808" s="3">
        <f>MEDIAN(H1808:K1808)</f>
        <v>117.7</v>
      </c>
      <c r="D1808" s="3">
        <f>ROUND(C1808*(1-Settings!$B$2),2)</f>
        <v>82.39</v>
      </c>
      <c r="E1808" s="2" t="inlineStr">
        <is>
          <t>Pokemon</t>
        </is>
      </c>
      <c r="F1808" s="2" t="inlineStr">
        <is>
          <t>Coffret</t>
        </is>
      </c>
      <c r="G1808" s="2" t="inlineStr">
        <is>
          <t>Promo</t>
        </is>
      </c>
      <c r="H1808" s="3" t="n">
        <v>117.7</v>
      </c>
      <c r="I1808" s="3" t="n"/>
      <c r="J1808" s="3" t="n"/>
      <c r="K1808" s="3" t="n"/>
      <c r="L1808" s="2" t="inlineStr">
        <is>
          <t>PriceCharting</t>
        </is>
      </c>
      <c r="M1808" s="4" t="inlineStr">
        <is>
          <t>https://www.pricecharting.com/game/pokemon-promo/factory-sealed-paldea-adventure-chest</t>
        </is>
      </c>
    </row>
    <row r="1809">
      <c r="A1809" s="2" t="inlineStr">
        <is>
          <t>Promo Fall 2023 Collector Chest</t>
        </is>
      </c>
      <c r="B1809" s="3">
        <f>IF(H1809&lt;&gt;"",H1809,IF(I1809&lt;&gt;"",I1809,IF(J1809&lt;&gt;"",J1809,K1809)))</f>
        <v>64.69</v>
      </c>
      <c r="C1809" s="3">
        <f>MEDIAN(H1809:K1809)</f>
        <v>64.69</v>
      </c>
      <c r="D1809" s="3">
        <f>ROUND(C1809*(1-Settings!$B$2),2)</f>
        <v>45.28</v>
      </c>
      <c r="E1809" s="2" t="inlineStr">
        <is>
          <t>Pokemon</t>
        </is>
      </c>
      <c r="F1809" s="2" t="inlineStr">
        <is>
          <t>Coffret</t>
        </is>
      </c>
      <c r="G1809" s="2" t="inlineStr">
        <is>
          <t>Promo</t>
        </is>
      </c>
      <c r="H1809" s="3" t="n">
        <v>64.69</v>
      </c>
      <c r="I1809" s="3" t="n"/>
      <c r="J1809" s="3" t="n"/>
      <c r="K1809" s="3" t="n"/>
      <c r="L1809" s="2" t="inlineStr">
        <is>
          <t>PriceCharting</t>
        </is>
      </c>
      <c r="M1809" s="4" t="inlineStr">
        <is>
          <t>https://www.pricecharting.com/game/pokemon-promo/fall-2023-collector-chest</t>
        </is>
      </c>
    </row>
    <row r="1810">
      <c r="A1810" s="2" t="inlineStr">
        <is>
          <t>Promo Fall 2025 Collector Chest</t>
        </is>
      </c>
      <c r="B1810" s="3">
        <f>IF(H1810&lt;&gt;"",H1810,IF(I1810&lt;&gt;"",I1810,IF(J1810&lt;&gt;"",J1810,K1810)))</f>
        <v>48.45</v>
      </c>
      <c r="C1810" s="3">
        <f>MEDIAN(H1810:K1810)</f>
        <v>48.45</v>
      </c>
      <c r="D1810" s="3">
        <f>ROUND(C1810*(1-Settings!$B$2),2)</f>
        <v>33.92</v>
      </c>
      <c r="E1810" s="2" t="inlineStr">
        <is>
          <t>Pokemon</t>
        </is>
      </c>
      <c r="F1810" s="2" t="inlineStr">
        <is>
          <t>Coffret</t>
        </is>
      </c>
      <c r="G1810" s="2" t="inlineStr">
        <is>
          <t>Promo</t>
        </is>
      </c>
      <c r="H1810" s="3" t="n">
        <v>48.45</v>
      </c>
      <c r="I1810" s="3" t="n"/>
      <c r="J1810" s="3" t="n"/>
      <c r="K1810" s="3" t="n"/>
      <c r="L1810" s="2" t="inlineStr">
        <is>
          <t>PriceCharting</t>
        </is>
      </c>
      <c r="M1810" s="4" t="inlineStr">
        <is>
          <t>https://www.pricecharting.com/game/pokemon-promo/fall-2025-collector-chest</t>
        </is>
      </c>
    </row>
    <row r="1811">
      <c r="A1811" s="2" t="inlineStr">
        <is>
          <t>Promo First Partner Illustration Collection: Series 1</t>
        </is>
      </c>
      <c r="B1811" s="3">
        <f>IF(H1811&lt;&gt;"",H1811,IF(I1811&lt;&gt;"",I1811,IF(J1811&lt;&gt;"",J1811,K1811)))</f>
        <v>62.47</v>
      </c>
      <c r="C1811" s="3">
        <f>MEDIAN(H1811:K1811)</f>
        <v>62.47</v>
      </c>
      <c r="D1811" s="3">
        <f>ROUND(C1811*(1-Settings!$B$2),2)</f>
        <v>43.73</v>
      </c>
      <c r="E1811" s="2" t="inlineStr">
        <is>
          <t>Pokemon</t>
        </is>
      </c>
      <c r="F1811" s="2" t="inlineStr">
        <is>
          <t>Coffret</t>
        </is>
      </c>
      <c r="G1811" s="2" t="inlineStr">
        <is>
          <t>Promo</t>
        </is>
      </c>
      <c r="H1811" s="3" t="n">
        <v>62.47</v>
      </c>
      <c r="I1811" s="3" t="n"/>
      <c r="J1811" s="3" t="n"/>
      <c r="K1811" s="3" t="n"/>
      <c r="L1811" s="2" t="inlineStr">
        <is>
          <t>PriceCharting</t>
        </is>
      </c>
      <c r="M1811" s="4" t="inlineStr">
        <is>
          <t>https://www.pricecharting.com/game/pokemon-promo/first-partner-illustration-collection-series-1</t>
        </is>
      </c>
    </row>
    <row r="1812">
      <c r="A1812" s="2" t="inlineStr">
        <is>
          <t>Promo First Partner Illustration Collection: Series 2</t>
        </is>
      </c>
      <c r="B1812" s="3">
        <f>IF(H1812&lt;&gt;"",H1812,IF(I1812&lt;&gt;"",I1812,IF(J1812&lt;&gt;"",J1812,K1812)))</f>
        <v>27.0</v>
      </c>
      <c r="C1812" s="3">
        <f>MEDIAN(H1812:K1812)</f>
        <v>27.0</v>
      </c>
      <c r="D1812" s="3">
        <f>ROUND(C1812*(1-Settings!$B$2),2)</f>
        <v>18.9</v>
      </c>
      <c r="E1812" s="2" t="inlineStr">
        <is>
          <t>Pokemon</t>
        </is>
      </c>
      <c r="F1812" s="2" t="inlineStr">
        <is>
          <t>Coffret</t>
        </is>
      </c>
      <c r="G1812" s="2" t="inlineStr">
        <is>
          <t>Promo</t>
        </is>
      </c>
      <c r="H1812" s="3" t="n">
        <v>27</v>
      </c>
      <c r="I1812" s="3" t="n"/>
      <c r="J1812" s="3" t="n"/>
      <c r="K1812" s="3" t="n"/>
      <c r="L1812" s="2" t="inlineStr">
        <is>
          <t>PriceCharting</t>
        </is>
      </c>
      <c r="M1812" s="4" t="inlineStr">
        <is>
          <t>https://www.pricecharting.com/game/pokemon-promo/first-partner-illustration-collection-series-2</t>
        </is>
      </c>
    </row>
    <row r="1813">
      <c r="A1813" s="2" t="inlineStr">
        <is>
          <t>Promo First Partner Illustration Collection: Series 3</t>
        </is>
      </c>
      <c r="B1813" s="3">
        <f>IF(H1813&lt;&gt;"",H1813,IF(I1813&lt;&gt;"",I1813,IF(J1813&lt;&gt;"",J1813,K1813)))</f>
        <v>26.41</v>
      </c>
      <c r="C1813" s="3">
        <f>MEDIAN(H1813:K1813)</f>
        <v>26.41</v>
      </c>
      <c r="D1813" s="3">
        <f>ROUND(C1813*(1-Settings!$B$2),2)</f>
        <v>18.49</v>
      </c>
      <c r="E1813" s="2" t="inlineStr">
        <is>
          <t>Pokemon</t>
        </is>
      </c>
      <c r="F1813" s="2" t="inlineStr">
        <is>
          <t>Coffret</t>
        </is>
      </c>
      <c r="G1813" s="2" t="inlineStr">
        <is>
          <t>Promo</t>
        </is>
      </c>
      <c r="H1813" s="3" t="n">
        <v>26.41</v>
      </c>
      <c r="I1813" s="3" t="n"/>
      <c r="J1813" s="3" t="n"/>
      <c r="K1813" s="3" t="n"/>
      <c r="L1813" s="2" t="inlineStr">
        <is>
          <t>PriceCharting</t>
        </is>
      </c>
      <c r="M1813" s="4" t="inlineStr">
        <is>
          <t>https://www.pricecharting.com/game/pokemon-promo/first-partner-illustration-collection-series-3</t>
        </is>
      </c>
    </row>
    <row r="1814">
      <c r="A1814" s="2" t="inlineStr">
        <is>
          <t>Promo Focused Fighters Premium Collection</t>
        </is>
      </c>
      <c r="B1814" s="3">
        <f>IF(H1814&lt;&gt;"",H1814,IF(I1814&lt;&gt;"",I1814,IF(J1814&lt;&gt;"",J1814,K1814)))</f>
        <v>225.08</v>
      </c>
      <c r="C1814" s="3">
        <f>MEDIAN(H1814:K1814)</f>
        <v>225.08</v>
      </c>
      <c r="D1814" s="3">
        <f>ROUND(C1814*(1-Settings!$B$2),2)</f>
        <v>157.56</v>
      </c>
      <c r="E1814" s="2" t="inlineStr">
        <is>
          <t>Pokemon</t>
        </is>
      </c>
      <c r="F1814" s="2" t="inlineStr">
        <is>
          <t>Coffret</t>
        </is>
      </c>
      <c r="G1814" s="2" t="inlineStr">
        <is>
          <t>Promo</t>
        </is>
      </c>
      <c r="H1814" s="3" t="n">
        <v>225.08</v>
      </c>
      <c r="I1814" s="3" t="n"/>
      <c r="J1814" s="3" t="n"/>
      <c r="K1814" s="3" t="n"/>
      <c r="L1814" s="2" t="inlineStr">
        <is>
          <t>PriceCharting</t>
        </is>
      </c>
      <c r="M1814" s="4" t="inlineStr">
        <is>
          <t>https://www.pricecharting.com/game/pokemon-promo/focused-fighters-premium-collection</t>
        </is>
      </c>
    </row>
    <row r="1815">
      <c r="A1815" s="2" t="inlineStr">
        <is>
          <t>Promo Galar Power Mini Tin: Dragapult</t>
        </is>
      </c>
      <c r="B1815" s="3">
        <f>IF(H1815&lt;&gt;"",H1815,IF(I1815&lt;&gt;"",I1815,IF(J1815&lt;&gt;"",J1815,K1815)))</f>
        <v>47.92</v>
      </c>
      <c r="C1815" s="3">
        <f>MEDIAN(H1815:K1815)</f>
        <v>47.92</v>
      </c>
      <c r="D1815" s="3">
        <f>ROUND(C1815*(1-Settings!$B$2),2)</f>
        <v>33.54</v>
      </c>
      <c r="E1815" s="2" t="inlineStr">
        <is>
          <t>Pokemon</t>
        </is>
      </c>
      <c r="F1815" s="2" t="inlineStr">
        <is>
          <t>Coffret</t>
        </is>
      </c>
      <c r="G1815" s="2" t="inlineStr">
        <is>
          <t>Promo</t>
        </is>
      </c>
      <c r="H1815" s="3" t="n">
        <v>47.92</v>
      </c>
      <c r="I1815" s="3" t="n"/>
      <c r="J1815" s="3" t="n"/>
      <c r="K1815" s="3" t="n"/>
      <c r="L1815" s="2" t="inlineStr">
        <is>
          <t>PriceCharting</t>
        </is>
      </c>
      <c r="M1815" s="4" t="inlineStr">
        <is>
          <t>https://www.pricecharting.com/game/pokemon-promo/galar-power-mini-tin-dragapult</t>
        </is>
      </c>
    </row>
    <row r="1816">
      <c r="A1816" s="2" t="inlineStr">
        <is>
          <t>Promo Galar Power Mini Tin: Galarian Obstagoon</t>
        </is>
      </c>
      <c r="B1816" s="3">
        <f>IF(H1816&lt;&gt;"",H1816,IF(I1816&lt;&gt;"",I1816,IF(J1816&lt;&gt;"",J1816,K1816)))</f>
        <v>43.71</v>
      </c>
      <c r="C1816" s="3">
        <f>MEDIAN(H1816:K1816)</f>
        <v>43.71</v>
      </c>
      <c r="D1816" s="3">
        <f>ROUND(C1816*(1-Settings!$B$2),2)</f>
        <v>30.6</v>
      </c>
      <c r="E1816" s="2" t="inlineStr">
        <is>
          <t>Pokemon</t>
        </is>
      </c>
      <c r="F1816" s="2" t="inlineStr">
        <is>
          <t>Coffret</t>
        </is>
      </c>
      <c r="G1816" s="2" t="inlineStr">
        <is>
          <t>Promo</t>
        </is>
      </c>
      <c r="H1816" s="3" t="n">
        <v>43.71</v>
      </c>
      <c r="I1816" s="3" t="n"/>
      <c r="J1816" s="3" t="n"/>
      <c r="K1816" s="3" t="n"/>
      <c r="L1816" s="2" t="inlineStr">
        <is>
          <t>PriceCharting</t>
        </is>
      </c>
      <c r="M1816" s="4" t="inlineStr">
        <is>
          <t>https://www.pricecharting.com/game/pokemon-promo/galar-power-mini-tin-galarian-obstagoon</t>
        </is>
      </c>
    </row>
    <row r="1817">
      <c r="A1817" s="2" t="inlineStr">
        <is>
          <t>Promo Galar Power Mini Tin: Galarian Sirfetch'D</t>
        </is>
      </c>
      <c r="B1817" s="3">
        <f>IF(H1817&lt;&gt;"",H1817,IF(I1817&lt;&gt;"",I1817,IF(J1817&lt;&gt;"",J1817,K1817)))</f>
        <v>33.39</v>
      </c>
      <c r="C1817" s="3">
        <f>MEDIAN(H1817:K1817)</f>
        <v>33.39</v>
      </c>
      <c r="D1817" s="3">
        <f>ROUND(C1817*(1-Settings!$B$2),2)</f>
        <v>23.37</v>
      </c>
      <c r="E1817" s="2" t="inlineStr">
        <is>
          <t>Pokemon</t>
        </is>
      </c>
      <c r="F1817" s="2" t="inlineStr">
        <is>
          <t>Coffret</t>
        </is>
      </c>
      <c r="G1817" s="2" t="inlineStr">
        <is>
          <t>Promo</t>
        </is>
      </c>
      <c r="H1817" s="3" t="n">
        <v>33.39</v>
      </c>
      <c r="I1817" s="3" t="n"/>
      <c r="J1817" s="3" t="n"/>
      <c r="K1817" s="3" t="n"/>
      <c r="L1817" s="2" t="inlineStr">
        <is>
          <t>PriceCharting</t>
        </is>
      </c>
      <c r="M1817" s="4" t="inlineStr">
        <is>
          <t>https://www.pricecharting.com/game/pokemon-promo/galar-power-mini-tin-galarian-sirfetch'd</t>
        </is>
      </c>
    </row>
    <row r="1818">
      <c r="A1818" s="2" t="inlineStr">
        <is>
          <t>Promo Galar Power Mini Tin: Toxtricity</t>
        </is>
      </c>
      <c r="B1818" s="3">
        <f>IF(H1818&lt;&gt;"",H1818,IF(I1818&lt;&gt;"",I1818,IF(J1818&lt;&gt;"",J1818,K1818)))</f>
        <v>39.99</v>
      </c>
      <c r="C1818" s="3">
        <f>MEDIAN(H1818:K1818)</f>
        <v>39.99</v>
      </c>
      <c r="D1818" s="3">
        <f>ROUND(C1818*(1-Settings!$B$2),2)</f>
        <v>27.99</v>
      </c>
      <c r="E1818" s="2" t="inlineStr">
        <is>
          <t>Pokemon</t>
        </is>
      </c>
      <c r="F1818" s="2" t="inlineStr">
        <is>
          <t>Coffret</t>
        </is>
      </c>
      <c r="G1818" s="2" t="inlineStr">
        <is>
          <t>Promo</t>
        </is>
      </c>
      <c r="H1818" s="3" t="n">
        <v>39.99</v>
      </c>
      <c r="I1818" s="3" t="n"/>
      <c r="J1818" s="3" t="n"/>
      <c r="K1818" s="3" t="n"/>
      <c r="L1818" s="2" t="inlineStr">
        <is>
          <t>PriceCharting</t>
        </is>
      </c>
      <c r="M1818" s="4" t="inlineStr">
        <is>
          <t>https://www.pricecharting.com/game/pokemon-promo/galar-power-mini-tin-toxtricity</t>
        </is>
      </c>
    </row>
    <row r="1819">
      <c r="A1819" s="2" t="inlineStr">
        <is>
          <t>Promo Galarian Rapidash V Box</t>
        </is>
      </c>
      <c r="B1819" s="3">
        <f>IF(H1819&lt;&gt;"",H1819,IF(I1819&lt;&gt;"",I1819,IF(J1819&lt;&gt;"",J1819,K1819)))</f>
        <v>93.22</v>
      </c>
      <c r="C1819" s="3">
        <f>MEDIAN(H1819:K1819)</f>
        <v>93.22</v>
      </c>
      <c r="D1819" s="3">
        <f>ROUND(C1819*(1-Settings!$B$2),2)</f>
        <v>65.25</v>
      </c>
      <c r="E1819" s="2" t="inlineStr">
        <is>
          <t>Pokemon</t>
        </is>
      </c>
      <c r="F1819" s="2" t="inlineStr">
        <is>
          <t>Coffret</t>
        </is>
      </c>
      <c r="G1819" s="2" t="inlineStr">
        <is>
          <t>Promo</t>
        </is>
      </c>
      <c r="H1819" s="3" t="n">
        <v>93.22</v>
      </c>
      <c r="I1819" s="3" t="n"/>
      <c r="J1819" s="3" t="n"/>
      <c r="K1819" s="3" t="n"/>
      <c r="L1819" s="2" t="inlineStr">
        <is>
          <t>PriceCharting</t>
        </is>
      </c>
      <c r="M1819" s="4" t="inlineStr">
        <is>
          <t>https://www.pricecharting.com/game/pokemon-promo/galarian-rapidash-v-box</t>
        </is>
      </c>
    </row>
    <row r="1820">
      <c r="A1820" s="2" t="inlineStr">
        <is>
          <t>Promo Grafaiai EX Box</t>
        </is>
      </c>
      <c r="B1820" s="3">
        <f>IF(H1820&lt;&gt;"",H1820,IF(I1820&lt;&gt;"",I1820,IF(J1820&lt;&gt;"",J1820,K1820)))</f>
        <v>42.96</v>
      </c>
      <c r="C1820" s="3">
        <f>MEDIAN(H1820:K1820)</f>
        <v>42.96</v>
      </c>
      <c r="D1820" s="3">
        <f>ROUND(C1820*(1-Settings!$B$2),2)</f>
        <v>30.07</v>
      </c>
      <c r="E1820" s="2" t="inlineStr">
        <is>
          <t>Pokemon</t>
        </is>
      </c>
      <c r="F1820" s="2" t="inlineStr">
        <is>
          <t>Coffret</t>
        </is>
      </c>
      <c r="G1820" s="2" t="inlineStr">
        <is>
          <t>Promo</t>
        </is>
      </c>
      <c r="H1820" s="3" t="n">
        <v>42.96</v>
      </c>
      <c r="I1820" s="3" t="n"/>
      <c r="J1820" s="3" t="n"/>
      <c r="K1820" s="3" t="n"/>
      <c r="L1820" s="2" t="inlineStr">
        <is>
          <t>PriceCharting</t>
        </is>
      </c>
      <c r="M1820" s="4" t="inlineStr">
        <is>
          <t>https://www.pricecharting.com/game/pokemon-promo/grafaiai-ex-box</t>
        </is>
      </c>
    </row>
    <row r="1821">
      <c r="A1821" s="2" t="inlineStr">
        <is>
          <t>Promo Greninja EX &amp; Kingdra EX Special Collection Box</t>
        </is>
      </c>
      <c r="B1821" s="3">
        <f>IF(H1821&lt;&gt;"",H1821,IF(I1821&lt;&gt;"",I1821,IF(J1821&lt;&gt;"",J1821,K1821)))</f>
        <v>64.35</v>
      </c>
      <c r="C1821" s="3">
        <f>MEDIAN(H1821:K1821)</f>
        <v>64.35</v>
      </c>
      <c r="D1821" s="3">
        <f>ROUND(C1821*(1-Settings!$B$2),2)</f>
        <v>45.05</v>
      </c>
      <c r="E1821" s="2" t="inlineStr">
        <is>
          <t>Pokemon</t>
        </is>
      </c>
      <c r="F1821" s="2" t="inlineStr">
        <is>
          <t>Coffret</t>
        </is>
      </c>
      <c r="G1821" s="2" t="inlineStr">
        <is>
          <t>Promo</t>
        </is>
      </c>
      <c r="H1821" s="3" t="n">
        <v>64.34999999999999</v>
      </c>
      <c r="I1821" s="3" t="n"/>
      <c r="J1821" s="3" t="n"/>
      <c r="K1821" s="3" t="n"/>
      <c r="L1821" s="2" t="inlineStr">
        <is>
          <t>PriceCharting</t>
        </is>
      </c>
      <c r="M1821" s="4" t="inlineStr">
        <is>
          <t>https://www.pricecharting.com/game/pokemon-promo/greninja-ex-&amp;-kingdra-ex-special-collection-box</t>
        </is>
      </c>
    </row>
    <row r="1822">
      <c r="A1822" s="2" t="inlineStr">
        <is>
          <t>Promo Greninja V-UNION Special Collection</t>
        </is>
      </c>
      <c r="B1822" s="3">
        <f>IF(H1822&lt;&gt;"",H1822,IF(I1822&lt;&gt;"",I1822,IF(J1822&lt;&gt;"",J1822,K1822)))</f>
        <v>146.42</v>
      </c>
      <c r="C1822" s="3">
        <f>MEDIAN(H1822:K1822)</f>
        <v>146.42</v>
      </c>
      <c r="D1822" s="3">
        <f>ROUND(C1822*(1-Settings!$B$2),2)</f>
        <v>102.49</v>
      </c>
      <c r="E1822" s="2" t="inlineStr">
        <is>
          <t>Pokemon</t>
        </is>
      </c>
      <c r="F1822" s="2" t="inlineStr">
        <is>
          <t>Coffret</t>
        </is>
      </c>
      <c r="G1822" s="2" t="inlineStr">
        <is>
          <t>Promo</t>
        </is>
      </c>
      <c r="H1822" s="3" t="n">
        <v>146.42</v>
      </c>
      <c r="I1822" s="3" t="n"/>
      <c r="J1822" s="3" t="n"/>
      <c r="K1822" s="3" t="n"/>
      <c r="L1822" s="2" t="inlineStr">
        <is>
          <t>PriceCharting</t>
        </is>
      </c>
      <c r="M1822" s="4" t="inlineStr">
        <is>
          <t>https://www.pricecharting.com/game/pokemon-promo/greninja-v-union-special-collection</t>
        </is>
      </c>
    </row>
    <row r="1823">
      <c r="A1823" s="2" t="inlineStr">
        <is>
          <t>Promo GX Challenge Box Alolan Ninetales</t>
        </is>
      </c>
      <c r="B1823" s="3">
        <f>IF(H1823&lt;&gt;"",H1823,IF(I1823&lt;&gt;"",I1823,IF(J1823&lt;&gt;"",J1823,K1823)))</f>
        <v>100.0</v>
      </c>
      <c r="C1823" s="3">
        <f>MEDIAN(H1823:K1823)</f>
        <v>100.0</v>
      </c>
      <c r="D1823" s="3">
        <f>ROUND(C1823*(1-Settings!$B$2),2)</f>
        <v>70.0</v>
      </c>
      <c r="E1823" s="2" t="inlineStr">
        <is>
          <t>Pokemon</t>
        </is>
      </c>
      <c r="F1823" s="2" t="inlineStr">
        <is>
          <t>Coffret</t>
        </is>
      </c>
      <c r="G1823" s="2" t="inlineStr">
        <is>
          <t>Promo</t>
        </is>
      </c>
      <c r="H1823" s="3" t="n">
        <v>100</v>
      </c>
      <c r="I1823" s="3" t="n"/>
      <c r="J1823" s="3" t="n"/>
      <c r="K1823" s="3" t="n"/>
      <c r="L1823" s="2" t="inlineStr">
        <is>
          <t>PriceCharting</t>
        </is>
      </c>
      <c r="M1823" s="4" t="inlineStr">
        <is>
          <t>https://www.pricecharting.com/game/pokemon-promo/gx-challenge-box-alolan-ninetales</t>
        </is>
      </c>
    </row>
    <row r="1824">
      <c r="A1824" s="2" t="inlineStr">
        <is>
          <t>Promo GX Challenge Box Lycanroc</t>
        </is>
      </c>
      <c r="B1824" s="3">
        <f>IF(H1824&lt;&gt;"",H1824,IF(I1824&lt;&gt;"",I1824,IF(J1824&lt;&gt;"",J1824,K1824)))</f>
        <v>70.0</v>
      </c>
      <c r="C1824" s="3">
        <f>MEDIAN(H1824:K1824)</f>
        <v>70.0</v>
      </c>
      <c r="D1824" s="3">
        <f>ROUND(C1824*(1-Settings!$B$2),2)</f>
        <v>49.0</v>
      </c>
      <c r="E1824" s="2" t="inlineStr">
        <is>
          <t>Pokemon</t>
        </is>
      </c>
      <c r="F1824" s="2" t="inlineStr">
        <is>
          <t>Coffret</t>
        </is>
      </c>
      <c r="G1824" s="2" t="inlineStr">
        <is>
          <t>Promo</t>
        </is>
      </c>
      <c r="H1824" s="3" t="n">
        <v>70</v>
      </c>
      <c r="I1824" s="3" t="n"/>
      <c r="J1824" s="3" t="n"/>
      <c r="K1824" s="3" t="n"/>
      <c r="L1824" s="2" t="inlineStr">
        <is>
          <t>PriceCharting</t>
        </is>
      </c>
      <c r="M1824" s="4" t="inlineStr">
        <is>
          <t>https://www.pricecharting.com/game/pokemon-promo/gx-challenge-box-lycanroc</t>
        </is>
      </c>
    </row>
    <row r="1825">
      <c r="A1825" s="2" t="inlineStr">
        <is>
          <t>Promo Heavy Hitters Premium Collection: Lucario V &amp; Tyranitar V</t>
        </is>
      </c>
      <c r="B1825" s="3">
        <f>IF(H1825&lt;&gt;"",H1825,IF(I1825&lt;&gt;"",I1825,IF(J1825&lt;&gt;"",J1825,K1825)))</f>
        <v>276.49</v>
      </c>
      <c r="C1825" s="3">
        <f>MEDIAN(H1825:K1825)</f>
        <v>276.49</v>
      </c>
      <c r="D1825" s="3">
        <f>ROUND(C1825*(1-Settings!$B$2),2)</f>
        <v>193.54</v>
      </c>
      <c r="E1825" s="2" t="inlineStr">
        <is>
          <t>Pokemon</t>
        </is>
      </c>
      <c r="F1825" s="2" t="inlineStr">
        <is>
          <t>Coffret</t>
        </is>
      </c>
      <c r="G1825" s="2" t="inlineStr">
        <is>
          <t>Promo</t>
        </is>
      </c>
      <c r="H1825" s="3" t="n">
        <v>276.49</v>
      </c>
      <c r="I1825" s="3" t="n"/>
      <c r="J1825" s="3" t="n"/>
      <c r="K1825" s="3" t="n"/>
      <c r="L1825" s="2" t="inlineStr">
        <is>
          <t>PriceCharting</t>
        </is>
      </c>
      <c r="M1825" s="4" t="inlineStr">
        <is>
          <t>https://www.pricecharting.com/game/pokemon-promo/heavy-hitters-premium-collection-lucario-v-&amp;-tyranitar-v</t>
        </is>
      </c>
    </row>
    <row r="1826">
      <c r="A1826" s="2" t="inlineStr">
        <is>
          <t>Promo Hidden Potential Tin: Gallade V</t>
        </is>
      </c>
      <c r="B1826" s="3">
        <f>IF(H1826&lt;&gt;"",H1826,IF(I1826&lt;&gt;"",I1826,IF(J1826&lt;&gt;"",J1826,K1826)))</f>
        <v>82.79</v>
      </c>
      <c r="C1826" s="3">
        <f>MEDIAN(H1826:K1826)</f>
        <v>82.79</v>
      </c>
      <c r="D1826" s="3">
        <f>ROUND(C1826*(1-Settings!$B$2),2)</f>
        <v>57.95</v>
      </c>
      <c r="E1826" s="2" t="inlineStr">
        <is>
          <t>Pokemon</t>
        </is>
      </c>
      <c r="F1826" s="2" t="inlineStr">
        <is>
          <t>Coffret</t>
        </is>
      </c>
      <c r="G1826" s="2" t="inlineStr">
        <is>
          <t>Promo</t>
        </is>
      </c>
      <c r="H1826" s="3" t="n">
        <v>82.79000000000001</v>
      </c>
      <c r="I1826" s="3" t="n"/>
      <c r="J1826" s="3" t="n"/>
      <c r="K1826" s="3" t="n"/>
      <c r="L1826" s="2" t="inlineStr">
        <is>
          <t>PriceCharting</t>
        </is>
      </c>
      <c r="M1826" s="4" t="inlineStr">
        <is>
          <t>https://www.pricecharting.com/game/pokemon-promo/hidden-potential-tin-gallade-v</t>
        </is>
      </c>
    </row>
    <row r="1827">
      <c r="A1827" s="2" t="inlineStr">
        <is>
          <t>Promo Hidden Potential Tin: Giratina V</t>
        </is>
      </c>
      <c r="B1827" s="3">
        <f>IF(H1827&lt;&gt;"",H1827,IF(I1827&lt;&gt;"",I1827,IF(J1827&lt;&gt;"",J1827,K1827)))</f>
        <v>144.0</v>
      </c>
      <c r="C1827" s="3">
        <f>MEDIAN(H1827:K1827)</f>
        <v>144.0</v>
      </c>
      <c r="D1827" s="3">
        <f>ROUND(C1827*(1-Settings!$B$2),2)</f>
        <v>100.8</v>
      </c>
      <c r="E1827" s="2" t="inlineStr">
        <is>
          <t>Pokemon</t>
        </is>
      </c>
      <c r="F1827" s="2" t="inlineStr">
        <is>
          <t>Coffret</t>
        </is>
      </c>
      <c r="G1827" s="2" t="inlineStr">
        <is>
          <t>Promo</t>
        </is>
      </c>
      <c r="H1827" s="3" t="n">
        <v>144</v>
      </c>
      <c r="I1827" s="3" t="n"/>
      <c r="J1827" s="3" t="n"/>
      <c r="K1827" s="3" t="n"/>
      <c r="L1827" s="2" t="inlineStr">
        <is>
          <t>PriceCharting</t>
        </is>
      </c>
      <c r="M1827" s="4" t="inlineStr">
        <is>
          <t>https://www.pricecharting.com/game/pokemon-promo/hidden-potential-tin-giratina-v</t>
        </is>
      </c>
    </row>
    <row r="1828">
      <c r="A1828" s="2" t="inlineStr">
        <is>
          <t>Promo Hidden Potential Tin: Rotom V</t>
        </is>
      </c>
      <c r="B1828" s="3">
        <f>IF(H1828&lt;&gt;"",H1828,IF(I1828&lt;&gt;"",I1828,IF(J1828&lt;&gt;"",J1828,K1828)))</f>
        <v>91.61</v>
      </c>
      <c r="C1828" s="3">
        <f>MEDIAN(H1828:K1828)</f>
        <v>91.61</v>
      </c>
      <c r="D1828" s="3">
        <f>ROUND(C1828*(1-Settings!$B$2),2)</f>
        <v>64.13</v>
      </c>
      <c r="E1828" s="2" t="inlineStr">
        <is>
          <t>Pokemon</t>
        </is>
      </c>
      <c r="F1828" s="2" t="inlineStr">
        <is>
          <t>Coffret</t>
        </is>
      </c>
      <c r="G1828" s="2" t="inlineStr">
        <is>
          <t>Promo</t>
        </is>
      </c>
      <c r="H1828" s="3" t="n">
        <v>91.61</v>
      </c>
      <c r="I1828" s="3" t="n"/>
      <c r="J1828" s="3" t="n"/>
      <c r="K1828" s="3" t="n"/>
      <c r="L1828" s="2" t="inlineStr">
        <is>
          <t>PriceCharting</t>
        </is>
      </c>
      <c r="M1828" s="4" t="inlineStr">
        <is>
          <t>https://www.pricecharting.com/game/pokemon-promo/hidden-potential-tin-rotom-v</t>
        </is>
      </c>
    </row>
    <row r="1829">
      <c r="A1829" s="2" t="inlineStr">
        <is>
          <t>Promo Hidden Potential Tin: Rotom V [International]</t>
        </is>
      </c>
      <c r="B1829" s="3">
        <f>IF(H1829&lt;&gt;"",H1829,IF(I1829&lt;&gt;"",I1829,IF(J1829&lt;&gt;"",J1829,K1829)))</f>
        <v>44.38</v>
      </c>
      <c r="C1829" s="3">
        <f>MEDIAN(H1829:K1829)</f>
        <v>44.38</v>
      </c>
      <c r="D1829" s="3">
        <f>ROUND(C1829*(1-Settings!$B$2),2)</f>
        <v>31.07</v>
      </c>
      <c r="E1829" s="2" t="inlineStr">
        <is>
          <t>Pokemon</t>
        </is>
      </c>
      <c r="F1829" s="2" t="inlineStr">
        <is>
          <t>Coffret</t>
        </is>
      </c>
      <c r="G1829" s="2" t="inlineStr">
        <is>
          <t>Promo</t>
        </is>
      </c>
      <c r="H1829" s="3" t="n">
        <v>44.38</v>
      </c>
      <c r="I1829" s="3" t="n"/>
      <c r="J1829" s="3" t="n"/>
      <c r="K1829" s="3" t="n"/>
      <c r="L1829" s="2" t="inlineStr">
        <is>
          <t>PriceCharting</t>
        </is>
      </c>
      <c r="M1829" s="4" t="inlineStr">
        <is>
          <t>https://www.pricecharting.com/game/pokemon-promo/hidden-potential-tin-rotom-v-international</t>
        </is>
      </c>
    </row>
    <row r="1830">
      <c r="A1830" s="2" t="inlineStr">
        <is>
          <t>Promo Hisuian Electrode V Box</t>
        </is>
      </c>
      <c r="B1830" s="3">
        <f>IF(H1830&lt;&gt;"",H1830,IF(I1830&lt;&gt;"",I1830,IF(J1830&lt;&gt;"",J1830,K1830)))</f>
        <v>53.92</v>
      </c>
      <c r="C1830" s="3">
        <f>MEDIAN(H1830:K1830)</f>
        <v>53.92</v>
      </c>
      <c r="D1830" s="3">
        <f>ROUND(C1830*(1-Settings!$B$2),2)</f>
        <v>37.74</v>
      </c>
      <c r="E1830" s="2" t="inlineStr">
        <is>
          <t>Pokemon</t>
        </is>
      </c>
      <c r="F1830" s="2" t="inlineStr">
        <is>
          <t>Coffret</t>
        </is>
      </c>
      <c r="G1830" s="2" t="inlineStr">
        <is>
          <t>Promo</t>
        </is>
      </c>
      <c r="H1830" s="3" t="n">
        <v>53.92</v>
      </c>
      <c r="I1830" s="3" t="n"/>
      <c r="J1830" s="3" t="n"/>
      <c r="K1830" s="3" t="n"/>
      <c r="L1830" s="2" t="inlineStr">
        <is>
          <t>PriceCharting</t>
        </is>
      </c>
      <c r="M1830" s="4" t="inlineStr">
        <is>
          <t>https://www.pricecharting.com/game/pokemon-promo/hisuian-electrode-v-box</t>
        </is>
      </c>
    </row>
    <row r="1831">
      <c r="A1831" s="2" t="inlineStr">
        <is>
          <t>Promo Hisuian Zoroark VSTAR Premium Collection Box</t>
        </is>
      </c>
      <c r="B1831" s="3">
        <f>IF(H1831&lt;&gt;"",H1831,IF(I1831&lt;&gt;"",I1831,IF(J1831&lt;&gt;"",J1831,K1831)))</f>
        <v>83.0</v>
      </c>
      <c r="C1831" s="3">
        <f>MEDIAN(H1831:K1831)</f>
        <v>83.0</v>
      </c>
      <c r="D1831" s="3">
        <f>ROUND(C1831*(1-Settings!$B$2),2)</f>
        <v>58.1</v>
      </c>
      <c r="E1831" s="2" t="inlineStr">
        <is>
          <t>Pokemon</t>
        </is>
      </c>
      <c r="F1831" s="2" t="inlineStr">
        <is>
          <t>Coffret</t>
        </is>
      </c>
      <c r="G1831" s="2" t="inlineStr">
        <is>
          <t>Promo</t>
        </is>
      </c>
      <c r="H1831" s="3" t="n">
        <v>83</v>
      </c>
      <c r="I1831" s="3" t="n"/>
      <c r="J1831" s="3" t="n"/>
      <c r="K1831" s="3" t="n"/>
      <c r="L1831" s="2" t="inlineStr">
        <is>
          <t>PriceCharting</t>
        </is>
      </c>
      <c r="M1831" s="4" t="inlineStr">
        <is>
          <t>https://www.pricecharting.com/game/pokemon-promo/hisuian-zoroark-vstar-premium-collection-box</t>
        </is>
      </c>
    </row>
    <row r="1832">
      <c r="A1832" s="2" t="inlineStr">
        <is>
          <t>Promo Holiday Calendar Box 2022</t>
        </is>
      </c>
      <c r="B1832" s="3">
        <f>IF(H1832&lt;&gt;"",H1832,IF(I1832&lt;&gt;"",I1832,IF(J1832&lt;&gt;"",J1832,K1832)))</f>
        <v>133.88</v>
      </c>
      <c r="C1832" s="3">
        <f>MEDIAN(H1832:K1832)</f>
        <v>133.88</v>
      </c>
      <c r="D1832" s="3">
        <f>ROUND(C1832*(1-Settings!$B$2),2)</f>
        <v>93.72</v>
      </c>
      <c r="E1832" s="2" t="inlineStr">
        <is>
          <t>Pokemon</t>
        </is>
      </c>
      <c r="F1832" s="2" t="inlineStr">
        <is>
          <t>Coffret</t>
        </is>
      </c>
      <c r="G1832" s="2" t="inlineStr">
        <is>
          <t>Promo</t>
        </is>
      </c>
      <c r="H1832" s="3" t="n">
        <v>133.88</v>
      </c>
      <c r="I1832" s="3" t="n"/>
      <c r="J1832" s="3" t="n"/>
      <c r="K1832" s="3" t="n"/>
      <c r="L1832" s="2" t="inlineStr">
        <is>
          <t>PriceCharting</t>
        </is>
      </c>
      <c r="M1832" s="4" t="inlineStr">
        <is>
          <t>https://www.pricecharting.com/game/pokemon-promo/holiday-calendar-box-2022</t>
        </is>
      </c>
    </row>
    <row r="1833">
      <c r="A1833" s="2" t="inlineStr">
        <is>
          <t>Promo Holiday Calendar Box 2023</t>
        </is>
      </c>
      <c r="B1833" s="3">
        <f>IF(H1833&lt;&gt;"",H1833,IF(I1833&lt;&gt;"",I1833,IF(J1833&lt;&gt;"",J1833,K1833)))</f>
        <v>100.32</v>
      </c>
      <c r="C1833" s="3">
        <f>MEDIAN(H1833:K1833)</f>
        <v>100.32</v>
      </c>
      <c r="D1833" s="3">
        <f>ROUND(C1833*(1-Settings!$B$2),2)</f>
        <v>70.22</v>
      </c>
      <c r="E1833" s="2" t="inlineStr">
        <is>
          <t>Pokemon</t>
        </is>
      </c>
      <c r="F1833" s="2" t="inlineStr">
        <is>
          <t>Coffret</t>
        </is>
      </c>
      <c r="G1833" s="2" t="inlineStr">
        <is>
          <t>Promo</t>
        </is>
      </c>
      <c r="H1833" s="3" t="n">
        <v>100.32</v>
      </c>
      <c r="I1833" s="3" t="n"/>
      <c r="J1833" s="3" t="n"/>
      <c r="K1833" s="3" t="n"/>
      <c r="L1833" s="2" t="inlineStr">
        <is>
          <t>PriceCharting</t>
        </is>
      </c>
      <c r="M1833" s="4" t="inlineStr">
        <is>
          <t>https://www.pricecharting.com/game/pokemon-promo/holiday-calendar-box-2023</t>
        </is>
      </c>
    </row>
    <row r="1834">
      <c r="A1834" s="2" t="inlineStr">
        <is>
          <t>Promo Holiday Calendar Box 2024</t>
        </is>
      </c>
      <c r="B1834" s="3">
        <f>IF(H1834&lt;&gt;"",H1834,IF(I1834&lt;&gt;"",I1834,IF(J1834&lt;&gt;"",J1834,K1834)))</f>
        <v>74.99</v>
      </c>
      <c r="C1834" s="3">
        <f>MEDIAN(H1834:K1834)</f>
        <v>74.99</v>
      </c>
      <c r="D1834" s="3">
        <f>ROUND(C1834*(1-Settings!$B$2),2)</f>
        <v>52.49</v>
      </c>
      <c r="E1834" s="2" t="inlineStr">
        <is>
          <t>Pokemon</t>
        </is>
      </c>
      <c r="F1834" s="2" t="inlineStr">
        <is>
          <t>Coffret</t>
        </is>
      </c>
      <c r="G1834" s="2" t="inlineStr">
        <is>
          <t>Promo</t>
        </is>
      </c>
      <c r="H1834" s="3" t="n">
        <v>74.98999999999999</v>
      </c>
      <c r="I1834" s="3" t="n"/>
      <c r="J1834" s="3" t="n"/>
      <c r="K1834" s="3" t="n"/>
      <c r="L1834" s="2" t="inlineStr">
        <is>
          <t>PriceCharting</t>
        </is>
      </c>
      <c r="M1834" s="4" t="inlineStr">
        <is>
          <t>https://www.pricecharting.com/game/pokemon-promo/holiday-calendar-box-2024</t>
        </is>
      </c>
    </row>
    <row r="1835">
      <c r="A1835" s="2" t="inlineStr">
        <is>
          <t>Promo Holliday Calendar Box 2025</t>
        </is>
      </c>
      <c r="B1835" s="3">
        <f>IF(H1835&lt;&gt;"",H1835,IF(I1835&lt;&gt;"",I1835,IF(J1835&lt;&gt;"",J1835,K1835)))</f>
        <v>80.0</v>
      </c>
      <c r="C1835" s="3">
        <f>MEDIAN(H1835:K1835)</f>
        <v>80.0</v>
      </c>
      <c r="D1835" s="3">
        <f>ROUND(C1835*(1-Settings!$B$2),2)</f>
        <v>56.0</v>
      </c>
      <c r="E1835" s="2" t="inlineStr">
        <is>
          <t>Pokemon</t>
        </is>
      </c>
      <c r="F1835" s="2" t="inlineStr">
        <is>
          <t>Coffret</t>
        </is>
      </c>
      <c r="G1835" s="2" t="inlineStr">
        <is>
          <t>Promo</t>
        </is>
      </c>
      <c r="H1835" s="3" t="n">
        <v>80</v>
      </c>
      <c r="I1835" s="3" t="n"/>
      <c r="J1835" s="3" t="n"/>
      <c r="K1835" s="3" t="n"/>
      <c r="L1835" s="2" t="inlineStr">
        <is>
          <t>PriceCharting</t>
        </is>
      </c>
      <c r="M1835" s="4" t="inlineStr">
        <is>
          <t>https://www.pricecharting.com/game/pokemon-promo/holliday-calendar-box-2025</t>
        </is>
      </c>
    </row>
    <row r="1836">
      <c r="A1836" s="2" t="inlineStr">
        <is>
          <t>Promo Houndstone Ex Box</t>
        </is>
      </c>
      <c r="B1836" s="3">
        <f>IF(H1836&lt;&gt;"",H1836,IF(I1836&lt;&gt;"",I1836,IF(J1836&lt;&gt;"",J1836,K1836)))</f>
        <v>44.8</v>
      </c>
      <c r="C1836" s="3">
        <f>MEDIAN(H1836:K1836)</f>
        <v>44.8</v>
      </c>
      <c r="D1836" s="3">
        <f>ROUND(C1836*(1-Settings!$B$2),2)</f>
        <v>31.36</v>
      </c>
      <c r="E1836" s="2" t="inlineStr">
        <is>
          <t>Pokemon</t>
        </is>
      </c>
      <c r="F1836" s="2" t="inlineStr">
        <is>
          <t>Coffret</t>
        </is>
      </c>
      <c r="G1836" s="2" t="inlineStr">
        <is>
          <t>Promo</t>
        </is>
      </c>
      <c r="H1836" s="3" t="n">
        <v>44.8</v>
      </c>
      <c r="I1836" s="3" t="n"/>
      <c r="J1836" s="3" t="n"/>
      <c r="K1836" s="3" t="n"/>
      <c r="L1836" s="2" t="inlineStr">
        <is>
          <t>PriceCharting</t>
        </is>
      </c>
      <c r="M1836" s="4" t="inlineStr">
        <is>
          <t>https://www.pricecharting.com/game/pokemon-promo/houndstone-ex-box</t>
        </is>
      </c>
    </row>
    <row r="1837">
      <c r="A1837" s="2" t="inlineStr">
        <is>
          <t>Promo Hydreigon Ex &amp; Dragapult Ex Premium Collection</t>
        </is>
      </c>
      <c r="B1837" s="3">
        <f>IF(H1837&lt;&gt;"",H1837,IF(I1837&lt;&gt;"",I1837,IF(J1837&lt;&gt;"",J1837,K1837)))</f>
        <v>103.88</v>
      </c>
      <c r="C1837" s="3">
        <f>MEDIAN(H1837:K1837)</f>
        <v>103.88</v>
      </c>
      <c r="D1837" s="3">
        <f>ROUND(C1837*(1-Settings!$B$2),2)</f>
        <v>72.72</v>
      </c>
      <c r="E1837" s="2" t="inlineStr">
        <is>
          <t>Pokemon</t>
        </is>
      </c>
      <c r="F1837" s="2" t="inlineStr">
        <is>
          <t>Coffret</t>
        </is>
      </c>
      <c r="G1837" s="2" t="inlineStr">
        <is>
          <t>Promo</t>
        </is>
      </c>
      <c r="H1837" s="3" t="n">
        <v>103.88</v>
      </c>
      <c r="I1837" s="3" t="n"/>
      <c r="J1837" s="3" t="n"/>
      <c r="K1837" s="3" t="n"/>
      <c r="L1837" s="2" t="inlineStr">
        <is>
          <t>PriceCharting</t>
        </is>
      </c>
      <c r="M1837" s="4" t="inlineStr">
        <is>
          <t>https://www.pricecharting.com/game/pokemon-promo/hydreigon-ex-&amp;-dragapult-ex-premium-collection</t>
        </is>
      </c>
    </row>
    <row r="1838">
      <c r="A1838" s="2" t="inlineStr">
        <is>
          <t>Promo Ice Rider Calyrex V Box</t>
        </is>
      </c>
      <c r="B1838" s="3">
        <f>IF(H1838&lt;&gt;"",H1838,IF(I1838&lt;&gt;"",I1838,IF(J1838&lt;&gt;"",J1838,K1838)))</f>
        <v>45.9</v>
      </c>
      <c r="C1838" s="3">
        <f>MEDIAN(H1838:K1838)</f>
        <v>45.9</v>
      </c>
      <c r="D1838" s="3">
        <f>ROUND(C1838*(1-Settings!$B$2),2)</f>
        <v>32.13</v>
      </c>
      <c r="E1838" s="2" t="inlineStr">
        <is>
          <t>Pokemon</t>
        </is>
      </c>
      <c r="F1838" s="2" t="inlineStr">
        <is>
          <t>Coffret</t>
        </is>
      </c>
      <c r="G1838" s="2" t="inlineStr">
        <is>
          <t>Promo</t>
        </is>
      </c>
      <c r="H1838" s="3" t="n">
        <v>45.9</v>
      </c>
      <c r="I1838" s="3" t="n"/>
      <c r="J1838" s="3" t="n"/>
      <c r="K1838" s="3" t="n"/>
      <c r="L1838" s="2" t="inlineStr">
        <is>
          <t>PriceCharting</t>
        </is>
      </c>
      <c r="M1838" s="4" t="inlineStr">
        <is>
          <t>https://www.pricecharting.com/game/pokemon-promo/ice-rider-calyrex-v-box</t>
        </is>
      </c>
    </row>
    <row r="1839">
      <c r="A1839" s="2" t="inlineStr">
        <is>
          <t>Promo Incineroar Ex And Torterra Ex Special Collection</t>
        </is>
      </c>
      <c r="B1839" s="3">
        <f>IF(H1839&lt;&gt;"",H1839,IF(I1839&lt;&gt;"",I1839,IF(J1839&lt;&gt;"",J1839,K1839)))</f>
        <v>71.66</v>
      </c>
      <c r="C1839" s="3">
        <f>MEDIAN(H1839:K1839)</f>
        <v>71.66</v>
      </c>
      <c r="D1839" s="3">
        <f>ROUND(C1839*(1-Settings!$B$2),2)</f>
        <v>50.16</v>
      </c>
      <c r="E1839" s="2" t="inlineStr">
        <is>
          <t>Pokemon</t>
        </is>
      </c>
      <c r="F1839" s="2" t="inlineStr">
        <is>
          <t>Coffret</t>
        </is>
      </c>
      <c r="G1839" s="2" t="inlineStr">
        <is>
          <t>Promo</t>
        </is>
      </c>
      <c r="H1839" s="3" t="n">
        <v>71.66</v>
      </c>
      <c r="I1839" s="3" t="n"/>
      <c r="J1839" s="3" t="n"/>
      <c r="K1839" s="3" t="n"/>
      <c r="L1839" s="2" t="inlineStr">
        <is>
          <t>PriceCharting</t>
        </is>
      </c>
      <c r="M1839" s="4" t="inlineStr">
        <is>
          <t>https://www.pricecharting.com/game/pokemon-promo/incineroar-ex-and-torterra-ex-special-collection</t>
        </is>
      </c>
    </row>
    <row r="1840">
      <c r="A1840" s="2" t="inlineStr">
        <is>
          <t>Promo Iono Premium Tournament Collection Box</t>
        </is>
      </c>
      <c r="B1840" s="3">
        <f>IF(H1840&lt;&gt;"",H1840,IF(I1840&lt;&gt;"",I1840,IF(J1840&lt;&gt;"",J1840,K1840)))</f>
        <v>79.44</v>
      </c>
      <c r="C1840" s="3">
        <f>MEDIAN(H1840:K1840)</f>
        <v>79.44</v>
      </c>
      <c r="D1840" s="3">
        <f>ROUND(C1840*(1-Settings!$B$2),2)</f>
        <v>55.61</v>
      </c>
      <c r="E1840" s="2" t="inlineStr">
        <is>
          <t>Pokemon</t>
        </is>
      </c>
      <c r="F1840" s="2" t="inlineStr">
        <is>
          <t>Coffret</t>
        </is>
      </c>
      <c r="G1840" s="2" t="inlineStr">
        <is>
          <t>Promo</t>
        </is>
      </c>
      <c r="H1840" s="3" t="n">
        <v>79.44</v>
      </c>
      <c r="I1840" s="3" t="n"/>
      <c r="J1840" s="3" t="n"/>
      <c r="K1840" s="3" t="n"/>
      <c r="L1840" s="2" t="inlineStr">
        <is>
          <t>PriceCharting</t>
        </is>
      </c>
      <c r="M1840" s="4" t="inlineStr">
        <is>
          <t>https://www.pricecharting.com/game/pokemon-promo/iono-premium-tournament-collection-box</t>
        </is>
      </c>
    </row>
    <row r="1841">
      <c r="A1841" s="2" t="inlineStr">
        <is>
          <t>Promo Iono's Bellibolt Ex Premium Collection Box</t>
        </is>
      </c>
      <c r="B1841" s="3">
        <f>IF(H1841&lt;&gt;"",H1841,IF(I1841&lt;&gt;"",I1841,IF(J1841&lt;&gt;"",J1841,K1841)))</f>
        <v>54.04</v>
      </c>
      <c r="C1841" s="3">
        <f>MEDIAN(H1841:K1841)</f>
        <v>54.04</v>
      </c>
      <c r="D1841" s="3">
        <f>ROUND(C1841*(1-Settings!$B$2),2)</f>
        <v>37.83</v>
      </c>
      <c r="E1841" s="2" t="inlineStr">
        <is>
          <t>Pokemon</t>
        </is>
      </c>
      <c r="F1841" s="2" t="inlineStr">
        <is>
          <t>Coffret</t>
        </is>
      </c>
      <c r="G1841" s="2" t="inlineStr">
        <is>
          <t>Promo</t>
        </is>
      </c>
      <c r="H1841" s="3" t="n">
        <v>54.04</v>
      </c>
      <c r="I1841" s="3" t="n"/>
      <c r="J1841" s="3" t="n"/>
      <c r="K1841" s="3" t="n"/>
      <c r="L1841" s="2" t="inlineStr">
        <is>
          <t>PriceCharting</t>
        </is>
      </c>
      <c r="M1841" s="4" t="inlineStr">
        <is>
          <t>https://www.pricecharting.com/game/pokemon-promo/iono's-bellibolt-ex-premium-collection-box</t>
        </is>
      </c>
    </row>
    <row r="1842">
      <c r="A1842" s="2" t="inlineStr">
        <is>
          <t>Promo Iron Valiant Ex Box</t>
        </is>
      </c>
      <c r="B1842" s="3">
        <f>IF(H1842&lt;&gt;"",H1842,IF(I1842&lt;&gt;"",I1842,IF(J1842&lt;&gt;"",J1842,K1842)))</f>
        <v>47.22</v>
      </c>
      <c r="C1842" s="3">
        <f>MEDIAN(H1842:K1842)</f>
        <v>47.22</v>
      </c>
      <c r="D1842" s="3">
        <f>ROUND(C1842*(1-Settings!$B$2),2)</f>
        <v>33.05</v>
      </c>
      <c r="E1842" s="2" t="inlineStr">
        <is>
          <t>Pokemon</t>
        </is>
      </c>
      <c r="F1842" s="2" t="inlineStr">
        <is>
          <t>Coffret</t>
        </is>
      </c>
      <c r="G1842" s="2" t="inlineStr">
        <is>
          <t>Promo</t>
        </is>
      </c>
      <c r="H1842" s="3" t="n">
        <v>47.22</v>
      </c>
      <c r="I1842" s="3" t="n"/>
      <c r="J1842" s="3" t="n"/>
      <c r="K1842" s="3" t="n"/>
      <c r="L1842" s="2" t="inlineStr">
        <is>
          <t>PriceCharting</t>
        </is>
      </c>
      <c r="M1842" s="4" t="inlineStr">
        <is>
          <t>https://www.pricecharting.com/game/pokemon-promo/iron-valiant-ex-box</t>
        </is>
      </c>
    </row>
    <row r="1843">
      <c r="A1843" s="2" t="inlineStr">
        <is>
          <t>Promo Kanto Friends Mini Tin: Bulbasaur</t>
        </is>
      </c>
      <c r="B1843" s="3">
        <f>IF(H1843&lt;&gt;"",H1843,IF(I1843&lt;&gt;"",I1843,IF(J1843&lt;&gt;"",J1843,K1843)))</f>
        <v>29.99</v>
      </c>
      <c r="C1843" s="3">
        <f>MEDIAN(H1843:K1843)</f>
        <v>29.99</v>
      </c>
      <c r="D1843" s="3">
        <f>ROUND(C1843*(1-Settings!$B$2),2)</f>
        <v>20.99</v>
      </c>
      <c r="E1843" s="2" t="inlineStr">
        <is>
          <t>Pokemon</t>
        </is>
      </c>
      <c r="F1843" s="2" t="inlineStr">
        <is>
          <t>Coffret</t>
        </is>
      </c>
      <c r="G1843" s="2" t="inlineStr">
        <is>
          <t>Promo</t>
        </is>
      </c>
      <c r="H1843" s="3" t="n">
        <v>29.99</v>
      </c>
      <c r="I1843" s="3" t="n"/>
      <c r="J1843" s="3" t="n"/>
      <c r="K1843" s="3" t="n"/>
      <c r="L1843" s="2" t="inlineStr">
        <is>
          <t>PriceCharting</t>
        </is>
      </c>
      <c r="M1843" s="4" t="inlineStr">
        <is>
          <t>https://www.pricecharting.com/game/pokemon-promo/kanto-friends-mini-tin-bulbasaur</t>
        </is>
      </c>
    </row>
    <row r="1844">
      <c r="A1844" s="2" t="inlineStr">
        <is>
          <t>Promo Kanto Friends Mini Tin: Charmander</t>
        </is>
      </c>
      <c r="B1844" s="3">
        <f>IF(H1844&lt;&gt;"",H1844,IF(I1844&lt;&gt;"",I1844,IF(J1844&lt;&gt;"",J1844,K1844)))</f>
        <v>29.99</v>
      </c>
      <c r="C1844" s="3">
        <f>MEDIAN(H1844:K1844)</f>
        <v>29.99</v>
      </c>
      <c r="D1844" s="3">
        <f>ROUND(C1844*(1-Settings!$B$2),2)</f>
        <v>20.99</v>
      </c>
      <c r="E1844" s="2" t="inlineStr">
        <is>
          <t>Pokemon</t>
        </is>
      </c>
      <c r="F1844" s="2" t="inlineStr">
        <is>
          <t>Coffret</t>
        </is>
      </c>
      <c r="G1844" s="2" t="inlineStr">
        <is>
          <t>Promo</t>
        </is>
      </c>
      <c r="H1844" s="3" t="n">
        <v>29.99</v>
      </c>
      <c r="I1844" s="3" t="n"/>
      <c r="J1844" s="3" t="n"/>
      <c r="K1844" s="3" t="n"/>
      <c r="L1844" s="2" t="inlineStr">
        <is>
          <t>PriceCharting</t>
        </is>
      </c>
      <c r="M1844" s="4" t="inlineStr">
        <is>
          <t>https://www.pricecharting.com/game/pokemon-promo/kanto-friends-mini-tin-charmander</t>
        </is>
      </c>
    </row>
    <row r="1845">
      <c r="A1845" s="2" t="inlineStr">
        <is>
          <t>Promo Kanto Friends Mini Tin: Squirtle</t>
        </is>
      </c>
      <c r="B1845" s="3">
        <f>IF(H1845&lt;&gt;"",H1845,IF(I1845&lt;&gt;"",I1845,IF(J1845&lt;&gt;"",J1845,K1845)))</f>
        <v>34.99</v>
      </c>
      <c r="C1845" s="3">
        <f>MEDIAN(H1845:K1845)</f>
        <v>34.99</v>
      </c>
      <c r="D1845" s="3">
        <f>ROUND(C1845*(1-Settings!$B$2),2)</f>
        <v>24.49</v>
      </c>
      <c r="E1845" s="2" t="inlineStr">
        <is>
          <t>Pokemon</t>
        </is>
      </c>
      <c r="F1845" s="2" t="inlineStr">
        <is>
          <t>Coffret</t>
        </is>
      </c>
      <c r="G1845" s="2" t="inlineStr">
        <is>
          <t>Promo</t>
        </is>
      </c>
      <c r="H1845" s="3" t="n">
        <v>34.99</v>
      </c>
      <c r="I1845" s="3" t="n"/>
      <c r="J1845" s="3" t="n"/>
      <c r="K1845" s="3" t="n"/>
      <c r="L1845" s="2" t="inlineStr">
        <is>
          <t>PriceCharting</t>
        </is>
      </c>
      <c r="M1845" s="4" t="inlineStr">
        <is>
          <t>https://www.pricecharting.com/game/pokemon-promo/kanto-friends-mini-tin-squirtle</t>
        </is>
      </c>
    </row>
    <row r="1846">
      <c r="A1846" s="2" t="inlineStr">
        <is>
          <t>Promo Kanto Power Mini Tin: Charizard</t>
        </is>
      </c>
      <c r="B1846" s="3">
        <f>IF(H1846&lt;&gt;"",H1846,IF(I1846&lt;&gt;"",I1846,IF(J1846&lt;&gt;"",J1846,K1846)))</f>
        <v>39.5</v>
      </c>
      <c r="C1846" s="3">
        <f>MEDIAN(H1846:K1846)</f>
        <v>39.5</v>
      </c>
      <c r="D1846" s="3">
        <f>ROUND(C1846*(1-Settings!$B$2),2)</f>
        <v>27.65</v>
      </c>
      <c r="E1846" s="2" t="inlineStr">
        <is>
          <t>Pokemon</t>
        </is>
      </c>
      <c r="F1846" s="2" t="inlineStr">
        <is>
          <t>Coffret</t>
        </is>
      </c>
      <c r="G1846" s="2" t="inlineStr">
        <is>
          <t>Promo</t>
        </is>
      </c>
      <c r="H1846" s="3" t="n">
        <v>39.5</v>
      </c>
      <c r="I1846" s="3" t="n"/>
      <c r="J1846" s="3" t="n"/>
      <c r="K1846" s="3" t="n"/>
      <c r="L1846" s="2" t="inlineStr">
        <is>
          <t>PriceCharting</t>
        </is>
      </c>
      <c r="M1846" s="4" t="inlineStr">
        <is>
          <t>https://www.pricecharting.com/game/pokemon-promo/kanto-power-mini-tin-charizard</t>
        </is>
      </c>
    </row>
    <row r="1847">
      <c r="A1847" s="2" t="inlineStr">
        <is>
          <t>Promo Kanto Power Mini Tin: Dragonite</t>
        </is>
      </c>
      <c r="B1847" s="3">
        <f>IF(H1847&lt;&gt;"",H1847,IF(I1847&lt;&gt;"",I1847,IF(J1847&lt;&gt;"",J1847,K1847)))</f>
        <v>37.99</v>
      </c>
      <c r="C1847" s="3">
        <f>MEDIAN(H1847:K1847)</f>
        <v>37.99</v>
      </c>
      <c r="D1847" s="3">
        <f>ROUND(C1847*(1-Settings!$B$2),2)</f>
        <v>26.59</v>
      </c>
      <c r="E1847" s="2" t="inlineStr">
        <is>
          <t>Pokemon</t>
        </is>
      </c>
      <c r="F1847" s="2" t="inlineStr">
        <is>
          <t>Coffret</t>
        </is>
      </c>
      <c r="G1847" s="2" t="inlineStr">
        <is>
          <t>Promo</t>
        </is>
      </c>
      <c r="H1847" s="3" t="n">
        <v>37.99</v>
      </c>
      <c r="I1847" s="3" t="n"/>
      <c r="J1847" s="3" t="n"/>
      <c r="K1847" s="3" t="n"/>
      <c r="L1847" s="2" t="inlineStr">
        <is>
          <t>PriceCharting</t>
        </is>
      </c>
      <c r="M1847" s="4" t="inlineStr">
        <is>
          <t>https://www.pricecharting.com/game/pokemon-promo/kanto-power-mini-tin-dragonite</t>
        </is>
      </c>
    </row>
    <row r="1848">
      <c r="A1848" s="2" t="inlineStr">
        <is>
          <t>Promo Kanto Power Mini Tin: Mew</t>
        </is>
      </c>
      <c r="B1848" s="3">
        <f>IF(H1848&lt;&gt;"",H1848,IF(I1848&lt;&gt;"",I1848,IF(J1848&lt;&gt;"",J1848,K1848)))</f>
        <v>39.99</v>
      </c>
      <c r="C1848" s="3">
        <f>MEDIAN(H1848:K1848)</f>
        <v>39.99</v>
      </c>
      <c r="D1848" s="3">
        <f>ROUND(C1848*(1-Settings!$B$2),2)</f>
        <v>27.99</v>
      </c>
      <c r="E1848" s="2" t="inlineStr">
        <is>
          <t>Pokemon</t>
        </is>
      </c>
      <c r="F1848" s="2" t="inlineStr">
        <is>
          <t>Coffret</t>
        </is>
      </c>
      <c r="G1848" s="2" t="inlineStr">
        <is>
          <t>Promo</t>
        </is>
      </c>
      <c r="H1848" s="3" t="n">
        <v>39.99</v>
      </c>
      <c r="I1848" s="3" t="n"/>
      <c r="J1848" s="3" t="n"/>
      <c r="K1848" s="3" t="n"/>
      <c r="L1848" s="2" t="inlineStr">
        <is>
          <t>PriceCharting</t>
        </is>
      </c>
      <c r="M1848" s="4" t="inlineStr">
        <is>
          <t>https://www.pricecharting.com/game/pokemon-promo/kanto-power-mini-tin-mew</t>
        </is>
      </c>
    </row>
    <row r="1849">
      <c r="A1849" s="2" t="inlineStr">
        <is>
          <t>Promo Kanto Power Mini Tin: Mewtwo</t>
        </is>
      </c>
      <c r="B1849" s="3">
        <f>IF(H1849&lt;&gt;"",H1849,IF(I1849&lt;&gt;"",I1849,IF(J1849&lt;&gt;"",J1849,K1849)))</f>
        <v>33.9</v>
      </c>
      <c r="C1849" s="3">
        <f>MEDIAN(H1849:K1849)</f>
        <v>33.9</v>
      </c>
      <c r="D1849" s="3">
        <f>ROUND(C1849*(1-Settings!$B$2),2)</f>
        <v>23.73</v>
      </c>
      <c r="E1849" s="2" t="inlineStr">
        <is>
          <t>Pokemon</t>
        </is>
      </c>
      <c r="F1849" s="2" t="inlineStr">
        <is>
          <t>Coffret</t>
        </is>
      </c>
      <c r="G1849" s="2" t="inlineStr">
        <is>
          <t>Promo</t>
        </is>
      </c>
      <c r="H1849" s="3" t="n">
        <v>33.9</v>
      </c>
      <c r="I1849" s="3" t="n"/>
      <c r="J1849" s="3" t="n"/>
      <c r="K1849" s="3" t="n"/>
      <c r="L1849" s="2" t="inlineStr">
        <is>
          <t>PriceCharting</t>
        </is>
      </c>
      <c r="M1849" s="4" t="inlineStr">
        <is>
          <t>https://www.pricecharting.com/game/pokemon-promo/kanto-power-mini-tin-mewtwo</t>
        </is>
      </c>
    </row>
    <row r="1850">
      <c r="A1850" s="2" t="inlineStr">
        <is>
          <t>Promo Kanto Power Mini Tin: Pikachu</t>
        </is>
      </c>
      <c r="B1850" s="3">
        <f>IF(H1850&lt;&gt;"",H1850,IF(I1850&lt;&gt;"",I1850,IF(J1850&lt;&gt;"",J1850,K1850)))</f>
        <v>35.14</v>
      </c>
      <c r="C1850" s="3">
        <f>MEDIAN(H1850:K1850)</f>
        <v>35.14</v>
      </c>
      <c r="D1850" s="3">
        <f>ROUND(C1850*(1-Settings!$B$2),2)</f>
        <v>24.6</v>
      </c>
      <c r="E1850" s="2" t="inlineStr">
        <is>
          <t>Pokemon</t>
        </is>
      </c>
      <c r="F1850" s="2" t="inlineStr">
        <is>
          <t>Coffret</t>
        </is>
      </c>
      <c r="G1850" s="2" t="inlineStr">
        <is>
          <t>Promo</t>
        </is>
      </c>
      <c r="H1850" s="3" t="n">
        <v>35.14</v>
      </c>
      <c r="I1850" s="3" t="n"/>
      <c r="J1850" s="3" t="n"/>
      <c r="K1850" s="3" t="n"/>
      <c r="L1850" s="2" t="inlineStr">
        <is>
          <t>PriceCharting</t>
        </is>
      </c>
      <c r="M1850" s="4" t="inlineStr">
        <is>
          <t>https://www.pricecharting.com/game/pokemon-promo/kanto-power-mini-tin-pikachu</t>
        </is>
      </c>
    </row>
    <row r="1851">
      <c r="A1851" s="2" t="inlineStr">
        <is>
          <t>Promo Kleavor Vstar Premium Collection</t>
        </is>
      </c>
      <c r="B1851" s="3">
        <f>IF(H1851&lt;&gt;"",H1851,IF(I1851&lt;&gt;"",I1851,IF(J1851&lt;&gt;"",J1851,K1851)))</f>
        <v>20.88</v>
      </c>
      <c r="C1851" s="3">
        <f>MEDIAN(H1851:K1851)</f>
        <v>20.88</v>
      </c>
      <c r="D1851" s="3">
        <f>ROUND(C1851*(1-Settings!$B$2),2)</f>
        <v>14.62</v>
      </c>
      <c r="E1851" s="2" t="inlineStr">
        <is>
          <t>Pokemon</t>
        </is>
      </c>
      <c r="F1851" s="2" t="inlineStr">
        <is>
          <t>Coffret</t>
        </is>
      </c>
      <c r="G1851" s="2" t="inlineStr">
        <is>
          <t>Promo</t>
        </is>
      </c>
      <c r="H1851" s="3" t="n">
        <v>20.88</v>
      </c>
      <c r="I1851" s="3" t="n"/>
      <c r="J1851" s="3" t="n"/>
      <c r="K1851" s="3" t="n"/>
      <c r="L1851" s="2" t="inlineStr">
        <is>
          <t>PriceCharting</t>
        </is>
      </c>
      <c r="M1851" s="4" t="inlineStr">
        <is>
          <t>https://www.pricecharting.com/game/pokemon-promo/kleavor-vstar-premium-collection</t>
        </is>
      </c>
    </row>
    <row r="1852">
      <c r="A1852" s="2" t="inlineStr">
        <is>
          <t>Promo Kleavor VStar Premium Collection Box</t>
        </is>
      </c>
      <c r="B1852" s="3">
        <f>IF(H1852&lt;&gt;"",H1852,IF(I1852&lt;&gt;"",I1852,IF(J1852&lt;&gt;"",J1852,K1852)))</f>
        <v>89.0</v>
      </c>
      <c r="C1852" s="3">
        <f>MEDIAN(H1852:K1852)</f>
        <v>89.0</v>
      </c>
      <c r="D1852" s="3">
        <f>ROUND(C1852*(1-Settings!$B$2),2)</f>
        <v>62.3</v>
      </c>
      <c r="E1852" s="2" t="inlineStr">
        <is>
          <t>Pokemon</t>
        </is>
      </c>
      <c r="F1852" s="2" t="inlineStr">
        <is>
          <t>Coffret</t>
        </is>
      </c>
      <c r="G1852" s="2" t="inlineStr">
        <is>
          <t>Promo</t>
        </is>
      </c>
      <c r="H1852" s="3" t="n">
        <v>89</v>
      </c>
      <c r="I1852" s="3" t="n"/>
      <c r="J1852" s="3" t="n"/>
      <c r="K1852" s="3" t="n"/>
      <c r="L1852" s="2" t="inlineStr">
        <is>
          <t>PriceCharting</t>
        </is>
      </c>
      <c r="M1852" s="4" t="inlineStr">
        <is>
          <t>https://www.pricecharting.com/game/pokemon-promo/kleavor-vstar-premium-collection-box</t>
        </is>
      </c>
    </row>
    <row r="1853">
      <c r="A1853" s="2" t="inlineStr">
        <is>
          <t>Promo Kleavor VSTAR Special Collection</t>
        </is>
      </c>
      <c r="B1853" s="3">
        <f>IF(H1853&lt;&gt;"",H1853,IF(I1853&lt;&gt;"",I1853,IF(J1853&lt;&gt;"",J1853,K1853)))</f>
        <v>56.0</v>
      </c>
      <c r="C1853" s="3">
        <f>MEDIAN(H1853:K1853)</f>
        <v>56.0</v>
      </c>
      <c r="D1853" s="3">
        <f>ROUND(C1853*(1-Settings!$B$2),2)</f>
        <v>39.2</v>
      </c>
      <c r="E1853" s="2" t="inlineStr">
        <is>
          <t>Pokemon</t>
        </is>
      </c>
      <c r="F1853" s="2" t="inlineStr">
        <is>
          <t>Coffret</t>
        </is>
      </c>
      <c r="G1853" s="2" t="inlineStr">
        <is>
          <t>Promo</t>
        </is>
      </c>
      <c r="H1853" s="3" t="n">
        <v>56</v>
      </c>
      <c r="I1853" s="3" t="n"/>
      <c r="J1853" s="3" t="n"/>
      <c r="K1853" s="3" t="n"/>
      <c r="L1853" s="2" t="inlineStr">
        <is>
          <t>PriceCharting</t>
        </is>
      </c>
      <c r="M1853" s="4" t="inlineStr">
        <is>
          <t>https://www.pricecharting.com/game/pokemon-promo/kleavor-vstar-special-collection</t>
        </is>
      </c>
    </row>
    <row r="1854">
      <c r="A1854" s="2" t="inlineStr">
        <is>
          <t>Promo Kommo-O GX Box</t>
        </is>
      </c>
      <c r="B1854" s="3">
        <f>IF(H1854&lt;&gt;"",H1854,IF(I1854&lt;&gt;"",I1854,IF(J1854&lt;&gt;"",J1854,K1854)))</f>
        <v>121.98</v>
      </c>
      <c r="C1854" s="3">
        <f>MEDIAN(H1854:K1854)</f>
        <v>121.98</v>
      </c>
      <c r="D1854" s="3">
        <f>ROUND(C1854*(1-Settings!$B$2),2)</f>
        <v>85.39</v>
      </c>
      <c r="E1854" s="2" t="inlineStr">
        <is>
          <t>Pokemon</t>
        </is>
      </c>
      <c r="F1854" s="2" t="inlineStr">
        <is>
          <t>Coffret</t>
        </is>
      </c>
      <c r="G1854" s="2" t="inlineStr">
        <is>
          <t>Promo</t>
        </is>
      </c>
      <c r="H1854" s="3" t="n">
        <v>121.98</v>
      </c>
      <c r="I1854" s="3" t="n"/>
      <c r="J1854" s="3" t="n"/>
      <c r="K1854" s="3" t="n"/>
      <c r="L1854" s="2" t="inlineStr">
        <is>
          <t>PriceCharting</t>
        </is>
      </c>
      <c r="M1854" s="4" t="inlineStr">
        <is>
          <t>https://www.pricecharting.com/game/pokemon-promo/kommo-o-gx-box</t>
        </is>
      </c>
    </row>
    <row r="1855">
      <c r="A1855" s="2" t="inlineStr">
        <is>
          <t>Promo Legendary Warriors Premium Collection Box</t>
        </is>
      </c>
      <c r="B1855" s="3">
        <f>IF(H1855&lt;&gt;"",H1855,IF(I1855&lt;&gt;"",I1855,IF(J1855&lt;&gt;"",J1855,K1855)))</f>
        <v>194.24</v>
      </c>
      <c r="C1855" s="3">
        <f>MEDIAN(H1855:K1855)</f>
        <v>194.24</v>
      </c>
      <c r="D1855" s="3">
        <f>ROUND(C1855*(1-Settings!$B$2),2)</f>
        <v>135.97</v>
      </c>
      <c r="E1855" s="2" t="inlineStr">
        <is>
          <t>Pokemon</t>
        </is>
      </c>
      <c r="F1855" s="2" t="inlineStr">
        <is>
          <t>Coffret</t>
        </is>
      </c>
      <c r="G1855" s="2" t="inlineStr">
        <is>
          <t>Promo</t>
        </is>
      </c>
      <c r="H1855" s="3" t="n">
        <v>194.24</v>
      </c>
      <c r="I1855" s="3" t="n"/>
      <c r="J1855" s="3" t="n"/>
      <c r="K1855" s="3" t="n"/>
      <c r="L1855" s="2" t="inlineStr">
        <is>
          <t>PriceCharting</t>
        </is>
      </c>
      <c r="M1855" s="4" t="inlineStr">
        <is>
          <t>https://www.pricecharting.com/game/pokemon-promo/legendary-warriors-premium-collection-box</t>
        </is>
      </c>
    </row>
    <row r="1856">
      <c r="A1856" s="2" t="inlineStr">
        <is>
          <t>Promo Legends Of Johto Pin Collection</t>
        </is>
      </c>
      <c r="B1856" s="3">
        <f>IF(H1856&lt;&gt;"",H1856,IF(I1856&lt;&gt;"",I1856,IF(J1856&lt;&gt;"",J1856,K1856)))</f>
        <v>310.0</v>
      </c>
      <c r="C1856" s="3">
        <f>MEDIAN(H1856:K1856)</f>
        <v>310.0</v>
      </c>
      <c r="D1856" s="3">
        <f>ROUND(C1856*(1-Settings!$B$2),2)</f>
        <v>217.0</v>
      </c>
      <c r="E1856" s="2" t="inlineStr">
        <is>
          <t>Pokemon</t>
        </is>
      </c>
      <c r="F1856" s="2" t="inlineStr">
        <is>
          <t>Coffret</t>
        </is>
      </c>
      <c r="G1856" s="2" t="inlineStr">
        <is>
          <t>Promo</t>
        </is>
      </c>
      <c r="H1856" s="3" t="n">
        <v>310</v>
      </c>
      <c r="I1856" s="3" t="n"/>
      <c r="J1856" s="3" t="n"/>
      <c r="K1856" s="3" t="n"/>
      <c r="L1856" s="2" t="inlineStr">
        <is>
          <t>PriceCharting</t>
        </is>
      </c>
      <c r="M1856" s="4" t="inlineStr">
        <is>
          <t>https://www.pricecharting.com/game/pokemon-promo/legends-of-johto-pin-collection</t>
        </is>
      </c>
    </row>
    <row r="1857">
      <c r="A1857" s="2" t="inlineStr">
        <is>
          <t>Promo Lillie Premium Tournament Collection Box</t>
        </is>
      </c>
      <c r="B1857" s="3">
        <f>IF(H1857&lt;&gt;"",H1857,IF(I1857&lt;&gt;"",I1857,IF(J1857&lt;&gt;"",J1857,K1857)))</f>
        <v>77.64</v>
      </c>
      <c r="C1857" s="3">
        <f>MEDIAN(H1857:K1857)</f>
        <v>77.64</v>
      </c>
      <c r="D1857" s="3">
        <f>ROUND(C1857*(1-Settings!$B$2),2)</f>
        <v>54.35</v>
      </c>
      <c r="E1857" s="2" t="inlineStr">
        <is>
          <t>Pokemon</t>
        </is>
      </c>
      <c r="F1857" s="2" t="inlineStr">
        <is>
          <t>Coffret</t>
        </is>
      </c>
      <c r="G1857" s="2" t="inlineStr">
        <is>
          <t>Promo</t>
        </is>
      </c>
      <c r="H1857" s="3" t="n">
        <v>77.64</v>
      </c>
      <c r="I1857" s="3" t="n"/>
      <c r="J1857" s="3" t="n"/>
      <c r="K1857" s="3" t="n"/>
      <c r="L1857" s="2" t="inlineStr">
        <is>
          <t>PriceCharting</t>
        </is>
      </c>
      <c r="M1857" s="4" t="inlineStr">
        <is>
          <t>https://www.pricecharting.com/game/pokemon-promo/lillie-premium-tournament-collection-box</t>
        </is>
      </c>
    </row>
    <row r="1858">
      <c r="A1858" s="2" t="inlineStr">
        <is>
          <t>Promo Lucario VSTAR Special Collection</t>
        </is>
      </c>
      <c r="B1858" s="3">
        <f>IF(H1858&lt;&gt;"",H1858,IF(I1858&lt;&gt;"",I1858,IF(J1858&lt;&gt;"",J1858,K1858)))</f>
        <v>86.52</v>
      </c>
      <c r="C1858" s="3">
        <f>MEDIAN(H1858:K1858)</f>
        <v>86.52</v>
      </c>
      <c r="D1858" s="3">
        <f>ROUND(C1858*(1-Settings!$B$2),2)</f>
        <v>60.56</v>
      </c>
      <c r="E1858" s="2" t="inlineStr">
        <is>
          <t>Pokemon</t>
        </is>
      </c>
      <c r="F1858" s="2" t="inlineStr">
        <is>
          <t>Coffret</t>
        </is>
      </c>
      <c r="G1858" s="2" t="inlineStr">
        <is>
          <t>Promo</t>
        </is>
      </c>
      <c r="H1858" s="3" t="n">
        <v>86.52</v>
      </c>
      <c r="I1858" s="3" t="n"/>
      <c r="J1858" s="3" t="n"/>
      <c r="K1858" s="3" t="n"/>
      <c r="L1858" s="2" t="inlineStr">
        <is>
          <t>PriceCharting</t>
        </is>
      </c>
      <c r="M1858" s="4" t="inlineStr">
        <is>
          <t>https://www.pricecharting.com/game/pokemon-promo/lucario-vstar-special-collection</t>
        </is>
      </c>
    </row>
    <row r="1859">
      <c r="A1859" s="2" t="inlineStr">
        <is>
          <t>Promo Lugia Ex &amp; Latias Ex Premium Collection</t>
        </is>
      </c>
      <c r="B1859" s="3">
        <f>IF(H1859&lt;&gt;"",H1859,IF(I1859&lt;&gt;"",I1859,IF(J1859&lt;&gt;"",J1859,K1859)))</f>
        <v>110.84</v>
      </c>
      <c r="C1859" s="3">
        <f>MEDIAN(H1859:K1859)</f>
        <v>110.84</v>
      </c>
      <c r="D1859" s="3">
        <f>ROUND(C1859*(1-Settings!$B$2),2)</f>
        <v>77.59</v>
      </c>
      <c r="E1859" s="2" t="inlineStr">
        <is>
          <t>Pokemon</t>
        </is>
      </c>
      <c r="F1859" s="2" t="inlineStr">
        <is>
          <t>Coffret</t>
        </is>
      </c>
      <c r="G1859" s="2" t="inlineStr">
        <is>
          <t>Promo</t>
        </is>
      </c>
      <c r="H1859" s="3" t="n">
        <v>110.84</v>
      </c>
      <c r="I1859" s="3" t="n"/>
      <c r="J1859" s="3" t="n"/>
      <c r="K1859" s="3" t="n"/>
      <c r="L1859" s="2" t="inlineStr">
        <is>
          <t>PriceCharting</t>
        </is>
      </c>
      <c r="M1859" s="4" t="inlineStr">
        <is>
          <t>https://www.pricecharting.com/game/pokemon-promo/lugia-ex-&amp;-latias-ex-premium-collection</t>
        </is>
      </c>
    </row>
    <row r="1860">
      <c r="A1860" s="2" t="inlineStr">
        <is>
          <t>Promo Lumiose City Mini Tin: Emboar &amp; Inkay</t>
        </is>
      </c>
      <c r="B1860" s="3">
        <f>IF(H1860&lt;&gt;"",H1860,IF(I1860&lt;&gt;"",I1860,IF(J1860&lt;&gt;"",J1860,K1860)))</f>
        <v>14.75</v>
      </c>
      <c r="C1860" s="3">
        <f>MEDIAN(H1860:K1860)</f>
        <v>14.75</v>
      </c>
      <c r="D1860" s="3">
        <f>ROUND(C1860*(1-Settings!$B$2),2)</f>
        <v>10.33</v>
      </c>
      <c r="E1860" s="2" t="inlineStr">
        <is>
          <t>Pokemon</t>
        </is>
      </c>
      <c r="F1860" s="2" t="inlineStr">
        <is>
          <t>Coffret</t>
        </is>
      </c>
      <c r="G1860" s="2" t="inlineStr">
        <is>
          <t>Promo</t>
        </is>
      </c>
      <c r="H1860" s="3" t="n">
        <v>14.75</v>
      </c>
      <c r="I1860" s="3" t="n"/>
      <c r="J1860" s="3" t="n"/>
      <c r="K1860" s="3" t="n"/>
      <c r="L1860" s="2" t="inlineStr">
        <is>
          <t>PriceCharting</t>
        </is>
      </c>
      <c r="M1860" s="4" t="inlineStr">
        <is>
          <t>https://www.pricecharting.com/game/pokemon-promo/lumiose-city-mini-tin-emboar-&amp;-inkay</t>
        </is>
      </c>
    </row>
    <row r="1861">
      <c r="A1861" s="2" t="inlineStr">
        <is>
          <t>Promo Lumiose City Mini Tin: Feraligatr &amp; Budew</t>
        </is>
      </c>
      <c r="B1861" s="3">
        <f>IF(H1861&lt;&gt;"",H1861,IF(I1861&lt;&gt;"",I1861,IF(J1861&lt;&gt;"",J1861,K1861)))</f>
        <v>17.12</v>
      </c>
      <c r="C1861" s="3">
        <f>MEDIAN(H1861:K1861)</f>
        <v>17.12</v>
      </c>
      <c r="D1861" s="3">
        <f>ROUND(C1861*(1-Settings!$B$2),2)</f>
        <v>11.98</v>
      </c>
      <c r="E1861" s="2" t="inlineStr">
        <is>
          <t>Pokemon</t>
        </is>
      </c>
      <c r="F1861" s="2" t="inlineStr">
        <is>
          <t>Coffret</t>
        </is>
      </c>
      <c r="G1861" s="2" t="inlineStr">
        <is>
          <t>Promo</t>
        </is>
      </c>
      <c r="H1861" s="3" t="n">
        <v>17.12</v>
      </c>
      <c r="I1861" s="3" t="n"/>
      <c r="J1861" s="3" t="n"/>
      <c r="K1861" s="3" t="n"/>
      <c r="L1861" s="2" t="inlineStr">
        <is>
          <t>PriceCharting</t>
        </is>
      </c>
      <c r="M1861" s="4" t="inlineStr">
        <is>
          <t>https://www.pricecharting.com/game/pokemon-promo/lumiose-city-mini-tin-feraligatr-&amp;-budew</t>
        </is>
      </c>
    </row>
    <row r="1862">
      <c r="A1862" s="2" t="inlineStr">
        <is>
          <t>Promo Lumiose City Mini Tin: Gallade &amp; Goomy</t>
        </is>
      </c>
      <c r="B1862" s="3">
        <f>IF(H1862&lt;&gt;"",H1862,IF(I1862&lt;&gt;"",I1862,IF(J1862&lt;&gt;"",J1862,K1862)))</f>
        <v>15.0</v>
      </c>
      <c r="C1862" s="3">
        <f>MEDIAN(H1862:K1862)</f>
        <v>15.0</v>
      </c>
      <c r="D1862" s="3">
        <f>ROUND(C1862*(1-Settings!$B$2),2)</f>
        <v>10.5</v>
      </c>
      <c r="E1862" s="2" t="inlineStr">
        <is>
          <t>Pokemon</t>
        </is>
      </c>
      <c r="F1862" s="2" t="inlineStr">
        <is>
          <t>Coffret</t>
        </is>
      </c>
      <c r="G1862" s="2" t="inlineStr">
        <is>
          <t>Promo</t>
        </is>
      </c>
      <c r="H1862" s="3" t="n">
        <v>15</v>
      </c>
      <c r="I1862" s="3" t="n"/>
      <c r="J1862" s="3" t="n"/>
      <c r="K1862" s="3" t="n"/>
      <c r="L1862" s="2" t="inlineStr">
        <is>
          <t>PriceCharting</t>
        </is>
      </c>
      <c r="M1862" s="4" t="inlineStr">
        <is>
          <t>https://www.pricecharting.com/game/pokemon-promo/lumiose-city-mini-tin-gallade-&amp;-goomy</t>
        </is>
      </c>
    </row>
    <row r="1863">
      <c r="A1863" s="2" t="inlineStr">
        <is>
          <t>Promo Lumiose City Mini Tin: Meganium &amp; Meowstic</t>
        </is>
      </c>
      <c r="B1863" s="3">
        <f>IF(H1863&lt;&gt;"",H1863,IF(I1863&lt;&gt;"",I1863,IF(J1863&lt;&gt;"",J1863,K1863)))</f>
        <v>15.05</v>
      </c>
      <c r="C1863" s="3">
        <f>MEDIAN(H1863:K1863)</f>
        <v>15.05</v>
      </c>
      <c r="D1863" s="3">
        <f>ROUND(C1863*(1-Settings!$B$2),2)</f>
        <v>10.54</v>
      </c>
      <c r="E1863" s="2" t="inlineStr">
        <is>
          <t>Pokemon</t>
        </is>
      </c>
      <c r="F1863" s="2" t="inlineStr">
        <is>
          <t>Coffret</t>
        </is>
      </c>
      <c r="G1863" s="2" t="inlineStr">
        <is>
          <t>Promo</t>
        </is>
      </c>
      <c r="H1863" s="3" t="n">
        <v>15.05</v>
      </c>
      <c r="I1863" s="3" t="n"/>
      <c r="J1863" s="3" t="n"/>
      <c r="K1863" s="3" t="n"/>
      <c r="L1863" s="2" t="inlineStr">
        <is>
          <t>PriceCharting</t>
        </is>
      </c>
      <c r="M1863" s="4" t="inlineStr">
        <is>
          <t>https://www.pricecharting.com/game/pokemon-promo/lumiose-city-mini-tin-meganium-&amp;-meowstic</t>
        </is>
      </c>
    </row>
    <row r="1864">
      <c r="A1864" s="2" t="inlineStr">
        <is>
          <t>Promo Lumiose City Mini Tin: Salamence &amp; Litleo</t>
        </is>
      </c>
      <c r="B1864" s="3">
        <f>IF(H1864&lt;&gt;"",H1864,IF(I1864&lt;&gt;"",I1864,IF(J1864&lt;&gt;"",J1864,K1864)))</f>
        <v>16.23</v>
      </c>
      <c r="C1864" s="3">
        <f>MEDIAN(H1864:K1864)</f>
        <v>16.23</v>
      </c>
      <c r="D1864" s="3">
        <f>ROUND(C1864*(1-Settings!$B$2),2)</f>
        <v>11.36</v>
      </c>
      <c r="E1864" s="2" t="inlineStr">
        <is>
          <t>Pokemon</t>
        </is>
      </c>
      <c r="F1864" s="2" t="inlineStr">
        <is>
          <t>Coffret</t>
        </is>
      </c>
      <c r="G1864" s="2" t="inlineStr">
        <is>
          <t>Promo</t>
        </is>
      </c>
      <c r="H1864" s="3" t="n">
        <v>16.23</v>
      </c>
      <c r="I1864" s="3" t="n"/>
      <c r="J1864" s="3" t="n"/>
      <c r="K1864" s="3" t="n"/>
      <c r="L1864" s="2" t="inlineStr">
        <is>
          <t>PriceCharting</t>
        </is>
      </c>
      <c r="M1864" s="4" t="inlineStr">
        <is>
          <t>https://www.pricecharting.com/game/pokemon-promo/lumiose-city-mini-tin-salamence-&amp;-litleo</t>
        </is>
      </c>
    </row>
    <row r="1865">
      <c r="A1865" s="2" t="inlineStr">
        <is>
          <t>Promo Mabosstiff EX Box</t>
        </is>
      </c>
      <c r="B1865" s="3">
        <f>IF(H1865&lt;&gt;"",H1865,IF(I1865&lt;&gt;"",I1865,IF(J1865&lt;&gt;"",J1865,K1865)))</f>
        <v>30.22</v>
      </c>
      <c r="C1865" s="3">
        <f>MEDIAN(H1865:K1865)</f>
        <v>30.22</v>
      </c>
      <c r="D1865" s="3">
        <f>ROUND(C1865*(1-Settings!$B$2),2)</f>
        <v>21.15</v>
      </c>
      <c r="E1865" s="2" t="inlineStr">
        <is>
          <t>Pokemon</t>
        </is>
      </c>
      <c r="F1865" s="2" t="inlineStr">
        <is>
          <t>Coffret</t>
        </is>
      </c>
      <c r="G1865" s="2" t="inlineStr">
        <is>
          <t>Promo</t>
        </is>
      </c>
      <c r="H1865" s="3" t="n">
        <v>30.22</v>
      </c>
      <c r="I1865" s="3" t="n"/>
      <c r="J1865" s="3" t="n"/>
      <c r="K1865" s="3" t="n"/>
      <c r="L1865" s="2" t="inlineStr">
        <is>
          <t>PriceCharting</t>
        </is>
      </c>
      <c r="M1865" s="4" t="inlineStr">
        <is>
          <t>https://www.pricecharting.com/game/pokemon-promo/mabosstiff-ex-box</t>
        </is>
      </c>
    </row>
    <row r="1866">
      <c r="A1866" s="2" t="inlineStr">
        <is>
          <t>Promo Mad Party Pin Collection: Galarian Mr. Rime</t>
        </is>
      </c>
      <c r="B1866" s="3">
        <f>IF(H1866&lt;&gt;"",H1866,IF(I1866&lt;&gt;"",I1866,IF(J1866&lt;&gt;"",J1866,K1866)))</f>
        <v>55.0</v>
      </c>
      <c r="C1866" s="3">
        <f>MEDIAN(H1866:K1866)</f>
        <v>55.0</v>
      </c>
      <c r="D1866" s="3">
        <f>ROUND(C1866*(1-Settings!$B$2),2)</f>
        <v>38.5</v>
      </c>
      <c r="E1866" s="2" t="inlineStr">
        <is>
          <t>Pokemon</t>
        </is>
      </c>
      <c r="F1866" s="2" t="inlineStr">
        <is>
          <t>Coffret</t>
        </is>
      </c>
      <c r="G1866" s="2" t="inlineStr">
        <is>
          <t>Promo</t>
        </is>
      </c>
      <c r="H1866" s="3" t="n">
        <v>55</v>
      </c>
      <c r="I1866" s="3" t="n"/>
      <c r="J1866" s="3" t="n"/>
      <c r="K1866" s="3" t="n"/>
      <c r="L1866" s="2" t="inlineStr">
        <is>
          <t>PriceCharting</t>
        </is>
      </c>
      <c r="M1866" s="4" t="inlineStr">
        <is>
          <t>https://www.pricecharting.com/game/pokemon-promo/mad-party-pin-collection-galarian-mr-rime</t>
        </is>
      </c>
    </row>
    <row r="1867">
      <c r="A1867" s="2" t="inlineStr">
        <is>
          <t>Promo Marshadow Box</t>
        </is>
      </c>
      <c r="B1867" s="3">
        <f>IF(H1867&lt;&gt;"",H1867,IF(I1867&lt;&gt;"",I1867,IF(J1867&lt;&gt;"",J1867,K1867)))</f>
        <v>4.99</v>
      </c>
      <c r="C1867" s="3">
        <f>MEDIAN(H1867:K1867)</f>
        <v>4.99</v>
      </c>
      <c r="D1867" s="3">
        <f>ROUND(C1867*(1-Settings!$B$2),2)</f>
        <v>3.49</v>
      </c>
      <c r="E1867" s="2" t="inlineStr">
        <is>
          <t>Pokemon</t>
        </is>
      </c>
      <c r="F1867" s="2" t="inlineStr">
        <is>
          <t>Coffret</t>
        </is>
      </c>
      <c r="G1867" s="2" t="inlineStr">
        <is>
          <t>Promo</t>
        </is>
      </c>
      <c r="H1867" s="3" t="n">
        <v>4.99</v>
      </c>
      <c r="I1867" s="3" t="n"/>
      <c r="J1867" s="3" t="n"/>
      <c r="K1867" s="3" t="n"/>
      <c r="L1867" s="2" t="inlineStr">
        <is>
          <t>PriceCharting</t>
        </is>
      </c>
      <c r="M1867" s="4" t="inlineStr">
        <is>
          <t>https://www.pricecharting.com/game/pokemon-promo/marshadow-box</t>
        </is>
      </c>
    </row>
    <row r="1868">
      <c r="A1868" s="2" t="inlineStr">
        <is>
          <t>Promo Mega Charizard X Tin</t>
        </is>
      </c>
      <c r="B1868" s="3">
        <f>IF(H1868&lt;&gt;"",H1868,IF(I1868&lt;&gt;"",I1868,IF(J1868&lt;&gt;"",J1868,K1868)))</f>
        <v>44.14</v>
      </c>
      <c r="C1868" s="3">
        <f>MEDIAN(H1868:K1868)</f>
        <v>44.14</v>
      </c>
      <c r="D1868" s="3">
        <f>ROUND(C1868*(1-Settings!$B$2),2)</f>
        <v>30.9</v>
      </c>
      <c r="E1868" s="2" t="inlineStr">
        <is>
          <t>Pokemon</t>
        </is>
      </c>
      <c r="F1868" s="2" t="inlineStr">
        <is>
          <t>Coffret</t>
        </is>
      </c>
      <c r="G1868" s="2" t="inlineStr">
        <is>
          <t>Promo</t>
        </is>
      </c>
      <c r="H1868" s="3" t="n">
        <v>44.14</v>
      </c>
      <c r="I1868" s="3" t="n"/>
      <c r="J1868" s="3" t="n"/>
      <c r="K1868" s="3" t="n"/>
      <c r="L1868" s="2" t="inlineStr">
        <is>
          <t>PriceCharting</t>
        </is>
      </c>
      <c r="M1868" s="4" t="inlineStr">
        <is>
          <t>https://www.pricecharting.com/game/pokemon-promo/mega-charizard-x-tin</t>
        </is>
      </c>
    </row>
    <row r="1869">
      <c r="A1869" s="2" t="inlineStr">
        <is>
          <t>Promo Mega Charizard Y Tin</t>
        </is>
      </c>
      <c r="B1869" s="3">
        <f>IF(H1869&lt;&gt;"",H1869,IF(I1869&lt;&gt;"",I1869,IF(J1869&lt;&gt;"",J1869,K1869)))</f>
        <v>42.55</v>
      </c>
      <c r="C1869" s="3">
        <f>MEDIAN(H1869:K1869)</f>
        <v>42.55</v>
      </c>
      <c r="D1869" s="3">
        <f>ROUND(C1869*(1-Settings!$B$2),2)</f>
        <v>29.79</v>
      </c>
      <c r="E1869" s="2" t="inlineStr">
        <is>
          <t>Pokemon</t>
        </is>
      </c>
      <c r="F1869" s="2" t="inlineStr">
        <is>
          <t>Coffret</t>
        </is>
      </c>
      <c r="G1869" s="2" t="inlineStr">
        <is>
          <t>Promo</t>
        </is>
      </c>
      <c r="H1869" s="3" t="n">
        <v>42.55</v>
      </c>
      <c r="I1869" s="3" t="n"/>
      <c r="J1869" s="3" t="n"/>
      <c r="K1869" s="3" t="n"/>
      <c r="L1869" s="2" t="inlineStr">
        <is>
          <t>PriceCharting</t>
        </is>
      </c>
      <c r="M1869" s="4" t="inlineStr">
        <is>
          <t>https://www.pricecharting.com/game/pokemon-promo/mega-charizard-y-tin</t>
        </is>
      </c>
    </row>
    <row r="1870">
      <c r="A1870" s="2" t="inlineStr">
        <is>
          <t>Promo Mega Greninja Ex Premium Collection</t>
        </is>
      </c>
      <c r="B1870" s="3">
        <f>IF(H1870&lt;&gt;"",H1870,IF(I1870&lt;&gt;"",I1870,IF(J1870&lt;&gt;"",J1870,K1870)))</f>
        <v>45.24</v>
      </c>
      <c r="C1870" s="3">
        <f>MEDIAN(H1870:K1870)</f>
        <v>45.24</v>
      </c>
      <c r="D1870" s="3">
        <f>ROUND(C1870*(1-Settings!$B$2),2)</f>
        <v>31.67</v>
      </c>
      <c r="E1870" s="2" t="inlineStr">
        <is>
          <t>Pokemon</t>
        </is>
      </c>
      <c r="F1870" s="2" t="inlineStr">
        <is>
          <t>Coffret</t>
        </is>
      </c>
      <c r="G1870" s="2" t="inlineStr">
        <is>
          <t>Promo</t>
        </is>
      </c>
      <c r="H1870" s="3" t="n">
        <v>45.24</v>
      </c>
      <c r="I1870" s="3" t="n"/>
      <c r="J1870" s="3" t="n"/>
      <c r="K1870" s="3" t="n"/>
      <c r="L1870" s="2" t="inlineStr">
        <is>
          <t>PriceCharting</t>
        </is>
      </c>
      <c r="M1870" s="4" t="inlineStr">
        <is>
          <t>https://www.pricecharting.com/game/pokemon-promo/mega-greninja-ex-premium-collection</t>
        </is>
      </c>
    </row>
    <row r="1871">
      <c r="A1871" s="2" t="inlineStr">
        <is>
          <t>Promo Mega Kangaskhan Ex Box</t>
        </is>
      </c>
      <c r="B1871" s="3">
        <f>IF(H1871&lt;&gt;"",H1871,IF(I1871&lt;&gt;"",I1871,IF(J1871&lt;&gt;"",J1871,K1871)))</f>
        <v>39.99</v>
      </c>
      <c r="C1871" s="3">
        <f>MEDIAN(H1871:K1871)</f>
        <v>39.99</v>
      </c>
      <c r="D1871" s="3">
        <f>ROUND(C1871*(1-Settings!$B$2),2)</f>
        <v>27.99</v>
      </c>
      <c r="E1871" s="2" t="inlineStr">
        <is>
          <t>Pokemon</t>
        </is>
      </c>
      <c r="F1871" s="2" t="inlineStr">
        <is>
          <t>Coffret</t>
        </is>
      </c>
      <c r="G1871" s="2" t="inlineStr">
        <is>
          <t>Promo</t>
        </is>
      </c>
      <c r="H1871" s="3" t="n">
        <v>39.99</v>
      </c>
      <c r="I1871" s="3" t="n"/>
      <c r="J1871" s="3" t="n"/>
      <c r="K1871" s="3" t="n"/>
      <c r="L1871" s="2" t="inlineStr">
        <is>
          <t>PriceCharting</t>
        </is>
      </c>
      <c r="M1871" s="4" t="inlineStr">
        <is>
          <t>https://www.pricecharting.com/game/pokemon-promo/mega-kangaskhan-ex-box</t>
        </is>
      </c>
    </row>
    <row r="1872">
      <c r="A1872" s="2" t="inlineStr">
        <is>
          <t>Promo Mega Latias Ex Box</t>
        </is>
      </c>
      <c r="B1872" s="3">
        <f>IF(H1872&lt;&gt;"",H1872,IF(I1872&lt;&gt;"",I1872,IF(J1872&lt;&gt;"",J1872,K1872)))</f>
        <v>40.93</v>
      </c>
      <c r="C1872" s="3">
        <f>MEDIAN(H1872:K1872)</f>
        <v>40.93</v>
      </c>
      <c r="D1872" s="3">
        <f>ROUND(C1872*(1-Settings!$B$2),2)</f>
        <v>28.65</v>
      </c>
      <c r="E1872" s="2" t="inlineStr">
        <is>
          <t>Pokemon</t>
        </is>
      </c>
      <c r="F1872" s="2" t="inlineStr">
        <is>
          <t>Coffret</t>
        </is>
      </c>
      <c r="G1872" s="2" t="inlineStr">
        <is>
          <t>Promo</t>
        </is>
      </c>
      <c r="H1872" s="3" t="n">
        <v>40.93</v>
      </c>
      <c r="I1872" s="3" t="n"/>
      <c r="J1872" s="3" t="n"/>
      <c r="K1872" s="3" t="n"/>
      <c r="L1872" s="2" t="inlineStr">
        <is>
          <t>PriceCharting</t>
        </is>
      </c>
      <c r="M1872" s="4" t="inlineStr">
        <is>
          <t>https://www.pricecharting.com/game/pokemon-promo/mega-latias-ex-box</t>
        </is>
      </c>
    </row>
    <row r="1873">
      <c r="A1873" s="2" t="inlineStr">
        <is>
          <t>Promo Mega Moonlit Tin [Mega Gengar ex]</t>
        </is>
      </c>
      <c r="B1873" s="3">
        <f>IF(H1873&lt;&gt;"",H1873,IF(I1873&lt;&gt;"",I1873,IF(J1873&lt;&gt;"",J1873,K1873)))</f>
        <v>34.11</v>
      </c>
      <c r="C1873" s="3">
        <f>MEDIAN(H1873:K1873)</f>
        <v>34.11</v>
      </c>
      <c r="D1873" s="3">
        <f>ROUND(C1873*(1-Settings!$B$2),2)</f>
        <v>23.88</v>
      </c>
      <c r="E1873" s="2" t="inlineStr">
        <is>
          <t>Pokemon</t>
        </is>
      </c>
      <c r="F1873" s="2" t="inlineStr">
        <is>
          <t>Coffret</t>
        </is>
      </c>
      <c r="G1873" s="2" t="inlineStr">
        <is>
          <t>Promo</t>
        </is>
      </c>
      <c r="H1873" s="3" t="n">
        <v>34.11</v>
      </c>
      <c r="I1873" s="3" t="n"/>
      <c r="J1873" s="3" t="n"/>
      <c r="K1873" s="3" t="n"/>
      <c r="L1873" s="2" t="inlineStr">
        <is>
          <t>PriceCharting</t>
        </is>
      </c>
      <c r="M1873" s="4" t="inlineStr">
        <is>
          <t>https://www.pricecharting.com/game/pokemon-promo/mega-moonlit-tin-mega-gengar-ex</t>
        </is>
      </c>
    </row>
    <row r="1874">
      <c r="A1874" s="2" t="inlineStr">
        <is>
          <t>Promo Mega Moonlit Tin: Mega Clefable Ex</t>
        </is>
      </c>
      <c r="B1874" s="3">
        <f>IF(H1874&lt;&gt;"",H1874,IF(I1874&lt;&gt;"",I1874,IF(J1874&lt;&gt;"",J1874,K1874)))</f>
        <v>27.0</v>
      </c>
      <c r="C1874" s="3">
        <f>MEDIAN(H1874:K1874)</f>
        <v>27.0</v>
      </c>
      <c r="D1874" s="3">
        <f>ROUND(C1874*(1-Settings!$B$2),2)</f>
        <v>18.9</v>
      </c>
      <c r="E1874" s="2" t="inlineStr">
        <is>
          <t>Pokemon</t>
        </is>
      </c>
      <c r="F1874" s="2" t="inlineStr">
        <is>
          <t>Coffret</t>
        </is>
      </c>
      <c r="G1874" s="2" t="inlineStr">
        <is>
          <t>Promo</t>
        </is>
      </c>
      <c r="H1874" s="3" t="n">
        <v>27</v>
      </c>
      <c r="I1874" s="3" t="n"/>
      <c r="J1874" s="3" t="n"/>
      <c r="K1874" s="3" t="n"/>
      <c r="L1874" s="2" t="inlineStr">
        <is>
          <t>PriceCharting</t>
        </is>
      </c>
      <c r="M1874" s="4" t="inlineStr">
        <is>
          <t>https://www.pricecharting.com/game/pokemon-promo/mega-moonlit-tin-mega-clefable-ex</t>
        </is>
      </c>
    </row>
    <row r="1875">
      <c r="A1875" s="2" t="inlineStr">
        <is>
          <t>Promo Mega Venusaur Ex Premium Collection</t>
        </is>
      </c>
      <c r="B1875" s="3">
        <f>IF(H1875&lt;&gt;"",H1875,IF(I1875&lt;&gt;"",I1875,IF(J1875&lt;&gt;"",J1875,K1875)))</f>
        <v>71.92</v>
      </c>
      <c r="C1875" s="3">
        <f>MEDIAN(H1875:K1875)</f>
        <v>71.92</v>
      </c>
      <c r="D1875" s="3">
        <f>ROUND(C1875*(1-Settings!$B$2),2)</f>
        <v>50.34</v>
      </c>
      <c r="E1875" s="2" t="inlineStr">
        <is>
          <t>Pokemon</t>
        </is>
      </c>
      <c r="F1875" s="2" t="inlineStr">
        <is>
          <t>Coffret</t>
        </is>
      </c>
      <c r="G1875" s="2" t="inlineStr">
        <is>
          <t>Promo</t>
        </is>
      </c>
      <c r="H1875" s="3" t="n">
        <v>71.92</v>
      </c>
      <c r="I1875" s="3" t="n"/>
      <c r="J1875" s="3" t="n"/>
      <c r="K1875" s="3" t="n"/>
      <c r="L1875" s="2" t="inlineStr">
        <is>
          <t>PriceCharting</t>
        </is>
      </c>
      <c r="M1875" s="4" t="inlineStr">
        <is>
          <t>https://www.pricecharting.com/game/pokemon-promo/mega-venusaur-ex-premium-collection</t>
        </is>
      </c>
    </row>
    <row r="1876">
      <c r="A1876" s="2" t="inlineStr">
        <is>
          <t>Promo Mega Zygarde Ex Premium Collection</t>
        </is>
      </c>
      <c r="B1876" s="3">
        <f>IF(H1876&lt;&gt;"",H1876,IF(I1876&lt;&gt;"",I1876,IF(J1876&lt;&gt;"",J1876,K1876)))</f>
        <v>44.77</v>
      </c>
      <c r="C1876" s="3">
        <f>MEDIAN(H1876:K1876)</f>
        <v>44.77</v>
      </c>
      <c r="D1876" s="3">
        <f>ROUND(C1876*(1-Settings!$B$2),2)</f>
        <v>31.34</v>
      </c>
      <c r="E1876" s="2" t="inlineStr">
        <is>
          <t>Pokemon</t>
        </is>
      </c>
      <c r="F1876" s="2" t="inlineStr">
        <is>
          <t>Coffret</t>
        </is>
      </c>
      <c r="G1876" s="2" t="inlineStr">
        <is>
          <t>Promo</t>
        </is>
      </c>
      <c r="H1876" s="3" t="n">
        <v>44.77</v>
      </c>
      <c r="I1876" s="3" t="n"/>
      <c r="J1876" s="3" t="n"/>
      <c r="K1876" s="3" t="n"/>
      <c r="L1876" s="2" t="inlineStr">
        <is>
          <t>PriceCharting</t>
        </is>
      </c>
      <c r="M1876" s="4" t="inlineStr">
        <is>
          <t>https://www.pricecharting.com/game/pokemon-promo/mega-zygarde-ex-premium-collection</t>
        </is>
      </c>
    </row>
    <row r="1877">
      <c r="A1877" s="2" t="inlineStr">
        <is>
          <t>Promo Melmetal Ex Box</t>
        </is>
      </c>
      <c r="B1877" s="3">
        <f>IF(H1877&lt;&gt;"",H1877,IF(I1877&lt;&gt;"",I1877,IF(J1877&lt;&gt;"",J1877,K1877)))</f>
        <v>36.99</v>
      </c>
      <c r="C1877" s="3">
        <f>MEDIAN(H1877:K1877)</f>
        <v>36.99</v>
      </c>
      <c r="D1877" s="3">
        <f>ROUND(C1877*(1-Settings!$B$2),2)</f>
        <v>25.89</v>
      </c>
      <c r="E1877" s="2" t="inlineStr">
        <is>
          <t>Pokemon</t>
        </is>
      </c>
      <c r="F1877" s="2" t="inlineStr">
        <is>
          <t>Coffret</t>
        </is>
      </c>
      <c r="G1877" s="2" t="inlineStr">
        <is>
          <t>Promo</t>
        </is>
      </c>
      <c r="H1877" s="3" t="n">
        <v>36.99</v>
      </c>
      <c r="I1877" s="3" t="n"/>
      <c r="J1877" s="3" t="n"/>
      <c r="K1877" s="3" t="n"/>
      <c r="L1877" s="2" t="inlineStr">
        <is>
          <t>PriceCharting</t>
        </is>
      </c>
      <c r="M1877" s="4" t="inlineStr">
        <is>
          <t>https://www.pricecharting.com/game/pokemon-promo/melmetal-ex-box</t>
        </is>
      </c>
    </row>
    <row r="1878">
      <c r="A1878" s="2" t="inlineStr">
        <is>
          <t>Promo Meowth VMAX Special Collection Box</t>
        </is>
      </c>
      <c r="B1878" s="3">
        <f>IF(H1878&lt;&gt;"",H1878,IF(I1878&lt;&gt;"",I1878,IF(J1878&lt;&gt;"",J1878,K1878)))</f>
        <v>291.9</v>
      </c>
      <c r="C1878" s="3">
        <f>MEDIAN(H1878:K1878)</f>
        <v>291.9</v>
      </c>
      <c r="D1878" s="3">
        <f>ROUND(C1878*(1-Settings!$B$2),2)</f>
        <v>204.33</v>
      </c>
      <c r="E1878" s="2" t="inlineStr">
        <is>
          <t>Pokemon</t>
        </is>
      </c>
      <c r="F1878" s="2" t="inlineStr">
        <is>
          <t>Coffret</t>
        </is>
      </c>
      <c r="G1878" s="2" t="inlineStr">
        <is>
          <t>Promo</t>
        </is>
      </c>
      <c r="H1878" s="3" t="n">
        <v>291.9</v>
      </c>
      <c r="I1878" s="3" t="n"/>
      <c r="J1878" s="3" t="n"/>
      <c r="K1878" s="3" t="n"/>
      <c r="L1878" s="2" t="inlineStr">
        <is>
          <t>PriceCharting</t>
        </is>
      </c>
      <c r="M1878" s="4" t="inlineStr">
        <is>
          <t>https://www.pricecharting.com/game/pokemon-promo/meowth-vmax-special-collection-box</t>
        </is>
      </c>
    </row>
    <row r="1879">
      <c r="A1879" s="2" t="inlineStr">
        <is>
          <t>Promo Metal Stacking Tin</t>
        </is>
      </c>
      <c r="B1879" s="3">
        <f>IF(H1879&lt;&gt;"",H1879,IF(I1879&lt;&gt;"",I1879,IF(J1879&lt;&gt;"",J1879,K1879)))</f>
        <v>28.94</v>
      </c>
      <c r="C1879" s="3">
        <f>MEDIAN(H1879:K1879)</f>
        <v>28.94</v>
      </c>
      <c r="D1879" s="3">
        <f>ROUND(C1879*(1-Settings!$B$2),2)</f>
        <v>20.26</v>
      </c>
      <c r="E1879" s="2" t="inlineStr">
        <is>
          <t>Pokemon</t>
        </is>
      </c>
      <c r="F1879" s="2" t="inlineStr">
        <is>
          <t>Coffret</t>
        </is>
      </c>
      <c r="G1879" s="2" t="inlineStr">
        <is>
          <t>Promo</t>
        </is>
      </c>
      <c r="H1879" s="3" t="n">
        <v>28.94</v>
      </c>
      <c r="I1879" s="3" t="n"/>
      <c r="J1879" s="3" t="n"/>
      <c r="K1879" s="3" t="n"/>
      <c r="L1879" s="2" t="inlineStr">
        <is>
          <t>PriceCharting</t>
        </is>
      </c>
      <c r="M1879" s="4" t="inlineStr">
        <is>
          <t>https://www.pricecharting.com/game/pokemon-promo/metal-stacking-tin</t>
        </is>
      </c>
    </row>
    <row r="1880">
      <c r="A1880" s="2" t="inlineStr">
        <is>
          <t>Promo Mew V Box</t>
        </is>
      </c>
      <c r="B1880" s="3">
        <f>IF(H1880&lt;&gt;"",H1880,IF(I1880&lt;&gt;"",I1880,IF(J1880&lt;&gt;"",J1880,K1880)))</f>
        <v>131.31</v>
      </c>
      <c r="C1880" s="3">
        <f>MEDIAN(H1880:K1880)</f>
        <v>131.31</v>
      </c>
      <c r="D1880" s="3">
        <f>ROUND(C1880*(1-Settings!$B$2),2)</f>
        <v>91.92</v>
      </c>
      <c r="E1880" s="2" t="inlineStr">
        <is>
          <t>Pokemon</t>
        </is>
      </c>
      <c r="F1880" s="2" t="inlineStr">
        <is>
          <t>Coffret</t>
        </is>
      </c>
      <c r="G1880" s="2" t="inlineStr">
        <is>
          <t>Promo</t>
        </is>
      </c>
      <c r="H1880" s="3" t="n">
        <v>131.31</v>
      </c>
      <c r="I1880" s="3" t="n"/>
      <c r="J1880" s="3" t="n"/>
      <c r="K1880" s="3" t="n"/>
      <c r="L1880" s="2" t="inlineStr">
        <is>
          <t>PriceCharting</t>
        </is>
      </c>
      <c r="M1880" s="4" t="inlineStr">
        <is>
          <t>https://www.pricecharting.com/game/pokemon-promo/mew-v-box</t>
        </is>
      </c>
    </row>
    <row r="1881">
      <c r="A1881" s="2" t="inlineStr">
        <is>
          <t>Promo Mighty Mysterious Tin: Mimikyu</t>
        </is>
      </c>
      <c r="B1881" s="3">
        <f>IF(H1881&lt;&gt;"",H1881,IF(I1881&lt;&gt;"",I1881,IF(J1881&lt;&gt;"",J1881,K1881)))</f>
        <v>123.15</v>
      </c>
      <c r="C1881" s="3">
        <f>MEDIAN(H1881:K1881)</f>
        <v>123.15</v>
      </c>
      <c r="D1881" s="3">
        <f>ROUND(C1881*(1-Settings!$B$2),2)</f>
        <v>86.21</v>
      </c>
      <c r="E1881" s="2" t="inlineStr">
        <is>
          <t>Pokemon</t>
        </is>
      </c>
      <c r="F1881" s="2" t="inlineStr">
        <is>
          <t>Coffret</t>
        </is>
      </c>
      <c r="G1881" s="2" t="inlineStr">
        <is>
          <t>Promo</t>
        </is>
      </c>
      <c r="H1881" s="3" t="n">
        <v>123.15</v>
      </c>
      <c r="I1881" s="3" t="n"/>
      <c r="J1881" s="3" t="n"/>
      <c r="K1881" s="3" t="n"/>
      <c r="L1881" s="2" t="inlineStr">
        <is>
          <t>PriceCharting</t>
        </is>
      </c>
      <c r="M1881" s="4" t="inlineStr">
        <is>
          <t>https://www.pricecharting.com/game/pokemon-promo/mighty-mysterious-tin-mimikyu</t>
        </is>
      </c>
    </row>
    <row r="1882">
      <c r="A1882" s="2" t="inlineStr">
        <is>
          <t>Promo Mimikyu ex Box</t>
        </is>
      </c>
      <c r="B1882" s="3">
        <f>IF(H1882&lt;&gt;"",H1882,IF(I1882&lt;&gt;"",I1882,IF(J1882&lt;&gt;"",J1882,K1882)))</f>
        <v>69.95</v>
      </c>
      <c r="C1882" s="3">
        <f>MEDIAN(H1882:K1882)</f>
        <v>69.95</v>
      </c>
      <c r="D1882" s="3">
        <f>ROUND(C1882*(1-Settings!$B$2),2)</f>
        <v>48.97</v>
      </c>
      <c r="E1882" s="2" t="inlineStr">
        <is>
          <t>Pokemon</t>
        </is>
      </c>
      <c r="F1882" s="2" t="inlineStr">
        <is>
          <t>Coffret</t>
        </is>
      </c>
      <c r="G1882" s="2" t="inlineStr">
        <is>
          <t>Promo</t>
        </is>
      </c>
      <c r="H1882" s="3" t="n">
        <v>69.95</v>
      </c>
      <c r="I1882" s="3" t="n"/>
      <c r="J1882" s="3" t="n"/>
      <c r="K1882" s="3" t="n"/>
      <c r="L1882" s="2" t="inlineStr">
        <is>
          <t>PriceCharting</t>
        </is>
      </c>
      <c r="M1882" s="4" t="inlineStr">
        <is>
          <t>https://www.pricecharting.com/game/pokemon-promo/mimikyu-ex-box</t>
        </is>
      </c>
    </row>
    <row r="1883">
      <c r="A1883" s="2" t="inlineStr">
        <is>
          <t>Promo Mimikyu Ex Showcase Box</t>
        </is>
      </c>
      <c r="B1883" s="3">
        <f>IF(H1883&lt;&gt;"",H1883,IF(I1883&lt;&gt;"",I1883,IF(J1883&lt;&gt;"",J1883,K1883)))</f>
        <v>59.99</v>
      </c>
      <c r="C1883" s="3">
        <f>MEDIAN(H1883:K1883)</f>
        <v>59.99</v>
      </c>
      <c r="D1883" s="3">
        <f>ROUND(C1883*(1-Settings!$B$2),2)</f>
        <v>41.99</v>
      </c>
      <c r="E1883" s="2" t="inlineStr">
        <is>
          <t>Pokemon</t>
        </is>
      </c>
      <c r="F1883" s="2" t="inlineStr">
        <is>
          <t>Coffret</t>
        </is>
      </c>
      <c r="G1883" s="2" t="inlineStr">
        <is>
          <t>Promo</t>
        </is>
      </c>
      <c r="H1883" s="3" t="n">
        <v>59.99</v>
      </c>
      <c r="I1883" s="3" t="n"/>
      <c r="J1883" s="3" t="n"/>
      <c r="K1883" s="3" t="n"/>
      <c r="L1883" s="2" t="inlineStr">
        <is>
          <t>PriceCharting</t>
        </is>
      </c>
      <c r="M1883" s="4" t="inlineStr">
        <is>
          <t>https://www.pricecharting.com/game/pokemon-promo/mimikyu-ex-showcase-box</t>
        </is>
      </c>
    </row>
    <row r="1884">
      <c r="A1884" s="2" t="inlineStr">
        <is>
          <t>Promo Morpeko Pin Collection Box</t>
        </is>
      </c>
      <c r="B1884" s="3">
        <f>IF(H1884&lt;&gt;"",H1884,IF(I1884&lt;&gt;"",I1884,IF(J1884&lt;&gt;"",J1884,K1884)))</f>
        <v>63.79</v>
      </c>
      <c r="C1884" s="3">
        <f>MEDIAN(H1884:K1884)</f>
        <v>63.79</v>
      </c>
      <c r="D1884" s="3">
        <f>ROUND(C1884*(1-Settings!$B$2),2)</f>
        <v>44.65</v>
      </c>
      <c r="E1884" s="2" t="inlineStr">
        <is>
          <t>Pokemon</t>
        </is>
      </c>
      <c r="F1884" s="2" t="inlineStr">
        <is>
          <t>Coffret</t>
        </is>
      </c>
      <c r="G1884" s="2" t="inlineStr">
        <is>
          <t>Promo</t>
        </is>
      </c>
      <c r="H1884" s="3" t="n">
        <v>63.79</v>
      </c>
      <c r="I1884" s="3" t="n"/>
      <c r="J1884" s="3" t="n"/>
      <c r="K1884" s="3" t="n"/>
      <c r="L1884" s="2" t="inlineStr">
        <is>
          <t>PriceCharting</t>
        </is>
      </c>
      <c r="M1884" s="4" t="inlineStr">
        <is>
          <t>https://www.pricecharting.com/game/pokemon-promo/morpeko-pin-collection-box</t>
        </is>
      </c>
    </row>
    <row r="1885">
      <c r="A1885" s="2" t="inlineStr">
        <is>
          <t>Promo Ogerpon Stacking Tin</t>
        </is>
      </c>
      <c r="B1885" s="3">
        <f>IF(H1885&lt;&gt;"",H1885,IF(I1885&lt;&gt;"",I1885,IF(J1885&lt;&gt;"",J1885,K1885)))</f>
        <v>30.17</v>
      </c>
      <c r="C1885" s="3">
        <f>MEDIAN(H1885:K1885)</f>
        <v>30.17</v>
      </c>
      <c r="D1885" s="3">
        <f>ROUND(C1885*(1-Settings!$B$2),2)</f>
        <v>21.12</v>
      </c>
      <c r="E1885" s="2" t="inlineStr">
        <is>
          <t>Pokemon</t>
        </is>
      </c>
      <c r="F1885" s="2" t="inlineStr">
        <is>
          <t>Coffret</t>
        </is>
      </c>
      <c r="G1885" s="2" t="inlineStr">
        <is>
          <t>Promo</t>
        </is>
      </c>
      <c r="H1885" s="3" t="n">
        <v>30.17</v>
      </c>
      <c r="I1885" s="3" t="n"/>
      <c r="J1885" s="3" t="n"/>
      <c r="K1885" s="3" t="n"/>
      <c r="L1885" s="2" t="inlineStr">
        <is>
          <t>PriceCharting</t>
        </is>
      </c>
      <c r="M1885" s="4" t="inlineStr">
        <is>
          <t>https://www.pricecharting.com/game/pokemon-promo/ogerpon-stacking-tin</t>
        </is>
      </c>
    </row>
    <row r="1886">
      <c r="A1886" s="2" t="inlineStr">
        <is>
          <t>Promo Oinkologne Ex Box</t>
        </is>
      </c>
      <c r="B1886" s="3">
        <f>IF(H1886&lt;&gt;"",H1886,IF(I1886&lt;&gt;"",I1886,IF(J1886&lt;&gt;"",J1886,K1886)))</f>
        <v>35.16</v>
      </c>
      <c r="C1886" s="3">
        <f>MEDIAN(H1886:K1886)</f>
        <v>35.16</v>
      </c>
      <c r="D1886" s="3">
        <f>ROUND(C1886*(1-Settings!$B$2),2)</f>
        <v>24.61</v>
      </c>
      <c r="E1886" s="2" t="inlineStr">
        <is>
          <t>Pokemon</t>
        </is>
      </c>
      <c r="F1886" s="2" t="inlineStr">
        <is>
          <t>Coffret</t>
        </is>
      </c>
      <c r="G1886" s="2" t="inlineStr">
        <is>
          <t>Promo</t>
        </is>
      </c>
      <c r="H1886" s="3" t="n">
        <v>35.16</v>
      </c>
      <c r="I1886" s="3" t="n"/>
      <c r="J1886" s="3" t="n"/>
      <c r="K1886" s="3" t="n"/>
      <c r="L1886" s="2" t="inlineStr">
        <is>
          <t>PriceCharting</t>
        </is>
      </c>
      <c r="M1886" s="4" t="inlineStr">
        <is>
          <t>https://www.pricecharting.com/game/pokemon-promo/oinkologne-ex-box</t>
        </is>
      </c>
    </row>
    <row r="1887">
      <c r="A1887" s="2" t="inlineStr">
        <is>
          <t>Promo Origin Forme Dialga Vstar Premium Collection Box</t>
        </is>
      </c>
      <c r="B1887" s="3">
        <f>IF(H1887&lt;&gt;"",H1887,IF(I1887&lt;&gt;"",I1887,IF(J1887&lt;&gt;"",J1887,K1887)))</f>
        <v>87.5</v>
      </c>
      <c r="C1887" s="3">
        <f>MEDIAN(H1887:K1887)</f>
        <v>87.5</v>
      </c>
      <c r="D1887" s="3">
        <f>ROUND(C1887*(1-Settings!$B$2),2)</f>
        <v>61.25</v>
      </c>
      <c r="E1887" s="2" t="inlineStr">
        <is>
          <t>Pokemon</t>
        </is>
      </c>
      <c r="F1887" s="2" t="inlineStr">
        <is>
          <t>Coffret</t>
        </is>
      </c>
      <c r="G1887" s="2" t="inlineStr">
        <is>
          <t>Promo</t>
        </is>
      </c>
      <c r="H1887" s="3" t="n">
        <v>87.5</v>
      </c>
      <c r="I1887" s="3" t="n"/>
      <c r="J1887" s="3" t="n"/>
      <c r="K1887" s="3" t="n"/>
      <c r="L1887" s="2" t="inlineStr">
        <is>
          <t>PriceCharting</t>
        </is>
      </c>
      <c r="M1887" s="4" t="inlineStr">
        <is>
          <t>https://www.pricecharting.com/game/pokemon-promo/origin-forme-dialga-vstar-premium-collection-box</t>
        </is>
      </c>
    </row>
    <row r="1888">
      <c r="A1888" s="2" t="inlineStr">
        <is>
          <t>Promo Palafin Ex Box</t>
        </is>
      </c>
      <c r="B1888" s="3">
        <f>IF(H1888&lt;&gt;"",H1888,IF(I1888&lt;&gt;"",I1888,IF(J1888&lt;&gt;"",J1888,K1888)))</f>
        <v>43.75</v>
      </c>
      <c r="C1888" s="3">
        <f>MEDIAN(H1888:K1888)</f>
        <v>43.75</v>
      </c>
      <c r="D1888" s="3">
        <f>ROUND(C1888*(1-Settings!$B$2),2)</f>
        <v>30.63</v>
      </c>
      <c r="E1888" s="2" t="inlineStr">
        <is>
          <t>Pokemon</t>
        </is>
      </c>
      <c r="F1888" s="2" t="inlineStr">
        <is>
          <t>Coffret</t>
        </is>
      </c>
      <c r="G1888" s="2" t="inlineStr">
        <is>
          <t>Promo</t>
        </is>
      </c>
      <c r="H1888" s="3" t="n">
        <v>43.75</v>
      </c>
      <c r="I1888" s="3" t="n"/>
      <c r="J1888" s="3" t="n"/>
      <c r="K1888" s="3" t="n"/>
      <c r="L1888" s="2" t="inlineStr">
        <is>
          <t>PriceCharting</t>
        </is>
      </c>
      <c r="M1888" s="4" t="inlineStr">
        <is>
          <t>https://www.pricecharting.com/game/pokemon-promo/palafin-ex-box</t>
        </is>
      </c>
    </row>
    <row r="1889">
      <c r="A1889" s="2" t="inlineStr">
        <is>
          <t>Promo Paldea Friends Mini Tins 5-Pack</t>
        </is>
      </c>
      <c r="B1889" s="3">
        <f>IF(H1889&lt;&gt;"",H1889,IF(I1889&lt;&gt;"",I1889,IF(J1889&lt;&gt;"",J1889,K1889)))</f>
        <v>136.06</v>
      </c>
      <c r="C1889" s="3">
        <f>MEDIAN(H1889:K1889)</f>
        <v>136.06</v>
      </c>
      <c r="D1889" s="3">
        <f>ROUND(C1889*(1-Settings!$B$2),2)</f>
        <v>95.24</v>
      </c>
      <c r="E1889" s="2" t="inlineStr">
        <is>
          <t>Pokemon</t>
        </is>
      </c>
      <c r="F1889" s="2" t="inlineStr">
        <is>
          <t>Coffret</t>
        </is>
      </c>
      <c r="G1889" s="2" t="inlineStr">
        <is>
          <t>Promo</t>
        </is>
      </c>
      <c r="H1889" s="3" t="n">
        <v>136.06</v>
      </c>
      <c r="I1889" s="3" t="n"/>
      <c r="J1889" s="3" t="n"/>
      <c r="K1889" s="3" t="n"/>
      <c r="L1889" s="2" t="inlineStr">
        <is>
          <t>PriceCharting</t>
        </is>
      </c>
      <c r="M1889" s="4" t="inlineStr">
        <is>
          <t>https://www.pricecharting.com/game/pokemon-promo/paldea-friends-mini-tins-5-pack</t>
        </is>
      </c>
    </row>
    <row r="1890">
      <c r="A1890" s="2" t="inlineStr">
        <is>
          <t>Promo Paldea Partners Tin [Meowscarada Ex International]</t>
        </is>
      </c>
      <c r="B1890" s="3">
        <f>IF(H1890&lt;&gt;"",H1890,IF(I1890&lt;&gt;"",I1890,IF(J1890&lt;&gt;"",J1890,K1890)))</f>
        <v>49.87</v>
      </c>
      <c r="C1890" s="3">
        <f>MEDIAN(H1890:K1890)</f>
        <v>49.87</v>
      </c>
      <c r="D1890" s="3">
        <f>ROUND(C1890*(1-Settings!$B$2),2)</f>
        <v>34.91</v>
      </c>
      <c r="E1890" s="2" t="inlineStr">
        <is>
          <t>Pokemon</t>
        </is>
      </c>
      <c r="F1890" s="2" t="inlineStr">
        <is>
          <t>Coffret</t>
        </is>
      </c>
      <c r="G1890" s="2" t="inlineStr">
        <is>
          <t>Promo</t>
        </is>
      </c>
      <c r="H1890" s="3" t="n">
        <v>49.87</v>
      </c>
      <c r="I1890" s="3" t="n"/>
      <c r="J1890" s="3" t="n"/>
      <c r="K1890" s="3" t="n"/>
      <c r="L1890" s="2" t="inlineStr">
        <is>
          <t>PriceCharting</t>
        </is>
      </c>
      <c r="M1890" s="4" t="inlineStr">
        <is>
          <t>https://www.pricecharting.com/game/pokemon-promo/paldea-partners-tin-meowscarada-ex-international</t>
        </is>
      </c>
    </row>
    <row r="1891">
      <c r="A1891" s="2" t="inlineStr">
        <is>
          <t>Promo Paldea Partners Tin [Quaquaval Ex]</t>
        </is>
      </c>
      <c r="B1891" s="3">
        <f>IF(H1891&lt;&gt;"",H1891,IF(I1891&lt;&gt;"",I1891,IF(J1891&lt;&gt;"",J1891,K1891)))</f>
        <v>36.0</v>
      </c>
      <c r="C1891" s="3">
        <f>MEDIAN(H1891:K1891)</f>
        <v>36.0</v>
      </c>
      <c r="D1891" s="3">
        <f>ROUND(C1891*(1-Settings!$B$2),2)</f>
        <v>25.2</v>
      </c>
      <c r="E1891" s="2" t="inlineStr">
        <is>
          <t>Pokemon</t>
        </is>
      </c>
      <c r="F1891" s="2" t="inlineStr">
        <is>
          <t>Coffret</t>
        </is>
      </c>
      <c r="G1891" s="2" t="inlineStr">
        <is>
          <t>Promo</t>
        </is>
      </c>
      <c r="H1891" s="3" t="n">
        <v>36</v>
      </c>
      <c r="I1891" s="3" t="n"/>
      <c r="J1891" s="3" t="n"/>
      <c r="K1891" s="3" t="n"/>
      <c r="L1891" s="2" t="inlineStr">
        <is>
          <t>PriceCharting</t>
        </is>
      </c>
      <c r="M1891" s="4" t="inlineStr">
        <is>
          <t>https://www.pricecharting.com/game/pokemon-promo/paldea-partners-tin-quaquaval-ex</t>
        </is>
      </c>
    </row>
    <row r="1892">
      <c r="A1892" s="2" t="inlineStr">
        <is>
          <t>Promo Paldea Partners Tin [Skeledirge]</t>
        </is>
      </c>
      <c r="B1892" s="3">
        <f>IF(H1892&lt;&gt;"",H1892,IF(I1892&lt;&gt;"",I1892,IF(J1892&lt;&gt;"",J1892,K1892)))</f>
        <v>30.0</v>
      </c>
      <c r="C1892" s="3">
        <f>MEDIAN(H1892:K1892)</f>
        <v>30.0</v>
      </c>
      <c r="D1892" s="3">
        <f>ROUND(C1892*(1-Settings!$B$2),2)</f>
        <v>21.0</v>
      </c>
      <c r="E1892" s="2" t="inlineStr">
        <is>
          <t>Pokemon</t>
        </is>
      </c>
      <c r="F1892" s="2" t="inlineStr">
        <is>
          <t>Coffret</t>
        </is>
      </c>
      <c r="G1892" s="2" t="inlineStr">
        <is>
          <t>Promo</t>
        </is>
      </c>
      <c r="H1892" s="3" t="n">
        <v>30</v>
      </c>
      <c r="I1892" s="3" t="n"/>
      <c r="J1892" s="3" t="n"/>
      <c r="K1892" s="3" t="n"/>
      <c r="L1892" s="2" t="inlineStr">
        <is>
          <t>PriceCharting</t>
        </is>
      </c>
      <c r="M1892" s="4" t="inlineStr">
        <is>
          <t>https://www.pricecharting.com/game/pokemon-promo/paldea-partners-tin-skeledirge</t>
        </is>
      </c>
    </row>
    <row r="1893">
      <c r="A1893" s="2" t="inlineStr">
        <is>
          <t>Promo Paldea Partners Tin: Meowscarada Ex</t>
        </is>
      </c>
      <c r="B1893" s="3">
        <f>IF(H1893&lt;&gt;"",H1893,IF(I1893&lt;&gt;"",I1893,IF(J1893&lt;&gt;"",J1893,K1893)))</f>
        <v>46.93</v>
      </c>
      <c r="C1893" s="3">
        <f>MEDIAN(H1893:K1893)</f>
        <v>46.93</v>
      </c>
      <c r="D1893" s="3">
        <f>ROUND(C1893*(1-Settings!$B$2),2)</f>
        <v>32.85</v>
      </c>
      <c r="E1893" s="2" t="inlineStr">
        <is>
          <t>Pokemon</t>
        </is>
      </c>
      <c r="F1893" s="2" t="inlineStr">
        <is>
          <t>Coffret</t>
        </is>
      </c>
      <c r="G1893" s="2" t="inlineStr">
        <is>
          <t>Promo</t>
        </is>
      </c>
      <c r="H1893" s="3" t="n">
        <v>46.93</v>
      </c>
      <c r="I1893" s="3" t="n"/>
      <c r="J1893" s="3" t="n"/>
      <c r="K1893" s="3" t="n"/>
      <c r="L1893" s="2" t="inlineStr">
        <is>
          <t>PriceCharting</t>
        </is>
      </c>
      <c r="M1893" s="4" t="inlineStr">
        <is>
          <t>https://www.pricecharting.com/game/pokemon-promo/paldea-partners-tin-meowscarada-ex</t>
        </is>
      </c>
    </row>
    <row r="1894">
      <c r="A1894" s="2" t="inlineStr">
        <is>
          <t>Promo Paradox Clash Tin [Iron Leaves Ex]</t>
        </is>
      </c>
      <c r="B1894" s="3">
        <f>IF(H1894&lt;&gt;"",H1894,IF(I1894&lt;&gt;"",I1894,IF(J1894&lt;&gt;"",J1894,K1894)))</f>
        <v>31.77</v>
      </c>
      <c r="C1894" s="3">
        <f>MEDIAN(H1894:K1894)</f>
        <v>31.77</v>
      </c>
      <c r="D1894" s="3">
        <f>ROUND(C1894*(1-Settings!$B$2),2)</f>
        <v>22.24</v>
      </c>
      <c r="E1894" s="2" t="inlineStr">
        <is>
          <t>Pokemon</t>
        </is>
      </c>
      <c r="F1894" s="2" t="inlineStr">
        <is>
          <t>Coffret</t>
        </is>
      </c>
      <c r="G1894" s="2" t="inlineStr">
        <is>
          <t>Promo</t>
        </is>
      </c>
      <c r="H1894" s="3" t="n">
        <v>31.77</v>
      </c>
      <c r="I1894" s="3" t="n"/>
      <c r="J1894" s="3" t="n"/>
      <c r="K1894" s="3" t="n"/>
      <c r="L1894" s="2" t="inlineStr">
        <is>
          <t>PriceCharting</t>
        </is>
      </c>
      <c r="M1894" s="4" t="inlineStr">
        <is>
          <t>https://www.pricecharting.com/game/pokemon-promo/paradox-clash-tin-iron-leaves-ex</t>
        </is>
      </c>
    </row>
    <row r="1895">
      <c r="A1895" s="2" t="inlineStr">
        <is>
          <t>Promo Paradox Clash Tin [Walking Wake]</t>
        </is>
      </c>
      <c r="B1895" s="3">
        <f>IF(H1895&lt;&gt;"",H1895,IF(I1895&lt;&gt;"",I1895,IF(J1895&lt;&gt;"",J1895,K1895)))</f>
        <v>38.0</v>
      </c>
      <c r="C1895" s="3">
        <f>MEDIAN(H1895:K1895)</f>
        <v>38.0</v>
      </c>
      <c r="D1895" s="3">
        <f>ROUND(C1895*(1-Settings!$B$2),2)</f>
        <v>26.6</v>
      </c>
      <c r="E1895" s="2" t="inlineStr">
        <is>
          <t>Pokemon</t>
        </is>
      </c>
      <c r="F1895" s="2" t="inlineStr">
        <is>
          <t>Coffret</t>
        </is>
      </c>
      <c r="G1895" s="2" t="inlineStr">
        <is>
          <t>Promo</t>
        </is>
      </c>
      <c r="H1895" s="3" t="n">
        <v>38</v>
      </c>
      <c r="I1895" s="3" t="n"/>
      <c r="J1895" s="3" t="n"/>
      <c r="K1895" s="3" t="n"/>
      <c r="L1895" s="2" t="inlineStr">
        <is>
          <t>PriceCharting</t>
        </is>
      </c>
      <c r="M1895" s="4" t="inlineStr">
        <is>
          <t>https://www.pricecharting.com/game/pokemon-promo/paradox-clash-tin-walking-wake</t>
        </is>
      </c>
    </row>
    <row r="1896">
      <c r="A1896" s="2" t="inlineStr">
        <is>
          <t>Promo Paradox Destinies Tin [Gouging Fire Ex]</t>
        </is>
      </c>
      <c r="B1896" s="3">
        <f>IF(H1896&lt;&gt;"",H1896,IF(I1896&lt;&gt;"",I1896,IF(J1896&lt;&gt;"",J1896,K1896)))</f>
        <v>42.05</v>
      </c>
      <c r="C1896" s="3">
        <f>MEDIAN(H1896:K1896)</f>
        <v>42.05</v>
      </c>
      <c r="D1896" s="3">
        <f>ROUND(C1896*(1-Settings!$B$2),2)</f>
        <v>29.44</v>
      </c>
      <c r="E1896" s="2" t="inlineStr">
        <is>
          <t>Pokemon</t>
        </is>
      </c>
      <c r="F1896" s="2" t="inlineStr">
        <is>
          <t>Coffret</t>
        </is>
      </c>
      <c r="G1896" s="2" t="inlineStr">
        <is>
          <t>Promo</t>
        </is>
      </c>
      <c r="H1896" s="3" t="n">
        <v>42.05</v>
      </c>
      <c r="I1896" s="3" t="n"/>
      <c r="J1896" s="3" t="n"/>
      <c r="K1896" s="3" t="n"/>
      <c r="L1896" s="2" t="inlineStr">
        <is>
          <t>PriceCharting</t>
        </is>
      </c>
      <c r="M1896" s="4" t="inlineStr">
        <is>
          <t>https://www.pricecharting.com/game/pokemon-promo/paradox-destinies-tin-gouging-fire-ex</t>
        </is>
      </c>
    </row>
    <row r="1897">
      <c r="A1897" s="2" t="inlineStr">
        <is>
          <t>Promo Paradox Destinies Tin [Iron Boulder Ex]</t>
        </is>
      </c>
      <c r="B1897" s="3">
        <f>IF(H1897&lt;&gt;"",H1897,IF(I1897&lt;&gt;"",I1897,IF(J1897&lt;&gt;"",J1897,K1897)))</f>
        <v>38.5</v>
      </c>
      <c r="C1897" s="3">
        <f>MEDIAN(H1897:K1897)</f>
        <v>38.5</v>
      </c>
      <c r="D1897" s="3">
        <f>ROUND(C1897*(1-Settings!$B$2),2)</f>
        <v>26.95</v>
      </c>
      <c r="E1897" s="2" t="inlineStr">
        <is>
          <t>Pokemon</t>
        </is>
      </c>
      <c r="F1897" s="2" t="inlineStr">
        <is>
          <t>Coffret</t>
        </is>
      </c>
      <c r="G1897" s="2" t="inlineStr">
        <is>
          <t>Promo</t>
        </is>
      </c>
      <c r="H1897" s="3" t="n">
        <v>38.5</v>
      </c>
      <c r="I1897" s="3" t="n"/>
      <c r="J1897" s="3" t="n"/>
      <c r="K1897" s="3" t="n"/>
      <c r="L1897" s="2" t="inlineStr">
        <is>
          <t>PriceCharting</t>
        </is>
      </c>
      <c r="M1897" s="4" t="inlineStr">
        <is>
          <t>https://www.pricecharting.com/game/pokemon-promo/paradox-destinies-tin-iron-boulder-ex</t>
        </is>
      </c>
    </row>
    <row r="1898">
      <c r="A1898" s="2" t="inlineStr">
        <is>
          <t>Promo Paradox Destinies Tin [Iron Crown Ex]</t>
        </is>
      </c>
      <c r="B1898" s="3">
        <f>IF(H1898&lt;&gt;"",H1898,IF(I1898&lt;&gt;"",I1898,IF(J1898&lt;&gt;"",J1898,K1898)))</f>
        <v>39.62</v>
      </c>
      <c r="C1898" s="3">
        <f>MEDIAN(H1898:K1898)</f>
        <v>39.62</v>
      </c>
      <c r="D1898" s="3">
        <f>ROUND(C1898*(1-Settings!$B$2),2)</f>
        <v>27.73</v>
      </c>
      <c r="E1898" s="2" t="inlineStr">
        <is>
          <t>Pokemon</t>
        </is>
      </c>
      <c r="F1898" s="2" t="inlineStr">
        <is>
          <t>Coffret</t>
        </is>
      </c>
      <c r="G1898" s="2" t="inlineStr">
        <is>
          <t>Promo</t>
        </is>
      </c>
      <c r="H1898" s="3" t="n">
        <v>39.62</v>
      </c>
      <c r="I1898" s="3" t="n"/>
      <c r="J1898" s="3" t="n"/>
      <c r="K1898" s="3" t="n"/>
      <c r="L1898" s="2" t="inlineStr">
        <is>
          <t>PriceCharting</t>
        </is>
      </c>
      <c r="M1898" s="4" t="inlineStr">
        <is>
          <t>https://www.pricecharting.com/game/pokemon-promo/paradox-destinies-tin-iron-crown-ex</t>
        </is>
      </c>
    </row>
    <row r="1899">
      <c r="A1899" s="2" t="inlineStr">
        <is>
          <t>Promo Paradox Destinies Tin [Raging Bolt Ex]</t>
        </is>
      </c>
      <c r="B1899" s="3">
        <f>IF(H1899&lt;&gt;"",H1899,IF(I1899&lt;&gt;"",I1899,IF(J1899&lt;&gt;"",J1899,K1899)))</f>
        <v>38.83</v>
      </c>
      <c r="C1899" s="3">
        <f>MEDIAN(H1899:K1899)</f>
        <v>38.83</v>
      </c>
      <c r="D1899" s="3">
        <f>ROUND(C1899*(1-Settings!$B$2),2)</f>
        <v>27.18</v>
      </c>
      <c r="E1899" s="2" t="inlineStr">
        <is>
          <t>Pokemon</t>
        </is>
      </c>
      <c r="F1899" s="2" t="inlineStr">
        <is>
          <t>Coffret</t>
        </is>
      </c>
      <c r="G1899" s="2" t="inlineStr">
        <is>
          <t>Promo</t>
        </is>
      </c>
      <c r="H1899" s="3" t="n">
        <v>38.83</v>
      </c>
      <c r="I1899" s="3" t="n"/>
      <c r="J1899" s="3" t="n"/>
      <c r="K1899" s="3" t="n"/>
      <c r="L1899" s="2" t="inlineStr">
        <is>
          <t>PriceCharting</t>
        </is>
      </c>
      <c r="M1899" s="4" t="inlineStr">
        <is>
          <t>https://www.pricecharting.com/game/pokemon-promo/paradox-destinies-tin-raging-bolt-ex</t>
        </is>
      </c>
    </row>
    <row r="1900">
      <c r="A1900" s="2" t="inlineStr">
        <is>
          <t>Promo Paradox Fury Premium Collection</t>
        </is>
      </c>
      <c r="B1900" s="3">
        <f>IF(H1900&lt;&gt;"",H1900,IF(I1900&lt;&gt;"",I1900,IF(J1900&lt;&gt;"",J1900,K1900)))</f>
        <v>77.55</v>
      </c>
      <c r="C1900" s="3">
        <f>MEDIAN(H1900:K1900)</f>
        <v>77.55</v>
      </c>
      <c r="D1900" s="3">
        <f>ROUND(C1900*(1-Settings!$B$2),2)</f>
        <v>54.29</v>
      </c>
      <c r="E1900" s="2" t="inlineStr">
        <is>
          <t>Pokemon</t>
        </is>
      </c>
      <c r="F1900" s="2" t="inlineStr">
        <is>
          <t>Coffret</t>
        </is>
      </c>
      <c r="G1900" s="2" t="inlineStr">
        <is>
          <t>Promo</t>
        </is>
      </c>
      <c r="H1900" s="3" t="n">
        <v>77.55</v>
      </c>
      <c r="I1900" s="3" t="n"/>
      <c r="J1900" s="3" t="n"/>
      <c r="K1900" s="3" t="n"/>
      <c r="L1900" s="2" t="inlineStr">
        <is>
          <t>PriceCharting</t>
        </is>
      </c>
      <c r="M1900" s="4" t="inlineStr">
        <is>
          <t>https://www.pricecharting.com/game/pokemon-promo/paradox-fury-premium-collection</t>
        </is>
      </c>
    </row>
    <row r="1901">
      <c r="A1901" s="2" t="inlineStr">
        <is>
          <t>Promo Paradox Pokemon Stacking Tin</t>
        </is>
      </c>
      <c r="B1901" s="3">
        <f>IF(H1901&lt;&gt;"",H1901,IF(I1901&lt;&gt;"",I1901,IF(J1901&lt;&gt;"",J1901,K1901)))</f>
        <v>29.0</v>
      </c>
      <c r="C1901" s="3">
        <f>MEDIAN(H1901:K1901)</f>
        <v>29.0</v>
      </c>
      <c r="D1901" s="3">
        <f>ROUND(C1901*(1-Settings!$B$2),2)</f>
        <v>20.3</v>
      </c>
      <c r="E1901" s="2" t="inlineStr">
        <is>
          <t>Pokemon</t>
        </is>
      </c>
      <c r="F1901" s="2" t="inlineStr">
        <is>
          <t>Coffret</t>
        </is>
      </c>
      <c r="G1901" s="2" t="inlineStr">
        <is>
          <t>Promo</t>
        </is>
      </c>
      <c r="H1901" s="3" t="n">
        <v>29</v>
      </c>
      <c r="I1901" s="3" t="n"/>
      <c r="J1901" s="3" t="n"/>
      <c r="K1901" s="3" t="n"/>
      <c r="L1901" s="2" t="inlineStr">
        <is>
          <t>PriceCharting</t>
        </is>
      </c>
      <c r="M1901" s="4" t="inlineStr">
        <is>
          <t>https://www.pricecharting.com/game/pokemon-promo/paradox-pokemon-stacking-tin</t>
        </is>
      </c>
    </row>
    <row r="1902">
      <c r="A1902" s="2" t="inlineStr">
        <is>
          <t>Promo Paradox Wisdom Premium Collection</t>
        </is>
      </c>
      <c r="B1902" s="3">
        <f>IF(H1902&lt;&gt;"",H1902,IF(I1902&lt;&gt;"",I1902,IF(J1902&lt;&gt;"",J1902,K1902)))</f>
        <v>69.99</v>
      </c>
      <c r="C1902" s="3">
        <f>MEDIAN(H1902:K1902)</f>
        <v>69.99</v>
      </c>
      <c r="D1902" s="3">
        <f>ROUND(C1902*(1-Settings!$B$2),2)</f>
        <v>48.99</v>
      </c>
      <c r="E1902" s="2" t="inlineStr">
        <is>
          <t>Pokemon</t>
        </is>
      </c>
      <c r="F1902" s="2" t="inlineStr">
        <is>
          <t>Coffret</t>
        </is>
      </c>
      <c r="G1902" s="2" t="inlineStr">
        <is>
          <t>Promo</t>
        </is>
      </c>
      <c r="H1902" s="3" t="n">
        <v>69.98999999999999</v>
      </c>
      <c r="I1902" s="3" t="n"/>
      <c r="J1902" s="3" t="n"/>
      <c r="K1902" s="3" t="n"/>
      <c r="L1902" s="2" t="inlineStr">
        <is>
          <t>PriceCharting</t>
        </is>
      </c>
      <c r="M1902" s="4" t="inlineStr">
        <is>
          <t>https://www.pricecharting.com/game/pokemon-promo/paradox-wisdom-premium-collection</t>
        </is>
      </c>
    </row>
    <row r="1903">
      <c r="A1903" s="2" t="inlineStr">
        <is>
          <t>Promo Poke Ball Tin</t>
        </is>
      </c>
      <c r="B1903" s="3">
        <f>IF(H1903&lt;&gt;"",H1903,IF(I1903&lt;&gt;"",I1903,IF(J1903&lt;&gt;"",J1903,K1903)))</f>
        <v>26.7</v>
      </c>
      <c r="C1903" s="3">
        <f>MEDIAN(H1903:K1903)</f>
        <v>26.7</v>
      </c>
      <c r="D1903" s="3">
        <f>ROUND(C1903*(1-Settings!$B$2),2)</f>
        <v>18.69</v>
      </c>
      <c r="E1903" s="2" t="inlineStr">
        <is>
          <t>Pokemon</t>
        </is>
      </c>
      <c r="F1903" s="2" t="inlineStr">
        <is>
          <t>Coffret</t>
        </is>
      </c>
      <c r="G1903" s="2" t="inlineStr">
        <is>
          <t>Promo</t>
        </is>
      </c>
      <c r="H1903" s="3" t="n">
        <v>26.7</v>
      </c>
      <c r="I1903" s="3" t="n"/>
      <c r="J1903" s="3" t="n"/>
      <c r="K1903" s="3" t="n"/>
      <c r="L1903" s="2" t="inlineStr">
        <is>
          <t>PriceCharting</t>
        </is>
      </c>
      <c r="M1903" s="4" t="inlineStr">
        <is>
          <t>https://www.pricecharting.com/game/pokemon-promo/poke-ball-tin</t>
        </is>
      </c>
    </row>
    <row r="1904">
      <c r="A1904" s="2" t="inlineStr">
        <is>
          <t>Promo Poke Ball Tin 3-Pack</t>
        </is>
      </c>
      <c r="B1904" s="3">
        <f>IF(H1904&lt;&gt;"",H1904,IF(I1904&lt;&gt;"",I1904,IF(J1904&lt;&gt;"",J1904,K1904)))</f>
        <v>79.27</v>
      </c>
      <c r="C1904" s="3">
        <f>MEDIAN(H1904:K1904)</f>
        <v>79.27</v>
      </c>
      <c r="D1904" s="3">
        <f>ROUND(C1904*(1-Settings!$B$2),2)</f>
        <v>55.49</v>
      </c>
      <c r="E1904" s="2" t="inlineStr">
        <is>
          <t>Pokemon</t>
        </is>
      </c>
      <c r="F1904" s="2" t="inlineStr">
        <is>
          <t>Coffret</t>
        </is>
      </c>
      <c r="G1904" s="2" t="inlineStr">
        <is>
          <t>Promo</t>
        </is>
      </c>
      <c r="H1904" s="3" t="n">
        <v>79.27</v>
      </c>
      <c r="I1904" s="3" t="n"/>
      <c r="J1904" s="3" t="n"/>
      <c r="K1904" s="3" t="n"/>
      <c r="L1904" s="2" t="inlineStr">
        <is>
          <t>PriceCharting</t>
        </is>
      </c>
      <c r="M1904" s="4" t="inlineStr">
        <is>
          <t>https://www.pricecharting.com/game/pokemon-promo/poke-ball-tin-3-pack</t>
        </is>
      </c>
    </row>
    <row r="1905">
      <c r="A1905" s="2" t="inlineStr">
        <is>
          <t>Promo Poke Ball Tin [Dive Ball]</t>
        </is>
      </c>
      <c r="B1905" s="3">
        <f>IF(H1905&lt;&gt;"",H1905,IF(I1905&lt;&gt;"",I1905,IF(J1905&lt;&gt;"",J1905,K1905)))</f>
        <v>180.0</v>
      </c>
      <c r="C1905" s="3">
        <f>MEDIAN(H1905:K1905)</f>
        <v>180.0</v>
      </c>
      <c r="D1905" s="3">
        <f>ROUND(C1905*(1-Settings!$B$2),2)</f>
        <v>126.0</v>
      </c>
      <c r="E1905" s="2" t="inlineStr">
        <is>
          <t>Pokemon</t>
        </is>
      </c>
      <c r="F1905" s="2" t="inlineStr">
        <is>
          <t>Coffret</t>
        </is>
      </c>
      <c r="G1905" s="2" t="inlineStr">
        <is>
          <t>Promo</t>
        </is>
      </c>
      <c r="H1905" s="3" t="n">
        <v>180</v>
      </c>
      <c r="I1905" s="3" t="n"/>
      <c r="J1905" s="3" t="n"/>
      <c r="K1905" s="3" t="n"/>
      <c r="L1905" s="2" t="inlineStr">
        <is>
          <t>PriceCharting</t>
        </is>
      </c>
      <c r="M1905" s="4" t="inlineStr">
        <is>
          <t>https://www.pricecharting.com/game/pokemon-promo/poke-ball-tin-dive-ball</t>
        </is>
      </c>
    </row>
    <row r="1906">
      <c r="A1906" s="2" t="inlineStr">
        <is>
          <t>Promo Poke Ball Tin [Dusk Ball]</t>
        </is>
      </c>
      <c r="B1906" s="3">
        <f>IF(H1906&lt;&gt;"",H1906,IF(I1906&lt;&gt;"",I1906,IF(J1906&lt;&gt;"",J1906,K1906)))</f>
        <v>213.86</v>
      </c>
      <c r="C1906" s="3">
        <f>MEDIAN(H1906:K1906)</f>
        <v>213.86</v>
      </c>
      <c r="D1906" s="3">
        <f>ROUND(C1906*(1-Settings!$B$2),2)</f>
        <v>149.7</v>
      </c>
      <c r="E1906" s="2" t="inlineStr">
        <is>
          <t>Pokemon</t>
        </is>
      </c>
      <c r="F1906" s="2" t="inlineStr">
        <is>
          <t>Coffret</t>
        </is>
      </c>
      <c r="G1906" s="2" t="inlineStr">
        <is>
          <t>Promo</t>
        </is>
      </c>
      <c r="H1906" s="3" t="n">
        <v>213.86</v>
      </c>
      <c r="I1906" s="3" t="n"/>
      <c r="J1906" s="3" t="n"/>
      <c r="K1906" s="3" t="n"/>
      <c r="L1906" s="2" t="inlineStr">
        <is>
          <t>PriceCharting</t>
        </is>
      </c>
      <c r="M1906" s="4" t="inlineStr">
        <is>
          <t>https://www.pricecharting.com/game/pokemon-promo/poke-ball-tin-dusk-ball</t>
        </is>
      </c>
    </row>
    <row r="1907">
      <c r="A1907" s="2" t="inlineStr">
        <is>
          <t>Promo Poke Ball Tin [Great Ball Q4 2024]</t>
        </is>
      </c>
      <c r="B1907" s="3">
        <f>IF(H1907&lt;&gt;"",H1907,IF(I1907&lt;&gt;"",I1907,IF(J1907&lt;&gt;"",J1907,K1907)))</f>
        <v>28.18</v>
      </c>
      <c r="C1907" s="3">
        <f>MEDIAN(H1907:K1907)</f>
        <v>28.18</v>
      </c>
      <c r="D1907" s="3">
        <f>ROUND(C1907*(1-Settings!$B$2),2)</f>
        <v>19.73</v>
      </c>
      <c r="E1907" s="2" t="inlineStr">
        <is>
          <t>Pokemon</t>
        </is>
      </c>
      <c r="F1907" s="2" t="inlineStr">
        <is>
          <t>Coffret</t>
        </is>
      </c>
      <c r="G1907" s="2" t="inlineStr">
        <is>
          <t>Promo</t>
        </is>
      </c>
      <c r="H1907" s="3" t="n">
        <v>28.18</v>
      </c>
      <c r="I1907" s="3" t="n"/>
      <c r="J1907" s="3" t="n"/>
      <c r="K1907" s="3" t="n"/>
      <c r="L1907" s="2" t="inlineStr">
        <is>
          <t>PriceCharting</t>
        </is>
      </c>
      <c r="M1907" s="4" t="inlineStr">
        <is>
          <t>https://www.pricecharting.com/game/pokemon-promo/poke-ball-tin-great-ball-q4-2024</t>
        </is>
      </c>
    </row>
    <row r="1908">
      <c r="A1908" s="2" t="inlineStr">
        <is>
          <t>Promo Poke Ball Tin [Great Ball]</t>
        </is>
      </c>
      <c r="B1908" s="3">
        <f>IF(H1908&lt;&gt;"",H1908,IF(I1908&lt;&gt;"",I1908,IF(J1908&lt;&gt;"",J1908,K1908)))</f>
        <v>26.98</v>
      </c>
      <c r="C1908" s="3">
        <f>MEDIAN(H1908:K1908)</f>
        <v>26.98</v>
      </c>
      <c r="D1908" s="3">
        <f>ROUND(C1908*(1-Settings!$B$2),2)</f>
        <v>18.89</v>
      </c>
      <c r="E1908" s="2" t="inlineStr">
        <is>
          <t>Pokemon</t>
        </is>
      </c>
      <c r="F1908" s="2" t="inlineStr">
        <is>
          <t>Coffret</t>
        </is>
      </c>
      <c r="G1908" s="2" t="inlineStr">
        <is>
          <t>Promo</t>
        </is>
      </c>
      <c r="H1908" s="3" t="n">
        <v>26.98</v>
      </c>
      <c r="I1908" s="3" t="n"/>
      <c r="J1908" s="3" t="n"/>
      <c r="K1908" s="3" t="n"/>
      <c r="L1908" s="2" t="inlineStr">
        <is>
          <t>PriceCharting</t>
        </is>
      </c>
      <c r="M1908" s="4" t="inlineStr">
        <is>
          <t>https://www.pricecharting.com/game/pokemon-promo/poke-ball-tin-great-ball</t>
        </is>
      </c>
    </row>
    <row r="1909">
      <c r="A1909" s="2" t="inlineStr">
        <is>
          <t>Promo Poke Ball Tin [Level Ball]</t>
        </is>
      </c>
      <c r="B1909" s="3">
        <f>IF(H1909&lt;&gt;"",H1909,IF(I1909&lt;&gt;"",I1909,IF(J1909&lt;&gt;"",J1909,K1909)))</f>
        <v>74.46</v>
      </c>
      <c r="C1909" s="3">
        <f>MEDIAN(H1909:K1909)</f>
        <v>74.46</v>
      </c>
      <c r="D1909" s="3">
        <f>ROUND(C1909*(1-Settings!$B$2),2)</f>
        <v>52.12</v>
      </c>
      <c r="E1909" s="2" t="inlineStr">
        <is>
          <t>Pokemon</t>
        </is>
      </c>
      <c r="F1909" s="2" t="inlineStr">
        <is>
          <t>Coffret</t>
        </is>
      </c>
      <c r="G1909" s="2" t="inlineStr">
        <is>
          <t>Promo</t>
        </is>
      </c>
      <c r="H1909" s="3" t="n">
        <v>74.45999999999999</v>
      </c>
      <c r="I1909" s="3" t="n"/>
      <c r="J1909" s="3" t="n"/>
      <c r="K1909" s="3" t="n"/>
      <c r="L1909" s="2" t="inlineStr">
        <is>
          <t>PriceCharting</t>
        </is>
      </c>
      <c r="M1909" s="4" t="inlineStr">
        <is>
          <t>https://www.pricecharting.com/game/pokemon-promo/poke-ball-tin-level-ball</t>
        </is>
      </c>
    </row>
    <row r="1910">
      <c r="A1910" s="2" t="inlineStr">
        <is>
          <t>Promo Poke Ball Tin [Love Ball]</t>
        </is>
      </c>
      <c r="B1910" s="3">
        <f>IF(H1910&lt;&gt;"",H1910,IF(I1910&lt;&gt;"",I1910,IF(J1910&lt;&gt;"",J1910,K1910)))</f>
        <v>259.98</v>
      </c>
      <c r="C1910" s="3">
        <f>MEDIAN(H1910:K1910)</f>
        <v>259.98</v>
      </c>
      <c r="D1910" s="3">
        <f>ROUND(C1910*(1-Settings!$B$2),2)</f>
        <v>181.99</v>
      </c>
      <c r="E1910" s="2" t="inlineStr">
        <is>
          <t>Pokemon</t>
        </is>
      </c>
      <c r="F1910" s="2" t="inlineStr">
        <is>
          <t>Coffret</t>
        </is>
      </c>
      <c r="G1910" s="2" t="inlineStr">
        <is>
          <t>Promo</t>
        </is>
      </c>
      <c r="H1910" s="3" t="n">
        <v>259.98</v>
      </c>
      <c r="I1910" s="3" t="n"/>
      <c r="J1910" s="3" t="n"/>
      <c r="K1910" s="3" t="n"/>
      <c r="L1910" s="2" t="inlineStr">
        <is>
          <t>PriceCharting</t>
        </is>
      </c>
      <c r="M1910" s="4" t="inlineStr">
        <is>
          <t>https://www.pricecharting.com/game/pokemon-promo/poke-ball-tin-love-ball</t>
        </is>
      </c>
    </row>
    <row r="1911">
      <c r="A1911" s="2" t="inlineStr">
        <is>
          <t>Promo Poke Ball Tin [Lure Ball]</t>
        </is>
      </c>
      <c r="B1911" s="3">
        <f>IF(H1911&lt;&gt;"",H1911,IF(I1911&lt;&gt;"",I1911,IF(J1911&lt;&gt;"",J1911,K1911)))</f>
        <v>125.0</v>
      </c>
      <c r="C1911" s="3">
        <f>MEDIAN(H1911:K1911)</f>
        <v>125.0</v>
      </c>
      <c r="D1911" s="3">
        <f>ROUND(C1911*(1-Settings!$B$2),2)</f>
        <v>87.5</v>
      </c>
      <c r="E1911" s="2" t="inlineStr">
        <is>
          <t>Pokemon</t>
        </is>
      </c>
      <c r="F1911" s="2" t="inlineStr">
        <is>
          <t>Coffret</t>
        </is>
      </c>
      <c r="G1911" s="2" t="inlineStr">
        <is>
          <t>Promo</t>
        </is>
      </c>
      <c r="H1911" s="3" t="n">
        <v>125</v>
      </c>
      <c r="I1911" s="3" t="n"/>
      <c r="J1911" s="3" t="n"/>
      <c r="K1911" s="3" t="n"/>
      <c r="L1911" s="2" t="inlineStr">
        <is>
          <t>PriceCharting</t>
        </is>
      </c>
      <c r="M1911" s="4" t="inlineStr">
        <is>
          <t>https://www.pricecharting.com/game/pokemon-promo/poke-ball-tin-lure-ball</t>
        </is>
      </c>
    </row>
    <row r="1912">
      <c r="A1912" s="2" t="inlineStr">
        <is>
          <t>Promo Poke Ball Tin [Luxury Ball]</t>
        </is>
      </c>
      <c r="B1912" s="3">
        <f>IF(H1912&lt;&gt;"",H1912,IF(I1912&lt;&gt;"",I1912,IF(J1912&lt;&gt;"",J1912,K1912)))</f>
        <v>40.34</v>
      </c>
      <c r="C1912" s="3">
        <f>MEDIAN(H1912:K1912)</f>
        <v>40.34</v>
      </c>
      <c r="D1912" s="3">
        <f>ROUND(C1912*(1-Settings!$B$2),2)</f>
        <v>28.24</v>
      </c>
      <c r="E1912" s="2" t="inlineStr">
        <is>
          <t>Pokemon</t>
        </is>
      </c>
      <c r="F1912" s="2" t="inlineStr">
        <is>
          <t>Coffret</t>
        </is>
      </c>
      <c r="G1912" s="2" t="inlineStr">
        <is>
          <t>Promo</t>
        </is>
      </c>
      <c r="H1912" s="3" t="n">
        <v>40.34</v>
      </c>
      <c r="I1912" s="3" t="n"/>
      <c r="J1912" s="3" t="n"/>
      <c r="K1912" s="3" t="n"/>
      <c r="L1912" s="2" t="inlineStr">
        <is>
          <t>PriceCharting</t>
        </is>
      </c>
      <c r="M1912" s="4" t="inlineStr">
        <is>
          <t>https://www.pricecharting.com/game/pokemon-promo/poke-ball-tin-luxury-ball</t>
        </is>
      </c>
    </row>
    <row r="1913">
      <c r="A1913" s="2" t="inlineStr">
        <is>
          <t>Promo Poke Ball Tin [Moon Ball Q4 2024]</t>
        </is>
      </c>
      <c r="B1913" s="3">
        <f>IF(H1913&lt;&gt;"",H1913,IF(I1913&lt;&gt;"",I1913,IF(J1913&lt;&gt;"",J1913,K1913)))</f>
        <v>29.5</v>
      </c>
      <c r="C1913" s="3">
        <f>MEDIAN(H1913:K1913)</f>
        <v>29.5</v>
      </c>
      <c r="D1913" s="3">
        <f>ROUND(C1913*(1-Settings!$B$2),2)</f>
        <v>20.65</v>
      </c>
      <c r="E1913" s="2" t="inlineStr">
        <is>
          <t>Pokemon</t>
        </is>
      </c>
      <c r="F1913" s="2" t="inlineStr">
        <is>
          <t>Coffret</t>
        </is>
      </c>
      <c r="G1913" s="2" t="inlineStr">
        <is>
          <t>Promo</t>
        </is>
      </c>
      <c r="H1913" s="3" t="n">
        <v>29.5</v>
      </c>
      <c r="I1913" s="3" t="n"/>
      <c r="J1913" s="3" t="n"/>
      <c r="K1913" s="3" t="n"/>
      <c r="L1913" s="2" t="inlineStr">
        <is>
          <t>PriceCharting</t>
        </is>
      </c>
      <c r="M1913" s="4" t="inlineStr">
        <is>
          <t>https://www.pricecharting.com/game/pokemon-promo/poke-ball-tin-moon-ball-q4-2024</t>
        </is>
      </c>
    </row>
    <row r="1914">
      <c r="A1914" s="2" t="inlineStr">
        <is>
          <t>Promo Poke Ball Tin [Premier Ball Q4 2024]</t>
        </is>
      </c>
      <c r="B1914" s="3">
        <f>IF(H1914&lt;&gt;"",H1914,IF(I1914&lt;&gt;"",I1914,IF(J1914&lt;&gt;"",J1914,K1914)))</f>
        <v>24.86</v>
      </c>
      <c r="C1914" s="3">
        <f>MEDIAN(H1914:K1914)</f>
        <v>24.86</v>
      </c>
      <c r="D1914" s="3">
        <f>ROUND(C1914*(1-Settings!$B$2),2)</f>
        <v>17.4</v>
      </c>
      <c r="E1914" s="2" t="inlineStr">
        <is>
          <t>Pokemon</t>
        </is>
      </c>
      <c r="F1914" s="2" t="inlineStr">
        <is>
          <t>Coffret</t>
        </is>
      </c>
      <c r="G1914" s="2" t="inlineStr">
        <is>
          <t>Promo</t>
        </is>
      </c>
      <c r="H1914" s="3" t="n">
        <v>24.86</v>
      </c>
      <c r="I1914" s="3" t="n"/>
      <c r="J1914" s="3" t="n"/>
      <c r="K1914" s="3" t="n"/>
      <c r="L1914" s="2" t="inlineStr">
        <is>
          <t>PriceCharting</t>
        </is>
      </c>
      <c r="M1914" s="4" t="inlineStr">
        <is>
          <t>https://www.pricecharting.com/game/pokemon-promo/poke-ball-tin-premier-ball-q4-2024</t>
        </is>
      </c>
    </row>
    <row r="1915">
      <c r="A1915" s="2" t="inlineStr">
        <is>
          <t>Promo Poke Ball Tin [Premier Ball Q4 2025]</t>
        </is>
      </c>
      <c r="B1915" s="3">
        <f>IF(H1915&lt;&gt;"",H1915,IF(I1915&lt;&gt;"",I1915,IF(J1915&lt;&gt;"",J1915,K1915)))</f>
        <v>33.69</v>
      </c>
      <c r="C1915" s="3">
        <f>MEDIAN(H1915:K1915)</f>
        <v>33.69</v>
      </c>
      <c r="D1915" s="3">
        <f>ROUND(C1915*(1-Settings!$B$2),2)</f>
        <v>23.58</v>
      </c>
      <c r="E1915" s="2" t="inlineStr">
        <is>
          <t>Pokemon</t>
        </is>
      </c>
      <c r="F1915" s="2" t="inlineStr">
        <is>
          <t>Coffret</t>
        </is>
      </c>
      <c r="G1915" s="2" t="inlineStr">
        <is>
          <t>Promo</t>
        </is>
      </c>
      <c r="H1915" s="3" t="n">
        <v>33.69</v>
      </c>
      <c r="I1915" s="3" t="n"/>
      <c r="J1915" s="3" t="n"/>
      <c r="K1915" s="3" t="n"/>
      <c r="L1915" s="2" t="inlineStr">
        <is>
          <t>PriceCharting</t>
        </is>
      </c>
      <c r="M1915" s="4" t="inlineStr">
        <is>
          <t>https://www.pricecharting.com/game/pokemon-promo/poke-ball-tin-premier-ball-q4-2025</t>
        </is>
      </c>
    </row>
    <row r="1916">
      <c r="A1916" s="2" t="inlineStr">
        <is>
          <t>Promo Poke Ball Tin [Premier Ball]</t>
        </is>
      </c>
      <c r="B1916" s="3">
        <f>IF(H1916&lt;&gt;"",H1916,IF(I1916&lt;&gt;"",I1916,IF(J1916&lt;&gt;"",J1916,K1916)))</f>
        <v>23.46</v>
      </c>
      <c r="C1916" s="3">
        <f>MEDIAN(H1916:K1916)</f>
        <v>23.46</v>
      </c>
      <c r="D1916" s="3">
        <f>ROUND(C1916*(1-Settings!$B$2),2)</f>
        <v>16.42</v>
      </c>
      <c r="E1916" s="2" t="inlineStr">
        <is>
          <t>Pokemon</t>
        </is>
      </c>
      <c r="F1916" s="2" t="inlineStr">
        <is>
          <t>Coffret</t>
        </is>
      </c>
      <c r="G1916" s="2" t="inlineStr">
        <is>
          <t>Promo</t>
        </is>
      </c>
      <c r="H1916" s="3" t="n">
        <v>23.46</v>
      </c>
      <c r="I1916" s="3" t="n"/>
      <c r="J1916" s="3" t="n"/>
      <c r="K1916" s="3" t="n"/>
      <c r="L1916" s="2" t="inlineStr">
        <is>
          <t>PriceCharting</t>
        </is>
      </c>
      <c r="M1916" s="4" t="inlineStr">
        <is>
          <t>https://www.pricecharting.com/game/pokemon-promo/poke-ball-tin-premier-ball</t>
        </is>
      </c>
    </row>
    <row r="1917">
      <c r="A1917" s="2" t="inlineStr">
        <is>
          <t>Promo Poke Ball Tin [Q4 2024]</t>
        </is>
      </c>
      <c r="B1917" s="3">
        <f>IF(H1917&lt;&gt;"",H1917,IF(I1917&lt;&gt;"",I1917,IF(J1917&lt;&gt;"",J1917,K1917)))</f>
        <v>27.98</v>
      </c>
      <c r="C1917" s="3">
        <f>MEDIAN(H1917:K1917)</f>
        <v>27.98</v>
      </c>
      <c r="D1917" s="3">
        <f>ROUND(C1917*(1-Settings!$B$2),2)</f>
        <v>19.59</v>
      </c>
      <c r="E1917" s="2" t="inlineStr">
        <is>
          <t>Pokemon</t>
        </is>
      </c>
      <c r="F1917" s="2" t="inlineStr">
        <is>
          <t>Coffret</t>
        </is>
      </c>
      <c r="G1917" s="2" t="inlineStr">
        <is>
          <t>Promo</t>
        </is>
      </c>
      <c r="H1917" s="3" t="n">
        <v>27.98</v>
      </c>
      <c r="I1917" s="3" t="n"/>
      <c r="J1917" s="3" t="n"/>
      <c r="K1917" s="3" t="n"/>
      <c r="L1917" s="2" t="inlineStr">
        <is>
          <t>PriceCharting</t>
        </is>
      </c>
      <c r="M1917" s="4" t="inlineStr">
        <is>
          <t>https://www.pricecharting.com/game/pokemon-promo/poke-ball-tin-q4-2024</t>
        </is>
      </c>
    </row>
    <row r="1918">
      <c r="A1918" s="2" t="inlineStr">
        <is>
          <t>Promo Poke Ball Tin [Quick Ball]</t>
        </is>
      </c>
      <c r="B1918" s="3">
        <f>IF(H1918&lt;&gt;"",H1918,IF(I1918&lt;&gt;"",I1918,IF(J1918&lt;&gt;"",J1918,K1918)))</f>
        <v>48.41</v>
      </c>
      <c r="C1918" s="3">
        <f>MEDIAN(H1918:K1918)</f>
        <v>48.41</v>
      </c>
      <c r="D1918" s="3">
        <f>ROUND(C1918*(1-Settings!$B$2),2)</f>
        <v>33.89</v>
      </c>
      <c r="E1918" s="2" t="inlineStr">
        <is>
          <t>Pokemon</t>
        </is>
      </c>
      <c r="F1918" s="2" t="inlineStr">
        <is>
          <t>Coffret</t>
        </is>
      </c>
      <c r="G1918" s="2" t="inlineStr">
        <is>
          <t>Promo</t>
        </is>
      </c>
      <c r="H1918" s="3" t="n">
        <v>48.41</v>
      </c>
      <c r="I1918" s="3" t="n"/>
      <c r="J1918" s="3" t="n"/>
      <c r="K1918" s="3" t="n"/>
      <c r="L1918" s="2" t="inlineStr">
        <is>
          <t>PriceCharting</t>
        </is>
      </c>
      <c r="M1918" s="4" t="inlineStr">
        <is>
          <t>https://www.pricecharting.com/game/pokemon-promo/poke-ball-tin-quick-ball</t>
        </is>
      </c>
    </row>
    <row r="1919">
      <c r="A1919" s="2" t="inlineStr">
        <is>
          <t>Promo Poke Ball Tin [Repeat Ball Q4 2025]</t>
        </is>
      </c>
      <c r="B1919" s="3">
        <f>IF(H1919&lt;&gt;"",H1919,IF(I1919&lt;&gt;"",I1919,IF(J1919&lt;&gt;"",J1919,K1919)))</f>
        <v>19.99</v>
      </c>
      <c r="C1919" s="3">
        <f>MEDIAN(H1919:K1919)</f>
        <v>19.99</v>
      </c>
      <c r="D1919" s="3">
        <f>ROUND(C1919*(1-Settings!$B$2),2)</f>
        <v>13.99</v>
      </c>
      <c r="E1919" s="2" t="inlineStr">
        <is>
          <t>Pokemon</t>
        </is>
      </c>
      <c r="F1919" s="2" t="inlineStr">
        <is>
          <t>Coffret</t>
        </is>
      </c>
      <c r="G1919" s="2" t="inlineStr">
        <is>
          <t>Promo</t>
        </is>
      </c>
      <c r="H1919" s="3" t="n">
        <v>19.99</v>
      </c>
      <c r="I1919" s="3" t="n"/>
      <c r="J1919" s="3" t="n"/>
      <c r="K1919" s="3" t="n"/>
      <c r="L1919" s="2" t="inlineStr">
        <is>
          <t>PriceCharting</t>
        </is>
      </c>
      <c r="M1919" s="4" t="inlineStr">
        <is>
          <t>https://www.pricecharting.com/game/pokemon-promo/poke-ball-tin-repeat-ball-q4-2025</t>
        </is>
      </c>
    </row>
    <row r="1920">
      <c r="A1920" s="2" t="inlineStr">
        <is>
          <t>Promo Poke Ball Tin [Ultra Ball Q4 2024]</t>
        </is>
      </c>
      <c r="B1920" s="3">
        <f>IF(H1920&lt;&gt;"",H1920,IF(I1920&lt;&gt;"",I1920,IF(J1920&lt;&gt;"",J1920,K1920)))</f>
        <v>28.1</v>
      </c>
      <c r="C1920" s="3">
        <f>MEDIAN(H1920:K1920)</f>
        <v>28.1</v>
      </c>
      <c r="D1920" s="3">
        <f>ROUND(C1920*(1-Settings!$B$2),2)</f>
        <v>19.67</v>
      </c>
      <c r="E1920" s="2" t="inlineStr">
        <is>
          <t>Pokemon</t>
        </is>
      </c>
      <c r="F1920" s="2" t="inlineStr">
        <is>
          <t>Coffret</t>
        </is>
      </c>
      <c r="G1920" s="2" t="inlineStr">
        <is>
          <t>Promo</t>
        </is>
      </c>
      <c r="H1920" s="3" t="n">
        <v>28.1</v>
      </c>
      <c r="I1920" s="3" t="n"/>
      <c r="J1920" s="3" t="n"/>
      <c r="K1920" s="3" t="n"/>
      <c r="L1920" s="2" t="inlineStr">
        <is>
          <t>PriceCharting</t>
        </is>
      </c>
      <c r="M1920" s="4" t="inlineStr">
        <is>
          <t>https://www.pricecharting.com/game/pokemon-promo/poke-ball-tin-ultra-ball-q4-2024</t>
        </is>
      </c>
    </row>
    <row r="1921">
      <c r="A1921" s="2" t="inlineStr">
        <is>
          <t>Promo Poke Ball Tin [Ultra Ball]</t>
        </is>
      </c>
      <c r="B1921" s="3">
        <f>IF(H1921&lt;&gt;"",H1921,IF(I1921&lt;&gt;"",I1921,IF(J1921&lt;&gt;"",J1921,K1921)))</f>
        <v>24.96</v>
      </c>
      <c r="C1921" s="3">
        <f>MEDIAN(H1921:K1921)</f>
        <v>24.96</v>
      </c>
      <c r="D1921" s="3">
        <f>ROUND(C1921*(1-Settings!$B$2),2)</f>
        <v>17.47</v>
      </c>
      <c r="E1921" s="2" t="inlineStr">
        <is>
          <t>Pokemon</t>
        </is>
      </c>
      <c r="F1921" s="2" t="inlineStr">
        <is>
          <t>Coffret</t>
        </is>
      </c>
      <c r="G1921" s="2" t="inlineStr">
        <is>
          <t>Promo</t>
        </is>
      </c>
      <c r="H1921" s="3" t="n">
        <v>24.96</v>
      </c>
      <c r="I1921" s="3" t="n"/>
      <c r="J1921" s="3" t="n"/>
      <c r="K1921" s="3" t="n"/>
      <c r="L1921" s="2" t="inlineStr">
        <is>
          <t>PriceCharting</t>
        </is>
      </c>
      <c r="M1921" s="4" t="inlineStr">
        <is>
          <t>https://www.pricecharting.com/game/pokemon-promo/poke-ball-tin-ultra-ball</t>
        </is>
      </c>
    </row>
    <row r="1922">
      <c r="A1922" s="2" t="inlineStr">
        <is>
          <t>Promo Pokemon Day 2026 Collection Box</t>
        </is>
      </c>
      <c r="B1922" s="3">
        <f>IF(H1922&lt;&gt;"",H1922,IF(I1922&lt;&gt;"",I1922,IF(J1922&lt;&gt;"",J1922,K1922)))</f>
        <v>37.34</v>
      </c>
      <c r="C1922" s="3">
        <f>MEDIAN(H1922:K1922)</f>
        <v>37.34</v>
      </c>
      <c r="D1922" s="3">
        <f>ROUND(C1922*(1-Settings!$B$2),2)</f>
        <v>26.14</v>
      </c>
      <c r="E1922" s="2" t="inlineStr">
        <is>
          <t>Pokemon</t>
        </is>
      </c>
      <c r="F1922" s="2" t="inlineStr">
        <is>
          <t>Coffret</t>
        </is>
      </c>
      <c r="G1922" s="2" t="inlineStr">
        <is>
          <t>Promo</t>
        </is>
      </c>
      <c r="H1922" s="3" t="n">
        <v>37.34</v>
      </c>
      <c r="I1922" s="3" t="n"/>
      <c r="J1922" s="3" t="n"/>
      <c r="K1922" s="3" t="n"/>
      <c r="L1922" s="2" t="inlineStr">
        <is>
          <t>PriceCharting</t>
        </is>
      </c>
      <c r="M1922" s="4" t="inlineStr">
        <is>
          <t>https://www.pricecharting.com/game/pokemon-promo/pokemon-day-2026-collection-box</t>
        </is>
      </c>
    </row>
    <row r="1923">
      <c r="A1923" s="2" t="inlineStr">
        <is>
          <t>Promo Psychic Stacking Tin</t>
        </is>
      </c>
      <c r="B1923" s="3">
        <f>IF(H1923&lt;&gt;"",H1923,IF(I1923&lt;&gt;"",I1923,IF(J1923&lt;&gt;"",J1923,K1923)))</f>
        <v>32.97</v>
      </c>
      <c r="C1923" s="3">
        <f>MEDIAN(H1923:K1923)</f>
        <v>32.97</v>
      </c>
      <c r="D1923" s="3">
        <f>ROUND(C1923*(1-Settings!$B$2),2)</f>
        <v>23.08</v>
      </c>
      <c r="E1923" s="2" t="inlineStr">
        <is>
          <t>Pokemon</t>
        </is>
      </c>
      <c r="F1923" s="2" t="inlineStr">
        <is>
          <t>Coffret</t>
        </is>
      </c>
      <c r="G1923" s="2" t="inlineStr">
        <is>
          <t>Promo</t>
        </is>
      </c>
      <c r="H1923" s="3" t="n">
        <v>32.97</v>
      </c>
      <c r="I1923" s="3" t="n"/>
      <c r="J1923" s="3" t="n"/>
      <c r="K1923" s="3" t="n"/>
      <c r="L1923" s="2" t="inlineStr">
        <is>
          <t>PriceCharting</t>
        </is>
      </c>
      <c r="M1923" s="4" t="inlineStr">
        <is>
          <t>https://www.pricecharting.com/game/pokemon-promo/psychic-stacking-tin</t>
        </is>
      </c>
    </row>
    <row r="1924">
      <c r="A1924" s="2" t="inlineStr">
        <is>
          <t>Promo Reshiram Ex Box</t>
        </is>
      </c>
      <c r="B1924" s="3">
        <f>IF(H1924&lt;&gt;"",H1924,IF(I1924&lt;&gt;"",I1924,IF(J1924&lt;&gt;"",J1924,K1924)))</f>
        <v>39.0</v>
      </c>
      <c r="C1924" s="3">
        <f>MEDIAN(H1924:K1924)</f>
        <v>39.0</v>
      </c>
      <c r="D1924" s="3">
        <f>ROUND(C1924*(1-Settings!$B$2),2)</f>
        <v>27.3</v>
      </c>
      <c r="E1924" s="2" t="inlineStr">
        <is>
          <t>Pokemon</t>
        </is>
      </c>
      <c r="F1924" s="2" t="inlineStr">
        <is>
          <t>Coffret</t>
        </is>
      </c>
      <c r="G1924" s="2" t="inlineStr">
        <is>
          <t>Promo</t>
        </is>
      </c>
      <c r="H1924" s="3" t="n">
        <v>39</v>
      </c>
      <c r="I1924" s="3" t="n"/>
      <c r="J1924" s="3" t="n"/>
      <c r="K1924" s="3" t="n"/>
      <c r="L1924" s="2" t="inlineStr">
        <is>
          <t>PriceCharting</t>
        </is>
      </c>
      <c r="M1924" s="4" t="inlineStr">
        <is>
          <t>https://www.pricecharting.com/game/pokemon-promo/reshiram-ex-box</t>
        </is>
      </c>
    </row>
    <row r="1925">
      <c r="A1925" s="2" t="inlineStr">
        <is>
          <t>Promo Roaring Moon EX Box</t>
        </is>
      </c>
      <c r="B1925" s="3">
        <f>IF(H1925&lt;&gt;"",H1925,IF(I1925&lt;&gt;"",I1925,IF(J1925&lt;&gt;"",J1925,K1925)))</f>
        <v>47.29</v>
      </c>
      <c r="C1925" s="3">
        <f>MEDIAN(H1925:K1925)</f>
        <v>47.29</v>
      </c>
      <c r="D1925" s="3">
        <f>ROUND(C1925*(1-Settings!$B$2),2)</f>
        <v>33.1</v>
      </c>
      <c r="E1925" s="2" t="inlineStr">
        <is>
          <t>Pokemon</t>
        </is>
      </c>
      <c r="F1925" s="2" t="inlineStr">
        <is>
          <t>Coffret</t>
        </is>
      </c>
      <c r="G1925" s="2" t="inlineStr">
        <is>
          <t>Promo</t>
        </is>
      </c>
      <c r="H1925" s="3" t="n">
        <v>47.29</v>
      </c>
      <c r="I1925" s="3" t="n"/>
      <c r="J1925" s="3" t="n"/>
      <c r="K1925" s="3" t="n"/>
      <c r="L1925" s="2" t="inlineStr">
        <is>
          <t>PriceCharting</t>
        </is>
      </c>
      <c r="M1925" s="4" t="inlineStr">
        <is>
          <t>https://www.pricecharting.com/game/pokemon-promo/roaring-moon-ex-box</t>
        </is>
      </c>
    </row>
    <row r="1926">
      <c r="A1926" s="2" t="inlineStr">
        <is>
          <t>Promo Salamence Ex &amp; Reshiram Ex Premium Collection</t>
        </is>
      </c>
      <c r="B1926" s="3">
        <f>IF(H1926&lt;&gt;"",H1926,IF(I1926&lt;&gt;"",I1926,IF(J1926&lt;&gt;"",J1926,K1926)))</f>
        <v>92.0</v>
      </c>
      <c r="C1926" s="3">
        <f>MEDIAN(H1926:K1926)</f>
        <v>92.0</v>
      </c>
      <c r="D1926" s="3">
        <f>ROUND(C1926*(1-Settings!$B$2),2)</f>
        <v>64.4</v>
      </c>
      <c r="E1926" s="2" t="inlineStr">
        <is>
          <t>Pokemon</t>
        </is>
      </c>
      <c r="F1926" s="2" t="inlineStr">
        <is>
          <t>Coffret</t>
        </is>
      </c>
      <c r="G1926" s="2" t="inlineStr">
        <is>
          <t>Promo</t>
        </is>
      </c>
      <c r="H1926" s="3" t="n">
        <v>92</v>
      </c>
      <c r="I1926" s="3" t="n"/>
      <c r="J1926" s="3" t="n"/>
      <c r="K1926" s="3" t="n"/>
      <c r="L1926" s="2" t="inlineStr">
        <is>
          <t>PriceCharting</t>
        </is>
      </c>
      <c r="M1926" s="4" t="inlineStr">
        <is>
          <t>https://www.pricecharting.com/game/pokemon-promo/salamence-ex-&amp;-reshiram-ex-premium-collection</t>
        </is>
      </c>
    </row>
    <row r="1927">
      <c r="A1927" s="2" t="inlineStr">
        <is>
          <t>Promo Sceptile 3-Pack Blister</t>
        </is>
      </c>
      <c r="B1927" s="3">
        <f>IF(H1927&lt;&gt;"",H1927,IF(I1927&lt;&gt;"",I1927,IF(J1927&lt;&gt;"",J1927,K1927)))</f>
        <v>220.18</v>
      </c>
      <c r="C1927" s="3">
        <f>MEDIAN(H1927:K1927)</f>
        <v>220.18</v>
      </c>
      <c r="D1927" s="3">
        <f>ROUND(C1927*(1-Settings!$B$2),2)</f>
        <v>154.13</v>
      </c>
      <c r="E1927" s="2" t="inlineStr">
        <is>
          <t>Pokemon</t>
        </is>
      </c>
      <c r="F1927" s="2" t="inlineStr">
        <is>
          <t>Coffret</t>
        </is>
      </c>
      <c r="G1927" s="2" t="inlineStr">
        <is>
          <t>Promo</t>
        </is>
      </c>
      <c r="H1927" s="3" t="n">
        <v>220.18</v>
      </c>
      <c r="I1927" s="3" t="n"/>
      <c r="J1927" s="3" t="n"/>
      <c r="K1927" s="3" t="n"/>
      <c r="L1927" s="2" t="inlineStr">
        <is>
          <t>PriceCharting</t>
        </is>
      </c>
      <c r="M1927" s="4" t="inlineStr">
        <is>
          <t>https://www.pricecharting.com/game/pokemon-promo/sceptile-3-pack-blister</t>
        </is>
      </c>
    </row>
    <row r="1928">
      <c r="A1928" s="2" t="inlineStr">
        <is>
          <t>Promo Sealed Cynthia's Garchomp Ex Premium Collection</t>
        </is>
      </c>
      <c r="B1928" s="3">
        <f>IF(H1928&lt;&gt;"",H1928,IF(I1928&lt;&gt;"",I1928,IF(J1928&lt;&gt;"",J1928,K1928)))</f>
        <v>76.52</v>
      </c>
      <c r="C1928" s="3">
        <f>MEDIAN(H1928:K1928)</f>
        <v>76.52</v>
      </c>
      <c r="D1928" s="3">
        <f>ROUND(C1928*(1-Settings!$B$2),2)</f>
        <v>53.56</v>
      </c>
      <c r="E1928" s="2" t="inlineStr">
        <is>
          <t>Pokemon</t>
        </is>
      </c>
      <c r="F1928" s="2" t="inlineStr">
        <is>
          <t>Coffret</t>
        </is>
      </c>
      <c r="G1928" s="2" t="inlineStr">
        <is>
          <t>Promo</t>
        </is>
      </c>
      <c r="H1928" s="3" t="n">
        <v>76.52</v>
      </c>
      <c r="I1928" s="3" t="n"/>
      <c r="J1928" s="3" t="n"/>
      <c r="K1928" s="3" t="n"/>
      <c r="L1928" s="2" t="inlineStr">
        <is>
          <t>PriceCharting</t>
        </is>
      </c>
      <c r="M1928" s="4" t="inlineStr">
        <is>
          <t>https://www.pricecharting.com/game/pokemon-promo/sealed-cynthia's-garchomp-ex-premium-collection</t>
        </is>
      </c>
    </row>
    <row r="1929">
      <c r="A1929" s="2" t="inlineStr">
        <is>
          <t>Promo Sealed Knockout Collection: Kyogre</t>
        </is>
      </c>
      <c r="B1929" s="3">
        <f>IF(H1929&lt;&gt;"",H1929,IF(I1929&lt;&gt;"",I1929,IF(J1929&lt;&gt;"",J1929,K1929)))</f>
        <v>13.5</v>
      </c>
      <c r="C1929" s="3">
        <f>MEDIAN(H1929:K1929)</f>
        <v>13.5</v>
      </c>
      <c r="D1929" s="3">
        <f>ROUND(C1929*(1-Settings!$B$2),2)</f>
        <v>9.45</v>
      </c>
      <c r="E1929" s="2" t="inlineStr">
        <is>
          <t>Pokemon</t>
        </is>
      </c>
      <c r="F1929" s="2" t="inlineStr">
        <is>
          <t>Coffret</t>
        </is>
      </c>
      <c r="G1929" s="2" t="inlineStr">
        <is>
          <t>Promo</t>
        </is>
      </c>
      <c r="H1929" s="3" t="n">
        <v>13.5</v>
      </c>
      <c r="I1929" s="3" t="n"/>
      <c r="J1929" s="3" t="n"/>
      <c r="K1929" s="3" t="n"/>
      <c r="L1929" s="2" t="inlineStr">
        <is>
          <t>PriceCharting</t>
        </is>
      </c>
      <c r="M1929" s="4" t="inlineStr">
        <is>
          <t>https://www.pricecharting.com/game/pokemon-promo/sealed-knockout-collection-kyogre</t>
        </is>
      </c>
    </row>
    <row r="1930">
      <c r="A1930" s="2" t="inlineStr">
        <is>
          <t>Promo Sealed Knockout Collection: Suicune</t>
        </is>
      </c>
      <c r="B1930" s="3">
        <f>IF(H1930&lt;&gt;"",H1930,IF(I1930&lt;&gt;"",I1930,IF(J1930&lt;&gt;"",J1930,K1930)))</f>
        <v>15.52</v>
      </c>
      <c r="C1930" s="3">
        <f>MEDIAN(H1930:K1930)</f>
        <v>15.52</v>
      </c>
      <c r="D1930" s="3">
        <f>ROUND(C1930*(1-Settings!$B$2),2)</f>
        <v>10.86</v>
      </c>
      <c r="E1930" s="2" t="inlineStr">
        <is>
          <t>Pokemon</t>
        </is>
      </c>
      <c r="F1930" s="2" t="inlineStr">
        <is>
          <t>Coffret</t>
        </is>
      </c>
      <c r="G1930" s="2" t="inlineStr">
        <is>
          <t>Promo</t>
        </is>
      </c>
      <c r="H1930" s="3" t="n">
        <v>15.52</v>
      </c>
      <c r="I1930" s="3" t="n"/>
      <c r="J1930" s="3" t="n"/>
      <c r="K1930" s="3" t="n"/>
      <c r="L1930" s="2" t="inlineStr">
        <is>
          <t>PriceCharting</t>
        </is>
      </c>
      <c r="M1930" s="4" t="inlineStr">
        <is>
          <t>https://www.pricecharting.com/game/pokemon-promo/sealed-knockout-collection-suicune</t>
        </is>
      </c>
    </row>
    <row r="1931">
      <c r="A1931" s="2" t="inlineStr">
        <is>
          <t>Promo Sealed Mega Moonlit Tin: Mega Gengar Ex</t>
        </is>
      </c>
      <c r="B1931" s="3">
        <f>IF(H1931&lt;&gt;"",H1931,IF(I1931&lt;&gt;"",I1931,IF(J1931&lt;&gt;"",J1931,K1931)))</f>
        <v>32.93</v>
      </c>
      <c r="C1931" s="3">
        <f>MEDIAN(H1931:K1931)</f>
        <v>32.93</v>
      </c>
      <c r="D1931" s="3">
        <f>ROUND(C1931*(1-Settings!$B$2),2)</f>
        <v>23.05</v>
      </c>
      <c r="E1931" s="2" t="inlineStr">
        <is>
          <t>Pokemon</t>
        </is>
      </c>
      <c r="F1931" s="2" t="inlineStr">
        <is>
          <t>Coffret</t>
        </is>
      </c>
      <c r="G1931" s="2" t="inlineStr">
        <is>
          <t>Promo</t>
        </is>
      </c>
      <c r="H1931" s="3" t="n">
        <v>32.93</v>
      </c>
      <c r="I1931" s="3" t="n"/>
      <c r="J1931" s="3" t="n"/>
      <c r="K1931" s="3" t="n"/>
      <c r="L1931" s="2" t="inlineStr">
        <is>
          <t>PriceCharting</t>
        </is>
      </c>
      <c r="M1931" s="4" t="inlineStr">
        <is>
          <t>https://www.pricecharting.com/game/pokemon-promo/sealed-mega-moonlit-tin-mega-gengar-ex</t>
        </is>
      </c>
    </row>
    <row r="1932">
      <c r="A1932" s="2" t="inlineStr">
        <is>
          <t>Promo Shaymin VSTAR Premium Collection</t>
        </is>
      </c>
      <c r="B1932" s="3">
        <f>IF(H1932&lt;&gt;"",H1932,IF(I1932&lt;&gt;"",I1932,IF(J1932&lt;&gt;"",J1932,K1932)))</f>
        <v>121.81</v>
      </c>
      <c r="C1932" s="3">
        <f>MEDIAN(H1932:K1932)</f>
        <v>121.81</v>
      </c>
      <c r="D1932" s="3">
        <f>ROUND(C1932*(1-Settings!$B$2),2)</f>
        <v>85.27</v>
      </c>
      <c r="E1932" s="2" t="inlineStr">
        <is>
          <t>Pokemon</t>
        </is>
      </c>
      <c r="F1932" s="2" t="inlineStr">
        <is>
          <t>Coffret</t>
        </is>
      </c>
      <c r="G1932" s="2" t="inlineStr">
        <is>
          <t>Promo</t>
        </is>
      </c>
      <c r="H1932" s="3" t="n">
        <v>121.81</v>
      </c>
      <c r="I1932" s="3" t="n"/>
      <c r="J1932" s="3" t="n"/>
      <c r="K1932" s="3" t="n"/>
      <c r="L1932" s="2" t="inlineStr">
        <is>
          <t>PriceCharting</t>
        </is>
      </c>
      <c r="M1932" s="4" t="inlineStr">
        <is>
          <t>https://www.pricecharting.com/game/pokemon-promo/shaymin-vstar-premium-collection</t>
        </is>
      </c>
    </row>
    <row r="1933">
      <c r="A1933" s="2" t="inlineStr">
        <is>
          <t>Promo Sinnoh Stars Mini Tin [Chimchar]</t>
        </is>
      </c>
      <c r="B1933" s="3">
        <f>IF(H1933&lt;&gt;"",H1933,IF(I1933&lt;&gt;"",I1933,IF(J1933&lt;&gt;"",J1933,K1933)))</f>
        <v>24.36</v>
      </c>
      <c r="C1933" s="3">
        <f>MEDIAN(H1933:K1933)</f>
        <v>24.36</v>
      </c>
      <c r="D1933" s="3">
        <f>ROUND(C1933*(1-Settings!$B$2),2)</f>
        <v>17.05</v>
      </c>
      <c r="E1933" s="2" t="inlineStr">
        <is>
          <t>Pokemon</t>
        </is>
      </c>
      <c r="F1933" s="2" t="inlineStr">
        <is>
          <t>Coffret</t>
        </is>
      </c>
      <c r="G1933" s="2" t="inlineStr">
        <is>
          <t>Promo</t>
        </is>
      </c>
      <c r="H1933" s="3" t="n">
        <v>24.36</v>
      </c>
      <c r="I1933" s="3" t="n"/>
      <c r="J1933" s="3" t="n"/>
      <c r="K1933" s="3" t="n"/>
      <c r="L1933" s="2" t="inlineStr">
        <is>
          <t>PriceCharting</t>
        </is>
      </c>
      <c r="M1933" s="4" t="inlineStr">
        <is>
          <t>https://www.pricecharting.com/game/pokemon-promo/sinnoh-stars-mini-tin-chimchar</t>
        </is>
      </c>
    </row>
    <row r="1934">
      <c r="A1934" s="2" t="inlineStr">
        <is>
          <t>Promo Sinnoh Stars Mini Tin [Munchlax]</t>
        </is>
      </c>
      <c r="B1934" s="3">
        <f>IF(H1934&lt;&gt;"",H1934,IF(I1934&lt;&gt;"",I1934,IF(J1934&lt;&gt;"",J1934,K1934)))</f>
        <v>26.99</v>
      </c>
      <c r="C1934" s="3">
        <f>MEDIAN(H1934:K1934)</f>
        <v>26.99</v>
      </c>
      <c r="D1934" s="3">
        <f>ROUND(C1934*(1-Settings!$B$2),2)</f>
        <v>18.89</v>
      </c>
      <c r="E1934" s="2" t="inlineStr">
        <is>
          <t>Pokemon</t>
        </is>
      </c>
      <c r="F1934" s="2" t="inlineStr">
        <is>
          <t>Coffret</t>
        </is>
      </c>
      <c r="G1934" s="2" t="inlineStr">
        <is>
          <t>Promo</t>
        </is>
      </c>
      <c r="H1934" s="3" t="n">
        <v>26.99</v>
      </c>
      <c r="I1934" s="3" t="n"/>
      <c r="J1934" s="3" t="n"/>
      <c r="K1934" s="3" t="n"/>
      <c r="L1934" s="2" t="inlineStr">
        <is>
          <t>PriceCharting</t>
        </is>
      </c>
      <c r="M1934" s="4" t="inlineStr">
        <is>
          <t>https://www.pricecharting.com/game/pokemon-promo/sinnoh-stars-mini-tin-munchlax</t>
        </is>
      </c>
    </row>
    <row r="1935">
      <c r="A1935" s="2" t="inlineStr">
        <is>
          <t>Promo Sinnoh Stars Mini Tin [Piplup]</t>
        </is>
      </c>
      <c r="B1935" s="3">
        <f>IF(H1935&lt;&gt;"",H1935,IF(I1935&lt;&gt;"",I1935,IF(J1935&lt;&gt;"",J1935,K1935)))</f>
        <v>35.88</v>
      </c>
      <c r="C1935" s="3">
        <f>MEDIAN(H1935:K1935)</f>
        <v>35.88</v>
      </c>
      <c r="D1935" s="3">
        <f>ROUND(C1935*(1-Settings!$B$2),2)</f>
        <v>25.12</v>
      </c>
      <c r="E1935" s="2" t="inlineStr">
        <is>
          <t>Pokemon</t>
        </is>
      </c>
      <c r="F1935" s="2" t="inlineStr">
        <is>
          <t>Coffret</t>
        </is>
      </c>
      <c r="G1935" s="2" t="inlineStr">
        <is>
          <t>Promo</t>
        </is>
      </c>
      <c r="H1935" s="3" t="n">
        <v>35.88</v>
      </c>
      <c r="I1935" s="3" t="n"/>
      <c r="J1935" s="3" t="n"/>
      <c r="K1935" s="3" t="n"/>
      <c r="L1935" s="2" t="inlineStr">
        <is>
          <t>PriceCharting</t>
        </is>
      </c>
      <c r="M1935" s="4" t="inlineStr">
        <is>
          <t>https://www.pricecharting.com/game/pokemon-promo/sinnoh-stars-mini-tin-piplup</t>
        </is>
      </c>
    </row>
    <row r="1936">
      <c r="A1936" s="2" t="inlineStr">
        <is>
          <t>Promo Sinnoh Stars Mini Tin [Riolu]</t>
        </is>
      </c>
      <c r="B1936" s="3">
        <f>IF(H1936&lt;&gt;"",H1936,IF(I1936&lt;&gt;"",I1936,IF(J1936&lt;&gt;"",J1936,K1936)))</f>
        <v>23.99</v>
      </c>
      <c r="C1936" s="3">
        <f>MEDIAN(H1936:K1936)</f>
        <v>23.99</v>
      </c>
      <c r="D1936" s="3">
        <f>ROUND(C1936*(1-Settings!$B$2),2)</f>
        <v>16.79</v>
      </c>
      <c r="E1936" s="2" t="inlineStr">
        <is>
          <t>Pokemon</t>
        </is>
      </c>
      <c r="F1936" s="2" t="inlineStr">
        <is>
          <t>Coffret</t>
        </is>
      </c>
      <c r="G1936" s="2" t="inlineStr">
        <is>
          <t>Promo</t>
        </is>
      </c>
      <c r="H1936" s="3" t="n">
        <v>23.99</v>
      </c>
      <c r="I1936" s="3" t="n"/>
      <c r="J1936" s="3" t="n"/>
      <c r="K1936" s="3" t="n"/>
      <c r="L1936" s="2" t="inlineStr">
        <is>
          <t>PriceCharting</t>
        </is>
      </c>
      <c r="M1936" s="4" t="inlineStr">
        <is>
          <t>https://www.pricecharting.com/game/pokemon-promo/sinnoh-stars-mini-tin-riolu</t>
        </is>
      </c>
    </row>
    <row r="1937">
      <c r="A1937" s="2" t="inlineStr">
        <is>
          <t>Promo Sinnoh Stars Mini Tin [Turtwig]</t>
        </is>
      </c>
      <c r="B1937" s="3">
        <f>IF(H1937&lt;&gt;"",H1937,IF(I1937&lt;&gt;"",I1937,IF(J1937&lt;&gt;"",J1937,K1937)))</f>
        <v>38.92</v>
      </c>
      <c r="C1937" s="3">
        <f>MEDIAN(H1937:K1937)</f>
        <v>38.92</v>
      </c>
      <c r="D1937" s="3">
        <f>ROUND(C1937*(1-Settings!$B$2),2)</f>
        <v>27.24</v>
      </c>
      <c r="E1937" s="2" t="inlineStr">
        <is>
          <t>Pokemon</t>
        </is>
      </c>
      <c r="F1937" s="2" t="inlineStr">
        <is>
          <t>Coffret</t>
        </is>
      </c>
      <c r="G1937" s="2" t="inlineStr">
        <is>
          <t>Promo</t>
        </is>
      </c>
      <c r="H1937" s="3" t="n">
        <v>38.92</v>
      </c>
      <c r="I1937" s="3" t="n"/>
      <c r="J1937" s="3" t="n"/>
      <c r="K1937" s="3" t="n"/>
      <c r="L1937" s="2" t="inlineStr">
        <is>
          <t>PriceCharting</t>
        </is>
      </c>
      <c r="M1937" s="4" t="inlineStr">
        <is>
          <t>https://www.pricecharting.com/game/pokemon-promo/sinnoh-stars-mini-tin-turtwig</t>
        </is>
      </c>
    </row>
    <row r="1938">
      <c r="A1938" s="2" t="inlineStr">
        <is>
          <t>Promo Sinnoh Stars Mini Tins 5-Pack</t>
        </is>
      </c>
      <c r="B1938" s="3">
        <f>IF(H1938&lt;&gt;"",H1938,IF(I1938&lt;&gt;"",I1938,IF(J1938&lt;&gt;"",J1938,K1938)))</f>
        <v>148.5</v>
      </c>
      <c r="C1938" s="3">
        <f>MEDIAN(H1938:K1938)</f>
        <v>148.5</v>
      </c>
      <c r="D1938" s="3">
        <f>ROUND(C1938*(1-Settings!$B$2),2)</f>
        <v>103.95</v>
      </c>
      <c r="E1938" s="2" t="inlineStr">
        <is>
          <t>Pokemon</t>
        </is>
      </c>
      <c r="F1938" s="2" t="inlineStr">
        <is>
          <t>Coffret</t>
        </is>
      </c>
      <c r="G1938" s="2" t="inlineStr">
        <is>
          <t>Promo</t>
        </is>
      </c>
      <c r="H1938" s="3" t="n">
        <v>148.5</v>
      </c>
      <c r="I1938" s="3" t="n"/>
      <c r="J1938" s="3" t="n"/>
      <c r="K1938" s="3" t="n"/>
      <c r="L1938" s="2" t="inlineStr">
        <is>
          <t>PriceCharting</t>
        </is>
      </c>
      <c r="M1938" s="4" t="inlineStr">
        <is>
          <t>https://www.pricecharting.com/game/pokemon-promo/sinnoh-stars-mini-tins-5-pack</t>
        </is>
      </c>
    </row>
    <row r="1939">
      <c r="A1939" s="2" t="inlineStr">
        <is>
          <t>Promo Slashing Legends Tin [Koraidon Ex]</t>
        </is>
      </c>
      <c r="B1939" s="3">
        <f>IF(H1939&lt;&gt;"",H1939,IF(I1939&lt;&gt;"",I1939,IF(J1939&lt;&gt;"",J1939,K1939)))</f>
        <v>34.0</v>
      </c>
      <c r="C1939" s="3">
        <f>MEDIAN(H1939:K1939)</f>
        <v>34.0</v>
      </c>
      <c r="D1939" s="3">
        <f>ROUND(C1939*(1-Settings!$B$2),2)</f>
        <v>23.8</v>
      </c>
      <c r="E1939" s="2" t="inlineStr">
        <is>
          <t>Pokemon</t>
        </is>
      </c>
      <c r="F1939" s="2" t="inlineStr">
        <is>
          <t>Coffret</t>
        </is>
      </c>
      <c r="G1939" s="2" t="inlineStr">
        <is>
          <t>Promo</t>
        </is>
      </c>
      <c r="H1939" s="3" t="n">
        <v>34</v>
      </c>
      <c r="I1939" s="3" t="n"/>
      <c r="J1939" s="3" t="n"/>
      <c r="K1939" s="3" t="n"/>
      <c r="L1939" s="2" t="inlineStr">
        <is>
          <t>PriceCharting</t>
        </is>
      </c>
      <c r="M1939" s="4" t="inlineStr">
        <is>
          <t>https://www.pricecharting.com/game/pokemon-promo/slashing-legends-tin-koraidon-ex</t>
        </is>
      </c>
    </row>
    <row r="1940">
      <c r="A1940" s="2" t="inlineStr">
        <is>
          <t>Promo Slashing Legends Tin [Zacian Ex]</t>
        </is>
      </c>
      <c r="B1940" s="3">
        <f>IF(H1940&lt;&gt;"",H1940,IF(I1940&lt;&gt;"",I1940,IF(J1940&lt;&gt;"",J1940,K1940)))</f>
        <v>34.89</v>
      </c>
      <c r="C1940" s="3">
        <f>MEDIAN(H1940:K1940)</f>
        <v>34.89</v>
      </c>
      <c r="D1940" s="3">
        <f>ROUND(C1940*(1-Settings!$B$2),2)</f>
        <v>24.42</v>
      </c>
      <c r="E1940" s="2" t="inlineStr">
        <is>
          <t>Pokemon</t>
        </is>
      </c>
      <c r="F1940" s="2" t="inlineStr">
        <is>
          <t>Coffret</t>
        </is>
      </c>
      <c r="G1940" s="2" t="inlineStr">
        <is>
          <t>Promo</t>
        </is>
      </c>
      <c r="H1940" s="3" t="n">
        <v>34.89</v>
      </c>
      <c r="I1940" s="3" t="n"/>
      <c r="J1940" s="3" t="n"/>
      <c r="K1940" s="3" t="n"/>
      <c r="L1940" s="2" t="inlineStr">
        <is>
          <t>PriceCharting</t>
        </is>
      </c>
      <c r="M1940" s="4" t="inlineStr">
        <is>
          <t>https://www.pricecharting.com/game/pokemon-promo/slashing-legends-tin-zacian-ex</t>
        </is>
      </c>
    </row>
    <row r="1941">
      <c r="A1941" s="2" t="inlineStr">
        <is>
          <t>Promo Snorlax Ex &amp; Blissey Ex Special Collection</t>
        </is>
      </c>
      <c r="B1941" s="3">
        <f>IF(H1941&lt;&gt;"",H1941,IF(I1941&lt;&gt;"",I1941,IF(J1941&lt;&gt;"",J1941,K1941)))</f>
        <v>82.25</v>
      </c>
      <c r="C1941" s="3">
        <f>MEDIAN(H1941:K1941)</f>
        <v>82.25</v>
      </c>
      <c r="D1941" s="3">
        <f>ROUND(C1941*(1-Settings!$B$2),2)</f>
        <v>57.58</v>
      </c>
      <c r="E1941" s="2" t="inlineStr">
        <is>
          <t>Pokemon</t>
        </is>
      </c>
      <c r="F1941" s="2" t="inlineStr">
        <is>
          <t>Coffret</t>
        </is>
      </c>
      <c r="G1941" s="2" t="inlineStr">
        <is>
          <t>Promo</t>
        </is>
      </c>
      <c r="H1941" s="3" t="n">
        <v>82.25</v>
      </c>
      <c r="I1941" s="3" t="n"/>
      <c r="J1941" s="3" t="n"/>
      <c r="K1941" s="3" t="n"/>
      <c r="L1941" s="2" t="inlineStr">
        <is>
          <t>PriceCharting</t>
        </is>
      </c>
      <c r="M1941" s="4" t="inlineStr">
        <is>
          <t>https://www.pricecharting.com/game/pokemon-promo/snorlax-ex-&amp;-blissey-ex-special-collection</t>
        </is>
      </c>
    </row>
    <row r="1942">
      <c r="A1942" s="2" t="inlineStr">
        <is>
          <t>Promo Spring 2022 Collector Bundle</t>
        </is>
      </c>
      <c r="B1942" s="3">
        <f>IF(H1942&lt;&gt;"",H1942,IF(I1942&lt;&gt;"",I1942,IF(J1942&lt;&gt;"",J1942,K1942)))</f>
        <v>103.94</v>
      </c>
      <c r="C1942" s="3">
        <f>MEDIAN(H1942:K1942)</f>
        <v>103.94</v>
      </c>
      <c r="D1942" s="3">
        <f>ROUND(C1942*(1-Settings!$B$2),2)</f>
        <v>72.76</v>
      </c>
      <c r="E1942" s="2" t="inlineStr">
        <is>
          <t>Pokemon</t>
        </is>
      </c>
      <c r="F1942" s="2" t="inlineStr">
        <is>
          <t>Coffret</t>
        </is>
      </c>
      <c r="G1942" s="2" t="inlineStr">
        <is>
          <t>Promo</t>
        </is>
      </c>
      <c r="H1942" s="3" t="n">
        <v>103.94</v>
      </c>
      <c r="I1942" s="3" t="n"/>
      <c r="J1942" s="3" t="n"/>
      <c r="K1942" s="3" t="n"/>
      <c r="L1942" s="2" t="inlineStr">
        <is>
          <t>PriceCharting</t>
        </is>
      </c>
      <c r="M1942" s="4" t="inlineStr">
        <is>
          <t>https://www.pricecharting.com/game/pokemon-promo/spring-2022-collector-bundle</t>
        </is>
      </c>
    </row>
    <row r="1943">
      <c r="A1943" s="2" t="inlineStr">
        <is>
          <t>Promo Summer 2023 Collector's Chest</t>
        </is>
      </c>
      <c r="B1943" s="3">
        <f>IF(H1943&lt;&gt;"",H1943,IF(I1943&lt;&gt;"",I1943,IF(J1943&lt;&gt;"",J1943,K1943)))</f>
        <v>88.84</v>
      </c>
      <c r="C1943" s="3">
        <f>MEDIAN(H1943:K1943)</f>
        <v>88.84</v>
      </c>
      <c r="D1943" s="3">
        <f>ROUND(C1943*(1-Settings!$B$2),2)</f>
        <v>62.19</v>
      </c>
      <c r="E1943" s="2" t="inlineStr">
        <is>
          <t>Pokemon</t>
        </is>
      </c>
      <c r="F1943" s="2" t="inlineStr">
        <is>
          <t>Coffret</t>
        </is>
      </c>
      <c r="G1943" s="2" t="inlineStr">
        <is>
          <t>Promo</t>
        </is>
      </c>
      <c r="H1943" s="3" t="n">
        <v>88.84</v>
      </c>
      <c r="I1943" s="3" t="n"/>
      <c r="J1943" s="3" t="n"/>
      <c r="K1943" s="3" t="n"/>
      <c r="L1943" s="2" t="inlineStr">
        <is>
          <t>PriceCharting</t>
        </is>
      </c>
      <c r="M1943" s="4" t="inlineStr">
        <is>
          <t>https://www.pricecharting.com/game/pokemon-promo/summer-2023-collector's-chest</t>
        </is>
      </c>
    </row>
    <row r="1944">
      <c r="A1944" s="2" t="inlineStr">
        <is>
          <t>Promo Tag Team Tin: Pikachu &amp; Zekrom GX</t>
        </is>
      </c>
      <c r="B1944" s="3">
        <f>IF(H1944&lt;&gt;"",H1944,IF(I1944&lt;&gt;"",I1944,IF(J1944&lt;&gt;"",J1944,K1944)))</f>
        <v>616.65</v>
      </c>
      <c r="C1944" s="3">
        <f>MEDIAN(H1944:K1944)</f>
        <v>616.65</v>
      </c>
      <c r="D1944" s="3">
        <f>ROUND(C1944*(1-Settings!$B$2),2)</f>
        <v>431.66</v>
      </c>
      <c r="E1944" s="2" t="inlineStr">
        <is>
          <t>Pokemon</t>
        </is>
      </c>
      <c r="F1944" s="2" t="inlineStr">
        <is>
          <t>Coffret</t>
        </is>
      </c>
      <c r="G1944" s="2" t="inlineStr">
        <is>
          <t>Promo</t>
        </is>
      </c>
      <c r="H1944" s="3" t="n">
        <v>616.65</v>
      </c>
      <c r="I1944" s="3" t="n"/>
      <c r="J1944" s="3" t="n"/>
      <c r="K1944" s="3" t="n"/>
      <c r="L1944" s="2" t="inlineStr">
        <is>
          <t>PriceCharting</t>
        </is>
      </c>
      <c r="M1944" s="4" t="inlineStr">
        <is>
          <t>https://www.pricecharting.com/game/pokemon-promo/tag-team-tin-pikachu-&amp;-zekrom-gx</t>
        </is>
      </c>
    </row>
    <row r="1945">
      <c r="A1945" s="2" t="inlineStr">
        <is>
          <t>Promo Tapu Koko Figure Collection</t>
        </is>
      </c>
      <c r="B1945" s="3">
        <f>IF(H1945&lt;&gt;"",H1945,IF(I1945&lt;&gt;"",I1945,IF(J1945&lt;&gt;"",J1945,K1945)))</f>
        <v>89.57</v>
      </c>
      <c r="C1945" s="3">
        <f>MEDIAN(H1945:K1945)</f>
        <v>89.57</v>
      </c>
      <c r="D1945" s="3">
        <f>ROUND(C1945*(1-Settings!$B$2),2)</f>
        <v>62.7</v>
      </c>
      <c r="E1945" s="2" t="inlineStr">
        <is>
          <t>Pokemon</t>
        </is>
      </c>
      <c r="F1945" s="2" t="inlineStr">
        <is>
          <t>Coffret</t>
        </is>
      </c>
      <c r="G1945" s="2" t="inlineStr">
        <is>
          <t>Promo</t>
        </is>
      </c>
      <c r="H1945" s="3" t="n">
        <v>89.56999999999999</v>
      </c>
      <c r="I1945" s="3" t="n"/>
      <c r="J1945" s="3" t="n"/>
      <c r="K1945" s="3" t="n"/>
      <c r="L1945" s="2" t="inlineStr">
        <is>
          <t>PriceCharting</t>
        </is>
      </c>
      <c r="M1945" s="4" t="inlineStr">
        <is>
          <t>https://www.pricecharting.com/game/pokemon-promo/tapu-koko-figure-collection</t>
        </is>
      </c>
    </row>
    <row r="1946">
      <c r="A1946" s="2" t="inlineStr">
        <is>
          <t>Promo Team Rocket's Moltres Ex Ultra Premium Collection Box</t>
        </is>
      </c>
      <c r="B1946" s="3">
        <f>IF(H1946&lt;&gt;"",H1946,IF(I1946&lt;&gt;"",I1946,IF(J1946&lt;&gt;"",J1946,K1946)))</f>
        <v>324.9</v>
      </c>
      <c r="C1946" s="3">
        <f>MEDIAN(H1946:K1946)</f>
        <v>324.9</v>
      </c>
      <c r="D1946" s="3">
        <f>ROUND(C1946*(1-Settings!$B$2),2)</f>
        <v>227.43</v>
      </c>
      <c r="E1946" s="2" t="inlineStr">
        <is>
          <t>Pokemon</t>
        </is>
      </c>
      <c r="F1946" s="2" t="inlineStr">
        <is>
          <t>Coffret</t>
        </is>
      </c>
      <c r="G1946" s="2" t="inlineStr">
        <is>
          <t>Promo</t>
        </is>
      </c>
      <c r="H1946" s="3" t="n">
        <v>324.9</v>
      </c>
      <c r="I1946" s="3" t="n"/>
      <c r="J1946" s="3" t="n"/>
      <c r="K1946" s="3" t="n"/>
      <c r="L1946" s="2" t="inlineStr">
        <is>
          <t>PriceCharting</t>
        </is>
      </c>
      <c r="M1946" s="4" t="inlineStr">
        <is>
          <t>https://www.pricecharting.com/game/pokemon-promo/team-rocket's-moltres-ex-ultra-premium-collection-box</t>
        </is>
      </c>
    </row>
    <row r="1947">
      <c r="A1947" s="2" t="inlineStr">
        <is>
          <t>Promo Team Skull Pin Collection</t>
        </is>
      </c>
      <c r="B1947" s="3">
        <f>IF(H1947&lt;&gt;"",H1947,IF(I1947&lt;&gt;"",I1947,IF(J1947&lt;&gt;"",J1947,K1947)))</f>
        <v>210.0</v>
      </c>
      <c r="C1947" s="3">
        <f>MEDIAN(H1947:K1947)</f>
        <v>210.0</v>
      </c>
      <c r="D1947" s="3">
        <f>ROUND(C1947*(1-Settings!$B$2),2)</f>
        <v>147.0</v>
      </c>
      <c r="E1947" s="2" t="inlineStr">
        <is>
          <t>Pokemon</t>
        </is>
      </c>
      <c r="F1947" s="2" t="inlineStr">
        <is>
          <t>Coffret</t>
        </is>
      </c>
      <c r="G1947" s="2" t="inlineStr">
        <is>
          <t>Promo</t>
        </is>
      </c>
      <c r="H1947" s="3" t="n">
        <v>210</v>
      </c>
      <c r="I1947" s="3" t="n"/>
      <c r="J1947" s="3" t="n"/>
      <c r="K1947" s="3" t="n"/>
      <c r="L1947" s="2" t="inlineStr">
        <is>
          <t>PriceCharting</t>
        </is>
      </c>
      <c r="M1947" s="4" t="inlineStr">
        <is>
          <t>https://www.pricecharting.com/game/pokemon-promo/team-skull-pin-collection</t>
        </is>
      </c>
    </row>
    <row r="1948">
      <c r="A1948" s="2" t="inlineStr">
        <is>
          <t>Promo Tera Brawlers Premium Collection Box</t>
        </is>
      </c>
      <c r="B1948" s="3">
        <f>IF(H1948&lt;&gt;"",H1948,IF(I1948&lt;&gt;"",I1948,IF(J1948&lt;&gt;"",J1948,K1948)))</f>
        <v>99.0</v>
      </c>
      <c r="C1948" s="3">
        <f>MEDIAN(H1948:K1948)</f>
        <v>99.0</v>
      </c>
      <c r="D1948" s="3">
        <f>ROUND(C1948*(1-Settings!$B$2),2)</f>
        <v>69.3</v>
      </c>
      <c r="E1948" s="2" t="inlineStr">
        <is>
          <t>Pokemon</t>
        </is>
      </c>
      <c r="F1948" s="2" t="inlineStr">
        <is>
          <t>Coffret</t>
        </is>
      </c>
      <c r="G1948" s="2" t="inlineStr">
        <is>
          <t>Promo</t>
        </is>
      </c>
      <c r="H1948" s="3" t="n">
        <v>99</v>
      </c>
      <c r="I1948" s="3" t="n"/>
      <c r="J1948" s="3" t="n"/>
      <c r="K1948" s="3" t="n"/>
      <c r="L1948" s="2" t="inlineStr">
        <is>
          <t>PriceCharting</t>
        </is>
      </c>
      <c r="M1948" s="4" t="inlineStr">
        <is>
          <t>https://www.pricecharting.com/game/pokemon-promo/tera-brawlers-premium-collection-box</t>
        </is>
      </c>
    </row>
    <row r="1949">
      <c r="A1949" s="2" t="inlineStr">
        <is>
          <t>Promo Tera Team Premium Collection</t>
        </is>
      </c>
      <c r="B1949" s="3">
        <f>IF(H1949&lt;&gt;"",H1949,IF(I1949&lt;&gt;"",I1949,IF(J1949&lt;&gt;"",J1949,K1949)))</f>
        <v>90.0</v>
      </c>
      <c r="C1949" s="3">
        <f>MEDIAN(H1949:K1949)</f>
        <v>90.0</v>
      </c>
      <c r="D1949" s="3">
        <f>ROUND(C1949*(1-Settings!$B$2),2)</f>
        <v>63.0</v>
      </c>
      <c r="E1949" s="2" t="inlineStr">
        <is>
          <t>Pokemon</t>
        </is>
      </c>
      <c r="F1949" s="2" t="inlineStr">
        <is>
          <t>Coffret</t>
        </is>
      </c>
      <c r="G1949" s="2" t="inlineStr">
        <is>
          <t>Promo</t>
        </is>
      </c>
      <c r="H1949" s="3" t="n">
        <v>90</v>
      </c>
      <c r="I1949" s="3" t="n"/>
      <c r="J1949" s="3" t="n"/>
      <c r="K1949" s="3" t="n"/>
      <c r="L1949" s="2" t="inlineStr">
        <is>
          <t>PriceCharting</t>
        </is>
      </c>
      <c r="M1949" s="4" t="inlineStr">
        <is>
          <t>https://www.pricecharting.com/game/pokemon-promo/tera-team-premium-collection</t>
        </is>
      </c>
    </row>
    <row r="1950">
      <c r="A1950" s="2" t="inlineStr">
        <is>
          <t>Promo Terapagos Ex Ultra Premium Collection Box</t>
        </is>
      </c>
      <c r="B1950" s="3">
        <f>IF(H1950&lt;&gt;"",H1950,IF(I1950&lt;&gt;"",I1950,IF(J1950&lt;&gt;"",J1950,K1950)))</f>
        <v>249.0</v>
      </c>
      <c r="C1950" s="3">
        <f>MEDIAN(H1950:K1950)</f>
        <v>249.0</v>
      </c>
      <c r="D1950" s="3">
        <f>ROUND(C1950*(1-Settings!$B$2),2)</f>
        <v>174.3</v>
      </c>
      <c r="E1950" s="2" t="inlineStr">
        <is>
          <t>Pokemon</t>
        </is>
      </c>
      <c r="F1950" s="2" t="inlineStr">
        <is>
          <t>Coffret</t>
        </is>
      </c>
      <c r="G1950" s="2" t="inlineStr">
        <is>
          <t>Promo</t>
        </is>
      </c>
      <c r="H1950" s="3" t="n">
        <v>249</v>
      </c>
      <c r="I1950" s="3" t="n"/>
      <c r="J1950" s="3" t="n"/>
      <c r="K1950" s="3" t="n"/>
      <c r="L1950" s="2" t="inlineStr">
        <is>
          <t>PriceCharting</t>
        </is>
      </c>
      <c r="M1950" s="4" t="inlineStr">
        <is>
          <t>https://www.pricecharting.com/game/pokemon-promo/terapagos-ex-ultra-premium-collection-box</t>
        </is>
      </c>
    </row>
    <row r="1951">
      <c r="A1951" s="2" t="inlineStr">
        <is>
          <t>Promo Trainer's Legendary Box: Ho-Oh</t>
        </is>
      </c>
      <c r="B1951" s="3">
        <f>IF(H1951&lt;&gt;"",H1951,IF(I1951&lt;&gt;"",I1951,IF(J1951&lt;&gt;"",J1951,K1951)))</f>
        <v>224.49</v>
      </c>
      <c r="C1951" s="3">
        <f>MEDIAN(H1951:K1951)</f>
        <v>224.49</v>
      </c>
      <c r="D1951" s="3">
        <f>ROUND(C1951*(1-Settings!$B$2),2)</f>
        <v>157.14</v>
      </c>
      <c r="E1951" s="2" t="inlineStr">
        <is>
          <t>Pokemon</t>
        </is>
      </c>
      <c r="F1951" s="2" t="inlineStr">
        <is>
          <t>Coffret</t>
        </is>
      </c>
      <c r="G1951" s="2" t="inlineStr">
        <is>
          <t>Promo</t>
        </is>
      </c>
      <c r="H1951" s="3" t="n">
        <v>224.49</v>
      </c>
      <c r="I1951" s="3" t="n"/>
      <c r="J1951" s="3" t="n"/>
      <c r="K1951" s="3" t="n"/>
      <c r="L1951" s="2" t="inlineStr">
        <is>
          <t>PriceCharting</t>
        </is>
      </c>
      <c r="M1951" s="4" t="inlineStr">
        <is>
          <t>https://www.pricecharting.com/game/pokemon-promo/trainer's-legendary-box-ho-oh</t>
        </is>
      </c>
    </row>
    <row r="1952">
      <c r="A1952" s="2" t="inlineStr">
        <is>
          <t>Promo Treasures Of Ruin Stacking Tin</t>
        </is>
      </c>
      <c r="B1952" s="3">
        <f>IF(H1952&lt;&gt;"",H1952,IF(I1952&lt;&gt;"",I1952,IF(J1952&lt;&gt;"",J1952,K1952)))</f>
        <v>27.62</v>
      </c>
      <c r="C1952" s="3">
        <f>MEDIAN(H1952:K1952)</f>
        <v>27.62</v>
      </c>
      <c r="D1952" s="3">
        <f>ROUND(C1952*(1-Settings!$B$2),2)</f>
        <v>19.33</v>
      </c>
      <c r="E1952" s="2" t="inlineStr">
        <is>
          <t>Pokemon</t>
        </is>
      </c>
      <c r="F1952" s="2" t="inlineStr">
        <is>
          <t>Coffret</t>
        </is>
      </c>
      <c r="G1952" s="2" t="inlineStr">
        <is>
          <t>Promo</t>
        </is>
      </c>
      <c r="H1952" s="3" t="n">
        <v>27.62</v>
      </c>
      <c r="I1952" s="3" t="n"/>
      <c r="J1952" s="3" t="n"/>
      <c r="K1952" s="3" t="n"/>
      <c r="L1952" s="2" t="inlineStr">
        <is>
          <t>PriceCharting</t>
        </is>
      </c>
      <c r="M1952" s="4" t="inlineStr">
        <is>
          <t>https://www.pricecharting.com/game/pokemon-promo/treasures-of-ruin-stacking-tin</t>
        </is>
      </c>
    </row>
    <row r="1953">
      <c r="A1953" s="2" t="inlineStr">
        <is>
          <t>Promo Tyranitar Lunchbox Chest Tin</t>
        </is>
      </c>
      <c r="B1953" s="3">
        <f>IF(H1953&lt;&gt;"",H1953,IF(I1953&lt;&gt;"",I1953,IF(J1953&lt;&gt;"",J1953,K1953)))</f>
        <v>39.95</v>
      </c>
      <c r="C1953" s="3">
        <f>MEDIAN(H1953:K1953)</f>
        <v>39.95</v>
      </c>
      <c r="D1953" s="3">
        <f>ROUND(C1953*(1-Settings!$B$2),2)</f>
        <v>27.97</v>
      </c>
      <c r="E1953" s="2" t="inlineStr">
        <is>
          <t>Pokemon</t>
        </is>
      </c>
      <c r="F1953" s="2" t="inlineStr">
        <is>
          <t>Coffret</t>
        </is>
      </c>
      <c r="G1953" s="2" t="inlineStr">
        <is>
          <t>Promo</t>
        </is>
      </c>
      <c r="H1953" s="3" t="n">
        <v>39.95</v>
      </c>
      <c r="I1953" s="3" t="n"/>
      <c r="J1953" s="3" t="n"/>
      <c r="K1953" s="3" t="n"/>
      <c r="L1953" s="2" t="inlineStr">
        <is>
          <t>PriceCharting</t>
        </is>
      </c>
      <c r="M1953" s="4" t="inlineStr">
        <is>
          <t>https://www.pricecharting.com/game/pokemon-promo/tyranitar-lunchbox-chest-tin</t>
        </is>
      </c>
    </row>
    <row r="1954">
      <c r="A1954" s="2" t="inlineStr">
        <is>
          <t>Promo Ultra Beasts GX Premium Collection [Buzzwole GX &amp; Xurkitree GX]</t>
        </is>
      </c>
      <c r="B1954" s="3">
        <f>IF(H1954&lt;&gt;"",H1954,IF(I1954&lt;&gt;"",I1954,IF(J1954&lt;&gt;"",J1954,K1954)))</f>
        <v>275.0</v>
      </c>
      <c r="C1954" s="3">
        <f>MEDIAN(H1954:K1954)</f>
        <v>275.0</v>
      </c>
      <c r="D1954" s="3">
        <f>ROUND(C1954*(1-Settings!$B$2),2)</f>
        <v>192.5</v>
      </c>
      <c r="E1954" s="2" t="inlineStr">
        <is>
          <t>Pokemon</t>
        </is>
      </c>
      <c r="F1954" s="2" t="inlineStr">
        <is>
          <t>Coffret</t>
        </is>
      </c>
      <c r="G1954" s="2" t="inlineStr">
        <is>
          <t>Promo</t>
        </is>
      </c>
      <c r="H1954" s="3" t="n">
        <v>275</v>
      </c>
      <c r="I1954" s="3" t="n"/>
      <c r="J1954" s="3" t="n"/>
      <c r="K1954" s="3" t="n"/>
      <c r="L1954" s="2" t="inlineStr">
        <is>
          <t>PriceCharting</t>
        </is>
      </c>
      <c r="M1954" s="4" t="inlineStr">
        <is>
          <t>https://www.pricecharting.com/game/pokemon-promo/ultra-beasts-gx-premium-collection-buzzwole-gx-&amp;-xurkitree-gx</t>
        </is>
      </c>
    </row>
    <row r="1955">
      <c r="A1955" s="2" t="inlineStr">
        <is>
          <t>Promo V-Union Special Collection - Mewtwo</t>
        </is>
      </c>
      <c r="B1955" s="3">
        <f>IF(H1955&lt;&gt;"",H1955,IF(I1955&lt;&gt;"",I1955,IF(J1955&lt;&gt;"",J1955,K1955)))</f>
        <v>120.5</v>
      </c>
      <c r="C1955" s="3">
        <f>MEDIAN(H1955:K1955)</f>
        <v>120.5</v>
      </c>
      <c r="D1955" s="3">
        <f>ROUND(C1955*(1-Settings!$B$2),2)</f>
        <v>84.35</v>
      </c>
      <c r="E1955" s="2" t="inlineStr">
        <is>
          <t>Pokemon</t>
        </is>
      </c>
      <c r="F1955" s="2" t="inlineStr">
        <is>
          <t>Coffret</t>
        </is>
      </c>
      <c r="G1955" s="2" t="inlineStr">
        <is>
          <t>Promo</t>
        </is>
      </c>
      <c r="H1955" s="3" t="n">
        <v>120.5</v>
      </c>
      <c r="I1955" s="3" t="n"/>
      <c r="J1955" s="3" t="n"/>
      <c r="K1955" s="3" t="n"/>
      <c r="L1955" s="2" t="inlineStr">
        <is>
          <t>PriceCharting</t>
        </is>
      </c>
      <c r="M1955" s="4" t="inlineStr">
        <is>
          <t>https://www.pricecharting.com/game/pokemon-promo/v-union-special-collection-mewtwo</t>
        </is>
      </c>
    </row>
    <row r="1956">
      <c r="A1956" s="2" t="inlineStr">
        <is>
          <t>Promo Vibrant Paldea Mini Tin</t>
        </is>
      </c>
      <c r="B1956" s="3">
        <f>IF(H1956&lt;&gt;"",H1956,IF(I1956&lt;&gt;"",I1956,IF(J1956&lt;&gt;"",J1956,K1956)))</f>
        <v>43.39</v>
      </c>
      <c r="C1956" s="3">
        <f>MEDIAN(H1956:K1956)</f>
        <v>43.39</v>
      </c>
      <c r="D1956" s="3">
        <f>ROUND(C1956*(1-Settings!$B$2),2)</f>
        <v>30.37</v>
      </c>
      <c r="E1956" s="2" t="inlineStr">
        <is>
          <t>Pokemon</t>
        </is>
      </c>
      <c r="F1956" s="2" t="inlineStr">
        <is>
          <t>Coffret</t>
        </is>
      </c>
      <c r="G1956" s="2" t="inlineStr">
        <is>
          <t>Promo</t>
        </is>
      </c>
      <c r="H1956" s="3" t="n">
        <v>43.39</v>
      </c>
      <c r="I1956" s="3" t="n"/>
      <c r="J1956" s="3" t="n"/>
      <c r="K1956" s="3" t="n"/>
      <c r="L1956" s="2" t="inlineStr">
        <is>
          <t>PriceCharting</t>
        </is>
      </c>
      <c r="M1956" s="4" t="inlineStr">
        <is>
          <t>https://www.pricecharting.com/game/pokemon-promo/vibrant-paldea-mini-tin</t>
        </is>
      </c>
    </row>
    <row r="1957">
      <c r="A1957" s="2" t="inlineStr">
        <is>
          <t>Promo Vibrant Paldea Mini Tin Collection</t>
        </is>
      </c>
      <c r="B1957" s="3">
        <f>IF(H1957&lt;&gt;"",H1957,IF(I1957&lt;&gt;"",I1957,IF(J1957&lt;&gt;"",J1957,K1957)))</f>
        <v>240.0</v>
      </c>
      <c r="C1957" s="3">
        <f>MEDIAN(H1957:K1957)</f>
        <v>240.0</v>
      </c>
      <c r="D1957" s="3">
        <f>ROUND(C1957*(1-Settings!$B$2),2)</f>
        <v>168.0</v>
      </c>
      <c r="E1957" s="2" t="inlineStr">
        <is>
          <t>Pokemon</t>
        </is>
      </c>
      <c r="F1957" s="2" t="inlineStr">
        <is>
          <t>Coffret</t>
        </is>
      </c>
      <c r="G1957" s="2" t="inlineStr">
        <is>
          <t>Promo</t>
        </is>
      </c>
      <c r="H1957" s="3" t="n">
        <v>240</v>
      </c>
      <c r="I1957" s="3" t="n"/>
      <c r="J1957" s="3" t="n"/>
      <c r="K1957" s="3" t="n"/>
      <c r="L1957" s="2" t="inlineStr">
        <is>
          <t>PriceCharting</t>
        </is>
      </c>
      <c r="M1957" s="4" t="inlineStr">
        <is>
          <t>https://www.pricecharting.com/game/pokemon-promo/vibrant-paldea-mini-tin-collection</t>
        </is>
      </c>
    </row>
    <row r="1958">
      <c r="A1958" s="2" t="inlineStr">
        <is>
          <t>Promo White &amp; Black: Poster Collection + Binder Collection</t>
        </is>
      </c>
      <c r="B1958" s="3">
        <f>IF(H1958&lt;&gt;"",H1958,IF(I1958&lt;&gt;"",I1958,IF(J1958&lt;&gt;"",J1958,K1958)))</f>
        <v>103.0</v>
      </c>
      <c r="C1958" s="3">
        <f>MEDIAN(H1958:K1958)</f>
        <v>103.0</v>
      </c>
      <c r="D1958" s="3">
        <f>ROUND(C1958*(1-Settings!$B$2),2)</f>
        <v>72.1</v>
      </c>
      <c r="E1958" s="2" t="inlineStr">
        <is>
          <t>Pokemon</t>
        </is>
      </c>
      <c r="F1958" s="2" t="inlineStr">
        <is>
          <t>Coffret</t>
        </is>
      </c>
      <c r="G1958" s="2" t="inlineStr">
        <is>
          <t>Promo</t>
        </is>
      </c>
      <c r="H1958" s="3" t="n">
        <v>103</v>
      </c>
      <c r="I1958" s="3" t="n"/>
      <c r="J1958" s="3" t="n"/>
      <c r="K1958" s="3" t="n"/>
      <c r="L1958" s="2" t="inlineStr">
        <is>
          <t>PriceCharting</t>
        </is>
      </c>
      <c r="M1958" s="4" t="inlineStr">
        <is>
          <t>https://www.pricecharting.com/game/pokemon-promo/white-&amp;-black-poster-collection-+-binder-collection</t>
        </is>
      </c>
    </row>
    <row r="1959">
      <c r="A1959" s="2" t="inlineStr">
        <is>
          <t>Promo Zacian V-UNION Special Collection Box</t>
        </is>
      </c>
      <c r="B1959" s="3">
        <f>IF(H1959&lt;&gt;"",H1959,IF(I1959&lt;&gt;"",I1959,IF(J1959&lt;&gt;"",J1959,K1959)))</f>
        <v>124.99</v>
      </c>
      <c r="C1959" s="3">
        <f>MEDIAN(H1959:K1959)</f>
        <v>124.99</v>
      </c>
      <c r="D1959" s="3">
        <f>ROUND(C1959*(1-Settings!$B$2),2)</f>
        <v>87.49</v>
      </c>
      <c r="E1959" s="2" t="inlineStr">
        <is>
          <t>Pokemon</t>
        </is>
      </c>
      <c r="F1959" s="2" t="inlineStr">
        <is>
          <t>Coffret</t>
        </is>
      </c>
      <c r="G1959" s="2" t="inlineStr">
        <is>
          <t>Promo</t>
        </is>
      </c>
      <c r="H1959" s="3" t="n">
        <v>124.99</v>
      </c>
      <c r="I1959" s="3" t="n"/>
      <c r="J1959" s="3" t="n"/>
      <c r="K1959" s="3" t="n"/>
      <c r="L1959" s="2" t="inlineStr">
        <is>
          <t>PriceCharting</t>
        </is>
      </c>
      <c r="M1959" s="4" t="inlineStr">
        <is>
          <t>https://www.pricecharting.com/game/pokemon-promo/zacian-v-union-special-collection-box</t>
        </is>
      </c>
    </row>
    <row r="1960">
      <c r="A1960" s="2" t="inlineStr">
        <is>
          <t>Promo Zeraora VMAX &amp; VStar Battle Box</t>
        </is>
      </c>
      <c r="B1960" s="3">
        <f>IF(H1960&lt;&gt;"",H1960,IF(I1960&lt;&gt;"",I1960,IF(J1960&lt;&gt;"",J1960,K1960)))</f>
        <v>89.6</v>
      </c>
      <c r="C1960" s="3">
        <f>MEDIAN(H1960:K1960)</f>
        <v>89.6</v>
      </c>
      <c r="D1960" s="3">
        <f>ROUND(C1960*(1-Settings!$B$2),2)</f>
        <v>62.72</v>
      </c>
      <c r="E1960" s="2" t="inlineStr">
        <is>
          <t>Pokemon</t>
        </is>
      </c>
      <c r="F1960" s="2" t="inlineStr">
        <is>
          <t>Coffret</t>
        </is>
      </c>
      <c r="G1960" s="2" t="inlineStr">
        <is>
          <t>Promo</t>
        </is>
      </c>
      <c r="H1960" s="3" t="n">
        <v>89.59999999999999</v>
      </c>
      <c r="I1960" s="3" t="n"/>
      <c r="J1960" s="3" t="n"/>
      <c r="K1960" s="3" t="n"/>
      <c r="L1960" s="2" t="inlineStr">
        <is>
          <t>PriceCharting</t>
        </is>
      </c>
      <c r="M1960" s="4" t="inlineStr">
        <is>
          <t>https://www.pricecharting.com/game/pokemon-promo/zeraora-vmax-&amp;-vstar-battle-box</t>
        </is>
      </c>
    </row>
    <row r="1961">
      <c r="A1961" s="2" t="inlineStr">
        <is>
          <t>Promo Zoroark &amp; Legendary Pokemon [Jumbo] #World of Illusions Box Promo</t>
        </is>
      </c>
      <c r="B1961" s="3">
        <f>IF(H1961&lt;&gt;"",H1961,IF(I1961&lt;&gt;"",I1961,IF(J1961&lt;&gt;"",J1961,K1961)))</f>
        <v>43.26</v>
      </c>
      <c r="C1961" s="3">
        <f>MEDIAN(H1961:K1961)</f>
        <v>43.26</v>
      </c>
      <c r="D1961" s="3">
        <f>ROUND(C1961*(1-Settings!$B$2),2)</f>
        <v>30.28</v>
      </c>
      <c r="E1961" s="2" t="inlineStr">
        <is>
          <t>Pokemon</t>
        </is>
      </c>
      <c r="F1961" s="2" t="inlineStr">
        <is>
          <t>Coffret</t>
        </is>
      </c>
      <c r="G1961" s="2" t="inlineStr">
        <is>
          <t>Promo</t>
        </is>
      </c>
      <c r="H1961" s="3" t="n">
        <v>43.26</v>
      </c>
      <c r="I1961" s="3" t="n"/>
      <c r="J1961" s="3" t="n"/>
      <c r="K1961" s="3" t="n"/>
      <c r="L1961" s="2" t="inlineStr">
        <is>
          <t>PriceCharting</t>
        </is>
      </c>
      <c r="M1961" s="4" t="inlineStr">
        <is>
          <t>https://www.pricecharting.com/game/pokemon-promo/zoroark-&amp;-legendary-pokemon-jumbo-world-of-illusions-box-promo</t>
        </is>
      </c>
    </row>
    <row r="1962">
      <c r="A1962" s="2" t="inlineStr">
        <is>
          <t>Roaring Skies 3-Pack Blister</t>
        </is>
      </c>
      <c r="B1962" s="3">
        <f>IF(H1962&lt;&gt;"",H1962,IF(I1962&lt;&gt;"",I1962,IF(J1962&lt;&gt;"",J1962,K1962)))</f>
        <v>131.25</v>
      </c>
      <c r="C1962" s="3">
        <f>MEDIAN(H1962:K1962)</f>
        <v>131.25</v>
      </c>
      <c r="D1962" s="3">
        <f>ROUND(C1962*(1-Settings!$B$2),2)</f>
        <v>91.88</v>
      </c>
      <c r="E1962" s="2" t="inlineStr">
        <is>
          <t>Pokemon</t>
        </is>
      </c>
      <c r="F1962" s="2" t="inlineStr">
        <is>
          <t>Coffret</t>
        </is>
      </c>
      <c r="G1962" s="2" t="inlineStr">
        <is>
          <t>Roaring Skies</t>
        </is>
      </c>
      <c r="H1962" s="3" t="n">
        <v>131.25</v>
      </c>
      <c r="I1962" s="3" t="n"/>
      <c r="J1962" s="3" t="n"/>
      <c r="K1962" s="3" t="n"/>
      <c r="L1962" s="2" t="inlineStr">
        <is>
          <t>PriceCharting</t>
        </is>
      </c>
      <c r="M1962" s="4" t="inlineStr">
        <is>
          <t>https://www.pricecharting.com/game/pokemon-roaring-skies/3-pack-blister</t>
        </is>
      </c>
    </row>
    <row r="1963">
      <c r="A1963" s="2" t="inlineStr">
        <is>
          <t>Roaring Skies Elite Trainer Box</t>
        </is>
      </c>
      <c r="B1963" s="3">
        <f>IF(H1963&lt;&gt;"",H1963,IF(I1963&lt;&gt;"",I1963,IF(J1963&lt;&gt;"",J1963,K1963)))</f>
        <v>8425.5</v>
      </c>
      <c r="C1963" s="3">
        <f>MEDIAN(H1963:K1963)</f>
        <v>8425.5</v>
      </c>
      <c r="D1963" s="3">
        <f>ROUND(C1963*(1-Settings!$B$2),2)</f>
        <v>5897.85</v>
      </c>
      <c r="E1963" s="2" t="inlineStr">
        <is>
          <t>Pokemon</t>
        </is>
      </c>
      <c r="F1963" s="2" t="inlineStr">
        <is>
          <t>Coffret</t>
        </is>
      </c>
      <c r="G1963" s="2" t="inlineStr">
        <is>
          <t>Roaring Skies</t>
        </is>
      </c>
      <c r="H1963" s="3" t="n">
        <v>8425.5</v>
      </c>
      <c r="I1963" s="3" t="n"/>
      <c r="J1963" s="3" t="n"/>
      <c r="K1963" s="3" t="n"/>
      <c r="L1963" s="2" t="inlineStr">
        <is>
          <t>PriceCharting</t>
        </is>
      </c>
      <c r="M1963" s="4" t="inlineStr">
        <is>
          <t>https://www.pricecharting.com/game/pokemon-roaring-skies/elite-trainer-box</t>
        </is>
      </c>
    </row>
    <row r="1964">
      <c r="A1964" s="2" t="inlineStr">
        <is>
          <t>Roaring Skies Mega Absol EX Premium Collection Box</t>
        </is>
      </c>
      <c r="B1964" s="3">
        <f>IF(H1964&lt;&gt;"",H1964,IF(I1964&lt;&gt;"",I1964,IF(J1964&lt;&gt;"",J1964,K1964)))</f>
        <v>1045.05</v>
      </c>
      <c r="C1964" s="3">
        <f>MEDIAN(H1964:K1964)</f>
        <v>1045.05</v>
      </c>
      <c r="D1964" s="3">
        <f>ROUND(C1964*(1-Settings!$B$2),2)</f>
        <v>731.54</v>
      </c>
      <c r="E1964" s="2" t="inlineStr">
        <is>
          <t>Pokemon</t>
        </is>
      </c>
      <c r="F1964" s="2" t="inlineStr">
        <is>
          <t>Coffret</t>
        </is>
      </c>
      <c r="G1964" s="2" t="inlineStr">
        <is>
          <t>Roaring Skies</t>
        </is>
      </c>
      <c r="H1964" s="3" t="n">
        <v>1045.05</v>
      </c>
      <c r="I1964" s="3" t="n"/>
      <c r="J1964" s="3" t="n"/>
      <c r="K1964" s="3" t="n"/>
      <c r="L1964" s="2" t="inlineStr">
        <is>
          <t>PriceCharting</t>
        </is>
      </c>
      <c r="M1964" s="4" t="inlineStr">
        <is>
          <t>https://www.pricecharting.com/game/pokemon-roaring-skies/mega-absol-ex-premium-collection-box</t>
        </is>
      </c>
    </row>
    <row r="1965">
      <c r="A1965" s="2" t="inlineStr">
        <is>
          <t>Rumble Sealed Box</t>
        </is>
      </c>
      <c r="B1965" s="3">
        <f>IF(H1965&lt;&gt;"",H1965,IF(I1965&lt;&gt;"",I1965,IF(J1965&lt;&gt;"",J1965,K1965)))</f>
        <v>7407.35</v>
      </c>
      <c r="C1965" s="3">
        <f>MEDIAN(H1965:K1965)</f>
        <v>7407.35</v>
      </c>
      <c r="D1965" s="3">
        <f>ROUND(C1965*(1-Settings!$B$2),2)</f>
        <v>5185.15</v>
      </c>
      <c r="E1965" s="2" t="inlineStr">
        <is>
          <t>Pokemon</t>
        </is>
      </c>
      <c r="F1965" s="2" t="inlineStr">
        <is>
          <t>Coffret</t>
        </is>
      </c>
      <c r="G1965" s="2" t="inlineStr">
        <is>
          <t>Rumble</t>
        </is>
      </c>
      <c r="H1965" s="3" t="n">
        <v>7407.35</v>
      </c>
      <c r="I1965" s="3" t="n"/>
      <c r="J1965" s="3" t="n"/>
      <c r="K1965" s="3" t="n"/>
      <c r="L1965" s="2" t="inlineStr">
        <is>
          <t>PriceCharting</t>
        </is>
      </c>
      <c r="M1965" s="4" t="inlineStr">
        <is>
          <t>https://www.pricecharting.com/game/pokemon-rumble/sealed-box</t>
        </is>
      </c>
    </row>
    <row r="1966">
      <c r="A1966" s="2" t="inlineStr">
        <is>
          <t>Pokemon Deluxe Stamp Box Set</t>
        </is>
      </c>
      <c r="B1966" s="3">
        <f>IF(H1966&lt;&gt;"",H1966,IF(I1966&lt;&gt;"",I1966,IF(J1966&lt;&gt;"",J1966,K1966)))</f>
        <v>3325.0</v>
      </c>
      <c r="C1966" s="3">
        <f>MEDIAN(H1966:K1966)</f>
        <v>3662.495</v>
      </c>
      <c r="D1966" s="3">
        <f>ROUND(C1966*(1-Settings!$B$2),2)</f>
        <v>2563.75</v>
      </c>
      <c r="E1966" s="2" t="inlineStr">
        <is>
          <t>Pokemon</t>
        </is>
      </c>
      <c r="F1966" s="2" t="inlineStr">
        <is>
          <t>Coffret</t>
        </is>
      </c>
      <c r="G1966" s="2" t="inlineStr">
        <is>
          <t>S-P: Sword &amp; Shield Promos</t>
        </is>
      </c>
      <c r="H1966" s="3" t="n"/>
      <c r="I1966" s="3" t="n">
        <v>3325</v>
      </c>
      <c r="J1966" s="3" t="n"/>
      <c r="K1966" s="3" t="n">
        <v>3999.99</v>
      </c>
      <c r="L1966" s="2" t="inlineStr">
        <is>
          <t>TCGplayer</t>
        </is>
      </c>
      <c r="N1966" s="4" t="inlineStr">
        <is>
          <t>https://www.tcgplayer.com/product/627698</t>
        </is>
      </c>
    </row>
    <row r="1967">
      <c r="A1967" s="2" t="inlineStr">
        <is>
          <t>Sword and Shield Precious Collector Box</t>
        </is>
      </c>
      <c r="B1967" s="3">
        <f>IF(H1967&lt;&gt;"",H1967,IF(I1967&lt;&gt;"",I1967,IF(J1967&lt;&gt;"",J1967,K1967)))</f>
        <v>464.63</v>
      </c>
      <c r="C1967" s="3">
        <f>MEDIAN(H1967:K1967)</f>
        <v>527.31</v>
      </c>
      <c r="D1967" s="3">
        <f>ROUND(C1967*(1-Settings!$B$2),2)</f>
        <v>369.12</v>
      </c>
      <c r="E1967" s="2" t="inlineStr">
        <is>
          <t>Pokemon</t>
        </is>
      </c>
      <c r="F1967" s="2" t="inlineStr">
        <is>
          <t>Coffret</t>
        </is>
      </c>
      <c r="G1967" s="2" t="inlineStr">
        <is>
          <t>S-P: Sword &amp; Shield Promos</t>
        </is>
      </c>
      <c r="H1967" s="3" t="n"/>
      <c r="I1967" s="3" t="n">
        <v>464.63</v>
      </c>
      <c r="J1967" s="3" t="n"/>
      <c r="K1967" s="3" t="n">
        <v>589.99</v>
      </c>
      <c r="L1967" s="2" t="inlineStr">
        <is>
          <t>TCGplayer</t>
        </is>
      </c>
      <c r="N1967" s="4" t="inlineStr">
        <is>
          <t>https://www.tcgplayer.com/product/638934</t>
        </is>
      </c>
    </row>
    <row r="1968">
      <c r="A1968" s="2" t="inlineStr">
        <is>
          <t>Pokemon Go Card File Set - Pokemon Go Teams</t>
        </is>
      </c>
      <c r="B1968" s="3">
        <f>IF(H1968&lt;&gt;"",H1968,IF(I1968&lt;&gt;"",I1968,IF(J1968&lt;&gt;"",J1968,K1968)))</f>
        <v>100.0</v>
      </c>
      <c r="C1968" s="3">
        <f>MEDIAN(H1968:K1968)</f>
        <v>118.74</v>
      </c>
      <c r="D1968" s="3">
        <f>ROUND(C1968*(1-Settings!$B$2),2)</f>
        <v>83.12</v>
      </c>
      <c r="E1968" s="2" t="inlineStr">
        <is>
          <t>Pokemon</t>
        </is>
      </c>
      <c r="F1968" s="2" t="inlineStr">
        <is>
          <t>Coffret</t>
        </is>
      </c>
      <c r="G1968" s="2" t="inlineStr">
        <is>
          <t>S10b: Pokemon GO</t>
        </is>
      </c>
      <c r="H1968" s="3" t="n"/>
      <c r="I1968" s="3" t="n">
        <v>100</v>
      </c>
      <c r="J1968" s="3" t="n"/>
      <c r="K1968" s="3" t="n">
        <v>137.48</v>
      </c>
      <c r="L1968" s="2" t="inlineStr">
        <is>
          <t>TCGplayer</t>
        </is>
      </c>
      <c r="N1968" s="4" t="inlineStr">
        <is>
          <t>https://www.tcgplayer.com/product/627702</t>
        </is>
      </c>
    </row>
    <row r="1969">
      <c r="A1969" s="2" t="inlineStr">
        <is>
          <t>Lost Abyss Special Set</t>
        </is>
      </c>
      <c r="B1969" s="3">
        <f>IF(H1969&lt;&gt;"",H1969,IF(I1969&lt;&gt;"",I1969,IF(J1969&lt;&gt;"",J1969,K1969)))</f>
        <v>300.0</v>
      </c>
      <c r="C1969" s="3">
        <f>MEDIAN(H1969:K1969)</f>
        <v>350.0</v>
      </c>
      <c r="D1969" s="3">
        <f>ROUND(C1969*(1-Settings!$B$2),2)</f>
        <v>245.0</v>
      </c>
      <c r="E1969" s="2" t="inlineStr">
        <is>
          <t>Pokemon</t>
        </is>
      </c>
      <c r="F1969" s="2" t="inlineStr">
        <is>
          <t>Coffret</t>
        </is>
      </c>
      <c r="G1969" s="2" t="inlineStr">
        <is>
          <t>S11: Lost Abyss</t>
        </is>
      </c>
      <c r="H1969" s="3" t="n"/>
      <c r="I1969" s="3" t="n">
        <v>300</v>
      </c>
      <c r="J1969" s="3" t="n"/>
      <c r="K1969" s="3" t="n">
        <v>400</v>
      </c>
      <c r="L1969" s="2" t="inlineStr">
        <is>
          <t>TCGplayer</t>
        </is>
      </c>
      <c r="N1969" s="4" t="inlineStr">
        <is>
          <t>https://www.tcgplayer.com/product/618176</t>
        </is>
      </c>
    </row>
    <row r="1970">
      <c r="A1970" s="2" t="inlineStr">
        <is>
          <t>Toxtricity V Special Set</t>
        </is>
      </c>
      <c r="B1970" s="3">
        <f>IF(H1970&lt;&gt;"",H1970,IF(I1970&lt;&gt;"",I1970,IF(J1970&lt;&gt;"",J1970,K1970)))</f>
        <v>229.99</v>
      </c>
      <c r="C1970" s="3">
        <f>MEDIAN(H1970:K1970)</f>
        <v>229.99</v>
      </c>
      <c r="D1970" s="3">
        <f>ROUND(C1970*(1-Settings!$B$2),2)</f>
        <v>160.99</v>
      </c>
      <c r="E1970" s="2" t="inlineStr">
        <is>
          <t>Pokemon</t>
        </is>
      </c>
      <c r="F1970" s="2" t="inlineStr">
        <is>
          <t>Coffret</t>
        </is>
      </c>
      <c r="G1970" s="2" t="inlineStr">
        <is>
          <t>S2: Rebellion Crash</t>
        </is>
      </c>
      <c r="H1970" s="3" t="n"/>
      <c r="I1970" s="3" t="n"/>
      <c r="J1970" s="3" t="n"/>
      <c r="K1970" s="3" t="n">
        <v>229.99</v>
      </c>
      <c r="L1970" s="2" t="inlineStr">
        <is>
          <t>TCGplayer</t>
        </is>
      </c>
      <c r="N1970" s="4" t="inlineStr">
        <is>
          <t>https://www.tcgplayer.com/product/626514</t>
        </is>
      </c>
    </row>
    <row r="1971">
      <c r="A1971" s="2" t="inlineStr">
        <is>
          <t>Matchless Fighters Klara and Avery Set</t>
        </is>
      </c>
      <c r="B1971" s="3">
        <f>IF(H1971&lt;&gt;"",H1971,IF(I1971&lt;&gt;"",I1971,IF(J1971&lt;&gt;"",J1971,K1971)))</f>
        <v>440.96</v>
      </c>
      <c r="C1971" s="3">
        <f>MEDIAN(H1971:K1971)</f>
        <v>440.96</v>
      </c>
      <c r="D1971" s="3">
        <f>ROUND(C1971*(1-Settings!$B$2),2)</f>
        <v>308.67</v>
      </c>
      <c r="E1971" s="2" t="inlineStr">
        <is>
          <t>Pokemon</t>
        </is>
      </c>
      <c r="F1971" s="2" t="inlineStr">
        <is>
          <t>Coffret</t>
        </is>
      </c>
      <c r="G1971" s="2" t="inlineStr">
        <is>
          <t>S5a: Peerless Fighters</t>
        </is>
      </c>
      <c r="H1971" s="3" t="n"/>
      <c r="I1971" s="3" t="n"/>
      <c r="J1971" s="3" t="n"/>
      <c r="K1971" s="3" t="n">
        <v>440.96</v>
      </c>
      <c r="L1971" s="2" t="inlineStr">
        <is>
          <t>TCGplayer</t>
        </is>
      </c>
      <c r="N1971" s="4" t="inlineStr">
        <is>
          <t>https://www.tcgplayer.com/product/638076</t>
        </is>
      </c>
    </row>
    <row r="1972">
      <c r="A1972" s="2" t="inlineStr">
        <is>
          <t>Eevee Heroes Gym Box</t>
        </is>
      </c>
      <c r="B1972" s="3">
        <f>IF(H1972&lt;&gt;"",H1972,IF(I1972&lt;&gt;"",I1972,IF(J1972&lt;&gt;"",J1972,K1972)))</f>
        <v>2078.33</v>
      </c>
      <c r="C1972" s="3">
        <f>MEDIAN(H1972:K1972)</f>
        <v>2186.665</v>
      </c>
      <c r="D1972" s="3">
        <f>ROUND(C1972*(1-Settings!$B$2),2)</f>
        <v>1530.67</v>
      </c>
      <c r="E1972" s="2" t="inlineStr">
        <is>
          <t>Pokemon</t>
        </is>
      </c>
      <c r="F1972" s="2" t="inlineStr">
        <is>
          <t>Coffret</t>
        </is>
      </c>
      <c r="G1972" s="2" t="inlineStr">
        <is>
          <t>S6a: Eevee Heroes</t>
        </is>
      </c>
      <c r="H1972" s="3" t="n"/>
      <c r="I1972" s="3" t="n">
        <v>2078.33</v>
      </c>
      <c r="J1972" s="3" t="n"/>
      <c r="K1972" s="3" t="n">
        <v>2295</v>
      </c>
      <c r="L1972" s="2" t="inlineStr">
        <is>
          <t>TCGplayer</t>
        </is>
      </c>
      <c r="N1972" s="4" t="inlineStr">
        <is>
          <t>https://www.tcgplayer.com/product/608794</t>
        </is>
      </c>
    </row>
    <row r="1973">
      <c r="A1973" s="2" t="inlineStr">
        <is>
          <t>Eevee Heroes VMAX Special Set</t>
        </is>
      </c>
      <c r="B1973" s="3">
        <f>IF(H1973&lt;&gt;"",H1973,IF(I1973&lt;&gt;"",I1973,IF(J1973&lt;&gt;"",J1973,K1973)))</f>
        <v>288.34</v>
      </c>
      <c r="C1973" s="3">
        <f>MEDIAN(H1973:K1973)</f>
        <v>298.66499999999996</v>
      </c>
      <c r="D1973" s="3">
        <f>ROUND(C1973*(1-Settings!$B$2),2)</f>
        <v>209.07</v>
      </c>
      <c r="E1973" s="2" t="inlineStr">
        <is>
          <t>Pokemon</t>
        </is>
      </c>
      <c r="F1973" s="2" t="inlineStr">
        <is>
          <t>Coffret</t>
        </is>
      </c>
      <c r="G1973" s="2" t="inlineStr">
        <is>
          <t>S6a: Eevee Heroes</t>
        </is>
      </c>
      <c r="H1973" s="3" t="n"/>
      <c r="I1973" s="3" t="n">
        <v>288.34</v>
      </c>
      <c r="J1973" s="3" t="n"/>
      <c r="K1973" s="3" t="n">
        <v>308.99</v>
      </c>
      <c r="L1973" s="2" t="inlineStr">
        <is>
          <t>TCGplayer</t>
        </is>
      </c>
      <c r="N1973" s="4" t="inlineStr">
        <is>
          <t>https://www.tcgplayer.com/product/606718</t>
        </is>
      </c>
    </row>
    <row r="1974">
      <c r="A1974" s="2" t="inlineStr">
        <is>
          <t>25th Anniversary Golden Box</t>
        </is>
      </c>
      <c r="B1974" s="3">
        <f>IF(H1974&lt;&gt;"",H1974,IF(I1974&lt;&gt;"",I1974,IF(J1974&lt;&gt;"",J1974,K1974)))</f>
        <v>1688.5</v>
      </c>
      <c r="C1974" s="3">
        <f>MEDIAN(H1974:K1974)</f>
        <v>2092.245</v>
      </c>
      <c r="D1974" s="3">
        <f>ROUND(C1974*(1-Settings!$B$2),2)</f>
        <v>1464.57</v>
      </c>
      <c r="E1974" s="2" t="inlineStr">
        <is>
          <t>Pokemon</t>
        </is>
      </c>
      <c r="F1974" s="2" t="inlineStr">
        <is>
          <t>Coffret</t>
        </is>
      </c>
      <c r="G1974" s="2" t="inlineStr">
        <is>
          <t>s8a-G: 25th Anniversary Golden Box</t>
        </is>
      </c>
      <c r="H1974" s="3" t="n"/>
      <c r="I1974" s="3" t="n">
        <v>1688.5</v>
      </c>
      <c r="J1974" s="3" t="n"/>
      <c r="K1974" s="3" t="n">
        <v>2495.99</v>
      </c>
      <c r="L1974" s="2" t="inlineStr">
        <is>
          <t>TCGplayer</t>
        </is>
      </c>
      <c r="N1974" s="4" t="inlineStr">
        <is>
          <t>https://www.tcgplayer.com/product/647455</t>
        </is>
      </c>
    </row>
    <row r="1975">
      <c r="A1975" s="2" t="inlineStr">
        <is>
          <t>Promo Card 25th Anniversary Collection Booster Pack</t>
        </is>
      </c>
      <c r="B1975" s="3">
        <f>IF(H1975&lt;&gt;"",H1975,IF(I1975&lt;&gt;"",I1975,IF(J1975&lt;&gt;"",J1975,K1975)))</f>
        <v>103.0</v>
      </c>
      <c r="C1975" s="3">
        <f>MEDIAN(H1975:K1975)</f>
        <v>101.5</v>
      </c>
      <c r="D1975" s="3">
        <f>ROUND(C1975*(1-Settings!$B$2),2)</f>
        <v>71.05</v>
      </c>
      <c r="E1975" s="2" t="inlineStr">
        <is>
          <t>Pokemon</t>
        </is>
      </c>
      <c r="F1975" s="2" t="inlineStr">
        <is>
          <t>Coffret</t>
        </is>
      </c>
      <c r="G1975" s="2" t="inlineStr">
        <is>
          <t>s8a-P: Promo Card Pack 25th Anniversary Edition</t>
        </is>
      </c>
      <c r="H1975" s="3" t="n"/>
      <c r="I1975" s="3" t="n">
        <v>103</v>
      </c>
      <c r="J1975" s="3" t="n"/>
      <c r="K1975" s="3" t="n">
        <v>100</v>
      </c>
      <c r="L1975" s="2" t="inlineStr">
        <is>
          <t>TCGplayer</t>
        </is>
      </c>
      <c r="N1975" s="4" t="inlineStr">
        <is>
          <t>https://www.tcgplayer.com/product/657880</t>
        </is>
      </c>
    </row>
    <row r="1976">
      <c r="A1976" s="2" t="inlineStr">
        <is>
          <t>25th Anniversary Collection Booster Pack</t>
        </is>
      </c>
      <c r="B1976" s="3">
        <f>IF(H1976&lt;&gt;"",H1976,IF(I1976&lt;&gt;"",I1976,IF(J1976&lt;&gt;"",J1976,K1976)))</f>
        <v>31.81</v>
      </c>
      <c r="C1976" s="3">
        <f>MEDIAN(H1976:K1976)</f>
        <v>33.155</v>
      </c>
      <c r="D1976" s="3">
        <f>ROUND(C1976*(1-Settings!$B$2),2)</f>
        <v>23.21</v>
      </c>
      <c r="E1976" s="2" t="inlineStr">
        <is>
          <t>Pokemon</t>
        </is>
      </c>
      <c r="F1976" s="2" t="inlineStr">
        <is>
          <t>Coffret</t>
        </is>
      </c>
      <c r="G1976" s="2" t="inlineStr">
        <is>
          <t>S8a: 25th Anniversary Collection</t>
        </is>
      </c>
      <c r="H1976" s="3" t="n"/>
      <c r="I1976" s="3" t="n">
        <v>31.81</v>
      </c>
      <c r="J1976" s="3" t="n"/>
      <c r="K1976" s="3" t="n">
        <v>34.5</v>
      </c>
      <c r="L1976" s="2" t="inlineStr">
        <is>
          <t>TCGplayer</t>
        </is>
      </c>
      <c r="N1976" s="4" t="inlineStr">
        <is>
          <t>https://www.tcgplayer.com/product/565261</t>
        </is>
      </c>
    </row>
    <row r="1977">
      <c r="A1977" s="2" t="inlineStr">
        <is>
          <t>Shining Fates Boltund V Tin</t>
        </is>
      </c>
      <c r="B1977" s="3">
        <f>IF(H1977&lt;&gt;"",H1977,IF(I1977&lt;&gt;"",I1977,IF(J1977&lt;&gt;"",J1977,K1977)))</f>
        <v>63.5</v>
      </c>
      <c r="C1977" s="3">
        <f>MEDIAN(H1977:K1977)</f>
        <v>63.5</v>
      </c>
      <c r="D1977" s="3">
        <f>ROUND(C1977*(1-Settings!$B$2),2)</f>
        <v>44.45</v>
      </c>
      <c r="E1977" s="2" t="inlineStr">
        <is>
          <t>Pokemon</t>
        </is>
      </c>
      <c r="F1977" s="2" t="inlineStr">
        <is>
          <t>Coffret</t>
        </is>
      </c>
      <c r="G1977" s="2" t="inlineStr">
        <is>
          <t>Shining Fates</t>
        </is>
      </c>
      <c r="H1977" s="3" t="n">
        <v>63.5</v>
      </c>
      <c r="I1977" s="3" t="n"/>
      <c r="J1977" s="3" t="n"/>
      <c r="K1977" s="3" t="n"/>
      <c r="L1977" s="2" t="inlineStr">
        <is>
          <t>PriceCharting</t>
        </is>
      </c>
      <c r="M1977" s="4" t="inlineStr">
        <is>
          <t>https://www.pricecharting.com/game/pokemon-shining-fates/boltund-v-tin</t>
        </is>
      </c>
    </row>
    <row r="1978">
      <c r="A1978" s="2" t="inlineStr">
        <is>
          <t>Shining Fates Booster Pack Art Bundle [Set of 4]</t>
        </is>
      </c>
      <c r="B1978" s="3">
        <f>IF(H1978&lt;&gt;"",H1978,IF(I1978&lt;&gt;"",I1978,IF(J1978&lt;&gt;"",J1978,K1978)))</f>
        <v>59.17</v>
      </c>
      <c r="C1978" s="3">
        <f>MEDIAN(H1978:K1978)</f>
        <v>59.17</v>
      </c>
      <c r="D1978" s="3">
        <f>ROUND(C1978*(1-Settings!$B$2),2)</f>
        <v>41.42</v>
      </c>
      <c r="E1978" s="2" t="inlineStr">
        <is>
          <t>Pokemon</t>
        </is>
      </c>
      <c r="F1978" s="2" t="inlineStr">
        <is>
          <t>Coffret</t>
        </is>
      </c>
      <c r="G1978" s="2" t="inlineStr">
        <is>
          <t>Shining Fates</t>
        </is>
      </c>
      <c r="H1978" s="3" t="n"/>
      <c r="I1978" s="3" t="n">
        <v>59.17</v>
      </c>
      <c r="J1978" s="3" t="n">
        <v>61.98</v>
      </c>
      <c r="K1978" s="3" t="n">
        <v>58.99</v>
      </c>
      <c r="L1978" s="2" t="inlineStr">
        <is>
          <t>TCGplayer</t>
        </is>
      </c>
      <c r="N1978" s="4" t="inlineStr">
        <is>
          <t>https://www.tcgplayer.com/product/265320</t>
        </is>
      </c>
    </row>
    <row r="1979">
      <c r="A1979" s="2" t="inlineStr">
        <is>
          <t>Shining Fates Collection [Pikachu V]</t>
        </is>
      </c>
      <c r="B1979" s="3">
        <f>IF(H1979&lt;&gt;"",H1979,IF(I1979&lt;&gt;"",I1979,IF(J1979&lt;&gt;"",J1979,K1979)))</f>
        <v>65.65</v>
      </c>
      <c r="C1979" s="3">
        <f>MEDIAN(H1979:K1979)</f>
        <v>65.65</v>
      </c>
      <c r="D1979" s="3">
        <f>ROUND(C1979*(1-Settings!$B$2),2)</f>
        <v>45.96</v>
      </c>
      <c r="E1979" s="2" t="inlineStr">
        <is>
          <t>Pokemon</t>
        </is>
      </c>
      <c r="F1979" s="2" t="inlineStr">
        <is>
          <t>Coffret</t>
        </is>
      </c>
      <c r="G1979" s="2" t="inlineStr">
        <is>
          <t>Shining Fates</t>
        </is>
      </c>
      <c r="H1979" s="3" t="n"/>
      <c r="I1979" s="3" t="n">
        <v>65.65000000000001</v>
      </c>
      <c r="J1979" s="3" t="n">
        <v>75</v>
      </c>
      <c r="K1979" s="3" t="n">
        <v>49.99</v>
      </c>
      <c r="L1979" s="2" t="inlineStr">
        <is>
          <t>TCGplayer</t>
        </is>
      </c>
      <c r="N1979" s="4" t="inlineStr">
        <is>
          <t>https://www.tcgplayer.com/product/228825</t>
        </is>
      </c>
    </row>
    <row r="1980">
      <c r="A1980" s="2" t="inlineStr">
        <is>
          <t>Shining Fates Collection [Shiny Boltund V]</t>
        </is>
      </c>
      <c r="B1980" s="3">
        <f>IF(H1980&lt;&gt;"",H1980,IF(I1980&lt;&gt;"",I1980,IF(J1980&lt;&gt;"",J1980,K1980)))</f>
        <v>68.19</v>
      </c>
      <c r="C1980" s="3">
        <f>MEDIAN(H1980:K1980)</f>
        <v>99.0</v>
      </c>
      <c r="D1980" s="3">
        <f>ROUND(C1980*(1-Settings!$B$2),2)</f>
        <v>69.3</v>
      </c>
      <c r="E1980" s="2" t="inlineStr">
        <is>
          <t>Pokemon</t>
        </is>
      </c>
      <c r="F1980" s="2" t="inlineStr">
        <is>
          <t>Coffret</t>
        </is>
      </c>
      <c r="G1980" s="2" t="inlineStr">
        <is>
          <t>Shining Fates</t>
        </is>
      </c>
      <c r="H1980" s="3" t="n"/>
      <c r="I1980" s="3" t="n">
        <v>68.19</v>
      </c>
      <c r="J1980" s="3" t="n">
        <v>124.99</v>
      </c>
      <c r="K1980" s="3" t="n">
        <v>99</v>
      </c>
      <c r="L1980" s="2" t="inlineStr">
        <is>
          <t>TCGplayer</t>
        </is>
      </c>
      <c r="N1980" s="4" t="inlineStr">
        <is>
          <t>https://www.tcgplayer.com/product/240191</t>
        </is>
      </c>
    </row>
    <row r="1981">
      <c r="A1981" s="2" t="inlineStr">
        <is>
          <t>Shining Fates Collection [Shiny Eldegoss V]</t>
        </is>
      </c>
      <c r="B1981" s="3">
        <f>IF(H1981&lt;&gt;"",H1981,IF(I1981&lt;&gt;"",I1981,IF(J1981&lt;&gt;"",J1981,K1981)))</f>
        <v>62.74</v>
      </c>
      <c r="C1981" s="3">
        <f>MEDIAN(H1981:K1981)</f>
        <v>62.74</v>
      </c>
      <c r="D1981" s="3">
        <f>ROUND(C1981*(1-Settings!$B$2),2)</f>
        <v>43.92</v>
      </c>
      <c r="E1981" s="2" t="inlineStr">
        <is>
          <t>Pokemon</t>
        </is>
      </c>
      <c r="F1981" s="2" t="inlineStr">
        <is>
          <t>Coffret</t>
        </is>
      </c>
      <c r="G1981" s="2" t="inlineStr">
        <is>
          <t>Shining Fates</t>
        </is>
      </c>
      <c r="H1981" s="3" t="n"/>
      <c r="I1981" s="3" t="n">
        <v>62.74</v>
      </c>
      <c r="J1981" s="3" t="n">
        <v>129.99</v>
      </c>
      <c r="K1981" s="3" t="n">
        <v>62.74</v>
      </c>
      <c r="L1981" s="2" t="inlineStr">
        <is>
          <t>TCGplayer</t>
        </is>
      </c>
      <c r="N1981" s="4" t="inlineStr">
        <is>
          <t>https://www.tcgplayer.com/product/240192</t>
        </is>
      </c>
    </row>
    <row r="1982">
      <c r="A1982" s="2" t="inlineStr">
        <is>
          <t>Shining Fates Cramorant V Tin</t>
        </is>
      </c>
      <c r="B1982" s="3">
        <f>IF(H1982&lt;&gt;"",H1982,IF(I1982&lt;&gt;"",I1982,IF(J1982&lt;&gt;"",J1982,K1982)))</f>
        <v>59.44</v>
      </c>
      <c r="C1982" s="3">
        <f>MEDIAN(H1982:K1982)</f>
        <v>59.44</v>
      </c>
      <c r="D1982" s="3">
        <f>ROUND(C1982*(1-Settings!$B$2),2)</f>
        <v>41.61</v>
      </c>
      <c r="E1982" s="2" t="inlineStr">
        <is>
          <t>Pokemon</t>
        </is>
      </c>
      <c r="F1982" s="2" t="inlineStr">
        <is>
          <t>Coffret</t>
        </is>
      </c>
      <c r="G1982" s="2" t="inlineStr">
        <is>
          <t>Shining Fates</t>
        </is>
      </c>
      <c r="H1982" s="3" t="n">
        <v>59.44</v>
      </c>
      <c r="I1982" s="3" t="n"/>
      <c r="J1982" s="3" t="n"/>
      <c r="K1982" s="3" t="n"/>
      <c r="L1982" s="2" t="inlineStr">
        <is>
          <t>PriceCharting</t>
        </is>
      </c>
      <c r="M1982" s="4" t="inlineStr">
        <is>
          <t>https://www.pricecharting.com/game/pokemon-shining-fates/cramorant-v-tin</t>
        </is>
      </c>
    </row>
    <row r="1983">
      <c r="A1983" s="2" t="inlineStr">
        <is>
          <t>Shining Fates Eldegoss V Tin</t>
        </is>
      </c>
      <c r="B1983" s="3">
        <f>IF(H1983&lt;&gt;"",H1983,IF(I1983&lt;&gt;"",I1983,IF(J1983&lt;&gt;"",J1983,K1983)))</f>
        <v>53.92</v>
      </c>
      <c r="C1983" s="3">
        <f>MEDIAN(H1983:K1983)</f>
        <v>53.92</v>
      </c>
      <c r="D1983" s="3">
        <f>ROUND(C1983*(1-Settings!$B$2),2)</f>
        <v>37.74</v>
      </c>
      <c r="E1983" s="2" t="inlineStr">
        <is>
          <t>Pokemon</t>
        </is>
      </c>
      <c r="F1983" s="2" t="inlineStr">
        <is>
          <t>Coffret</t>
        </is>
      </c>
      <c r="G1983" s="2" t="inlineStr">
        <is>
          <t>Shining Fates</t>
        </is>
      </c>
      <c r="H1983" s="3" t="n">
        <v>53.92</v>
      </c>
      <c r="I1983" s="3" t="n"/>
      <c r="J1983" s="3" t="n"/>
      <c r="K1983" s="3" t="n"/>
      <c r="L1983" s="2" t="inlineStr">
        <is>
          <t>PriceCharting</t>
        </is>
      </c>
      <c r="M1983" s="4" t="inlineStr">
        <is>
          <t>https://www.pricecharting.com/game/pokemon-shining-fates/eldegoss-v-tin</t>
        </is>
      </c>
    </row>
    <row r="1984">
      <c r="A1984" s="2" t="inlineStr">
        <is>
          <t>Shining Fates Elite Trainer Box</t>
        </is>
      </c>
      <c r="B1984" s="3">
        <f>IF(H1984&lt;&gt;"",H1984,IF(I1984&lt;&gt;"",I1984,IF(J1984&lt;&gt;"",J1984,K1984)))</f>
        <v>138.79</v>
      </c>
      <c r="C1984" s="3">
        <f>MEDIAN(H1984:K1984)</f>
        <v>139.3</v>
      </c>
      <c r="D1984" s="3">
        <f>ROUND(C1984*(1-Settings!$B$2),2)</f>
        <v>97.51</v>
      </c>
      <c r="E1984" s="2" t="inlineStr">
        <is>
          <t>Pokemon</t>
        </is>
      </c>
      <c r="F1984" s="2" t="inlineStr">
        <is>
          <t>Coffret</t>
        </is>
      </c>
      <c r="G1984" s="2" t="inlineStr">
        <is>
          <t>Shining Fates</t>
        </is>
      </c>
      <c r="H1984" s="3" t="n">
        <v>138.79</v>
      </c>
      <c r="I1984" s="3" t="n">
        <v>139.81</v>
      </c>
      <c r="J1984" s="3" t="n">
        <v>167.47</v>
      </c>
      <c r="K1984" s="3" t="n">
        <v>125</v>
      </c>
      <c r="L1984" s="2" t="inlineStr">
        <is>
          <t>PriceCharting + TCGplayer</t>
        </is>
      </c>
      <c r="M1984" s="4" t="inlineStr">
        <is>
          <t>https://www.pricecharting.com/game/pokemon-shining-fates/elite-trainer-box</t>
        </is>
      </c>
      <c r="N1984" s="4" t="inlineStr">
        <is>
          <t>https://www.tcgplayer.com/product/228821</t>
        </is>
      </c>
    </row>
    <row r="1985">
      <c r="A1985" s="2" t="inlineStr">
        <is>
          <t>Shining Fates Mad Party Pin Collection [Bunnelby]</t>
        </is>
      </c>
      <c r="B1985" s="3">
        <f>IF(H1985&lt;&gt;"",H1985,IF(I1985&lt;&gt;"",I1985,IF(J1985&lt;&gt;"",J1985,K1985)))</f>
        <v>53.27</v>
      </c>
      <c r="C1985" s="3">
        <f>MEDIAN(H1985:K1985)</f>
        <v>55.0</v>
      </c>
      <c r="D1985" s="3">
        <f>ROUND(C1985*(1-Settings!$B$2),2)</f>
        <v>38.5</v>
      </c>
      <c r="E1985" s="2" t="inlineStr">
        <is>
          <t>Pokemon</t>
        </is>
      </c>
      <c r="F1985" s="2" t="inlineStr">
        <is>
          <t>Coffret</t>
        </is>
      </c>
      <c r="G1985" s="2" t="inlineStr">
        <is>
          <t>Shining Fates</t>
        </is>
      </c>
      <c r="H1985" s="3" t="n"/>
      <c r="I1985" s="3" t="n">
        <v>53.27</v>
      </c>
      <c r="J1985" s="3" t="n">
        <v>84.84</v>
      </c>
      <c r="K1985" s="3" t="n">
        <v>55</v>
      </c>
      <c r="L1985" s="2" t="inlineStr">
        <is>
          <t>TCGplayer</t>
        </is>
      </c>
      <c r="N1985" s="4" t="inlineStr">
        <is>
          <t>https://www.tcgplayer.com/product/228826</t>
        </is>
      </c>
    </row>
    <row r="1986">
      <c r="A1986" s="2" t="inlineStr">
        <is>
          <t>Shining Fates Mad Party Pin Collection [Dedenne]</t>
        </is>
      </c>
      <c r="B1986" s="3">
        <f>IF(H1986&lt;&gt;"",H1986,IF(I1986&lt;&gt;"",I1986,IF(J1986&lt;&gt;"",J1986,K1986)))</f>
        <v>57.64</v>
      </c>
      <c r="C1986" s="3">
        <f>MEDIAN(H1986:K1986)</f>
        <v>60.0</v>
      </c>
      <c r="D1986" s="3">
        <f>ROUND(C1986*(1-Settings!$B$2),2)</f>
        <v>42.0</v>
      </c>
      <c r="E1986" s="2" t="inlineStr">
        <is>
          <t>Pokemon</t>
        </is>
      </c>
      <c r="F1986" s="2" t="inlineStr">
        <is>
          <t>Coffret</t>
        </is>
      </c>
      <c r="G1986" s="2" t="inlineStr">
        <is>
          <t>Shining Fates</t>
        </is>
      </c>
      <c r="H1986" s="3" t="n"/>
      <c r="I1986" s="3" t="n">
        <v>57.64</v>
      </c>
      <c r="J1986" s="3" t="n">
        <v>69.98999999999999</v>
      </c>
      <c r="K1986" s="3" t="n">
        <v>60</v>
      </c>
      <c r="L1986" s="2" t="inlineStr">
        <is>
          <t>TCGplayer</t>
        </is>
      </c>
      <c r="N1986" s="4" t="inlineStr">
        <is>
          <t>https://www.tcgplayer.com/product/228827</t>
        </is>
      </c>
    </row>
    <row r="1987">
      <c r="A1987" s="2" t="inlineStr">
        <is>
          <t>Shining Fates Mad Party Pin Collection [Galarian Mr. Rime]</t>
        </is>
      </c>
      <c r="B1987" s="3">
        <f>IF(H1987&lt;&gt;"",H1987,IF(I1987&lt;&gt;"",I1987,IF(J1987&lt;&gt;"",J1987,K1987)))</f>
        <v>56.7</v>
      </c>
      <c r="C1987" s="3">
        <f>MEDIAN(H1987:K1987)</f>
        <v>56.7</v>
      </c>
      <c r="D1987" s="3">
        <f>ROUND(C1987*(1-Settings!$B$2),2)</f>
        <v>39.69</v>
      </c>
      <c r="E1987" s="2" t="inlineStr">
        <is>
          <t>Pokemon</t>
        </is>
      </c>
      <c r="F1987" s="2" t="inlineStr">
        <is>
          <t>Coffret</t>
        </is>
      </c>
      <c r="G1987" s="2" t="inlineStr">
        <is>
          <t>Shining Fates</t>
        </is>
      </c>
      <c r="H1987" s="3" t="n"/>
      <c r="I1987" s="3" t="n">
        <v>56.7</v>
      </c>
      <c r="J1987" s="3" t="n">
        <v>64</v>
      </c>
      <c r="K1987" s="3" t="n">
        <v>55</v>
      </c>
      <c r="L1987" s="2" t="inlineStr">
        <is>
          <t>TCGplayer</t>
        </is>
      </c>
      <c r="N1987" s="4" t="inlineStr">
        <is>
          <t>https://www.tcgplayer.com/product/228828</t>
        </is>
      </c>
    </row>
    <row r="1988">
      <c r="A1988" s="2" t="inlineStr">
        <is>
          <t>Shining Fates Mad Party Pin Collection [Polteageist]</t>
        </is>
      </c>
      <c r="B1988" s="3">
        <f>IF(H1988&lt;&gt;"",H1988,IF(I1988&lt;&gt;"",I1988,IF(J1988&lt;&gt;"",J1988,K1988)))</f>
        <v>53.59</v>
      </c>
      <c r="C1988" s="3">
        <f>MEDIAN(H1988:K1988)</f>
        <v>55.5</v>
      </c>
      <c r="D1988" s="3">
        <f>ROUND(C1988*(1-Settings!$B$2),2)</f>
        <v>38.85</v>
      </c>
      <c r="E1988" s="2" t="inlineStr">
        <is>
          <t>Pokemon</t>
        </is>
      </c>
      <c r="F1988" s="2" t="inlineStr">
        <is>
          <t>Coffret</t>
        </is>
      </c>
      <c r="G1988" s="2" t="inlineStr">
        <is>
          <t>Shining Fates</t>
        </is>
      </c>
      <c r="H1988" s="3" t="n"/>
      <c r="I1988" s="3" t="n">
        <v>53.59</v>
      </c>
      <c r="J1988" s="3" t="n">
        <v>59.99</v>
      </c>
      <c r="K1988" s="3" t="n">
        <v>55.5</v>
      </c>
      <c r="L1988" s="2" t="inlineStr">
        <is>
          <t>TCGplayer</t>
        </is>
      </c>
      <c r="N1988" s="4" t="inlineStr">
        <is>
          <t>https://www.tcgplayer.com/product/228829</t>
        </is>
      </c>
    </row>
    <row r="1989">
      <c r="A1989" s="2" t="inlineStr">
        <is>
          <t>Shining Fates Mad Party Pin Collection [Set of 4]</t>
        </is>
      </c>
      <c r="B1989" s="3">
        <f>IF(H1989&lt;&gt;"",H1989,IF(I1989&lt;&gt;"",I1989,IF(J1989&lt;&gt;"",J1989,K1989)))</f>
        <v>248.75</v>
      </c>
      <c r="C1989" s="3">
        <f>MEDIAN(H1989:K1989)</f>
        <v>238.0</v>
      </c>
      <c r="D1989" s="3">
        <f>ROUND(C1989*(1-Settings!$B$2),2)</f>
        <v>166.6</v>
      </c>
      <c r="E1989" s="2" t="inlineStr">
        <is>
          <t>Pokemon</t>
        </is>
      </c>
      <c r="F1989" s="2" t="inlineStr">
        <is>
          <t>Coffret</t>
        </is>
      </c>
      <c r="G1989" s="2" t="inlineStr">
        <is>
          <t>Shining Fates</t>
        </is>
      </c>
      <c r="H1989" s="3" t="n"/>
      <c r="I1989" s="3" t="n">
        <v>248.75</v>
      </c>
      <c r="J1989" s="3" t="n">
        <v>238</v>
      </c>
      <c r="K1989" s="3" t="n">
        <v>228</v>
      </c>
      <c r="L1989" s="2" t="inlineStr">
        <is>
          <t>TCGplayer</t>
        </is>
      </c>
      <c r="N1989" s="4" t="inlineStr">
        <is>
          <t>https://www.tcgplayer.com/product/238606</t>
        </is>
      </c>
    </row>
    <row r="1990">
      <c r="A1990" s="2" t="inlineStr">
        <is>
          <t>Shining Fates Mini Tin</t>
        </is>
      </c>
      <c r="B1990" s="3">
        <f>IF(H1990&lt;&gt;"",H1990,IF(I1990&lt;&gt;"",I1990,IF(J1990&lt;&gt;"",J1990,K1990)))</f>
        <v>124.66</v>
      </c>
      <c r="C1990" s="3">
        <f>MEDIAN(H1990:K1990)</f>
        <v>124.66</v>
      </c>
      <c r="D1990" s="3">
        <f>ROUND(C1990*(1-Settings!$B$2),2)</f>
        <v>87.26</v>
      </c>
      <c r="E1990" s="2" t="inlineStr">
        <is>
          <t>Pokemon</t>
        </is>
      </c>
      <c r="F1990" s="2" t="inlineStr">
        <is>
          <t>Coffret</t>
        </is>
      </c>
      <c r="G1990" s="2" t="inlineStr">
        <is>
          <t>Shining Fates</t>
        </is>
      </c>
      <c r="H1990" s="3" t="n">
        <v>124.66</v>
      </c>
      <c r="I1990" s="3" t="n"/>
      <c r="J1990" s="3" t="n"/>
      <c r="K1990" s="3" t="n"/>
      <c r="L1990" s="2" t="inlineStr">
        <is>
          <t>PriceCharting</t>
        </is>
      </c>
      <c r="M1990" s="4" t="inlineStr">
        <is>
          <t>https://www.pricecharting.com/game/pokemon-shining-fates/shining-fates-mini-tin</t>
        </is>
      </c>
    </row>
    <row r="1991">
      <c r="A1991" s="2" t="inlineStr">
        <is>
          <t>Shining Fates Mini Tin [Kyogre]</t>
        </is>
      </c>
      <c r="B1991" s="3">
        <f>IF(H1991&lt;&gt;"",H1991,IF(I1991&lt;&gt;"",I1991,IF(J1991&lt;&gt;"",J1991,K1991)))</f>
        <v>29.65</v>
      </c>
      <c r="C1991" s="3">
        <f>MEDIAN(H1991:K1991)</f>
        <v>33.99</v>
      </c>
      <c r="D1991" s="3">
        <f>ROUND(C1991*(1-Settings!$B$2),2)</f>
        <v>23.79</v>
      </c>
      <c r="E1991" s="2" t="inlineStr">
        <is>
          <t>Pokemon</t>
        </is>
      </c>
      <c r="F1991" s="2" t="inlineStr">
        <is>
          <t>Coffret</t>
        </is>
      </c>
      <c r="G1991" s="2" t="inlineStr">
        <is>
          <t>Shining Fates</t>
        </is>
      </c>
      <c r="H1991" s="3" t="n"/>
      <c r="I1991" s="3" t="n">
        <v>29.65</v>
      </c>
      <c r="J1991" s="3" t="n">
        <v>61.14</v>
      </c>
      <c r="K1991" s="3" t="n">
        <v>33.99</v>
      </c>
      <c r="L1991" s="2" t="inlineStr">
        <is>
          <t>TCGplayer</t>
        </is>
      </c>
      <c r="N1991" s="4" t="inlineStr">
        <is>
          <t>https://www.tcgplayer.com/product/230960</t>
        </is>
      </c>
    </row>
    <row r="1992">
      <c r="A1992" s="2" t="inlineStr">
        <is>
          <t>Shining Fates Mini Tin [Manaphy]</t>
        </is>
      </c>
      <c r="B1992" s="3">
        <f>IF(H1992&lt;&gt;"",H1992,IF(I1992&lt;&gt;"",I1992,IF(J1992&lt;&gt;"",J1992,K1992)))</f>
        <v>29.08</v>
      </c>
      <c r="C1992" s="3">
        <f>MEDIAN(H1992:K1992)</f>
        <v>29.97</v>
      </c>
      <c r="D1992" s="3">
        <f>ROUND(C1992*(1-Settings!$B$2),2)</f>
        <v>20.98</v>
      </c>
      <c r="E1992" s="2" t="inlineStr">
        <is>
          <t>Pokemon</t>
        </is>
      </c>
      <c r="F1992" s="2" t="inlineStr">
        <is>
          <t>Coffret</t>
        </is>
      </c>
      <c r="G1992" s="2" t="inlineStr">
        <is>
          <t>Shining Fates</t>
        </is>
      </c>
      <c r="H1992" s="3" t="n"/>
      <c r="I1992" s="3" t="n">
        <v>29.08</v>
      </c>
      <c r="J1992" s="3" t="n">
        <v>34.06</v>
      </c>
      <c r="K1992" s="3" t="n">
        <v>29.97</v>
      </c>
      <c r="L1992" s="2" t="inlineStr">
        <is>
          <t>TCGplayer</t>
        </is>
      </c>
      <c r="N1992" s="4" t="inlineStr">
        <is>
          <t>https://www.tcgplayer.com/product/230959</t>
        </is>
      </c>
    </row>
    <row r="1993">
      <c r="A1993" s="2" t="inlineStr">
        <is>
          <t>Shining Fates Mini Tin [Reshiram]</t>
        </is>
      </c>
      <c r="B1993" s="3">
        <f>IF(H1993&lt;&gt;"",H1993,IF(I1993&lt;&gt;"",I1993,IF(J1993&lt;&gt;"",J1993,K1993)))</f>
        <v>35.62</v>
      </c>
      <c r="C1993" s="3">
        <f>MEDIAN(H1993:K1993)</f>
        <v>44.99</v>
      </c>
      <c r="D1993" s="3">
        <f>ROUND(C1993*(1-Settings!$B$2),2)</f>
        <v>31.49</v>
      </c>
      <c r="E1993" s="2" t="inlineStr">
        <is>
          <t>Pokemon</t>
        </is>
      </c>
      <c r="F1993" s="2" t="inlineStr">
        <is>
          <t>Coffret</t>
        </is>
      </c>
      <c r="G1993" s="2" t="inlineStr">
        <is>
          <t>Shining Fates</t>
        </is>
      </c>
      <c r="H1993" s="3" t="n"/>
      <c r="I1993" s="3" t="n">
        <v>35.62</v>
      </c>
      <c r="J1993" s="3" t="n">
        <v>44.99</v>
      </c>
      <c r="K1993" s="3" t="n">
        <v>44.99</v>
      </c>
      <c r="L1993" s="2" t="inlineStr">
        <is>
          <t>TCGplayer</t>
        </is>
      </c>
      <c r="N1993" s="4" t="inlineStr">
        <is>
          <t>https://www.tcgplayer.com/product/230956</t>
        </is>
      </c>
    </row>
    <row r="1994">
      <c r="A1994" s="2" t="inlineStr">
        <is>
          <t>Shining Fates Mini Tin [Zarude]</t>
        </is>
      </c>
      <c r="B1994" s="3">
        <f>IF(H1994&lt;&gt;"",H1994,IF(I1994&lt;&gt;"",I1994,IF(J1994&lt;&gt;"",J1994,K1994)))</f>
        <v>29.77</v>
      </c>
      <c r="C1994" s="3">
        <f>MEDIAN(H1994:K1994)</f>
        <v>40.0</v>
      </c>
      <c r="D1994" s="3">
        <f>ROUND(C1994*(1-Settings!$B$2),2)</f>
        <v>28.0</v>
      </c>
      <c r="E1994" s="2" t="inlineStr">
        <is>
          <t>Pokemon</t>
        </is>
      </c>
      <c r="F1994" s="2" t="inlineStr">
        <is>
          <t>Coffret</t>
        </is>
      </c>
      <c r="G1994" s="2" t="inlineStr">
        <is>
          <t>Shining Fates</t>
        </is>
      </c>
      <c r="H1994" s="3" t="n"/>
      <c r="I1994" s="3" t="n">
        <v>29.77</v>
      </c>
      <c r="J1994" s="3" t="n">
        <v>43.9</v>
      </c>
      <c r="K1994" s="3" t="n">
        <v>40</v>
      </c>
      <c r="L1994" s="2" t="inlineStr">
        <is>
          <t>TCGplayer</t>
        </is>
      </c>
      <c r="N1994" s="4" t="inlineStr">
        <is>
          <t>https://www.tcgplayer.com/product/230957</t>
        </is>
      </c>
    </row>
    <row r="1995">
      <c r="A1995" s="2" t="inlineStr">
        <is>
          <t>Shining Fates Pikachu V Collection Box</t>
        </is>
      </c>
      <c r="B1995" s="3">
        <f>IF(H1995&lt;&gt;"",H1995,IF(I1995&lt;&gt;"",I1995,IF(J1995&lt;&gt;"",J1995,K1995)))</f>
        <v>57.63</v>
      </c>
      <c r="C1995" s="3">
        <f>MEDIAN(H1995:K1995)</f>
        <v>57.63</v>
      </c>
      <c r="D1995" s="3">
        <f>ROUND(C1995*(1-Settings!$B$2),2)</f>
        <v>40.34</v>
      </c>
      <c r="E1995" s="2" t="inlineStr">
        <is>
          <t>Pokemon</t>
        </is>
      </c>
      <c r="F1995" s="2" t="inlineStr">
        <is>
          <t>Coffret</t>
        </is>
      </c>
      <c r="G1995" s="2" t="inlineStr">
        <is>
          <t>Shining Fates</t>
        </is>
      </c>
      <c r="H1995" s="3" t="n">
        <v>57.63</v>
      </c>
      <c r="I1995" s="3" t="n"/>
      <c r="J1995" s="3" t="n"/>
      <c r="K1995" s="3" t="n"/>
      <c r="L1995" s="2" t="inlineStr">
        <is>
          <t>PriceCharting</t>
        </is>
      </c>
      <c r="M1995" s="4" t="inlineStr">
        <is>
          <t>https://www.pricecharting.com/game/pokemon-shining-fates/pikachu-v-collection-box</t>
        </is>
      </c>
    </row>
    <row r="1996">
      <c r="A1996" s="2" t="inlineStr">
        <is>
          <t>Shining Fates Polteageist Mad Party Pin Collection</t>
        </is>
      </c>
      <c r="B1996" s="3">
        <f>IF(H1996&lt;&gt;"",H1996,IF(I1996&lt;&gt;"",I1996,IF(J1996&lt;&gt;"",J1996,K1996)))</f>
        <v>48.48</v>
      </c>
      <c r="C1996" s="3">
        <f>MEDIAN(H1996:K1996)</f>
        <v>48.48</v>
      </c>
      <c r="D1996" s="3">
        <f>ROUND(C1996*(1-Settings!$B$2),2)</f>
        <v>33.94</v>
      </c>
      <c r="E1996" s="2" t="inlineStr">
        <is>
          <t>Pokemon</t>
        </is>
      </c>
      <c r="F1996" s="2" t="inlineStr">
        <is>
          <t>Coffret</t>
        </is>
      </c>
      <c r="G1996" s="2" t="inlineStr">
        <is>
          <t>Shining Fates</t>
        </is>
      </c>
      <c r="H1996" s="3" t="n">
        <v>48.48</v>
      </c>
      <c r="I1996" s="3" t="n"/>
      <c r="J1996" s="3" t="n"/>
      <c r="K1996" s="3" t="n"/>
      <c r="L1996" s="2" t="inlineStr">
        <is>
          <t>PriceCharting</t>
        </is>
      </c>
      <c r="M1996" s="4" t="inlineStr">
        <is>
          <t>https://www.pricecharting.com/game/pokemon-shining-fates/polteageist-mad-party-pin-collection</t>
        </is>
      </c>
    </row>
    <row r="1997">
      <c r="A1997" s="2" t="inlineStr">
        <is>
          <t>Shining Fates Premium Collection [Shiny Crobat]</t>
        </is>
      </c>
      <c r="B1997" s="3">
        <f>IF(H1997&lt;&gt;"",H1997,IF(I1997&lt;&gt;"",I1997,IF(J1997&lt;&gt;"",J1997,K1997)))</f>
        <v>105.14</v>
      </c>
      <c r="C1997" s="3">
        <f>MEDIAN(H1997:K1997)</f>
        <v>135.51</v>
      </c>
      <c r="D1997" s="3">
        <f>ROUND(C1997*(1-Settings!$B$2),2)</f>
        <v>94.86</v>
      </c>
      <c r="E1997" s="2" t="inlineStr">
        <is>
          <t>Pokemon</t>
        </is>
      </c>
      <c r="F1997" s="2" t="inlineStr">
        <is>
          <t>Coffret</t>
        </is>
      </c>
      <c r="G1997" s="2" t="inlineStr">
        <is>
          <t>Shining Fates</t>
        </is>
      </c>
      <c r="H1997" s="3" t="n"/>
      <c r="I1997" s="3" t="n">
        <v>105.14</v>
      </c>
      <c r="J1997" s="3" t="n">
        <v>139.99</v>
      </c>
      <c r="K1997" s="3" t="n">
        <v>135.51</v>
      </c>
      <c r="L1997" s="2" t="inlineStr">
        <is>
          <t>TCGplayer</t>
        </is>
      </c>
      <c r="N1997" s="4" t="inlineStr">
        <is>
          <t>https://www.tcgplayer.com/product/230391</t>
        </is>
      </c>
    </row>
    <row r="1998">
      <c r="A1998" s="2" t="inlineStr">
        <is>
          <t>Shining Fates Premium Collection [Shiny Dragapult]</t>
        </is>
      </c>
      <c r="B1998" s="3">
        <f>IF(H1998&lt;&gt;"",H1998,IF(I1998&lt;&gt;"",I1998,IF(J1998&lt;&gt;"",J1998,K1998)))</f>
        <v>125.65</v>
      </c>
      <c r="C1998" s="3">
        <f>MEDIAN(H1998:K1998)</f>
        <v>125.65</v>
      </c>
      <c r="D1998" s="3">
        <f>ROUND(C1998*(1-Settings!$B$2),2)</f>
        <v>87.96</v>
      </c>
      <c r="E1998" s="2" t="inlineStr">
        <is>
          <t>Pokemon</t>
        </is>
      </c>
      <c r="F1998" s="2" t="inlineStr">
        <is>
          <t>Coffret</t>
        </is>
      </c>
      <c r="G1998" s="2" t="inlineStr">
        <is>
          <t>Shining Fates</t>
        </is>
      </c>
      <c r="H1998" s="3" t="n"/>
      <c r="I1998" s="3" t="n">
        <v>125.65</v>
      </c>
      <c r="J1998" s="3" t="n">
        <v>199.98</v>
      </c>
      <c r="K1998" s="3" t="n">
        <v>114</v>
      </c>
      <c r="L1998" s="2" t="inlineStr">
        <is>
          <t>TCGplayer</t>
        </is>
      </c>
      <c r="N1998" s="4" t="inlineStr">
        <is>
          <t>https://www.tcgplayer.com/product/230392</t>
        </is>
      </c>
    </row>
    <row r="1999">
      <c r="A1999" s="2" t="inlineStr">
        <is>
          <t>Shining Fates Premium Collection Box [Crobat]</t>
        </is>
      </c>
      <c r="B1999" s="3">
        <f>IF(H1999&lt;&gt;"",H1999,IF(I1999&lt;&gt;"",I1999,IF(J1999&lt;&gt;"",J1999,K1999)))</f>
        <v>95.85</v>
      </c>
      <c r="C1999" s="3">
        <f>MEDIAN(H1999:K1999)</f>
        <v>95.85</v>
      </c>
      <c r="D1999" s="3">
        <f>ROUND(C1999*(1-Settings!$B$2),2)</f>
        <v>67.1</v>
      </c>
      <c r="E1999" s="2" t="inlineStr">
        <is>
          <t>Pokemon</t>
        </is>
      </c>
      <c r="F1999" s="2" t="inlineStr">
        <is>
          <t>Coffret</t>
        </is>
      </c>
      <c r="G1999" s="2" t="inlineStr">
        <is>
          <t>Shining Fates</t>
        </is>
      </c>
      <c r="H1999" s="3" t="n">
        <v>95.84999999999999</v>
      </c>
      <c r="I1999" s="3" t="n"/>
      <c r="J1999" s="3" t="n"/>
      <c r="K1999" s="3" t="n"/>
      <c r="L1999" s="2" t="inlineStr">
        <is>
          <t>PriceCharting</t>
        </is>
      </c>
      <c r="M1999" s="4" t="inlineStr">
        <is>
          <t>https://www.pricecharting.com/game/pokemon-shining-fates/premium-collection-box-crobat</t>
        </is>
      </c>
    </row>
    <row r="2000">
      <c r="A2000" s="2" t="inlineStr">
        <is>
          <t>Shining Fates Premium Collection Box [Dragapult]</t>
        </is>
      </c>
      <c r="B2000" s="3">
        <f>IF(H2000&lt;&gt;"",H2000,IF(I2000&lt;&gt;"",I2000,IF(J2000&lt;&gt;"",J2000,K2000)))</f>
        <v>105.0</v>
      </c>
      <c r="C2000" s="3">
        <f>MEDIAN(H2000:K2000)</f>
        <v>105.0</v>
      </c>
      <c r="D2000" s="3">
        <f>ROUND(C2000*(1-Settings!$B$2),2)</f>
        <v>73.5</v>
      </c>
      <c r="E2000" s="2" t="inlineStr">
        <is>
          <t>Pokemon</t>
        </is>
      </c>
      <c r="F2000" s="2" t="inlineStr">
        <is>
          <t>Coffret</t>
        </is>
      </c>
      <c r="G2000" s="2" t="inlineStr">
        <is>
          <t>Shining Fates</t>
        </is>
      </c>
      <c r="H2000" s="3" t="n">
        <v>105</v>
      </c>
      <c r="I2000" s="3" t="n"/>
      <c r="J2000" s="3" t="n"/>
      <c r="K2000" s="3" t="n"/>
      <c r="L2000" s="2" t="inlineStr">
        <is>
          <t>PriceCharting</t>
        </is>
      </c>
      <c r="M2000" s="4" t="inlineStr">
        <is>
          <t>https://www.pricecharting.com/game/pokemon-shining-fates/premium-collection-box-dragapult</t>
        </is>
      </c>
    </row>
    <row r="2001">
      <c r="A2001" s="2" t="inlineStr">
        <is>
          <t>Shining Fates Shiny Boltund V Collection</t>
        </is>
      </c>
      <c r="B2001" s="3">
        <f>IF(H2001&lt;&gt;"",H2001,IF(I2001&lt;&gt;"",I2001,IF(J2001&lt;&gt;"",J2001,K2001)))</f>
        <v>61.43</v>
      </c>
      <c r="C2001" s="3">
        <f>MEDIAN(H2001:K2001)</f>
        <v>61.43</v>
      </c>
      <c r="D2001" s="3">
        <f>ROUND(C2001*(1-Settings!$B$2),2)</f>
        <v>43.0</v>
      </c>
      <c r="E2001" s="2" t="inlineStr">
        <is>
          <t>Pokemon</t>
        </is>
      </c>
      <c r="F2001" s="2" t="inlineStr">
        <is>
          <t>Coffret</t>
        </is>
      </c>
      <c r="G2001" s="2" t="inlineStr">
        <is>
          <t>Shining Fates</t>
        </is>
      </c>
      <c r="H2001" s="3" t="n">
        <v>61.43</v>
      </c>
      <c r="I2001" s="3" t="n"/>
      <c r="J2001" s="3" t="n"/>
      <c r="K2001" s="3" t="n"/>
      <c r="L2001" s="2" t="inlineStr">
        <is>
          <t>PriceCharting</t>
        </is>
      </c>
      <c r="M2001" s="4" t="inlineStr">
        <is>
          <t>https://www.pricecharting.com/game/pokemon-shining-fates/shiny-boltund-v-collection</t>
        </is>
      </c>
    </row>
    <row r="2002">
      <c r="A2002" s="2" t="inlineStr">
        <is>
          <t>Shining Fates Shiny Cramorant V Collection</t>
        </is>
      </c>
      <c r="B2002" s="3">
        <f>IF(H2002&lt;&gt;"",H2002,IF(I2002&lt;&gt;"",I2002,IF(J2002&lt;&gt;"",J2002,K2002)))</f>
        <v>52.08</v>
      </c>
      <c r="C2002" s="3">
        <f>MEDIAN(H2002:K2002)</f>
        <v>52.08</v>
      </c>
      <c r="D2002" s="3">
        <f>ROUND(C2002*(1-Settings!$B$2),2)</f>
        <v>36.46</v>
      </c>
      <c r="E2002" s="2" t="inlineStr">
        <is>
          <t>Pokemon</t>
        </is>
      </c>
      <c r="F2002" s="2" t="inlineStr">
        <is>
          <t>Coffret</t>
        </is>
      </c>
      <c r="G2002" s="2" t="inlineStr">
        <is>
          <t>Shining Fates</t>
        </is>
      </c>
      <c r="H2002" s="3" t="n">
        <v>52.08</v>
      </c>
      <c r="I2002" s="3" t="n"/>
      <c r="J2002" s="3" t="n"/>
      <c r="K2002" s="3" t="n"/>
      <c r="L2002" s="2" t="inlineStr">
        <is>
          <t>PriceCharting</t>
        </is>
      </c>
      <c r="M2002" s="4" t="inlineStr">
        <is>
          <t>https://www.pricecharting.com/game/pokemon-shining-fates/shiny-cramorant-v-collection</t>
        </is>
      </c>
    </row>
    <row r="2003">
      <c r="A2003" s="2" t="inlineStr">
        <is>
          <t>Shining Fates Shiny Eldegoss V Collection</t>
        </is>
      </c>
      <c r="B2003" s="3">
        <f>IF(H2003&lt;&gt;"",H2003,IF(I2003&lt;&gt;"",I2003,IF(J2003&lt;&gt;"",J2003,K2003)))</f>
        <v>50.99</v>
      </c>
      <c r="C2003" s="3">
        <f>MEDIAN(H2003:K2003)</f>
        <v>50.99</v>
      </c>
      <c r="D2003" s="3">
        <f>ROUND(C2003*(1-Settings!$B$2),2)</f>
        <v>35.69</v>
      </c>
      <c r="E2003" s="2" t="inlineStr">
        <is>
          <t>Pokemon</t>
        </is>
      </c>
      <c r="F2003" s="2" t="inlineStr">
        <is>
          <t>Coffret</t>
        </is>
      </c>
      <c r="G2003" s="2" t="inlineStr">
        <is>
          <t>Shining Fates</t>
        </is>
      </c>
      <c r="H2003" s="3" t="n">
        <v>50.99</v>
      </c>
      <c r="I2003" s="3" t="n"/>
      <c r="J2003" s="3" t="n"/>
      <c r="K2003" s="3" t="n"/>
      <c r="L2003" s="2" t="inlineStr">
        <is>
          <t>PriceCharting</t>
        </is>
      </c>
      <c r="M2003" s="4" t="inlineStr">
        <is>
          <t>https://www.pricecharting.com/game/pokemon-shining-fates/shiny-eldegoss-v-collection</t>
        </is>
      </c>
    </row>
    <row r="2004">
      <c r="A2004" s="2" t="inlineStr">
        <is>
          <t>Shining Fates V Tin [Boltund V]</t>
        </is>
      </c>
      <c r="B2004" s="3">
        <f>IF(H2004&lt;&gt;"",H2004,IF(I2004&lt;&gt;"",I2004,IF(J2004&lt;&gt;"",J2004,K2004)))</f>
        <v>70.29</v>
      </c>
      <c r="C2004" s="3">
        <f>MEDIAN(H2004:K2004)</f>
        <v>70.29</v>
      </c>
      <c r="D2004" s="3">
        <f>ROUND(C2004*(1-Settings!$B$2),2)</f>
        <v>49.2</v>
      </c>
      <c r="E2004" s="2" t="inlineStr">
        <is>
          <t>Pokemon</t>
        </is>
      </c>
      <c r="F2004" s="2" t="inlineStr">
        <is>
          <t>Coffret</t>
        </is>
      </c>
      <c r="G2004" s="2" t="inlineStr">
        <is>
          <t>Shining Fates</t>
        </is>
      </c>
      <c r="H2004" s="3" t="n"/>
      <c r="I2004" s="3" t="n">
        <v>70.29000000000001</v>
      </c>
      <c r="J2004" s="3" t="n">
        <v>71.95999999999999</v>
      </c>
      <c r="K2004" s="3" t="n">
        <v>65</v>
      </c>
      <c r="L2004" s="2" t="inlineStr">
        <is>
          <t>TCGplayer</t>
        </is>
      </c>
      <c r="N2004" s="4" t="inlineStr">
        <is>
          <t>https://www.tcgplayer.com/product/228823</t>
        </is>
      </c>
    </row>
    <row r="2005">
      <c r="A2005" s="2" t="inlineStr">
        <is>
          <t>Shining Fates V Tin [Cramorant V]</t>
        </is>
      </c>
      <c r="B2005" s="3">
        <f>IF(H2005&lt;&gt;"",H2005,IF(I2005&lt;&gt;"",I2005,IF(J2005&lt;&gt;"",J2005,K2005)))</f>
        <v>70.88</v>
      </c>
      <c r="C2005" s="3">
        <f>MEDIAN(H2005:K2005)</f>
        <v>70.88</v>
      </c>
      <c r="D2005" s="3">
        <f>ROUND(C2005*(1-Settings!$B$2),2)</f>
        <v>49.62</v>
      </c>
      <c r="E2005" s="2" t="inlineStr">
        <is>
          <t>Pokemon</t>
        </is>
      </c>
      <c r="F2005" s="2" t="inlineStr">
        <is>
          <t>Coffret</t>
        </is>
      </c>
      <c r="G2005" s="2" t="inlineStr">
        <is>
          <t>Shining Fates</t>
        </is>
      </c>
      <c r="H2005" s="3" t="n"/>
      <c r="I2005" s="3" t="n">
        <v>70.88</v>
      </c>
      <c r="J2005" s="3" t="n">
        <v>84.95</v>
      </c>
      <c r="K2005" s="3" t="n">
        <v>69.73</v>
      </c>
      <c r="L2005" s="2" t="inlineStr">
        <is>
          <t>TCGplayer</t>
        </is>
      </c>
      <c r="N2005" s="4" t="inlineStr">
        <is>
          <t>https://www.tcgplayer.com/product/228824</t>
        </is>
      </c>
    </row>
    <row r="2006">
      <c r="A2006" s="2" t="inlineStr">
        <is>
          <t>Shining Fates V Tin [Eldegoss V]</t>
        </is>
      </c>
      <c r="B2006" s="3">
        <f>IF(H2006&lt;&gt;"",H2006,IF(I2006&lt;&gt;"",I2006,IF(J2006&lt;&gt;"",J2006,K2006)))</f>
        <v>68.36</v>
      </c>
      <c r="C2006" s="3">
        <f>MEDIAN(H2006:K2006)</f>
        <v>69.99</v>
      </c>
      <c r="D2006" s="3">
        <f>ROUND(C2006*(1-Settings!$B$2),2)</f>
        <v>48.99</v>
      </c>
      <c r="E2006" s="2" t="inlineStr">
        <is>
          <t>Pokemon</t>
        </is>
      </c>
      <c r="F2006" s="2" t="inlineStr">
        <is>
          <t>Coffret</t>
        </is>
      </c>
      <c r="G2006" s="2" t="inlineStr">
        <is>
          <t>Shining Fates</t>
        </is>
      </c>
      <c r="H2006" s="3" t="n"/>
      <c r="I2006" s="3" t="n">
        <v>68.36</v>
      </c>
      <c r="J2006" s="3" t="n">
        <v>79</v>
      </c>
      <c r="K2006" s="3" t="n">
        <v>69.98999999999999</v>
      </c>
      <c r="L2006" s="2" t="inlineStr">
        <is>
          <t>TCGplayer</t>
        </is>
      </c>
      <c r="N2006" s="4" t="inlineStr">
        <is>
          <t>https://www.tcgplayer.com/product/228822</t>
        </is>
      </c>
    </row>
    <row r="2007">
      <c r="A2007" s="2" t="inlineStr">
        <is>
          <t>Shining Legends Collection: Shiny Darkrai GX</t>
        </is>
      </c>
      <c r="B2007" s="3">
        <f>IF(H2007&lt;&gt;"",H2007,IF(I2007&lt;&gt;"",I2007,IF(J2007&lt;&gt;"",J2007,K2007)))</f>
        <v>461.46</v>
      </c>
      <c r="C2007" s="3">
        <f>MEDIAN(H2007:K2007)</f>
        <v>493.74</v>
      </c>
      <c r="D2007" s="3">
        <f>ROUND(C2007*(1-Settings!$B$2),2)</f>
        <v>345.62</v>
      </c>
      <c r="E2007" s="2" t="inlineStr">
        <is>
          <t>Pokemon</t>
        </is>
      </c>
      <c r="F2007" s="2" t="inlineStr">
        <is>
          <t>Coffret</t>
        </is>
      </c>
      <c r="G2007" s="2" t="inlineStr">
        <is>
          <t>Shining Legends</t>
        </is>
      </c>
      <c r="H2007" s="3" t="n">
        <v>461.46</v>
      </c>
      <c r="I2007" s="3" t="n">
        <v>462.49</v>
      </c>
      <c r="J2007" s="3" t="n">
        <v>524.99</v>
      </c>
      <c r="K2007" s="3" t="n">
        <v>524.99</v>
      </c>
      <c r="L2007" s="2" t="inlineStr">
        <is>
          <t>PriceCharting + TCGplayer</t>
        </is>
      </c>
      <c r="M2007" s="4" t="inlineStr">
        <is>
          <t>https://www.pricecharting.com/game/pokemon-shining-legends/shining-legends-collection-shiny-darkrai-gx</t>
        </is>
      </c>
      <c r="N2007" s="4" t="inlineStr">
        <is>
          <t>https://www.tcgplayer.com/product/600514</t>
        </is>
      </c>
    </row>
    <row r="2008">
      <c r="A2008" s="2" t="inlineStr">
        <is>
          <t>Shining Legends Collector Chest</t>
        </is>
      </c>
      <c r="B2008" s="3">
        <f>IF(H2008&lt;&gt;"",H2008,IF(I2008&lt;&gt;"",I2008,IF(J2008&lt;&gt;"",J2008,K2008)))</f>
        <v>767.5</v>
      </c>
      <c r="C2008" s="3">
        <f>MEDIAN(H2008:K2008)</f>
        <v>384.745</v>
      </c>
      <c r="D2008" s="3">
        <f>ROUND(C2008*(1-Settings!$B$2),2)</f>
        <v>269.32</v>
      </c>
      <c r="E2008" s="2" t="inlineStr">
        <is>
          <t>Pokemon</t>
        </is>
      </c>
      <c r="F2008" s="2" t="inlineStr">
        <is>
          <t>Coffret</t>
        </is>
      </c>
      <c r="G2008" s="2" t="inlineStr">
        <is>
          <t>Shining Legends</t>
        </is>
      </c>
      <c r="H2008" s="3" t="n"/>
      <c r="I2008" s="3" t="n">
        <v>767.5</v>
      </c>
      <c r="J2008" s="3" t="n"/>
      <c r="K2008" s="3" t="n">
        <v>1.99</v>
      </c>
      <c r="L2008" s="2" t="inlineStr">
        <is>
          <t>TCGplayer</t>
        </is>
      </c>
      <c r="N2008" s="4" t="inlineStr">
        <is>
          <t>https://www.tcgplayer.com/product/152603</t>
        </is>
      </c>
    </row>
    <row r="2009">
      <c r="A2009" s="2" t="inlineStr">
        <is>
          <t>Shining Legends Elite Trainer Box</t>
        </is>
      </c>
      <c r="B2009" s="3">
        <f>IF(H2009&lt;&gt;"",H2009,IF(I2009&lt;&gt;"",I2009,IF(J2009&lt;&gt;"",J2009,K2009)))</f>
        <v>1162.0</v>
      </c>
      <c r="C2009" s="3">
        <f>MEDIAN(H2009:K2009)</f>
        <v>1241.08</v>
      </c>
      <c r="D2009" s="3">
        <f>ROUND(C2009*(1-Settings!$B$2),2)</f>
        <v>868.76</v>
      </c>
      <c r="E2009" s="2" t="inlineStr">
        <is>
          <t>Pokemon</t>
        </is>
      </c>
      <c r="F2009" s="2" t="inlineStr">
        <is>
          <t>Coffret</t>
        </is>
      </c>
      <c r="G2009" s="2" t="inlineStr">
        <is>
          <t>Shining Legends</t>
        </is>
      </c>
      <c r="H2009" s="3" t="n">
        <v>1162</v>
      </c>
      <c r="I2009" s="3" t="n">
        <v>1183.16</v>
      </c>
      <c r="J2009" s="3" t="n">
        <v>1299</v>
      </c>
      <c r="K2009" s="3" t="n">
        <v>1299</v>
      </c>
      <c r="L2009" s="2" t="inlineStr">
        <is>
          <t>PriceCharting + TCGplayer</t>
        </is>
      </c>
      <c r="M2009" s="4" t="inlineStr">
        <is>
          <t>https://www.pricecharting.com/game/pokemon-shining-legends/elite-trainer-box</t>
        </is>
      </c>
      <c r="N2009" s="4" t="inlineStr">
        <is>
          <t>https://www.tcgplayer.com/product/145847</t>
        </is>
      </c>
    </row>
    <row r="2010">
      <c r="A2010" s="2" t="inlineStr">
        <is>
          <t>Shining Legends Figure Collection: Shiny Darkrai GX</t>
        </is>
      </c>
      <c r="B2010" s="3">
        <f>IF(H2010&lt;&gt;"",H2010,IF(I2010&lt;&gt;"",I2010,IF(J2010&lt;&gt;"",J2010,K2010)))</f>
        <v>400.05</v>
      </c>
      <c r="C2010" s="3">
        <f>MEDIAN(H2010:K2010)</f>
        <v>599.99</v>
      </c>
      <c r="D2010" s="3">
        <f>ROUND(C2010*(1-Settings!$B$2),2)</f>
        <v>419.99</v>
      </c>
      <c r="E2010" s="2" t="inlineStr">
        <is>
          <t>Pokemon</t>
        </is>
      </c>
      <c r="F2010" s="2" t="inlineStr">
        <is>
          <t>Coffret</t>
        </is>
      </c>
      <c r="G2010" s="2" t="inlineStr">
        <is>
          <t>Shining Legends</t>
        </is>
      </c>
      <c r="H2010" s="3" t="n">
        <v>400.05</v>
      </c>
      <c r="I2010" s="3" t="n"/>
      <c r="J2010" s="3" t="n">
        <v>750</v>
      </c>
      <c r="K2010" s="3" t="n">
        <v>599.99</v>
      </c>
      <c r="L2010" s="2" t="inlineStr">
        <is>
          <t>PriceCharting + TCGplayer</t>
        </is>
      </c>
      <c r="M2010" s="4" t="inlineStr">
        <is>
          <t>https://www.pricecharting.com/game/pokemon-shining-legends/figure-collection-shiny-darkrai-gx</t>
        </is>
      </c>
      <c r="N2010" s="4" t="inlineStr">
        <is>
          <t>https://www.tcgplayer.com/product/161257</t>
        </is>
      </c>
    </row>
    <row r="2011">
      <c r="A2011" s="2" t="inlineStr">
        <is>
          <t>Shining Legends Mewtwo Pin Collection</t>
        </is>
      </c>
      <c r="B2011" s="3">
        <f>IF(H2011&lt;&gt;"",H2011,IF(I2011&lt;&gt;"",I2011,IF(J2011&lt;&gt;"",J2011,K2011)))</f>
        <v>420.69</v>
      </c>
      <c r="C2011" s="3">
        <f>MEDIAN(H2011:K2011)</f>
        <v>420.69</v>
      </c>
      <c r="D2011" s="3">
        <f>ROUND(C2011*(1-Settings!$B$2),2)</f>
        <v>294.48</v>
      </c>
      <c r="E2011" s="2" t="inlineStr">
        <is>
          <t>Pokemon</t>
        </is>
      </c>
      <c r="F2011" s="2" t="inlineStr">
        <is>
          <t>Coffret</t>
        </is>
      </c>
      <c r="G2011" s="2" t="inlineStr">
        <is>
          <t>Shining Legends</t>
        </is>
      </c>
      <c r="H2011" s="3" t="n">
        <v>420.69</v>
      </c>
      <c r="I2011" s="3" t="n"/>
      <c r="J2011" s="3" t="n"/>
      <c r="K2011" s="3" t="n"/>
      <c r="L2011" s="2" t="inlineStr">
        <is>
          <t>PriceCharting</t>
        </is>
      </c>
      <c r="M2011" s="4" t="inlineStr">
        <is>
          <t>https://www.pricecharting.com/game/pokemon-shining-legends/mewtwo-pin-collection</t>
        </is>
      </c>
    </row>
    <row r="2012">
      <c r="A2012" s="2" t="inlineStr">
        <is>
          <t>Shining Legends Pin Collection: Marshadow</t>
        </is>
      </c>
      <c r="B2012" s="3">
        <f>IF(H2012&lt;&gt;"",H2012,IF(I2012&lt;&gt;"",I2012,IF(J2012&lt;&gt;"",J2012,K2012)))</f>
        <v>329.99</v>
      </c>
      <c r="C2012" s="3">
        <f>MEDIAN(H2012:K2012)</f>
        <v>335.0</v>
      </c>
      <c r="D2012" s="3">
        <f>ROUND(C2012*(1-Settings!$B$2),2)</f>
        <v>234.5</v>
      </c>
      <c r="E2012" s="2" t="inlineStr">
        <is>
          <t>Pokemon</t>
        </is>
      </c>
      <c r="F2012" s="2" t="inlineStr">
        <is>
          <t>Coffret</t>
        </is>
      </c>
      <c r="G2012" s="2" t="inlineStr">
        <is>
          <t>Shining Legends</t>
        </is>
      </c>
      <c r="H2012" s="3" t="n"/>
      <c r="I2012" s="3" t="n">
        <v>329.99</v>
      </c>
      <c r="J2012" s="3" t="n">
        <v>349.99</v>
      </c>
      <c r="K2012" s="3" t="n">
        <v>335</v>
      </c>
      <c r="L2012" s="2" t="inlineStr">
        <is>
          <t>TCGplayer</t>
        </is>
      </c>
      <c r="N2012" s="4" t="inlineStr">
        <is>
          <t>https://www.tcgplayer.com/product/155596</t>
        </is>
      </c>
    </row>
    <row r="2013">
      <c r="A2013" s="2" t="inlineStr">
        <is>
          <t>Shining Legends Pin Collection: Mewtwo</t>
        </is>
      </c>
      <c r="B2013" s="3">
        <f>IF(H2013&lt;&gt;"",H2013,IF(I2013&lt;&gt;"",I2013,IF(J2013&lt;&gt;"",J2013,K2013)))</f>
        <v>414.63</v>
      </c>
      <c r="C2013" s="3">
        <f>MEDIAN(H2013:K2013)</f>
        <v>447.91</v>
      </c>
      <c r="D2013" s="3">
        <f>ROUND(C2013*(1-Settings!$B$2),2)</f>
        <v>313.54</v>
      </c>
      <c r="E2013" s="2" t="inlineStr">
        <is>
          <t>Pokemon</t>
        </is>
      </c>
      <c r="F2013" s="2" t="inlineStr">
        <is>
          <t>Coffret</t>
        </is>
      </c>
      <c r="G2013" s="2" t="inlineStr">
        <is>
          <t>Shining Legends</t>
        </is>
      </c>
      <c r="H2013" s="3" t="n"/>
      <c r="I2013" s="3" t="n">
        <v>414.63</v>
      </c>
      <c r="J2013" s="3" t="n">
        <v>498.95</v>
      </c>
      <c r="K2013" s="3" t="n">
        <v>447.91</v>
      </c>
      <c r="L2013" s="2" t="inlineStr">
        <is>
          <t>TCGplayer</t>
        </is>
      </c>
      <c r="N2013" s="4" t="inlineStr">
        <is>
          <t>https://www.tcgplayer.com/product/145848</t>
        </is>
      </c>
    </row>
    <row r="2014">
      <c r="A2014" s="2" t="inlineStr">
        <is>
          <t>Shining Legends Pin Collection: Zoroark</t>
        </is>
      </c>
      <c r="B2014" s="3">
        <f>IF(H2014&lt;&gt;"",H2014,IF(I2014&lt;&gt;"",I2014,IF(J2014&lt;&gt;"",J2014,K2014)))</f>
        <v>386.5</v>
      </c>
      <c r="C2014" s="3">
        <f>MEDIAN(H2014:K2014)</f>
        <v>450.0</v>
      </c>
      <c r="D2014" s="3">
        <f>ROUND(C2014*(1-Settings!$B$2),2)</f>
        <v>315.0</v>
      </c>
      <c r="E2014" s="2" t="inlineStr">
        <is>
          <t>Pokemon</t>
        </is>
      </c>
      <c r="F2014" s="2" t="inlineStr">
        <is>
          <t>Coffret</t>
        </is>
      </c>
      <c r="G2014" s="2" t="inlineStr">
        <is>
          <t>Shining Legends</t>
        </is>
      </c>
      <c r="H2014" s="3" t="n"/>
      <c r="I2014" s="3" t="n">
        <v>386.5</v>
      </c>
      <c r="J2014" s="3" t="n">
        <v>450</v>
      </c>
      <c r="K2014" s="3" t="n">
        <v>450</v>
      </c>
      <c r="L2014" s="2" t="inlineStr">
        <is>
          <t>TCGplayer</t>
        </is>
      </c>
      <c r="N2014" s="4" t="inlineStr">
        <is>
          <t>https://www.tcgplayer.com/product/154717</t>
        </is>
      </c>
    </row>
    <row r="2015">
      <c r="A2015" s="2" t="inlineStr">
        <is>
          <t>Shining Legends Sealed Marshadow Pin Collection</t>
        </is>
      </c>
      <c r="B2015" s="3">
        <f>IF(H2015&lt;&gt;"",H2015,IF(I2015&lt;&gt;"",I2015,IF(J2015&lt;&gt;"",J2015,K2015)))</f>
        <v>330.97</v>
      </c>
      <c r="C2015" s="3">
        <f>MEDIAN(H2015:K2015)</f>
        <v>330.97</v>
      </c>
      <c r="D2015" s="3">
        <f>ROUND(C2015*(1-Settings!$B$2),2)</f>
        <v>231.68</v>
      </c>
      <c r="E2015" s="2" t="inlineStr">
        <is>
          <t>Pokemon</t>
        </is>
      </c>
      <c r="F2015" s="2" t="inlineStr">
        <is>
          <t>Coffret</t>
        </is>
      </c>
      <c r="G2015" s="2" t="inlineStr">
        <is>
          <t>Shining Legends</t>
        </is>
      </c>
      <c r="H2015" s="3" t="n">
        <v>330.97</v>
      </c>
      <c r="I2015" s="3" t="n"/>
      <c r="J2015" s="3" t="n"/>
      <c r="K2015" s="3" t="n"/>
      <c r="L2015" s="2" t="inlineStr">
        <is>
          <t>PriceCharting</t>
        </is>
      </c>
      <c r="M2015" s="4" t="inlineStr">
        <is>
          <t>https://www.pricecharting.com/game/pokemon-shining-legends/sealed-marshadow-pin-collection</t>
        </is>
      </c>
    </row>
    <row r="2016">
      <c r="A2016" s="2" t="inlineStr">
        <is>
          <t>Shining Legends Sealed Pikachu Pin Collection</t>
        </is>
      </c>
      <c r="B2016" s="3">
        <f>IF(H2016&lt;&gt;"",H2016,IF(I2016&lt;&gt;"",I2016,IF(J2016&lt;&gt;"",J2016,K2016)))</f>
        <v>382.2</v>
      </c>
      <c r="C2016" s="3">
        <f>MEDIAN(H2016:K2016)</f>
        <v>382.2</v>
      </c>
      <c r="D2016" s="3">
        <f>ROUND(C2016*(1-Settings!$B$2),2)</f>
        <v>267.54</v>
      </c>
      <c r="E2016" s="2" t="inlineStr">
        <is>
          <t>Pokemon</t>
        </is>
      </c>
      <c r="F2016" s="2" t="inlineStr">
        <is>
          <t>Coffret</t>
        </is>
      </c>
      <c r="G2016" s="2" t="inlineStr">
        <is>
          <t>Shining Legends</t>
        </is>
      </c>
      <c r="H2016" s="3" t="n">
        <v>382.2</v>
      </c>
      <c r="I2016" s="3" t="n"/>
      <c r="J2016" s="3" t="n"/>
      <c r="K2016" s="3" t="n"/>
      <c r="L2016" s="2" t="inlineStr">
        <is>
          <t>PriceCharting</t>
        </is>
      </c>
      <c r="M2016" s="4" t="inlineStr">
        <is>
          <t>https://www.pricecharting.com/game/pokemon-shining-legends/sealed-pikachu-pin-collection</t>
        </is>
      </c>
    </row>
    <row r="2017">
      <c r="A2017" s="2" t="inlineStr">
        <is>
          <t>Shining Legends Special Collection Box [Raichu GX]</t>
        </is>
      </c>
      <c r="B2017" s="3">
        <f>IF(H2017&lt;&gt;"",H2017,IF(I2017&lt;&gt;"",I2017,IF(J2017&lt;&gt;"",J2017,K2017)))</f>
        <v>560.0</v>
      </c>
      <c r="C2017" s="3">
        <f>MEDIAN(H2017:K2017)</f>
        <v>560.0</v>
      </c>
      <c r="D2017" s="3">
        <f>ROUND(C2017*(1-Settings!$B$2),2)</f>
        <v>392.0</v>
      </c>
      <c r="E2017" s="2" t="inlineStr">
        <is>
          <t>Pokemon</t>
        </is>
      </c>
      <c r="F2017" s="2" t="inlineStr">
        <is>
          <t>Coffret</t>
        </is>
      </c>
      <c r="G2017" s="2" t="inlineStr">
        <is>
          <t>Shining Legends</t>
        </is>
      </c>
      <c r="H2017" s="3" t="n">
        <v>560</v>
      </c>
      <c r="I2017" s="3" t="n"/>
      <c r="J2017" s="3" t="n"/>
      <c r="K2017" s="3" t="n"/>
      <c r="L2017" s="2" t="inlineStr">
        <is>
          <t>PriceCharting</t>
        </is>
      </c>
      <c r="M2017" s="4" t="inlineStr">
        <is>
          <t>https://www.pricecharting.com/game/pokemon-shining-legends/special-collection-box-raichu-gx</t>
        </is>
      </c>
    </row>
    <row r="2018">
      <c r="A2018" s="2" t="inlineStr">
        <is>
          <t>Shining Legends Special Collection: Raichu GX</t>
        </is>
      </c>
      <c r="B2018" s="3">
        <f>IF(H2018&lt;&gt;"",H2018,IF(I2018&lt;&gt;"",I2018,IF(J2018&lt;&gt;"",J2018,K2018)))</f>
        <v>537.14</v>
      </c>
      <c r="C2018" s="3">
        <f>MEDIAN(H2018:K2018)</f>
        <v>615.0</v>
      </c>
      <c r="D2018" s="3">
        <f>ROUND(C2018*(1-Settings!$B$2),2)</f>
        <v>430.5</v>
      </c>
      <c r="E2018" s="2" t="inlineStr">
        <is>
          <t>Pokemon</t>
        </is>
      </c>
      <c r="F2018" s="2" t="inlineStr">
        <is>
          <t>Coffret</t>
        </is>
      </c>
      <c r="G2018" s="2" t="inlineStr">
        <is>
          <t>Shining Legends</t>
        </is>
      </c>
      <c r="H2018" s="3" t="n"/>
      <c r="I2018" s="3" t="n">
        <v>537.14</v>
      </c>
      <c r="J2018" s="3" t="n">
        <v>738.95</v>
      </c>
      <c r="K2018" s="3" t="n">
        <v>615</v>
      </c>
      <c r="L2018" s="2" t="inlineStr">
        <is>
          <t>TCGplayer</t>
        </is>
      </c>
      <c r="N2018" s="4" t="inlineStr">
        <is>
          <t>https://www.tcgplayer.com/product/155062</t>
        </is>
      </c>
    </row>
    <row r="2019">
      <c r="A2019" s="2" t="inlineStr">
        <is>
          <t>Shining Legends Special Collection: Zoroark GX</t>
        </is>
      </c>
      <c r="B2019" s="3">
        <f>IF(H2019&lt;&gt;"",H2019,IF(I2019&lt;&gt;"",I2019,IF(J2019&lt;&gt;"",J2019,K2019)))</f>
        <v>499.99</v>
      </c>
      <c r="C2019" s="3">
        <f>MEDIAN(H2019:K2019)</f>
        <v>604.99</v>
      </c>
      <c r="D2019" s="3">
        <f>ROUND(C2019*(1-Settings!$B$2),2)</f>
        <v>423.49</v>
      </c>
      <c r="E2019" s="2" t="inlineStr">
        <is>
          <t>Pokemon</t>
        </is>
      </c>
      <c r="F2019" s="2" t="inlineStr">
        <is>
          <t>Coffret</t>
        </is>
      </c>
      <c r="G2019" s="2" t="inlineStr">
        <is>
          <t>Shining Legends</t>
        </is>
      </c>
      <c r="H2019" s="3" t="n"/>
      <c r="I2019" s="3" t="n">
        <v>499.99</v>
      </c>
      <c r="J2019" s="3" t="n">
        <v>615</v>
      </c>
      <c r="K2019" s="3" t="n">
        <v>604.99</v>
      </c>
      <c r="L2019" s="2" t="inlineStr">
        <is>
          <t>TCGplayer</t>
        </is>
      </c>
      <c r="N2019" s="4" t="inlineStr">
        <is>
          <t>https://www.tcgplayer.com/product/149378</t>
        </is>
      </c>
    </row>
    <row r="2020">
      <c r="A2020" s="2" t="inlineStr">
        <is>
          <t>Shining Legends Super Premium Collection Box</t>
        </is>
      </c>
      <c r="B2020" s="3">
        <f>IF(H2020&lt;&gt;"",H2020,IF(I2020&lt;&gt;"",I2020,IF(J2020&lt;&gt;"",J2020,K2020)))</f>
        <v>1319.86</v>
      </c>
      <c r="C2020" s="3">
        <f>MEDIAN(H2020:K2020)</f>
        <v>1319.86</v>
      </c>
      <c r="D2020" s="3">
        <f>ROUND(C2020*(1-Settings!$B$2),2)</f>
        <v>923.9</v>
      </c>
      <c r="E2020" s="2" t="inlineStr">
        <is>
          <t>Pokemon</t>
        </is>
      </c>
      <c r="F2020" s="2" t="inlineStr">
        <is>
          <t>Coffret</t>
        </is>
      </c>
      <c r="G2020" s="2" t="inlineStr">
        <is>
          <t>Shining Legends</t>
        </is>
      </c>
      <c r="H2020" s="3" t="n">
        <v>1319.86</v>
      </c>
      <c r="I2020" s="3" t="n"/>
      <c r="J2020" s="3" t="n"/>
      <c r="K2020" s="3" t="n"/>
      <c r="L2020" s="2" t="inlineStr">
        <is>
          <t>PriceCharting</t>
        </is>
      </c>
      <c r="M2020" s="4" t="inlineStr">
        <is>
          <t>https://www.pricecharting.com/game/pokemon-shining-legends/super-premium-collection-box</t>
        </is>
      </c>
    </row>
    <row r="2021">
      <c r="A2021" s="2" t="inlineStr">
        <is>
          <t>Shining Legends Super-Premium Collection [Ho-Oh GX]</t>
        </is>
      </c>
      <c r="B2021" s="3">
        <f>IF(H2021&lt;&gt;"",H2021,IF(I2021&lt;&gt;"",I2021,IF(J2021&lt;&gt;"",J2021,K2021)))</f>
        <v>1560.0</v>
      </c>
      <c r="C2021" s="3">
        <f>MEDIAN(H2021:K2021)</f>
        <v>1799.97</v>
      </c>
      <c r="D2021" s="3">
        <f>ROUND(C2021*(1-Settings!$B$2),2)</f>
        <v>1259.98</v>
      </c>
      <c r="E2021" s="2" t="inlineStr">
        <is>
          <t>Pokemon</t>
        </is>
      </c>
      <c r="F2021" s="2" t="inlineStr">
        <is>
          <t>Coffret</t>
        </is>
      </c>
      <c r="G2021" s="2" t="inlineStr">
        <is>
          <t>Shining Legends</t>
        </is>
      </c>
      <c r="H2021" s="3" t="n"/>
      <c r="I2021" s="3" t="n">
        <v>1560</v>
      </c>
      <c r="J2021" s="3" t="n">
        <v>2300</v>
      </c>
      <c r="K2021" s="3" t="n">
        <v>1799.97</v>
      </c>
      <c r="L2021" s="2" t="inlineStr">
        <is>
          <t>TCGplayer</t>
        </is>
      </c>
      <c r="N2021" s="4" t="inlineStr">
        <is>
          <t>https://www.tcgplayer.com/product/148412</t>
        </is>
      </c>
    </row>
    <row r="2022">
      <c r="A2022" s="2" t="inlineStr">
        <is>
          <t>Shining Legends Zoroark Pin Collection</t>
        </is>
      </c>
      <c r="B2022" s="3">
        <f>IF(H2022&lt;&gt;"",H2022,IF(I2022&lt;&gt;"",I2022,IF(J2022&lt;&gt;"",J2022,K2022)))</f>
        <v>368.61</v>
      </c>
      <c r="C2022" s="3">
        <f>MEDIAN(H2022:K2022)</f>
        <v>368.61</v>
      </c>
      <c r="D2022" s="3">
        <f>ROUND(C2022*(1-Settings!$B$2),2)</f>
        <v>258.03</v>
      </c>
      <c r="E2022" s="2" t="inlineStr">
        <is>
          <t>Pokemon</t>
        </is>
      </c>
      <c r="F2022" s="2" t="inlineStr">
        <is>
          <t>Coffret</t>
        </is>
      </c>
      <c r="G2022" s="2" t="inlineStr">
        <is>
          <t>Shining Legends</t>
        </is>
      </c>
      <c r="H2022" s="3" t="n">
        <v>368.61</v>
      </c>
      <c r="I2022" s="3" t="n"/>
      <c r="J2022" s="3" t="n"/>
      <c r="K2022" s="3" t="n"/>
      <c r="L2022" s="2" t="inlineStr">
        <is>
          <t>PriceCharting</t>
        </is>
      </c>
      <c r="M2022" s="4" t="inlineStr">
        <is>
          <t>https://www.pricecharting.com/game/pokemon-shining-legends/zoroark-pin-collection</t>
        </is>
      </c>
    </row>
    <row r="2023">
      <c r="A2023" s="2" t="inlineStr">
        <is>
          <t>Shining Legends: Shiny Zygarde GX Box</t>
        </is>
      </c>
      <c r="B2023" s="3">
        <f>IF(H2023&lt;&gt;"",H2023,IF(I2023&lt;&gt;"",I2023,IF(J2023&lt;&gt;"",J2023,K2023)))</f>
        <v>349.99</v>
      </c>
      <c r="C2023" s="3">
        <f>MEDIAN(H2023:K2023)</f>
        <v>349.99</v>
      </c>
      <c r="D2023" s="3">
        <f>ROUND(C2023*(1-Settings!$B$2),2)</f>
        <v>244.99</v>
      </c>
      <c r="E2023" s="2" t="inlineStr">
        <is>
          <t>Pokemon</t>
        </is>
      </c>
      <c r="F2023" s="2" t="inlineStr">
        <is>
          <t>Coffret</t>
        </is>
      </c>
      <c r="G2023" s="2" t="inlineStr">
        <is>
          <t>Shining Legends</t>
        </is>
      </c>
      <c r="H2023" s="3" t="n"/>
      <c r="I2023" s="3" t="n"/>
      <c r="J2023" s="3" t="n"/>
      <c r="K2023" s="3" t="n">
        <v>349.99</v>
      </c>
      <c r="L2023" s="2" t="inlineStr">
        <is>
          <t>TCGplayer</t>
        </is>
      </c>
      <c r="N2023" s="4" t="inlineStr">
        <is>
          <t>https://www.tcgplayer.com/product/169543</t>
        </is>
      </c>
    </row>
    <row r="2024">
      <c r="A2024" s="2" t="inlineStr">
        <is>
          <t>Shrouded Fable Elite Trainer Box [Pokemon Center]</t>
        </is>
      </c>
      <c r="B2024" s="3">
        <f>IF(H2024&lt;&gt;"",H2024,IF(I2024&lt;&gt;"",I2024,IF(J2024&lt;&gt;"",J2024,K2024)))</f>
        <v>164.93</v>
      </c>
      <c r="C2024" s="3">
        <f>MEDIAN(H2024:K2024)</f>
        <v>164.93</v>
      </c>
      <c r="D2024" s="3">
        <f>ROUND(C2024*(1-Settings!$B$2),2)</f>
        <v>115.45</v>
      </c>
      <c r="E2024" s="2" t="inlineStr">
        <is>
          <t>Pokemon</t>
        </is>
      </c>
      <c r="F2024" s="2" t="inlineStr">
        <is>
          <t>Coffret</t>
        </is>
      </c>
      <c r="G2024" s="2" t="inlineStr">
        <is>
          <t>Shrouded Fable</t>
        </is>
      </c>
      <c r="H2024" s="3" t="n">
        <v>164.93</v>
      </c>
      <c r="I2024" s="3" t="n"/>
      <c r="J2024" s="3" t="n"/>
      <c r="K2024" s="3" t="n"/>
      <c r="L2024" s="2" t="inlineStr">
        <is>
          <t>PriceCharting</t>
        </is>
      </c>
      <c r="M2024" s="4" t="inlineStr">
        <is>
          <t>https://www.pricecharting.com/game/pokemon-shrouded-fable/elite-trainer-box-pokemon-center</t>
        </is>
      </c>
    </row>
    <row r="2025">
      <c r="A2025" s="2" t="inlineStr">
        <is>
          <t>Shrouded Fable Mini Tin [Munkidori]</t>
        </is>
      </c>
      <c r="B2025" s="3">
        <f>IF(H2025&lt;&gt;"",H2025,IF(I2025&lt;&gt;"",I2025,IF(J2025&lt;&gt;"",J2025,K2025)))</f>
        <v>19.96</v>
      </c>
      <c r="C2025" s="3">
        <f>MEDIAN(H2025:K2025)</f>
        <v>19.96</v>
      </c>
      <c r="D2025" s="3">
        <f>ROUND(C2025*(1-Settings!$B$2),2)</f>
        <v>13.97</v>
      </c>
      <c r="E2025" s="2" t="inlineStr">
        <is>
          <t>Pokemon</t>
        </is>
      </c>
      <c r="F2025" s="2" t="inlineStr">
        <is>
          <t>Coffret</t>
        </is>
      </c>
      <c r="G2025" s="2" t="inlineStr">
        <is>
          <t>Shrouded Fable</t>
        </is>
      </c>
      <c r="H2025" s="3" t="n">
        <v>19.96</v>
      </c>
      <c r="I2025" s="3" t="n"/>
      <c r="J2025" s="3" t="n"/>
      <c r="K2025" s="3" t="n"/>
      <c r="L2025" s="2" t="inlineStr">
        <is>
          <t>PriceCharting</t>
        </is>
      </c>
      <c r="M2025" s="4" t="inlineStr">
        <is>
          <t>https://www.pricecharting.com/game/pokemon-shrouded-fable/mini-tin-munkidori</t>
        </is>
      </c>
    </row>
    <row r="2026">
      <c r="A2026" s="2" t="inlineStr">
        <is>
          <t>Silver Tempest Collector Chest Fall 2022</t>
        </is>
      </c>
      <c r="B2026" s="3">
        <f>IF(H2026&lt;&gt;"",H2026,IF(I2026&lt;&gt;"",I2026,IF(J2026&lt;&gt;"",J2026,K2026)))</f>
        <v>56.44</v>
      </c>
      <c r="C2026" s="3">
        <f>MEDIAN(H2026:K2026)</f>
        <v>56.44</v>
      </c>
      <c r="D2026" s="3">
        <f>ROUND(C2026*(1-Settings!$B$2),2)</f>
        <v>39.51</v>
      </c>
      <c r="E2026" s="2" t="inlineStr">
        <is>
          <t>Pokemon</t>
        </is>
      </c>
      <c r="F2026" s="2" t="inlineStr">
        <is>
          <t>Coffret</t>
        </is>
      </c>
      <c r="G2026" s="2" t="inlineStr">
        <is>
          <t>Silver Tempest</t>
        </is>
      </c>
      <c r="H2026" s="3" t="n">
        <v>56.44</v>
      </c>
      <c r="I2026" s="3" t="n"/>
      <c r="J2026" s="3" t="n"/>
      <c r="K2026" s="3" t="n"/>
      <c r="L2026" s="2" t="inlineStr">
        <is>
          <t>PriceCharting</t>
        </is>
      </c>
      <c r="M2026" s="4" t="inlineStr">
        <is>
          <t>https://www.pricecharting.com/game/pokemon-silver-tempest/collector-chest-fall-2022</t>
        </is>
      </c>
    </row>
    <row r="2027">
      <c r="A2027" s="2" t="inlineStr">
        <is>
          <t>Silver Tempest Elite Trainer Box [Pokemon Center]</t>
        </is>
      </c>
      <c r="B2027" s="3">
        <f>IF(H2027&lt;&gt;"",H2027,IF(I2027&lt;&gt;"",I2027,IF(J2027&lt;&gt;"",J2027,K2027)))</f>
        <v>345.15</v>
      </c>
      <c r="C2027" s="3">
        <f>MEDIAN(H2027:K2027)</f>
        <v>345.15</v>
      </c>
      <c r="D2027" s="3">
        <f>ROUND(C2027*(1-Settings!$B$2),2)</f>
        <v>241.61</v>
      </c>
      <c r="E2027" s="2" t="inlineStr">
        <is>
          <t>Pokemon</t>
        </is>
      </c>
      <c r="F2027" s="2" t="inlineStr">
        <is>
          <t>Coffret</t>
        </is>
      </c>
      <c r="G2027" s="2" t="inlineStr">
        <is>
          <t>Silver Tempest</t>
        </is>
      </c>
      <c r="H2027" s="3" t="n">
        <v>345.15</v>
      </c>
      <c r="I2027" s="3" t="n"/>
      <c r="J2027" s="3" t="n"/>
      <c r="K2027" s="3" t="n"/>
      <c r="L2027" s="2" t="inlineStr">
        <is>
          <t>PriceCharting</t>
        </is>
      </c>
      <c r="M2027" s="4" t="inlineStr">
        <is>
          <t>https://www.pricecharting.com/game/pokemon-silver-tempest/elite-trainer-box-pokemon-center</t>
        </is>
      </c>
    </row>
    <row r="2028">
      <c r="A2028" s="2" t="inlineStr">
        <is>
          <t>VStar Premium Trainer Box</t>
        </is>
      </c>
      <c r="B2028" s="3">
        <f>IF(H2028&lt;&gt;"",H2028,IF(I2028&lt;&gt;"",I2028,IF(J2028&lt;&gt;"",J2028,K2028)))</f>
        <v>249.99</v>
      </c>
      <c r="C2028" s="3">
        <f>MEDIAN(H2028:K2028)</f>
        <v>249.99</v>
      </c>
      <c r="D2028" s="3">
        <f>ROUND(C2028*(1-Settings!$B$2),2)</f>
        <v>174.99</v>
      </c>
      <c r="E2028" s="2" t="inlineStr">
        <is>
          <t>Pokemon</t>
        </is>
      </c>
      <c r="F2028" s="2" t="inlineStr">
        <is>
          <t>Coffret</t>
        </is>
      </c>
      <c r="G2028" s="2" t="inlineStr">
        <is>
          <t>sK: VSTAR Premium Trainer Box</t>
        </is>
      </c>
      <c r="H2028" s="3" t="n"/>
      <c r="I2028" s="3" t="n"/>
      <c r="J2028" s="3" t="n"/>
      <c r="K2028" s="3" t="n">
        <v>249.99</v>
      </c>
      <c r="L2028" s="2" t="inlineStr">
        <is>
          <t>TCGplayer</t>
        </is>
      </c>
      <c r="N2028" s="4" t="inlineStr">
        <is>
          <t>https://www.tcgplayer.com/product/678055</t>
        </is>
      </c>
    </row>
    <row r="2029">
      <c r="A2029" s="2" t="inlineStr">
        <is>
          <t>Alolan Ninetales GX Challenge Box</t>
        </is>
      </c>
      <c r="B2029" s="3">
        <f>IF(H2029&lt;&gt;"",H2029,IF(I2029&lt;&gt;"",I2029,IF(J2029&lt;&gt;"",J2029,K2029)))</f>
        <v>97.5</v>
      </c>
      <c r="C2029" s="3">
        <f>MEDIAN(H2029:K2029)</f>
        <v>100.0</v>
      </c>
      <c r="D2029" s="3">
        <f>ROUND(C2029*(1-Settings!$B$2),2)</f>
        <v>70.0</v>
      </c>
      <c r="E2029" s="2" t="inlineStr">
        <is>
          <t>Pokemon</t>
        </is>
      </c>
      <c r="F2029" s="2" t="inlineStr">
        <is>
          <t>Coffret</t>
        </is>
      </c>
      <c r="G2029" s="2" t="inlineStr">
        <is>
          <t>SM - Burning Shadows</t>
        </is>
      </c>
      <c r="H2029" s="3" t="n"/>
      <c r="I2029" s="3" t="n">
        <v>97.5</v>
      </c>
      <c r="J2029" s="3" t="n">
        <v>127.49</v>
      </c>
      <c r="K2029" s="3" t="n">
        <v>100</v>
      </c>
      <c r="L2029" s="2" t="inlineStr">
        <is>
          <t>TCGplayer</t>
        </is>
      </c>
      <c r="N2029" s="4" t="inlineStr">
        <is>
          <t>https://www.tcgplayer.com/product/218320</t>
        </is>
      </c>
    </row>
    <row r="2030">
      <c r="A2030" s="2" t="inlineStr">
        <is>
          <t>Burning Shadows Booster Pack Art Bundle [Set of 4]</t>
        </is>
      </c>
      <c r="B2030" s="3">
        <f>IF(H2030&lt;&gt;"",H2030,IF(I2030&lt;&gt;"",I2030,IF(J2030&lt;&gt;"",J2030,K2030)))</f>
        <v>122.44</v>
      </c>
      <c r="C2030" s="3">
        <f>MEDIAN(H2030:K2030)</f>
        <v>122.44</v>
      </c>
      <c r="D2030" s="3">
        <f>ROUND(C2030*(1-Settings!$B$2),2)</f>
        <v>85.71</v>
      </c>
      <c r="E2030" s="2" t="inlineStr">
        <is>
          <t>Pokemon</t>
        </is>
      </c>
      <c r="F2030" s="2" t="inlineStr">
        <is>
          <t>Coffret</t>
        </is>
      </c>
      <c r="G2030" s="2" t="inlineStr">
        <is>
          <t>SM - Burning Shadows</t>
        </is>
      </c>
      <c r="H2030" s="3" t="n"/>
      <c r="I2030" s="3" t="n">
        <v>122.44</v>
      </c>
      <c r="J2030" s="3" t="n">
        <v>130</v>
      </c>
      <c r="K2030" s="3" t="n">
        <v>110</v>
      </c>
      <c r="L2030" s="2" t="inlineStr">
        <is>
          <t>TCGplayer</t>
        </is>
      </c>
      <c r="N2030" s="4" t="inlineStr">
        <is>
          <t>https://www.tcgplayer.com/product/267038</t>
        </is>
      </c>
    </row>
    <row r="2031">
      <c r="A2031" s="2" t="inlineStr">
        <is>
          <t>Burning Shadows Elite Trainer Box</t>
        </is>
      </c>
      <c r="B2031" s="3">
        <f>IF(H2031&lt;&gt;"",H2031,IF(I2031&lt;&gt;"",I2031,IF(J2031&lt;&gt;"",J2031,K2031)))</f>
        <v>300.0</v>
      </c>
      <c r="C2031" s="3">
        <f>MEDIAN(H2031:K2031)</f>
        <v>312.19</v>
      </c>
      <c r="D2031" s="3">
        <f>ROUND(C2031*(1-Settings!$B$2),2)</f>
        <v>218.53</v>
      </c>
      <c r="E2031" s="2" t="inlineStr">
        <is>
          <t>Pokemon</t>
        </is>
      </c>
      <c r="F2031" s="2" t="inlineStr">
        <is>
          <t>Coffret</t>
        </is>
      </c>
      <c r="G2031" s="2" t="inlineStr">
        <is>
          <t>SM - Burning Shadows</t>
        </is>
      </c>
      <c r="H2031" s="3" t="n">
        <v>300</v>
      </c>
      <c r="I2031" s="3" t="n">
        <v>324.38</v>
      </c>
      <c r="J2031" s="3" t="n">
        <v>349.99</v>
      </c>
      <c r="K2031" s="3" t="n">
        <v>299.95</v>
      </c>
      <c r="L2031" s="2" t="inlineStr">
        <is>
          <t>PriceCharting + TCGplayer</t>
        </is>
      </c>
      <c r="M2031" s="4" t="inlineStr">
        <is>
          <t>https://www.pricecharting.com/game/pokemon-burning-shadows/elite-trainer-box</t>
        </is>
      </c>
      <c r="N2031" s="4" t="inlineStr">
        <is>
          <t>https://www.tcgplayer.com/product/133776</t>
        </is>
      </c>
    </row>
    <row r="2032">
      <c r="A2032" s="2" t="inlineStr">
        <is>
          <t>Burning Shadows Prerelease Kit</t>
        </is>
      </c>
      <c r="B2032" s="3">
        <f>IF(H2032&lt;&gt;"",H2032,IF(I2032&lt;&gt;"",I2032,IF(J2032&lt;&gt;"",J2032,K2032)))</f>
        <v>299.97</v>
      </c>
      <c r="C2032" s="3">
        <f>MEDIAN(H2032:K2032)</f>
        <v>450.0</v>
      </c>
      <c r="D2032" s="3">
        <f>ROUND(C2032*(1-Settings!$B$2),2)</f>
        <v>315.0</v>
      </c>
      <c r="E2032" s="2" t="inlineStr">
        <is>
          <t>Pokemon</t>
        </is>
      </c>
      <c r="F2032" s="2" t="inlineStr">
        <is>
          <t>Coffret</t>
        </is>
      </c>
      <c r="G2032" s="2" t="inlineStr">
        <is>
          <t>SM - Burning Shadows</t>
        </is>
      </c>
      <c r="H2032" s="3" t="n"/>
      <c r="I2032" s="3" t="n">
        <v>299.97</v>
      </c>
      <c r="J2032" s="3" t="n">
        <v>454</v>
      </c>
      <c r="K2032" s="3" t="n">
        <v>450</v>
      </c>
      <c r="L2032" s="2" t="inlineStr">
        <is>
          <t>TCGplayer</t>
        </is>
      </c>
      <c r="N2032" s="4" t="inlineStr">
        <is>
          <t>https://www.tcgplayer.com/product/139888</t>
        </is>
      </c>
    </row>
    <row r="2033">
      <c r="A2033" s="2" t="inlineStr">
        <is>
          <t>Charizard GX Premium Collection</t>
        </is>
      </c>
      <c r="B2033" s="3">
        <f>IF(H2033&lt;&gt;"",H2033,IF(I2033&lt;&gt;"",I2033,IF(J2033&lt;&gt;"",J2033,K2033)))</f>
        <v>1320.0</v>
      </c>
      <c r="C2033" s="3">
        <f>MEDIAN(H2033:K2033)</f>
        <v>1160.0</v>
      </c>
      <c r="D2033" s="3">
        <f>ROUND(C2033*(1-Settings!$B$2),2)</f>
        <v>812.0</v>
      </c>
      <c r="E2033" s="2" t="inlineStr">
        <is>
          <t>Pokemon</t>
        </is>
      </c>
      <c r="F2033" s="2" t="inlineStr">
        <is>
          <t>Coffret</t>
        </is>
      </c>
      <c r="G2033" s="2" t="inlineStr">
        <is>
          <t>SM - Burning Shadows</t>
        </is>
      </c>
      <c r="H2033" s="3" t="n"/>
      <c r="I2033" s="3" t="n"/>
      <c r="J2033" s="3" t="n">
        <v>1320</v>
      </c>
      <c r="K2033" s="3" t="n">
        <v>1000</v>
      </c>
      <c r="L2033" s="2" t="inlineStr">
        <is>
          <t>TCGplayer</t>
        </is>
      </c>
      <c r="N2033" s="4" t="inlineStr">
        <is>
          <t>https://www.tcgplayer.com/product/148154</t>
        </is>
      </c>
    </row>
    <row r="2034">
      <c r="A2034" s="2" t="inlineStr">
        <is>
          <t>Kommo-o GX Box</t>
        </is>
      </c>
      <c r="B2034" s="3">
        <f>IF(H2034&lt;&gt;"",H2034,IF(I2034&lt;&gt;"",I2034,IF(J2034&lt;&gt;"",J2034,K2034)))</f>
        <v>121.98</v>
      </c>
      <c r="C2034" s="3">
        <f>MEDIAN(H2034:K2034)</f>
        <v>121.98</v>
      </c>
      <c r="D2034" s="3">
        <f>ROUND(C2034*(1-Settings!$B$2),2)</f>
        <v>85.39</v>
      </c>
      <c r="E2034" s="2" t="inlineStr">
        <is>
          <t>Pokemon</t>
        </is>
      </c>
      <c r="F2034" s="2" t="inlineStr">
        <is>
          <t>Coffret</t>
        </is>
      </c>
      <c r="G2034" s="2" t="inlineStr">
        <is>
          <t>SM - Burning Shadows</t>
        </is>
      </c>
      <c r="H2034" s="3" t="n"/>
      <c r="I2034" s="3" t="n">
        <v>121.98</v>
      </c>
      <c r="J2034" s="3" t="n"/>
      <c r="K2034" s="3" t="n"/>
      <c r="L2034" s="2" t="inlineStr">
        <is>
          <t>TCGplayer</t>
        </is>
      </c>
      <c r="N2034" s="4" t="inlineStr">
        <is>
          <t>https://www.tcgplayer.com/product/153454</t>
        </is>
      </c>
    </row>
    <row r="2035">
      <c r="A2035" s="2" t="inlineStr">
        <is>
          <t>Lycanroc GX Challenge Box</t>
        </is>
      </c>
      <c r="B2035" s="3">
        <f>IF(H2035&lt;&gt;"",H2035,IF(I2035&lt;&gt;"",I2035,IF(J2035&lt;&gt;"",J2035,K2035)))</f>
        <v>90.0</v>
      </c>
      <c r="C2035" s="3">
        <f>MEDIAN(H2035:K2035)</f>
        <v>87.985</v>
      </c>
      <c r="D2035" s="3">
        <f>ROUND(C2035*(1-Settings!$B$2),2)</f>
        <v>61.59</v>
      </c>
      <c r="E2035" s="2" t="inlineStr">
        <is>
          <t>Pokemon</t>
        </is>
      </c>
      <c r="F2035" s="2" t="inlineStr">
        <is>
          <t>Coffret</t>
        </is>
      </c>
      <c r="G2035" s="2" t="inlineStr">
        <is>
          <t>SM - Burning Shadows</t>
        </is>
      </c>
      <c r="H2035" s="3" t="n"/>
      <c r="I2035" s="3" t="n"/>
      <c r="J2035" s="3" t="n">
        <v>90</v>
      </c>
      <c r="K2035" s="3" t="n">
        <v>85.97</v>
      </c>
      <c r="L2035" s="2" t="inlineStr">
        <is>
          <t>TCGplayer</t>
        </is>
      </c>
      <c r="N2035" s="4" t="inlineStr">
        <is>
          <t>https://www.tcgplayer.com/product/218321</t>
        </is>
      </c>
    </row>
    <row r="2036">
      <c r="A2036" s="2" t="inlineStr">
        <is>
          <t>Mysterious Powers Tin [Marshadow GX]</t>
        </is>
      </c>
      <c r="B2036" s="3">
        <f>IF(H2036&lt;&gt;"",H2036,IF(I2036&lt;&gt;"",I2036,IF(J2036&lt;&gt;"",J2036,K2036)))</f>
        <v>184.99</v>
      </c>
      <c r="C2036" s="3">
        <f>MEDIAN(H2036:K2036)</f>
        <v>181.485</v>
      </c>
      <c r="D2036" s="3">
        <f>ROUND(C2036*(1-Settings!$B$2),2)</f>
        <v>127.04</v>
      </c>
      <c r="E2036" s="2" t="inlineStr">
        <is>
          <t>Pokemon</t>
        </is>
      </c>
      <c r="F2036" s="2" t="inlineStr">
        <is>
          <t>Coffret</t>
        </is>
      </c>
      <c r="G2036" s="2" t="inlineStr">
        <is>
          <t>SM - Burning Shadows</t>
        </is>
      </c>
      <c r="H2036" s="3" t="n"/>
      <c r="I2036" s="3" t="n"/>
      <c r="J2036" s="3" t="n">
        <v>184.99</v>
      </c>
      <c r="K2036" s="3" t="n">
        <v>177.98</v>
      </c>
      <c r="L2036" s="2" t="inlineStr">
        <is>
          <t>TCGplayer</t>
        </is>
      </c>
      <c r="N2036" s="4" t="inlineStr">
        <is>
          <t>https://www.tcgplayer.com/product/148420</t>
        </is>
      </c>
    </row>
    <row r="2037">
      <c r="A2037" s="2" t="inlineStr">
        <is>
          <t>Mysterious Powers Tin [Necrozma GX]</t>
        </is>
      </c>
      <c r="B2037" s="3">
        <f>IF(H2037&lt;&gt;"",H2037,IF(I2037&lt;&gt;"",I2037,IF(J2037&lt;&gt;"",J2037,K2037)))</f>
        <v>126.74</v>
      </c>
      <c r="C2037" s="3">
        <f>MEDIAN(H2037:K2037)</f>
        <v>124.99</v>
      </c>
      <c r="D2037" s="3">
        <f>ROUND(C2037*(1-Settings!$B$2),2)</f>
        <v>87.49</v>
      </c>
      <c r="E2037" s="2" t="inlineStr">
        <is>
          <t>Pokemon</t>
        </is>
      </c>
      <c r="F2037" s="2" t="inlineStr">
        <is>
          <t>Coffret</t>
        </is>
      </c>
      <c r="G2037" s="2" t="inlineStr">
        <is>
          <t>SM - Burning Shadows</t>
        </is>
      </c>
      <c r="H2037" s="3" t="n"/>
      <c r="I2037" s="3" t="n">
        <v>126.74</v>
      </c>
      <c r="J2037" s="3" t="n">
        <v>124.99</v>
      </c>
      <c r="K2037" s="3" t="n">
        <v>124.99</v>
      </c>
      <c r="L2037" s="2" t="inlineStr">
        <is>
          <t>TCGplayer</t>
        </is>
      </c>
      <c r="N2037" s="4" t="inlineStr">
        <is>
          <t>https://www.tcgplayer.com/product/148419</t>
        </is>
      </c>
    </row>
    <row r="2038">
      <c r="A2038" s="2" t="inlineStr">
        <is>
          <t>Tapu Lele Pin Collection</t>
        </is>
      </c>
      <c r="B2038" s="3">
        <f>IF(H2038&lt;&gt;"",H2038,IF(I2038&lt;&gt;"",I2038,IF(J2038&lt;&gt;"",J2038,K2038)))</f>
        <v>119.89</v>
      </c>
      <c r="C2038" s="3">
        <f>MEDIAN(H2038:K2038)</f>
        <v>119.89</v>
      </c>
      <c r="D2038" s="3">
        <f>ROUND(C2038*(1-Settings!$B$2),2)</f>
        <v>83.92</v>
      </c>
      <c r="E2038" s="2" t="inlineStr">
        <is>
          <t>Pokemon</t>
        </is>
      </c>
      <c r="F2038" s="2" t="inlineStr">
        <is>
          <t>Coffret</t>
        </is>
      </c>
      <c r="G2038" s="2" t="inlineStr">
        <is>
          <t>SM - Burning Shadows</t>
        </is>
      </c>
      <c r="H2038" s="3" t="n"/>
      <c r="I2038" s="3" t="n"/>
      <c r="J2038" s="3" t="n">
        <v>119.89</v>
      </c>
      <c r="K2038" s="3" t="n">
        <v>119.89</v>
      </c>
      <c r="L2038" s="2" t="inlineStr">
        <is>
          <t>TCGplayer</t>
        </is>
      </c>
      <c r="N2038" s="4" t="inlineStr">
        <is>
          <t>https://www.tcgplayer.com/product/133775</t>
        </is>
      </c>
    </row>
    <row r="2039">
      <c r="A2039" s="2" t="inlineStr">
        <is>
          <t>Team Skull Pin Collection</t>
        </is>
      </c>
      <c r="B2039" s="3">
        <f>IF(H2039&lt;&gt;"",H2039,IF(I2039&lt;&gt;"",I2039,IF(J2039&lt;&gt;"",J2039,K2039)))</f>
        <v>210.0</v>
      </c>
      <c r="C2039" s="3">
        <f>MEDIAN(H2039:K2039)</f>
        <v>239.99</v>
      </c>
      <c r="D2039" s="3">
        <f>ROUND(C2039*(1-Settings!$B$2),2)</f>
        <v>167.99</v>
      </c>
      <c r="E2039" s="2" t="inlineStr">
        <is>
          <t>Pokemon</t>
        </is>
      </c>
      <c r="F2039" s="2" t="inlineStr">
        <is>
          <t>Coffret</t>
        </is>
      </c>
      <c r="G2039" s="2" t="inlineStr">
        <is>
          <t>SM - Burning Shadows</t>
        </is>
      </c>
      <c r="H2039" s="3" t="n"/>
      <c r="I2039" s="3" t="n">
        <v>210</v>
      </c>
      <c r="J2039" s="3" t="n">
        <v>239.99</v>
      </c>
      <c r="K2039" s="3" t="n">
        <v>239.99</v>
      </c>
      <c r="L2039" s="2" t="inlineStr">
        <is>
          <t>TCGplayer</t>
        </is>
      </c>
      <c r="N2039" s="4" t="inlineStr">
        <is>
          <t>https://www.tcgplayer.com/product/148417</t>
        </is>
      </c>
    </row>
    <row r="2040">
      <c r="A2040" s="2" t="inlineStr">
        <is>
          <t>Tsareena GX Box</t>
        </is>
      </c>
      <c r="B2040" s="3">
        <f>IF(H2040&lt;&gt;"",H2040,IF(I2040&lt;&gt;"",I2040,IF(J2040&lt;&gt;"",J2040,K2040)))</f>
        <v>199.98</v>
      </c>
      <c r="C2040" s="3">
        <f>MEDIAN(H2040:K2040)</f>
        <v>199.99</v>
      </c>
      <c r="D2040" s="3">
        <f>ROUND(C2040*(1-Settings!$B$2),2)</f>
        <v>139.99</v>
      </c>
      <c r="E2040" s="2" t="inlineStr">
        <is>
          <t>Pokemon</t>
        </is>
      </c>
      <c r="F2040" s="2" t="inlineStr">
        <is>
          <t>Coffret</t>
        </is>
      </c>
      <c r="G2040" s="2" t="inlineStr">
        <is>
          <t>SM - Burning Shadows</t>
        </is>
      </c>
      <c r="H2040" s="3" t="n"/>
      <c r="I2040" s="3" t="n">
        <v>199.98</v>
      </c>
      <c r="J2040" s="3" t="n">
        <v>199.99</v>
      </c>
      <c r="K2040" s="3" t="n">
        <v>199.99</v>
      </c>
      <c r="L2040" s="2" t="inlineStr">
        <is>
          <t>TCGplayer</t>
        </is>
      </c>
      <c r="N2040" s="4" t="inlineStr">
        <is>
          <t>https://www.tcgplayer.com/product/141243</t>
        </is>
      </c>
    </row>
    <row r="2041">
      <c r="A2041" s="2" t="inlineStr">
        <is>
          <t>Celestial Storm Booster Pack Art Bundle [Set of 4]</t>
        </is>
      </c>
      <c r="B2041" s="3">
        <f>IF(H2041&lt;&gt;"",H2041,IF(I2041&lt;&gt;"",I2041,IF(J2041&lt;&gt;"",J2041,K2041)))</f>
        <v>291.33</v>
      </c>
      <c r="C2041" s="3">
        <f>MEDIAN(H2041:K2041)</f>
        <v>291.33</v>
      </c>
      <c r="D2041" s="3">
        <f>ROUND(C2041*(1-Settings!$B$2),2)</f>
        <v>203.93</v>
      </c>
      <c r="E2041" s="2" t="inlineStr">
        <is>
          <t>Pokemon</t>
        </is>
      </c>
      <c r="F2041" s="2" t="inlineStr">
        <is>
          <t>Coffret</t>
        </is>
      </c>
      <c r="G2041" s="2" t="inlineStr">
        <is>
          <t>SM - Celestial Storm</t>
        </is>
      </c>
      <c r="H2041" s="3" t="n"/>
      <c r="I2041" s="3" t="n">
        <v>291.33</v>
      </c>
      <c r="J2041" s="3" t="n"/>
      <c r="K2041" s="3" t="n"/>
      <c r="L2041" s="2" t="inlineStr">
        <is>
          <t>TCGplayer</t>
        </is>
      </c>
      <c r="N2041" s="4" t="inlineStr">
        <is>
          <t>https://www.tcgplayer.com/product/267042</t>
        </is>
      </c>
    </row>
    <row r="2042">
      <c r="A2042" s="2" t="inlineStr">
        <is>
          <t>Celestial Storm Build &amp; Battle Box</t>
        </is>
      </c>
      <c r="B2042" s="3">
        <f>IF(H2042&lt;&gt;"",H2042,IF(I2042&lt;&gt;"",I2042,IF(J2042&lt;&gt;"",J2042,K2042)))</f>
        <v>730.0</v>
      </c>
      <c r="C2042" s="3">
        <f>MEDIAN(H2042:K2042)</f>
        <v>539.995</v>
      </c>
      <c r="D2042" s="3">
        <f>ROUND(C2042*(1-Settings!$B$2),2)</f>
        <v>378.0</v>
      </c>
      <c r="E2042" s="2" t="inlineStr">
        <is>
          <t>Pokemon</t>
        </is>
      </c>
      <c r="F2042" s="2" t="inlineStr">
        <is>
          <t>Coffret</t>
        </is>
      </c>
      <c r="G2042" s="2" t="inlineStr">
        <is>
          <t>SM - Celestial Storm</t>
        </is>
      </c>
      <c r="H2042" s="3" t="n"/>
      <c r="I2042" s="3" t="n"/>
      <c r="J2042" s="3" t="n">
        <v>730</v>
      </c>
      <c r="K2042" s="3" t="n">
        <v>349.99</v>
      </c>
      <c r="L2042" s="2" t="inlineStr">
        <is>
          <t>TCGplayer</t>
        </is>
      </c>
      <c r="N2042" s="4" t="inlineStr">
        <is>
          <t>https://www.tcgplayer.com/product/170280</t>
        </is>
      </c>
    </row>
    <row r="2043">
      <c r="A2043" s="2" t="inlineStr">
        <is>
          <t>Evolution Celebration Tin [Glaceon GX]</t>
        </is>
      </c>
      <c r="B2043" s="3">
        <f>IF(H2043&lt;&gt;"",H2043,IF(I2043&lt;&gt;"",I2043,IF(J2043&lt;&gt;"",J2043,K2043)))</f>
        <v>144.95</v>
      </c>
      <c r="C2043" s="3">
        <f>MEDIAN(H2043:K2043)</f>
        <v>146.785</v>
      </c>
      <c r="D2043" s="3">
        <f>ROUND(C2043*(1-Settings!$B$2),2)</f>
        <v>102.75</v>
      </c>
      <c r="E2043" s="2" t="inlineStr">
        <is>
          <t>Pokemon</t>
        </is>
      </c>
      <c r="F2043" s="2" t="inlineStr">
        <is>
          <t>Coffret</t>
        </is>
      </c>
      <c r="G2043" s="2" t="inlineStr">
        <is>
          <t>SM - Celestial Storm</t>
        </is>
      </c>
      <c r="H2043" s="3" t="n">
        <v>144.95</v>
      </c>
      <c r="I2043" s="3" t="n">
        <v>148.62</v>
      </c>
      <c r="J2043" s="3" t="n">
        <v>192.9</v>
      </c>
      <c r="K2043" s="3" t="n">
        <v>136.4</v>
      </c>
      <c r="L2043" s="2" t="inlineStr">
        <is>
          <t>PriceCharting + TCGplayer</t>
        </is>
      </c>
      <c r="M2043" s="4" t="inlineStr">
        <is>
          <t>https://www.pricecharting.com/game/pokemon-celestial-storm/evolution-celebration-tin-glaceon-gx</t>
        </is>
      </c>
      <c r="N2043" s="4" t="inlineStr">
        <is>
          <t>https://www.tcgplayer.com/product/175555</t>
        </is>
      </c>
    </row>
    <row r="2044">
      <c r="A2044" s="2" t="inlineStr">
        <is>
          <t>Evolution Celebration Tin [Sylveon GX]</t>
        </is>
      </c>
      <c r="B2044" s="3">
        <f>IF(H2044&lt;&gt;"",H2044,IF(I2044&lt;&gt;"",I2044,IF(J2044&lt;&gt;"",J2044,K2044)))</f>
        <v>146.95</v>
      </c>
      <c r="C2044" s="3">
        <f>MEDIAN(H2044:K2044)</f>
        <v>174.745</v>
      </c>
      <c r="D2044" s="3">
        <f>ROUND(C2044*(1-Settings!$B$2),2)</f>
        <v>122.32</v>
      </c>
      <c r="E2044" s="2" t="inlineStr">
        <is>
          <t>Pokemon</t>
        </is>
      </c>
      <c r="F2044" s="2" t="inlineStr">
        <is>
          <t>Coffret</t>
        </is>
      </c>
      <c r="G2044" s="2" t="inlineStr">
        <is>
          <t>SM - Celestial Storm</t>
        </is>
      </c>
      <c r="H2044" s="3" t="n">
        <v>146.95</v>
      </c>
      <c r="I2044" s="3" t="n">
        <v>149.49</v>
      </c>
      <c r="J2044" s="3" t="n">
        <v>211.97</v>
      </c>
      <c r="K2044" s="3" t="n">
        <v>200</v>
      </c>
      <c r="L2044" s="2" t="inlineStr">
        <is>
          <t>PriceCharting + TCGplayer</t>
        </is>
      </c>
      <c r="M2044" s="4" t="inlineStr">
        <is>
          <t>https://www.pricecharting.com/game/pokemon-celestial-storm/evolution-celebration-tin-sylveon-gx</t>
        </is>
      </c>
      <c r="N2044" s="4" t="inlineStr">
        <is>
          <t>https://www.tcgplayer.com/product/175557</t>
        </is>
      </c>
    </row>
    <row r="2045">
      <c r="A2045" s="2" t="inlineStr">
        <is>
          <t>Lunala GX Box</t>
        </is>
      </c>
      <c r="B2045" s="3">
        <f>IF(H2045&lt;&gt;"",H2045,IF(I2045&lt;&gt;"",I2045,IF(J2045&lt;&gt;"",J2045,K2045)))</f>
        <v>289.85</v>
      </c>
      <c r="C2045" s="3">
        <f>MEDIAN(H2045:K2045)</f>
        <v>287.9</v>
      </c>
      <c r="D2045" s="3">
        <f>ROUND(C2045*(1-Settings!$B$2),2)</f>
        <v>201.53</v>
      </c>
      <c r="E2045" s="2" t="inlineStr">
        <is>
          <t>Pokemon</t>
        </is>
      </c>
      <c r="F2045" s="2" t="inlineStr">
        <is>
          <t>Coffret</t>
        </is>
      </c>
      <c r="G2045" s="2" t="inlineStr">
        <is>
          <t>SM - Celestial Storm</t>
        </is>
      </c>
      <c r="H2045" s="3" t="n"/>
      <c r="I2045" s="3" t="n">
        <v>289.85</v>
      </c>
      <c r="J2045" s="3" t="n">
        <v>287.9</v>
      </c>
      <c r="K2045" s="3" t="n">
        <v>287.9</v>
      </c>
      <c r="L2045" s="2" t="inlineStr">
        <is>
          <t>TCGplayer</t>
        </is>
      </c>
      <c r="N2045" s="4" t="inlineStr">
        <is>
          <t>https://www.tcgplayer.com/product/175559</t>
        </is>
      </c>
    </row>
    <row r="2046">
      <c r="A2046" s="2" t="inlineStr">
        <is>
          <t>Solgaleo GX Box</t>
        </is>
      </c>
      <c r="B2046" s="3">
        <f>IF(H2046&lt;&gt;"",H2046,IF(I2046&lt;&gt;"",I2046,IF(J2046&lt;&gt;"",J2046,K2046)))</f>
        <v>699.99</v>
      </c>
      <c r="C2046" s="3">
        <f>MEDIAN(H2046:K2046)</f>
        <v>699.99</v>
      </c>
      <c r="D2046" s="3">
        <f>ROUND(C2046*(1-Settings!$B$2),2)</f>
        <v>489.99</v>
      </c>
      <c r="E2046" s="2" t="inlineStr">
        <is>
          <t>Pokemon</t>
        </is>
      </c>
      <c r="F2046" s="2" t="inlineStr">
        <is>
          <t>Coffret</t>
        </is>
      </c>
      <c r="G2046" s="2" t="inlineStr">
        <is>
          <t>SM - Celestial Storm</t>
        </is>
      </c>
      <c r="H2046" s="3" t="n"/>
      <c r="I2046" s="3" t="n"/>
      <c r="J2046" s="3" t="n">
        <v>699.99</v>
      </c>
      <c r="K2046" s="3" t="n">
        <v>699.99</v>
      </c>
      <c r="L2046" s="2" t="inlineStr">
        <is>
          <t>TCGplayer</t>
        </is>
      </c>
      <c r="N2046" s="4" t="inlineStr">
        <is>
          <t>https://www.tcgplayer.com/product/175558</t>
        </is>
      </c>
    </row>
    <row r="2047">
      <c r="A2047" s="2" t="inlineStr">
        <is>
          <t>Cosmic Eclipse 3 Pack Blister [Celebi]</t>
        </is>
      </c>
      <c r="B2047" s="3">
        <f>IF(H2047&lt;&gt;"",H2047,IF(I2047&lt;&gt;"",I2047,IF(J2047&lt;&gt;"",J2047,K2047)))</f>
        <v>379.99</v>
      </c>
      <c r="C2047" s="3">
        <f>MEDIAN(H2047:K2047)</f>
        <v>425.0</v>
      </c>
      <c r="D2047" s="3">
        <f>ROUND(C2047*(1-Settings!$B$2),2)</f>
        <v>297.5</v>
      </c>
      <c r="E2047" s="2" t="inlineStr">
        <is>
          <t>Pokemon</t>
        </is>
      </c>
      <c r="F2047" s="2" t="inlineStr">
        <is>
          <t>Coffret</t>
        </is>
      </c>
      <c r="G2047" s="2" t="inlineStr">
        <is>
          <t>SM - Cosmic Eclipse</t>
        </is>
      </c>
      <c r="H2047" s="3" t="n">
        <v>379.99</v>
      </c>
      <c r="I2047" s="3" t="n">
        <v>400</v>
      </c>
      <c r="J2047" s="3" t="n">
        <v>450</v>
      </c>
      <c r="K2047" s="3" t="n">
        <v>450</v>
      </c>
      <c r="L2047" s="2" t="inlineStr">
        <is>
          <t>PriceCharting + TCGplayer</t>
        </is>
      </c>
      <c r="M2047" s="4" t="inlineStr">
        <is>
          <t>https://www.pricecharting.com/game/pokemon-cosmic-eclipse/3-pack-blister-celebi</t>
        </is>
      </c>
      <c r="N2047" s="4" t="inlineStr">
        <is>
          <t>https://www.tcgplayer.com/product/199767</t>
        </is>
      </c>
    </row>
    <row r="2048">
      <c r="A2048" s="2" t="inlineStr">
        <is>
          <t>Cosmic Eclipse Booster Pack Art Bundle [Set of 4]</t>
        </is>
      </c>
      <c r="B2048" s="3">
        <f>IF(H2048&lt;&gt;"",H2048,IF(I2048&lt;&gt;"",I2048,IF(J2048&lt;&gt;"",J2048,K2048)))</f>
        <v>305.3</v>
      </c>
      <c r="C2048" s="3">
        <f>MEDIAN(H2048:K2048)</f>
        <v>305.3</v>
      </c>
      <c r="D2048" s="3">
        <f>ROUND(C2048*(1-Settings!$B$2),2)</f>
        <v>213.71</v>
      </c>
      <c r="E2048" s="2" t="inlineStr">
        <is>
          <t>Pokemon</t>
        </is>
      </c>
      <c r="F2048" s="2" t="inlineStr">
        <is>
          <t>Coffret</t>
        </is>
      </c>
      <c r="G2048" s="2" t="inlineStr">
        <is>
          <t>SM - Cosmic Eclipse</t>
        </is>
      </c>
      <c r="H2048" s="3" t="n"/>
      <c r="I2048" s="3" t="n">
        <v>305.3</v>
      </c>
      <c r="J2048" s="3" t="n">
        <v>309.99</v>
      </c>
      <c r="K2048" s="3" t="n">
        <v>110</v>
      </c>
      <c r="L2048" s="2" t="inlineStr">
        <is>
          <t>TCGplayer</t>
        </is>
      </c>
      <c r="N2048" s="4" t="inlineStr">
        <is>
          <t>https://www.tcgplayer.com/product/267047</t>
        </is>
      </c>
    </row>
    <row r="2049">
      <c r="A2049" s="2" t="inlineStr">
        <is>
          <t>Cosmic Eclipse Build &amp; Battle Box</t>
        </is>
      </c>
      <c r="B2049" s="3">
        <f>IF(H2049&lt;&gt;"",H2049,IF(I2049&lt;&gt;"",I2049,IF(J2049&lt;&gt;"",J2049,K2049)))</f>
        <v>390.0</v>
      </c>
      <c r="C2049" s="3">
        <f>MEDIAN(H2049:K2049)</f>
        <v>649.99</v>
      </c>
      <c r="D2049" s="3">
        <f>ROUND(C2049*(1-Settings!$B$2),2)</f>
        <v>454.99</v>
      </c>
      <c r="E2049" s="2" t="inlineStr">
        <is>
          <t>Pokemon</t>
        </is>
      </c>
      <c r="F2049" s="2" t="inlineStr">
        <is>
          <t>Coffret</t>
        </is>
      </c>
      <c r="G2049" s="2" t="inlineStr">
        <is>
          <t>SM - Cosmic Eclipse</t>
        </is>
      </c>
      <c r="H2049" s="3" t="n">
        <v>390</v>
      </c>
      <c r="I2049" s="3" t="n">
        <v>499.99</v>
      </c>
      <c r="J2049" s="3" t="n">
        <v>799.99</v>
      </c>
      <c r="K2049" s="3" t="n">
        <v>799.99</v>
      </c>
      <c r="L2049" s="2" t="inlineStr">
        <is>
          <t>PriceCharting + TCGplayer</t>
        </is>
      </c>
      <c r="M2049" s="4" t="inlineStr">
        <is>
          <t>https://www.pricecharting.com/game/pokemon-cosmic-eclipse/build-&amp;-battle-box</t>
        </is>
      </c>
      <c r="N2049" s="4" t="inlineStr">
        <is>
          <t>https://www.tcgplayer.com/product/199310</t>
        </is>
      </c>
    </row>
    <row r="2050">
      <c r="A2050" s="2" t="inlineStr">
        <is>
          <t>Cosmic Eclipse Sleeved Booster Pack Art Bundle [Set of 4]</t>
        </is>
      </c>
      <c r="B2050" s="3">
        <f>IF(H2050&lt;&gt;"",H2050,IF(I2050&lt;&gt;"",I2050,IF(J2050&lt;&gt;"",J2050,K2050)))</f>
        <v>461.77</v>
      </c>
      <c r="C2050" s="3">
        <f>MEDIAN(H2050:K2050)</f>
        <v>495.0</v>
      </c>
      <c r="D2050" s="3">
        <f>ROUND(C2050*(1-Settings!$B$2),2)</f>
        <v>346.5</v>
      </c>
      <c r="E2050" s="2" t="inlineStr">
        <is>
          <t>Pokemon</t>
        </is>
      </c>
      <c r="F2050" s="2" t="inlineStr">
        <is>
          <t>Coffret</t>
        </is>
      </c>
      <c r="G2050" s="2" t="inlineStr">
        <is>
          <t>SM - Cosmic Eclipse</t>
        </is>
      </c>
      <c r="H2050" s="3" t="n"/>
      <c r="I2050" s="3" t="n">
        <v>461.77</v>
      </c>
      <c r="J2050" s="3" t="n">
        <v>499.99</v>
      </c>
      <c r="K2050" s="3" t="n">
        <v>495</v>
      </c>
      <c r="L2050" s="2" t="inlineStr">
        <is>
          <t>TCGplayer</t>
        </is>
      </c>
      <c r="N2050" s="4" t="inlineStr">
        <is>
          <t>https://www.tcgplayer.com/product/276587</t>
        </is>
      </c>
    </row>
    <row r="2051">
      <c r="A2051" s="2" t="inlineStr">
        <is>
          <t>Pikachu GX &amp; Eevee GX Special Collection</t>
        </is>
      </c>
      <c r="B2051" s="3">
        <f>IF(H2051&lt;&gt;"",H2051,IF(I2051&lt;&gt;"",I2051,IF(J2051&lt;&gt;"",J2051,K2051)))</f>
        <v>403.11</v>
      </c>
      <c r="C2051" s="3">
        <f>MEDIAN(H2051:K2051)</f>
        <v>549.97</v>
      </c>
      <c r="D2051" s="3">
        <f>ROUND(C2051*(1-Settings!$B$2),2)</f>
        <v>384.98</v>
      </c>
      <c r="E2051" s="2" t="inlineStr">
        <is>
          <t>Pokemon</t>
        </is>
      </c>
      <c r="F2051" s="2" t="inlineStr">
        <is>
          <t>Coffret</t>
        </is>
      </c>
      <c r="G2051" s="2" t="inlineStr">
        <is>
          <t>SM - Cosmic Eclipse</t>
        </is>
      </c>
      <c r="H2051" s="3" t="n">
        <v>403.11</v>
      </c>
      <c r="I2051" s="3" t="n">
        <v>549.97</v>
      </c>
      <c r="J2051" s="3" t="n"/>
      <c r="K2051" s="3" t="n">
        <v>549.99</v>
      </c>
      <c r="L2051" s="2" t="inlineStr">
        <is>
          <t>PriceCharting + TCGplayer</t>
        </is>
      </c>
      <c r="M2051" s="4" t="inlineStr">
        <is>
          <t>https://www.pricecharting.com/game/pokemon-cosmic-eclipse/pikachu-gx-&amp;-eevee-gx-special-collection</t>
        </is>
      </c>
      <c r="N2051" s="4" t="inlineStr">
        <is>
          <t>https://www.tcgplayer.com/product/199772</t>
        </is>
      </c>
    </row>
    <row r="2052">
      <c r="A2052" s="2" t="inlineStr">
        <is>
          <t>Crimson Invasion Booster Pack Art Bundle [Set of 4]</t>
        </is>
      </c>
      <c r="B2052" s="3">
        <f>IF(H2052&lt;&gt;"",H2052,IF(I2052&lt;&gt;"",I2052,IF(J2052&lt;&gt;"",J2052,K2052)))</f>
        <v>142.42</v>
      </c>
      <c r="C2052" s="3">
        <f>MEDIAN(H2052:K2052)</f>
        <v>119.97</v>
      </c>
      <c r="D2052" s="3">
        <f>ROUND(C2052*(1-Settings!$B$2),2)</f>
        <v>83.98</v>
      </c>
      <c r="E2052" s="2" t="inlineStr">
        <is>
          <t>Pokemon</t>
        </is>
      </c>
      <c r="F2052" s="2" t="inlineStr">
        <is>
          <t>Coffret</t>
        </is>
      </c>
      <c r="G2052" s="2" t="inlineStr">
        <is>
          <t>SM - Crimson Invasion</t>
        </is>
      </c>
      <c r="H2052" s="3" t="n"/>
      <c r="I2052" s="3" t="n">
        <v>142.42</v>
      </c>
      <c r="J2052" s="3" t="n">
        <v>119.97</v>
      </c>
      <c r="K2052" s="3" t="n">
        <v>108.99</v>
      </c>
      <c r="L2052" s="2" t="inlineStr">
        <is>
          <t>TCGplayer</t>
        </is>
      </c>
      <c r="N2052" s="4" t="inlineStr">
        <is>
          <t>https://www.tcgplayer.com/product/267039</t>
        </is>
      </c>
    </row>
    <row r="2053">
      <c r="A2053" s="2" t="inlineStr">
        <is>
          <t>Crimson Invasion Elite Trainer Box</t>
        </is>
      </c>
      <c r="B2053" s="3">
        <f>IF(H2053&lt;&gt;"",H2053,IF(I2053&lt;&gt;"",I2053,IF(J2053&lt;&gt;"",J2053,K2053)))</f>
        <v>199.03</v>
      </c>
      <c r="C2053" s="3">
        <f>MEDIAN(H2053:K2053)</f>
        <v>210.39</v>
      </c>
      <c r="D2053" s="3">
        <f>ROUND(C2053*(1-Settings!$B$2),2)</f>
        <v>147.27</v>
      </c>
      <c r="E2053" s="2" t="inlineStr">
        <is>
          <t>Pokemon</t>
        </is>
      </c>
      <c r="F2053" s="2" t="inlineStr">
        <is>
          <t>Coffret</t>
        </is>
      </c>
      <c r="G2053" s="2" t="inlineStr">
        <is>
          <t>SM - Crimson Invasion</t>
        </is>
      </c>
      <c r="H2053" s="3" t="n">
        <v>199.03</v>
      </c>
      <c r="I2053" s="3" t="n">
        <v>221.75</v>
      </c>
      <c r="J2053" s="3" t="n">
        <v>225.5</v>
      </c>
      <c r="K2053" s="3" t="n">
        <v>194.95</v>
      </c>
      <c r="L2053" s="2" t="inlineStr">
        <is>
          <t>PriceCharting + TCGplayer</t>
        </is>
      </c>
      <c r="M2053" s="4" t="inlineStr">
        <is>
          <t>https://www.pricecharting.com/game/pokemon-crimson-invasion/elite-trainer-box</t>
        </is>
      </c>
      <c r="N2053" s="4" t="inlineStr">
        <is>
          <t>https://www.tcgplayer.com/product/149377</t>
        </is>
      </c>
    </row>
    <row r="2054">
      <c r="A2054" s="2" t="inlineStr">
        <is>
          <t>Crimson Invasion Prerelease Kit</t>
        </is>
      </c>
      <c r="B2054" s="3">
        <f>IF(H2054&lt;&gt;"",H2054,IF(I2054&lt;&gt;"",I2054,IF(J2054&lt;&gt;"",J2054,K2054)))</f>
        <v>97.86</v>
      </c>
      <c r="C2054" s="3">
        <f>MEDIAN(H2054:K2054)</f>
        <v>97.86</v>
      </c>
      <c r="D2054" s="3">
        <f>ROUND(C2054*(1-Settings!$B$2),2)</f>
        <v>68.5</v>
      </c>
      <c r="E2054" s="2" t="inlineStr">
        <is>
          <t>Pokemon</t>
        </is>
      </c>
      <c r="F2054" s="2" t="inlineStr">
        <is>
          <t>Coffret</t>
        </is>
      </c>
      <c r="G2054" s="2" t="inlineStr">
        <is>
          <t>SM - Crimson Invasion</t>
        </is>
      </c>
      <c r="H2054" s="3" t="n"/>
      <c r="I2054" s="3" t="n">
        <v>97.86</v>
      </c>
      <c r="J2054" s="3" t="n">
        <v>100</v>
      </c>
      <c r="K2054" s="3" t="n">
        <v>95</v>
      </c>
      <c r="L2054" s="2" t="inlineStr">
        <is>
          <t>TCGplayer</t>
        </is>
      </c>
      <c r="N2054" s="4" t="inlineStr">
        <is>
          <t>https://www.tcgplayer.com/product/153081</t>
        </is>
      </c>
    </row>
    <row r="2055">
      <c r="A2055" s="2" t="inlineStr">
        <is>
          <t>Guzzlord GX Box</t>
        </is>
      </c>
      <c r="B2055" s="3">
        <f>IF(H2055&lt;&gt;"",H2055,IF(I2055&lt;&gt;"",I2055,IF(J2055&lt;&gt;"",J2055,K2055)))</f>
        <v>299.99</v>
      </c>
      <c r="C2055" s="3">
        <f>MEDIAN(H2055:K2055)</f>
        <v>299.99</v>
      </c>
      <c r="D2055" s="3">
        <f>ROUND(C2055*(1-Settings!$B$2),2)</f>
        <v>209.99</v>
      </c>
      <c r="E2055" s="2" t="inlineStr">
        <is>
          <t>Pokemon</t>
        </is>
      </c>
      <c r="F2055" s="2" t="inlineStr">
        <is>
          <t>Coffret</t>
        </is>
      </c>
      <c r="G2055" s="2" t="inlineStr">
        <is>
          <t>SM - Crimson Invasion</t>
        </is>
      </c>
      <c r="H2055" s="3" t="n"/>
      <c r="I2055" s="3" t="n"/>
      <c r="J2055" s="3" t="n">
        <v>299.99</v>
      </c>
      <c r="K2055" s="3" t="n">
        <v>299.99</v>
      </c>
      <c r="L2055" s="2" t="inlineStr">
        <is>
          <t>TCGplayer</t>
        </is>
      </c>
      <c r="N2055" s="4" t="inlineStr">
        <is>
          <t>https://www.tcgplayer.com/product/155061</t>
        </is>
      </c>
    </row>
    <row r="2056">
      <c r="A2056" s="2" t="inlineStr">
        <is>
          <t>Marshadow Figure Collection</t>
        </is>
      </c>
      <c r="B2056" s="3">
        <f>IF(H2056&lt;&gt;"",H2056,IF(I2056&lt;&gt;"",I2056,IF(J2056&lt;&gt;"",J2056,K2056)))</f>
        <v>278.0</v>
      </c>
      <c r="C2056" s="3">
        <f>MEDIAN(H2056:K2056)</f>
        <v>271.1</v>
      </c>
      <c r="D2056" s="3">
        <f>ROUND(C2056*(1-Settings!$B$2),2)</f>
        <v>189.77</v>
      </c>
      <c r="E2056" s="2" t="inlineStr">
        <is>
          <t>Pokemon</t>
        </is>
      </c>
      <c r="F2056" s="2" t="inlineStr">
        <is>
          <t>Coffret</t>
        </is>
      </c>
      <c r="G2056" s="2" t="inlineStr">
        <is>
          <t>SM - Crimson Invasion</t>
        </is>
      </c>
      <c r="H2056" s="3" t="n"/>
      <c r="I2056" s="3" t="n"/>
      <c r="J2056" s="3" t="n">
        <v>278</v>
      </c>
      <c r="K2056" s="3" t="n">
        <v>264.2</v>
      </c>
      <c r="L2056" s="2" t="inlineStr">
        <is>
          <t>TCGplayer</t>
        </is>
      </c>
      <c r="N2056" s="4" t="inlineStr">
        <is>
          <t>https://www.tcgplayer.com/product/152602</t>
        </is>
      </c>
    </row>
    <row r="2057">
      <c r="A2057" s="2" t="inlineStr">
        <is>
          <t>Pikachu Sidekick Collection</t>
        </is>
      </c>
      <c r="B2057" s="3">
        <f>IF(H2057&lt;&gt;"",H2057,IF(I2057&lt;&gt;"",I2057,IF(J2057&lt;&gt;"",J2057,K2057)))</f>
        <v>267.83</v>
      </c>
      <c r="C2057" s="3">
        <f>MEDIAN(H2057:K2057)</f>
        <v>283.89</v>
      </c>
      <c r="D2057" s="3">
        <f>ROUND(C2057*(1-Settings!$B$2),2)</f>
        <v>198.72</v>
      </c>
      <c r="E2057" s="2" t="inlineStr">
        <is>
          <t>Pokemon</t>
        </is>
      </c>
      <c r="F2057" s="2" t="inlineStr">
        <is>
          <t>Coffret</t>
        </is>
      </c>
      <c r="G2057" s="2" t="inlineStr">
        <is>
          <t>SM - Crimson Invasion</t>
        </is>
      </c>
      <c r="H2057" s="3" t="n">
        <v>267.83</v>
      </c>
      <c r="I2057" s="3" t="n">
        <v>210.97</v>
      </c>
      <c r="J2057" s="3" t="n">
        <v>353.5</v>
      </c>
      <c r="K2057" s="3" t="n">
        <v>299.95</v>
      </c>
      <c r="L2057" s="2" t="inlineStr">
        <is>
          <t>PriceCharting + TCGplayer</t>
        </is>
      </c>
      <c r="M2057" s="4" t="inlineStr">
        <is>
          <t>https://www.pricecharting.com/game/pokemon-crimson-invasion/pikachu-sidekick-collection</t>
        </is>
      </c>
      <c r="N2057" s="4" t="inlineStr">
        <is>
          <t>https://www.tcgplayer.com/product/166409</t>
        </is>
      </c>
    </row>
    <row r="2058">
      <c r="A2058" s="2" t="inlineStr">
        <is>
          <t>Shiny Silvally GX Box</t>
        </is>
      </c>
      <c r="B2058" s="3">
        <f>IF(H2058&lt;&gt;"",H2058,IF(I2058&lt;&gt;"",I2058,IF(J2058&lt;&gt;"",J2058,K2058)))</f>
        <v>299.99</v>
      </c>
      <c r="C2058" s="3">
        <f>MEDIAN(H2058:K2058)</f>
        <v>299.99</v>
      </c>
      <c r="D2058" s="3">
        <f>ROUND(C2058*(1-Settings!$B$2),2)</f>
        <v>209.99</v>
      </c>
      <c r="E2058" s="2" t="inlineStr">
        <is>
          <t>Pokemon</t>
        </is>
      </c>
      <c r="F2058" s="2" t="inlineStr">
        <is>
          <t>Coffret</t>
        </is>
      </c>
      <c r="G2058" s="2" t="inlineStr">
        <is>
          <t>SM - Crimson Invasion</t>
        </is>
      </c>
      <c r="H2058" s="3" t="n"/>
      <c r="I2058" s="3" t="n"/>
      <c r="J2058" s="3" t="n">
        <v>299.99</v>
      </c>
      <c r="K2058" s="3" t="n">
        <v>299.99</v>
      </c>
      <c r="L2058" s="2" t="inlineStr">
        <is>
          <t>TCGplayer</t>
        </is>
      </c>
      <c r="N2058" s="4" t="inlineStr">
        <is>
          <t>https://www.tcgplayer.com/product/152598</t>
        </is>
      </c>
    </row>
    <row r="2059">
      <c r="A2059" s="2" t="inlineStr">
        <is>
          <t>Ultra Beasts GX Premium Collection [Buzzwole GX &amp; Xurkitree GX]</t>
        </is>
      </c>
      <c r="B2059" s="3">
        <f>IF(H2059&lt;&gt;"",H2059,IF(I2059&lt;&gt;"",I2059,IF(J2059&lt;&gt;"",J2059,K2059)))</f>
        <v>275.0</v>
      </c>
      <c r="C2059" s="3">
        <f>MEDIAN(H2059:K2059)</f>
        <v>400.0</v>
      </c>
      <c r="D2059" s="3">
        <f>ROUND(C2059*(1-Settings!$B$2),2)</f>
        <v>280.0</v>
      </c>
      <c r="E2059" s="2" t="inlineStr">
        <is>
          <t>Pokemon</t>
        </is>
      </c>
      <c r="F2059" s="2" t="inlineStr">
        <is>
          <t>Coffret</t>
        </is>
      </c>
      <c r="G2059" s="2" t="inlineStr">
        <is>
          <t>SM - Crimson Invasion</t>
        </is>
      </c>
      <c r="H2059" s="3" t="n"/>
      <c r="I2059" s="3" t="n">
        <v>275</v>
      </c>
      <c r="J2059" s="3" t="n">
        <v>400</v>
      </c>
      <c r="K2059" s="3" t="n">
        <v>400</v>
      </c>
      <c r="L2059" s="2" t="inlineStr">
        <is>
          <t>TCGplayer</t>
        </is>
      </c>
      <c r="N2059" s="4" t="inlineStr">
        <is>
          <t>https://www.tcgplayer.com/product/149376</t>
        </is>
      </c>
    </row>
    <row r="2060">
      <c r="A2060" s="2" t="inlineStr">
        <is>
          <t>Ultra Beasts GX Premium Collection [Pheromosa GX &amp; Celesteela GX]</t>
        </is>
      </c>
      <c r="B2060" s="3">
        <f>IF(H2060&lt;&gt;"",H2060,IF(I2060&lt;&gt;"",I2060,IF(J2060&lt;&gt;"",J2060,K2060)))</f>
        <v>370.49</v>
      </c>
      <c r="C2060" s="3">
        <f>MEDIAN(H2060:K2060)</f>
        <v>520.325</v>
      </c>
      <c r="D2060" s="3">
        <f>ROUND(C2060*(1-Settings!$B$2),2)</f>
        <v>364.23</v>
      </c>
      <c r="E2060" s="2" t="inlineStr">
        <is>
          <t>Pokemon</t>
        </is>
      </c>
      <c r="F2060" s="2" t="inlineStr">
        <is>
          <t>Coffret</t>
        </is>
      </c>
      <c r="G2060" s="2" t="inlineStr">
        <is>
          <t>SM - Crimson Invasion</t>
        </is>
      </c>
      <c r="H2060" s="3" t="n">
        <v>370.49</v>
      </c>
      <c r="I2060" s="3" t="n">
        <v>440.65</v>
      </c>
      <c r="J2060" s="3" t="n">
        <v>600</v>
      </c>
      <c r="K2060" s="3" t="n">
        <v>600</v>
      </c>
      <c r="L2060" s="2" t="inlineStr">
        <is>
          <t>PriceCharting + TCGplayer</t>
        </is>
      </c>
      <c r="M2060" s="4" t="inlineStr">
        <is>
          <t>https://www.pricecharting.com/game/pokemon-crimson-invasion/ultra-beasts-gx-premium-collection-pheromosa-gx-&amp;-celesteela-gx</t>
        </is>
      </c>
      <c r="N2060" s="4" t="inlineStr">
        <is>
          <t>https://www.tcgplayer.com/product/149375</t>
        </is>
      </c>
    </row>
    <row r="2061">
      <c r="A2061" s="2" t="inlineStr">
        <is>
          <t>Dawn Wings Necrozma Box</t>
        </is>
      </c>
      <c r="B2061" s="3">
        <f>IF(H2061&lt;&gt;"",H2061,IF(I2061&lt;&gt;"",I2061,IF(J2061&lt;&gt;"",J2061,K2061)))</f>
        <v>167.5</v>
      </c>
      <c r="C2061" s="3">
        <f>MEDIAN(H2061:K2061)</f>
        <v>176.0</v>
      </c>
      <c r="D2061" s="3">
        <f>ROUND(C2061*(1-Settings!$B$2),2)</f>
        <v>123.2</v>
      </c>
      <c r="E2061" s="2" t="inlineStr">
        <is>
          <t>Pokemon</t>
        </is>
      </c>
      <c r="F2061" s="2" t="inlineStr">
        <is>
          <t>Coffret</t>
        </is>
      </c>
      <c r="G2061" s="2" t="inlineStr">
        <is>
          <t>SM - Forbidden Light</t>
        </is>
      </c>
      <c r="H2061" s="3" t="n"/>
      <c r="I2061" s="3" t="n">
        <v>167.5</v>
      </c>
      <c r="J2061" s="3" t="n">
        <v>179</v>
      </c>
      <c r="K2061" s="3" t="n">
        <v>176</v>
      </c>
      <c r="L2061" s="2" t="inlineStr">
        <is>
          <t>TCGplayer</t>
        </is>
      </c>
      <c r="N2061" s="4" t="inlineStr">
        <is>
          <t>https://www.tcgplayer.com/product/246414</t>
        </is>
      </c>
    </row>
    <row r="2062">
      <c r="A2062" s="2" t="inlineStr">
        <is>
          <t>Dawn Wings Necrozma Premium Collection</t>
        </is>
      </c>
      <c r="B2062" s="3">
        <f>IF(H2062&lt;&gt;"",H2062,IF(I2062&lt;&gt;"",I2062,IF(J2062&lt;&gt;"",J2062,K2062)))</f>
        <v>213.95</v>
      </c>
      <c r="C2062" s="3">
        <f>MEDIAN(H2062:K2062)</f>
        <v>226.97</v>
      </c>
      <c r="D2062" s="3">
        <f>ROUND(C2062*(1-Settings!$B$2),2)</f>
        <v>158.88</v>
      </c>
      <c r="E2062" s="2" t="inlineStr">
        <is>
          <t>Pokemon</t>
        </is>
      </c>
      <c r="F2062" s="2" t="inlineStr">
        <is>
          <t>Coffret</t>
        </is>
      </c>
      <c r="G2062" s="2" t="inlineStr">
        <is>
          <t>SM - Forbidden Light</t>
        </is>
      </c>
      <c r="H2062" s="3" t="n">
        <v>213.95</v>
      </c>
      <c r="I2062" s="3" t="n">
        <v>239.99</v>
      </c>
      <c r="J2062" s="3" t="n"/>
      <c r="K2062" s="3" t="n"/>
      <c r="L2062" s="2" t="inlineStr">
        <is>
          <t>PriceCharting + TCGplayer</t>
        </is>
      </c>
      <c r="M2062" s="4" t="inlineStr">
        <is>
          <t>https://www.pricecharting.com/game/pokemon-forbidden-light/dawn-wings-necrozma-premium-collection</t>
        </is>
      </c>
      <c r="N2062" s="4" t="inlineStr">
        <is>
          <t>https://www.tcgplayer.com/product/164314</t>
        </is>
      </c>
    </row>
    <row r="2063">
      <c r="A2063" s="2" t="inlineStr">
        <is>
          <t>Dusk Mane Necrozma Box</t>
        </is>
      </c>
      <c r="B2063" s="3">
        <f>IF(H2063&lt;&gt;"",H2063,IF(I2063&lt;&gt;"",I2063,IF(J2063&lt;&gt;"",J2063,K2063)))</f>
        <v>176.5</v>
      </c>
      <c r="C2063" s="3">
        <f>MEDIAN(H2063:K2063)</f>
        <v>176.25</v>
      </c>
      <c r="D2063" s="3">
        <f>ROUND(C2063*(1-Settings!$B$2),2)</f>
        <v>123.38</v>
      </c>
      <c r="E2063" s="2" t="inlineStr">
        <is>
          <t>Pokemon</t>
        </is>
      </c>
      <c r="F2063" s="2" t="inlineStr">
        <is>
          <t>Coffret</t>
        </is>
      </c>
      <c r="G2063" s="2" t="inlineStr">
        <is>
          <t>SM - Forbidden Light</t>
        </is>
      </c>
      <c r="H2063" s="3" t="n">
        <v>176.5</v>
      </c>
      <c r="I2063" s="3" t="n">
        <v>176.5</v>
      </c>
      <c r="J2063" s="3" t="n">
        <v>176</v>
      </c>
      <c r="K2063" s="3" t="n">
        <v>169</v>
      </c>
      <c r="L2063" s="2" t="inlineStr">
        <is>
          <t>PriceCharting + TCGplayer</t>
        </is>
      </c>
      <c r="M2063" s="4" t="inlineStr">
        <is>
          <t>https://www.pricecharting.com/game/pokemon-forbidden-light/dusk-mane-necrozma-box</t>
        </is>
      </c>
      <c r="N2063" s="4" t="inlineStr">
        <is>
          <t>https://www.tcgplayer.com/product/246415</t>
        </is>
      </c>
    </row>
    <row r="2064">
      <c r="A2064" s="2" t="inlineStr">
        <is>
          <t>Dusk Mane Necrozma Premium Collection</t>
        </is>
      </c>
      <c r="B2064" s="3">
        <f>IF(H2064&lt;&gt;"",H2064,IF(I2064&lt;&gt;"",I2064,IF(J2064&lt;&gt;"",J2064,K2064)))</f>
        <v>289.99</v>
      </c>
      <c r="C2064" s="3">
        <f>MEDIAN(H2064:K2064)</f>
        <v>289.99</v>
      </c>
      <c r="D2064" s="3">
        <f>ROUND(C2064*(1-Settings!$B$2),2)</f>
        <v>202.99</v>
      </c>
      <c r="E2064" s="2" t="inlineStr">
        <is>
          <t>Pokemon</t>
        </is>
      </c>
      <c r="F2064" s="2" t="inlineStr">
        <is>
          <t>Coffret</t>
        </is>
      </c>
      <c r="G2064" s="2" t="inlineStr">
        <is>
          <t>SM - Forbidden Light</t>
        </is>
      </c>
      <c r="H2064" s="3" t="n">
        <v>289.99</v>
      </c>
      <c r="I2064" s="3" t="n">
        <v>289.99</v>
      </c>
      <c r="J2064" s="3" t="n"/>
      <c r="K2064" s="3" t="n">
        <v>299.99</v>
      </c>
      <c r="L2064" s="2" t="inlineStr">
        <is>
          <t>PriceCharting + TCGplayer</t>
        </is>
      </c>
      <c r="M2064" s="4" t="inlineStr">
        <is>
          <t>https://www.pricecharting.com/game/pokemon-forbidden-light/dusk-mane-necrozma-premium-collection</t>
        </is>
      </c>
      <c r="N2064" s="4" t="inlineStr">
        <is>
          <t>https://www.tcgplayer.com/product/164315</t>
        </is>
      </c>
    </row>
    <row r="2065">
      <c r="A2065" s="2" t="inlineStr">
        <is>
          <t>Forbidden Light Booster Pack Art Bundle [Set of 4]</t>
        </is>
      </c>
      <c r="B2065" s="3">
        <f>IF(H2065&lt;&gt;"",H2065,IF(I2065&lt;&gt;"",I2065,IF(J2065&lt;&gt;"",J2065,K2065)))</f>
        <v>170.0</v>
      </c>
      <c r="C2065" s="3">
        <f>MEDIAN(H2065:K2065)</f>
        <v>174.99</v>
      </c>
      <c r="D2065" s="3">
        <f>ROUND(C2065*(1-Settings!$B$2),2)</f>
        <v>122.49</v>
      </c>
      <c r="E2065" s="2" t="inlineStr">
        <is>
          <t>Pokemon</t>
        </is>
      </c>
      <c r="F2065" s="2" t="inlineStr">
        <is>
          <t>Coffret</t>
        </is>
      </c>
      <c r="G2065" s="2" t="inlineStr">
        <is>
          <t>SM - Forbidden Light</t>
        </is>
      </c>
      <c r="H2065" s="3" t="n"/>
      <c r="I2065" s="3" t="n">
        <v>170</v>
      </c>
      <c r="J2065" s="3" t="n">
        <v>176.49</v>
      </c>
      <c r="K2065" s="3" t="n">
        <v>174.99</v>
      </c>
      <c r="L2065" s="2" t="inlineStr">
        <is>
          <t>TCGplayer</t>
        </is>
      </c>
      <c r="N2065" s="4" t="inlineStr">
        <is>
          <t>https://www.tcgplayer.com/product/267041</t>
        </is>
      </c>
    </row>
    <row r="2066">
      <c r="A2066" s="2" t="inlineStr">
        <is>
          <t>Forbidden Light Elite Trainer Box</t>
        </is>
      </c>
      <c r="B2066" s="3">
        <f>IF(H2066&lt;&gt;"",H2066,IF(I2066&lt;&gt;"",I2066,IF(J2066&lt;&gt;"",J2066,K2066)))</f>
        <v>628.35</v>
      </c>
      <c r="C2066" s="3">
        <f>MEDIAN(H2066:K2066)</f>
        <v>703.075</v>
      </c>
      <c r="D2066" s="3">
        <f>ROUND(C2066*(1-Settings!$B$2),2)</f>
        <v>492.15</v>
      </c>
      <c r="E2066" s="2" t="inlineStr">
        <is>
          <t>Pokemon</t>
        </is>
      </c>
      <c r="F2066" s="2" t="inlineStr">
        <is>
          <t>Coffret</t>
        </is>
      </c>
      <c r="G2066" s="2" t="inlineStr">
        <is>
          <t>SM - Forbidden Light</t>
        </is>
      </c>
      <c r="H2066" s="3" t="n">
        <v>628.35</v>
      </c>
      <c r="I2066" s="3" t="n">
        <v>686.16</v>
      </c>
      <c r="J2066" s="3" t="n">
        <v>881.5</v>
      </c>
      <c r="K2066" s="3" t="n">
        <v>719.99</v>
      </c>
      <c r="L2066" s="2" t="inlineStr">
        <is>
          <t>PriceCharting + TCGplayer</t>
        </is>
      </c>
      <c r="M2066" s="4" t="inlineStr">
        <is>
          <t>https://www.pricecharting.com/game/pokemon-forbidden-light/elite-trainer-box</t>
        </is>
      </c>
      <c r="N2066" s="4" t="inlineStr">
        <is>
          <t>https://www.tcgplayer.com/product/164303</t>
        </is>
      </c>
    </row>
    <row r="2067">
      <c r="A2067" s="2" t="inlineStr">
        <is>
          <t>Forbidden Light Prerelease Kit</t>
        </is>
      </c>
      <c r="B2067" s="3">
        <f>IF(H2067&lt;&gt;"",H2067,IF(I2067&lt;&gt;"",I2067,IF(J2067&lt;&gt;"",J2067,K2067)))</f>
        <v>159.32</v>
      </c>
      <c r="C2067" s="3">
        <f>MEDIAN(H2067:K2067)</f>
        <v>159.32</v>
      </c>
      <c r="D2067" s="3">
        <f>ROUND(C2067*(1-Settings!$B$2),2)</f>
        <v>111.52</v>
      </c>
      <c r="E2067" s="2" t="inlineStr">
        <is>
          <t>Pokemon</t>
        </is>
      </c>
      <c r="F2067" s="2" t="inlineStr">
        <is>
          <t>Coffret</t>
        </is>
      </c>
      <c r="G2067" s="2" t="inlineStr">
        <is>
          <t>SM - Forbidden Light</t>
        </is>
      </c>
      <c r="H2067" s="3" t="n"/>
      <c r="I2067" s="3" t="n">
        <v>159.32</v>
      </c>
      <c r="J2067" s="3" t="n">
        <v>299.95</v>
      </c>
      <c r="K2067" s="3" t="n">
        <v>5</v>
      </c>
      <c r="L2067" s="2" t="inlineStr">
        <is>
          <t>TCGplayer</t>
        </is>
      </c>
      <c r="N2067" s="4" t="inlineStr">
        <is>
          <t>https://www.tcgplayer.com/product/166413</t>
        </is>
      </c>
    </row>
    <row r="2068">
      <c r="A2068" s="2" t="inlineStr">
        <is>
          <t>Forces of Nature GX Premium Collection</t>
        </is>
      </c>
      <c r="B2068" s="3">
        <f>IF(H2068&lt;&gt;"",H2068,IF(I2068&lt;&gt;"",I2068,IF(J2068&lt;&gt;"",J2068,K2068)))</f>
        <v>265.0</v>
      </c>
      <c r="C2068" s="3">
        <f>MEDIAN(H2068:K2068)</f>
        <v>384.99</v>
      </c>
      <c r="D2068" s="3">
        <f>ROUND(C2068*(1-Settings!$B$2),2)</f>
        <v>269.49</v>
      </c>
      <c r="E2068" s="2" t="inlineStr">
        <is>
          <t>Pokemon</t>
        </is>
      </c>
      <c r="F2068" s="2" t="inlineStr">
        <is>
          <t>Coffret</t>
        </is>
      </c>
      <c r="G2068" s="2" t="inlineStr">
        <is>
          <t>SM - Forbidden Light</t>
        </is>
      </c>
      <c r="H2068" s="3" t="n"/>
      <c r="I2068" s="3" t="n">
        <v>265</v>
      </c>
      <c r="J2068" s="3" t="n">
        <v>384.99</v>
      </c>
      <c r="K2068" s="3" t="n">
        <v>384.99</v>
      </c>
      <c r="L2068" s="2" t="inlineStr">
        <is>
          <t>TCGplayer</t>
        </is>
      </c>
      <c r="N2068" s="4" t="inlineStr">
        <is>
          <t>https://www.tcgplayer.com/product/169414</t>
        </is>
      </c>
    </row>
    <row r="2069">
      <c r="A2069" s="2" t="inlineStr">
        <is>
          <t>Bewear GX Box</t>
        </is>
      </c>
      <c r="B2069" s="3">
        <f>IF(H2069&lt;&gt;"",H2069,IF(I2069&lt;&gt;"",I2069,IF(J2069&lt;&gt;"",J2069,K2069)))</f>
        <v>142.0</v>
      </c>
      <c r="C2069" s="3">
        <f>MEDIAN(H2069:K2069)</f>
        <v>264.48</v>
      </c>
      <c r="D2069" s="3">
        <f>ROUND(C2069*(1-Settings!$B$2),2)</f>
        <v>185.14</v>
      </c>
      <c r="E2069" s="2" t="inlineStr">
        <is>
          <t>Pokemon</t>
        </is>
      </c>
      <c r="F2069" s="2" t="inlineStr">
        <is>
          <t>Coffret</t>
        </is>
      </c>
      <c r="G2069" s="2" t="inlineStr">
        <is>
          <t>SM - Guardians Rising</t>
        </is>
      </c>
      <c r="H2069" s="3" t="n">
        <v>142</v>
      </c>
      <c r="I2069" s="3" t="n">
        <v>277.97</v>
      </c>
      <c r="J2069" s="3" t="n">
        <v>277.97</v>
      </c>
      <c r="K2069" s="3" t="n">
        <v>250.99</v>
      </c>
      <c r="L2069" s="2" t="inlineStr">
        <is>
          <t>PriceCharting + TCGplayer</t>
        </is>
      </c>
      <c r="M2069" s="4" t="inlineStr">
        <is>
          <t>https://www.pricecharting.com/game/pokemon-guardians-rising/bewear-gx-box</t>
        </is>
      </c>
      <c r="N2069" s="4" t="inlineStr">
        <is>
          <t>https://www.tcgplayer.com/product/132238</t>
        </is>
      </c>
    </row>
    <row r="2070">
      <c r="A2070" s="2" t="inlineStr">
        <is>
          <t>Decidueye GX Premium Collection</t>
        </is>
      </c>
      <c r="B2070" s="3">
        <f>IF(H2070&lt;&gt;"",H2070,IF(I2070&lt;&gt;"",I2070,IF(J2070&lt;&gt;"",J2070,K2070)))</f>
        <v>297.95</v>
      </c>
      <c r="C2070" s="3">
        <f>MEDIAN(H2070:K2070)</f>
        <v>296.475</v>
      </c>
      <c r="D2070" s="3">
        <f>ROUND(C2070*(1-Settings!$B$2),2)</f>
        <v>207.53</v>
      </c>
      <c r="E2070" s="2" t="inlineStr">
        <is>
          <t>Pokemon</t>
        </is>
      </c>
      <c r="F2070" s="2" t="inlineStr">
        <is>
          <t>Coffret</t>
        </is>
      </c>
      <c r="G2070" s="2" t="inlineStr">
        <is>
          <t>SM - Guardians Rising</t>
        </is>
      </c>
      <c r="H2070" s="3" t="n"/>
      <c r="I2070" s="3" t="n"/>
      <c r="J2070" s="3" t="n">
        <v>297.95</v>
      </c>
      <c r="K2070" s="3" t="n">
        <v>295</v>
      </c>
      <c r="L2070" s="2" t="inlineStr">
        <is>
          <t>TCGplayer</t>
        </is>
      </c>
      <c r="N2070" s="4" t="inlineStr">
        <is>
          <t>https://www.tcgplayer.com/product/133806</t>
        </is>
      </c>
    </row>
    <row r="2071">
      <c r="A2071" s="2" t="inlineStr">
        <is>
          <t>Espeon GX Premium Collection</t>
        </is>
      </c>
      <c r="B2071" s="3">
        <f>IF(H2071&lt;&gt;"",H2071,IF(I2071&lt;&gt;"",I2071,IF(J2071&lt;&gt;"",J2071,K2071)))</f>
        <v>455.0</v>
      </c>
      <c r="C2071" s="3">
        <f>MEDIAN(H2071:K2071)</f>
        <v>639.99</v>
      </c>
      <c r="D2071" s="3">
        <f>ROUND(C2071*(1-Settings!$B$2),2)</f>
        <v>447.99</v>
      </c>
      <c r="E2071" s="2" t="inlineStr">
        <is>
          <t>Pokemon</t>
        </is>
      </c>
      <c r="F2071" s="2" t="inlineStr">
        <is>
          <t>Coffret</t>
        </is>
      </c>
      <c r="G2071" s="2" t="inlineStr">
        <is>
          <t>SM - Guardians Rising</t>
        </is>
      </c>
      <c r="H2071" s="3" t="n"/>
      <c r="I2071" s="3" t="n">
        <v>455</v>
      </c>
      <c r="J2071" s="3" t="n">
        <v>950</v>
      </c>
      <c r="K2071" s="3" t="n">
        <v>639.99</v>
      </c>
      <c r="L2071" s="2" t="inlineStr">
        <is>
          <t>TCGplayer</t>
        </is>
      </c>
      <c r="N2071" s="4" t="inlineStr">
        <is>
          <t>https://www.tcgplayer.com/product/137523</t>
        </is>
      </c>
    </row>
    <row r="2072">
      <c r="A2072" s="2" t="inlineStr">
        <is>
          <t>Guardians Rising 3 Pack Blister [Turtonator]</t>
        </is>
      </c>
      <c r="B2072" s="3">
        <f>IF(H2072&lt;&gt;"",H2072,IF(I2072&lt;&gt;"",I2072,IF(J2072&lt;&gt;"",J2072,K2072)))</f>
        <v>74.38</v>
      </c>
      <c r="C2072" s="3">
        <f>MEDIAN(H2072:K2072)</f>
        <v>102.865</v>
      </c>
      <c r="D2072" s="3">
        <f>ROUND(C2072*(1-Settings!$B$2),2)</f>
        <v>72.01</v>
      </c>
      <c r="E2072" s="2" t="inlineStr">
        <is>
          <t>Pokemon</t>
        </is>
      </c>
      <c r="F2072" s="2" t="inlineStr">
        <is>
          <t>Coffret</t>
        </is>
      </c>
      <c r="G2072" s="2" t="inlineStr">
        <is>
          <t>SM - Guardians Rising</t>
        </is>
      </c>
      <c r="H2072" s="3" t="n">
        <v>74.38</v>
      </c>
      <c r="I2072" s="3" t="n">
        <v>88.73999999999999</v>
      </c>
      <c r="J2072" s="3" t="n">
        <v>116.99</v>
      </c>
      <c r="K2072" s="3" t="n">
        <v>116.99</v>
      </c>
      <c r="L2072" s="2" t="inlineStr">
        <is>
          <t>PriceCharting + TCGplayer</t>
        </is>
      </c>
      <c r="M2072" s="4" t="inlineStr">
        <is>
          <t>https://www.pricecharting.com/game/pokemon-guardians-rising/3-pack-blister-turtonator</t>
        </is>
      </c>
      <c r="N2072" s="4" t="inlineStr">
        <is>
          <t>https://www.tcgplayer.com/product/184340</t>
        </is>
      </c>
    </row>
    <row r="2073">
      <c r="A2073" s="2" t="inlineStr">
        <is>
          <t>Guardians Rising Booster Pack Art Bundle [Set of 4]</t>
        </is>
      </c>
      <c r="B2073" s="3">
        <f>IF(H2073&lt;&gt;"",H2073,IF(I2073&lt;&gt;"",I2073,IF(J2073&lt;&gt;"",J2073,K2073)))</f>
        <v>184.97</v>
      </c>
      <c r="C2073" s="3">
        <f>MEDIAN(H2073:K2073)</f>
        <v>188.99</v>
      </c>
      <c r="D2073" s="3">
        <f>ROUND(C2073*(1-Settings!$B$2),2)</f>
        <v>132.29</v>
      </c>
      <c r="E2073" s="2" t="inlineStr">
        <is>
          <t>Pokemon</t>
        </is>
      </c>
      <c r="F2073" s="2" t="inlineStr">
        <is>
          <t>Coffret</t>
        </is>
      </c>
      <c r="G2073" s="2" t="inlineStr">
        <is>
          <t>SM - Guardians Rising</t>
        </is>
      </c>
      <c r="H2073" s="3" t="n"/>
      <c r="I2073" s="3" t="n">
        <v>184.97</v>
      </c>
      <c r="J2073" s="3" t="n">
        <v>189.99</v>
      </c>
      <c r="K2073" s="3" t="n">
        <v>188.99</v>
      </c>
      <c r="L2073" s="2" t="inlineStr">
        <is>
          <t>TCGplayer</t>
        </is>
      </c>
      <c r="N2073" s="4" t="inlineStr">
        <is>
          <t>https://www.tcgplayer.com/product/267037</t>
        </is>
      </c>
    </row>
    <row r="2074">
      <c r="A2074" s="2" t="inlineStr">
        <is>
          <t>Guardians Rising Elite Trainer Box</t>
        </is>
      </c>
      <c r="B2074" s="3">
        <f>IF(H2074&lt;&gt;"",H2074,IF(I2074&lt;&gt;"",I2074,IF(J2074&lt;&gt;"",J2074,K2074)))</f>
        <v>443.81</v>
      </c>
      <c r="C2074" s="3">
        <f>MEDIAN(H2074:K2074)</f>
        <v>445.175</v>
      </c>
      <c r="D2074" s="3">
        <f>ROUND(C2074*(1-Settings!$B$2),2)</f>
        <v>311.62</v>
      </c>
      <c r="E2074" s="2" t="inlineStr">
        <is>
          <t>Pokemon</t>
        </is>
      </c>
      <c r="F2074" s="2" t="inlineStr">
        <is>
          <t>Coffret</t>
        </is>
      </c>
      <c r="G2074" s="2" t="inlineStr">
        <is>
          <t>SM - Guardians Rising</t>
        </is>
      </c>
      <c r="H2074" s="3" t="n">
        <v>443.81</v>
      </c>
      <c r="I2074" s="3" t="n">
        <v>446.54</v>
      </c>
      <c r="J2074" s="3" t="n">
        <v>562.49</v>
      </c>
      <c r="K2074" s="3" t="n">
        <v>24.97</v>
      </c>
      <c r="L2074" s="2" t="inlineStr">
        <is>
          <t>PriceCharting + TCGplayer</t>
        </is>
      </c>
      <c r="M2074" s="4" t="inlineStr">
        <is>
          <t>https://www.pricecharting.com/game/pokemon-guardians-rising/elite-trainer-box</t>
        </is>
      </c>
      <c r="N2074" s="4" t="inlineStr">
        <is>
          <t>https://www.tcgplayer.com/product/129890</t>
        </is>
      </c>
    </row>
    <row r="2075">
      <c r="A2075" s="2" t="inlineStr">
        <is>
          <t>Guardians Rising Prerelease Kit</t>
        </is>
      </c>
      <c r="B2075" s="3">
        <f>IF(H2075&lt;&gt;"",H2075,IF(I2075&lt;&gt;"",I2075,IF(J2075&lt;&gt;"",J2075,K2075)))</f>
        <v>345.5</v>
      </c>
      <c r="C2075" s="3">
        <f>MEDIAN(H2075:K2075)</f>
        <v>500.0</v>
      </c>
      <c r="D2075" s="3">
        <f>ROUND(C2075*(1-Settings!$B$2),2)</f>
        <v>350.0</v>
      </c>
      <c r="E2075" s="2" t="inlineStr">
        <is>
          <t>Pokemon</t>
        </is>
      </c>
      <c r="F2075" s="2" t="inlineStr">
        <is>
          <t>Coffret</t>
        </is>
      </c>
      <c r="G2075" s="2" t="inlineStr">
        <is>
          <t>SM - Guardians Rising</t>
        </is>
      </c>
      <c r="H2075" s="3" t="n"/>
      <c r="I2075" s="3" t="n">
        <v>345.5</v>
      </c>
      <c r="J2075" s="3" t="n">
        <v>500</v>
      </c>
      <c r="K2075" s="3" t="n">
        <v>500</v>
      </c>
      <c r="L2075" s="2" t="inlineStr">
        <is>
          <t>TCGplayer</t>
        </is>
      </c>
      <c r="N2075" s="4" t="inlineStr">
        <is>
          <t>https://www.tcgplayer.com/product/131273</t>
        </is>
      </c>
    </row>
    <row r="2076">
      <c r="A2076" s="2" t="inlineStr">
        <is>
          <t>Guardians Rising Sleeved Booster Pack Art Bundle [Set of 4]</t>
        </is>
      </c>
      <c r="B2076" s="3">
        <f>IF(H2076&lt;&gt;"",H2076,IF(I2076&lt;&gt;"",I2076,IF(J2076&lt;&gt;"",J2076,K2076)))</f>
        <v>144.0</v>
      </c>
      <c r="C2076" s="3">
        <f>MEDIAN(H2076:K2076)</f>
        <v>159.99</v>
      </c>
      <c r="D2076" s="3">
        <f>ROUND(C2076*(1-Settings!$B$2),2)</f>
        <v>111.99</v>
      </c>
      <c r="E2076" s="2" t="inlineStr">
        <is>
          <t>Pokemon</t>
        </is>
      </c>
      <c r="F2076" s="2" t="inlineStr">
        <is>
          <t>Coffret</t>
        </is>
      </c>
      <c r="G2076" s="2" t="inlineStr">
        <is>
          <t>SM - Guardians Rising</t>
        </is>
      </c>
      <c r="H2076" s="3" t="n"/>
      <c r="I2076" s="3" t="n">
        <v>144</v>
      </c>
      <c r="J2076" s="3" t="n">
        <v>159.99</v>
      </c>
      <c r="K2076" s="3" t="n">
        <v>159.99</v>
      </c>
      <c r="L2076" s="2" t="inlineStr">
        <is>
          <t>TCGplayer</t>
        </is>
      </c>
      <c r="N2076" s="4" t="inlineStr">
        <is>
          <t>https://www.tcgplayer.com/product/276578</t>
        </is>
      </c>
    </row>
    <row r="2077">
      <c r="A2077" s="2" t="inlineStr">
        <is>
          <t>Incineroar GX Premium Collection</t>
        </is>
      </c>
      <c r="B2077" s="3">
        <f>IF(H2077&lt;&gt;"",H2077,IF(I2077&lt;&gt;"",I2077,IF(J2077&lt;&gt;"",J2077,K2077)))</f>
        <v>341.99</v>
      </c>
      <c r="C2077" s="3">
        <f>MEDIAN(H2077:K2077)</f>
        <v>320.99</v>
      </c>
      <c r="D2077" s="3">
        <f>ROUND(C2077*(1-Settings!$B$2),2)</f>
        <v>224.69</v>
      </c>
      <c r="E2077" s="2" t="inlineStr">
        <is>
          <t>Pokemon</t>
        </is>
      </c>
      <c r="F2077" s="2" t="inlineStr">
        <is>
          <t>Coffret</t>
        </is>
      </c>
      <c r="G2077" s="2" t="inlineStr">
        <is>
          <t>SM - Guardians Rising</t>
        </is>
      </c>
      <c r="H2077" s="3" t="n"/>
      <c r="I2077" s="3" t="n"/>
      <c r="J2077" s="3" t="n">
        <v>341.99</v>
      </c>
      <c r="K2077" s="3" t="n">
        <v>299.99</v>
      </c>
      <c r="L2077" s="2" t="inlineStr">
        <is>
          <t>TCGplayer</t>
        </is>
      </c>
      <c r="N2077" s="4" t="inlineStr">
        <is>
          <t>https://www.tcgplayer.com/product/133807</t>
        </is>
      </c>
    </row>
    <row r="2078">
      <c r="A2078" s="2" t="inlineStr">
        <is>
          <t>Island Guardians Tin [Tapu Bulu GX]</t>
        </is>
      </c>
      <c r="B2078" s="3">
        <f>IF(H2078&lt;&gt;"",H2078,IF(I2078&lt;&gt;"",I2078,IF(J2078&lt;&gt;"",J2078,K2078)))</f>
        <v>174.0</v>
      </c>
      <c r="C2078" s="3">
        <f>MEDIAN(H2078:K2078)</f>
        <v>171.995</v>
      </c>
      <c r="D2078" s="3">
        <f>ROUND(C2078*(1-Settings!$B$2),2)</f>
        <v>120.4</v>
      </c>
      <c r="E2078" s="2" t="inlineStr">
        <is>
          <t>Pokemon</t>
        </is>
      </c>
      <c r="F2078" s="2" t="inlineStr">
        <is>
          <t>Coffret</t>
        </is>
      </c>
      <c r="G2078" s="2" t="inlineStr">
        <is>
          <t>SM - Guardians Rising</t>
        </is>
      </c>
      <c r="H2078" s="3" t="n"/>
      <c r="I2078" s="3" t="n"/>
      <c r="J2078" s="3" t="n">
        <v>174</v>
      </c>
      <c r="K2078" s="3" t="n">
        <v>169.99</v>
      </c>
      <c r="L2078" s="2" t="inlineStr">
        <is>
          <t>TCGplayer</t>
        </is>
      </c>
      <c r="N2078" s="4" t="inlineStr">
        <is>
          <t>https://www.tcgplayer.com/product/131726</t>
        </is>
      </c>
    </row>
    <row r="2079">
      <c r="A2079" s="2" t="inlineStr">
        <is>
          <t>Island Guardians Tin [Tapu Koko GX]</t>
        </is>
      </c>
      <c r="B2079" s="3">
        <f>IF(H2079&lt;&gt;"",H2079,IF(I2079&lt;&gt;"",I2079,IF(J2079&lt;&gt;"",J2079,K2079)))</f>
        <v>175.0</v>
      </c>
      <c r="C2079" s="3">
        <f>MEDIAN(H2079:K2079)</f>
        <v>180.0</v>
      </c>
      <c r="D2079" s="3">
        <f>ROUND(C2079*(1-Settings!$B$2),2)</f>
        <v>126.0</v>
      </c>
      <c r="E2079" s="2" t="inlineStr">
        <is>
          <t>Pokemon</t>
        </is>
      </c>
      <c r="F2079" s="2" t="inlineStr">
        <is>
          <t>Coffret</t>
        </is>
      </c>
      <c r="G2079" s="2" t="inlineStr">
        <is>
          <t>SM - Guardians Rising</t>
        </is>
      </c>
      <c r="H2079" s="3" t="n"/>
      <c r="I2079" s="3" t="n">
        <v>175</v>
      </c>
      <c r="J2079" s="3" t="n">
        <v>181.5</v>
      </c>
      <c r="K2079" s="3" t="n">
        <v>180</v>
      </c>
      <c r="L2079" s="2" t="inlineStr">
        <is>
          <t>TCGplayer</t>
        </is>
      </c>
      <c r="N2079" s="4" t="inlineStr">
        <is>
          <t>https://www.tcgplayer.com/product/131725</t>
        </is>
      </c>
    </row>
    <row r="2080">
      <c r="A2080" s="2" t="inlineStr">
        <is>
          <t>Lunala GX Challenge Box</t>
        </is>
      </c>
      <c r="B2080" s="3">
        <f>IF(H2080&lt;&gt;"",H2080,IF(I2080&lt;&gt;"",I2080,IF(J2080&lt;&gt;"",J2080,K2080)))</f>
        <v>199.99</v>
      </c>
      <c r="C2080" s="3">
        <f>MEDIAN(H2080:K2080)</f>
        <v>199.99</v>
      </c>
      <c r="D2080" s="3">
        <f>ROUND(C2080*(1-Settings!$B$2),2)</f>
        <v>139.99</v>
      </c>
      <c r="E2080" s="2" t="inlineStr">
        <is>
          <t>Pokemon</t>
        </is>
      </c>
      <c r="F2080" s="2" t="inlineStr">
        <is>
          <t>Coffret</t>
        </is>
      </c>
      <c r="G2080" s="2" t="inlineStr">
        <is>
          <t>SM - Guardians Rising</t>
        </is>
      </c>
      <c r="H2080" s="3" t="n"/>
      <c r="I2080" s="3" t="n"/>
      <c r="J2080" s="3" t="n">
        <v>199.99</v>
      </c>
      <c r="K2080" s="3" t="n">
        <v>199.99</v>
      </c>
      <c r="L2080" s="2" t="inlineStr">
        <is>
          <t>TCGplayer</t>
        </is>
      </c>
      <c r="N2080" s="4" t="inlineStr">
        <is>
          <t>https://www.tcgplayer.com/product/218328</t>
        </is>
      </c>
    </row>
    <row r="2081">
      <c r="A2081" s="2" t="inlineStr">
        <is>
          <t>Mega Powers Collection</t>
        </is>
      </c>
      <c r="B2081" s="3">
        <f>IF(H2081&lt;&gt;"",H2081,IF(I2081&lt;&gt;"",I2081,IF(J2081&lt;&gt;"",J2081,K2081)))</f>
        <v>1799.0</v>
      </c>
      <c r="C2081" s="3">
        <f>MEDIAN(H2081:K2081)</f>
        <v>1799.0</v>
      </c>
      <c r="D2081" s="3">
        <f>ROUND(C2081*(1-Settings!$B$2),2)</f>
        <v>1259.3</v>
      </c>
      <c r="E2081" s="2" t="inlineStr">
        <is>
          <t>Pokemon</t>
        </is>
      </c>
      <c r="F2081" s="2" t="inlineStr">
        <is>
          <t>Coffret</t>
        </is>
      </c>
      <c r="G2081" s="2" t="inlineStr">
        <is>
          <t>SM - Guardians Rising</t>
        </is>
      </c>
      <c r="H2081" s="3" t="n"/>
      <c r="I2081" s="3" t="n"/>
      <c r="J2081" s="3" t="n">
        <v>1799</v>
      </c>
      <c r="K2081" s="3" t="n">
        <v>1799</v>
      </c>
      <c r="L2081" s="2" t="inlineStr">
        <is>
          <t>TCGplayer</t>
        </is>
      </c>
      <c r="N2081" s="4" t="inlineStr">
        <is>
          <t>https://www.tcgplayer.com/product/131693</t>
        </is>
      </c>
    </row>
    <row r="2082">
      <c r="A2082" s="2" t="inlineStr">
        <is>
          <t>Mega Tyranitar EX Premium Collection</t>
        </is>
      </c>
      <c r="B2082" s="3">
        <f>IF(H2082&lt;&gt;"",H2082,IF(I2082&lt;&gt;"",I2082,IF(J2082&lt;&gt;"",J2082,K2082)))</f>
        <v>419.0</v>
      </c>
      <c r="C2082" s="3">
        <f>MEDIAN(H2082:K2082)</f>
        <v>409.5</v>
      </c>
      <c r="D2082" s="3">
        <f>ROUND(C2082*(1-Settings!$B$2),2)</f>
        <v>286.65</v>
      </c>
      <c r="E2082" s="2" t="inlineStr">
        <is>
          <t>Pokemon</t>
        </is>
      </c>
      <c r="F2082" s="2" t="inlineStr">
        <is>
          <t>Coffret</t>
        </is>
      </c>
      <c r="G2082" s="2" t="inlineStr">
        <is>
          <t>SM - Guardians Rising</t>
        </is>
      </c>
      <c r="H2082" s="3" t="n"/>
      <c r="I2082" s="3" t="n"/>
      <c r="J2082" s="3" t="n">
        <v>419</v>
      </c>
      <c r="K2082" s="3" t="n">
        <v>400</v>
      </c>
      <c r="L2082" s="2" t="inlineStr">
        <is>
          <t>TCGplayer</t>
        </is>
      </c>
      <c r="N2082" s="4" t="inlineStr">
        <is>
          <t>https://www.tcgplayer.com/product/133808</t>
        </is>
      </c>
    </row>
    <row r="2083">
      <c r="A2083" s="2" t="inlineStr">
        <is>
          <t>Premium Collection [Set of 3] Decidueye GX, Primarina GX, &amp; Incineroar GX</t>
        </is>
      </c>
      <c r="B2083" s="3">
        <f>IF(H2083&lt;&gt;"",H2083,IF(I2083&lt;&gt;"",I2083,IF(J2083&lt;&gt;"",J2083,K2083)))</f>
        <v>1690.0</v>
      </c>
      <c r="C2083" s="3">
        <f>MEDIAN(H2083:K2083)</f>
        <v>1690.0</v>
      </c>
      <c r="D2083" s="3">
        <f>ROUND(C2083*(1-Settings!$B$2),2)</f>
        <v>1183.0</v>
      </c>
      <c r="E2083" s="2" t="inlineStr">
        <is>
          <t>Pokemon</t>
        </is>
      </c>
      <c r="F2083" s="2" t="inlineStr">
        <is>
          <t>Coffret</t>
        </is>
      </c>
      <c r="G2083" s="2" t="inlineStr">
        <is>
          <t>SM - Guardians Rising</t>
        </is>
      </c>
      <c r="H2083" s="3" t="n"/>
      <c r="I2083" s="3" t="n"/>
      <c r="J2083" s="3" t="n">
        <v>1690</v>
      </c>
      <c r="K2083" s="3" t="n">
        <v>1690</v>
      </c>
      <c r="L2083" s="2" t="inlineStr">
        <is>
          <t>TCGplayer</t>
        </is>
      </c>
      <c r="N2083" s="4" t="inlineStr">
        <is>
          <t>https://www.tcgplayer.com/product/133809</t>
        </is>
      </c>
    </row>
    <row r="2084">
      <c r="A2084" s="2" t="inlineStr">
        <is>
          <t>Primarina GX Premium Collection</t>
        </is>
      </c>
      <c r="B2084" s="3">
        <f>IF(H2084&lt;&gt;"",H2084,IF(I2084&lt;&gt;"",I2084,IF(J2084&lt;&gt;"",J2084,K2084)))</f>
        <v>337.99</v>
      </c>
      <c r="C2084" s="3">
        <f>MEDIAN(H2084:K2084)</f>
        <v>337.99</v>
      </c>
      <c r="D2084" s="3">
        <f>ROUND(C2084*(1-Settings!$B$2),2)</f>
        <v>236.59</v>
      </c>
      <c r="E2084" s="2" t="inlineStr">
        <is>
          <t>Pokemon</t>
        </is>
      </c>
      <c r="F2084" s="2" t="inlineStr">
        <is>
          <t>Coffret</t>
        </is>
      </c>
      <c r="G2084" s="2" t="inlineStr">
        <is>
          <t>SM - Guardians Rising</t>
        </is>
      </c>
      <c r="H2084" s="3" t="n"/>
      <c r="I2084" s="3" t="n">
        <v>337.99</v>
      </c>
      <c r="J2084" s="3" t="n"/>
      <c r="K2084" s="3" t="n"/>
      <c r="L2084" s="2" t="inlineStr">
        <is>
          <t>TCGplayer</t>
        </is>
      </c>
      <c r="N2084" s="4" t="inlineStr">
        <is>
          <t>https://www.tcgplayer.com/product/133805</t>
        </is>
      </c>
    </row>
    <row r="2085">
      <c r="A2085" s="2" t="inlineStr">
        <is>
          <t>Shiny Tapu Koko GX Box</t>
        </is>
      </c>
      <c r="B2085" s="3">
        <f>IF(H2085&lt;&gt;"",H2085,IF(I2085&lt;&gt;"",I2085,IF(J2085&lt;&gt;"",J2085,K2085)))</f>
        <v>92.5</v>
      </c>
      <c r="C2085" s="3">
        <f>MEDIAN(H2085:K2085)</f>
        <v>135.01</v>
      </c>
      <c r="D2085" s="3">
        <f>ROUND(C2085*(1-Settings!$B$2),2)</f>
        <v>94.51</v>
      </c>
      <c r="E2085" s="2" t="inlineStr">
        <is>
          <t>Pokemon</t>
        </is>
      </c>
      <c r="F2085" s="2" t="inlineStr">
        <is>
          <t>Coffret</t>
        </is>
      </c>
      <c r="G2085" s="2" t="inlineStr">
        <is>
          <t>SM - Guardians Rising</t>
        </is>
      </c>
      <c r="H2085" s="3" t="n">
        <v>92.5</v>
      </c>
      <c r="I2085" s="3" t="n"/>
      <c r="J2085" s="3" t="n">
        <v>142.5</v>
      </c>
      <c r="K2085" s="3" t="n">
        <v>135.01</v>
      </c>
      <c r="L2085" s="2" t="inlineStr">
        <is>
          <t>PriceCharting + TCGplayer</t>
        </is>
      </c>
      <c r="M2085" s="4" t="inlineStr">
        <is>
          <t>https://www.pricecharting.com/game/pokemon-guardians-rising/shiny-tapu-koko-gx-box</t>
        </is>
      </c>
      <c r="N2085" s="4" t="inlineStr">
        <is>
          <t>https://www.tcgplayer.com/product/137872</t>
        </is>
      </c>
    </row>
    <row r="2086">
      <c r="A2086" s="2" t="inlineStr">
        <is>
          <t>Solgaleo GX Challenge Box</t>
        </is>
      </c>
      <c r="B2086" s="3">
        <f>IF(H2086&lt;&gt;"",H2086,IF(I2086&lt;&gt;"",I2086,IF(J2086&lt;&gt;"",J2086,K2086)))</f>
        <v>300.0</v>
      </c>
      <c r="C2086" s="3">
        <f>MEDIAN(H2086:K2086)</f>
        <v>300.0</v>
      </c>
      <c r="D2086" s="3">
        <f>ROUND(C2086*(1-Settings!$B$2),2)</f>
        <v>210.0</v>
      </c>
      <c r="E2086" s="2" t="inlineStr">
        <is>
          <t>Pokemon</t>
        </is>
      </c>
      <c r="F2086" s="2" t="inlineStr">
        <is>
          <t>Coffret</t>
        </is>
      </c>
      <c r="G2086" s="2" t="inlineStr">
        <is>
          <t>SM - Guardians Rising</t>
        </is>
      </c>
      <c r="H2086" s="3" t="n"/>
      <c r="I2086" s="3" t="n"/>
      <c r="J2086" s="3" t="n">
        <v>300</v>
      </c>
      <c r="K2086" s="3" t="n">
        <v>300</v>
      </c>
      <c r="L2086" s="2" t="inlineStr">
        <is>
          <t>TCGplayer</t>
        </is>
      </c>
      <c r="N2086" s="4" t="inlineStr">
        <is>
          <t>https://www.tcgplayer.com/product/218327</t>
        </is>
      </c>
    </row>
    <row r="2087">
      <c r="A2087" s="2" t="inlineStr">
        <is>
          <t>Tapu Koko Figure Collection</t>
        </is>
      </c>
      <c r="B2087" s="3">
        <f>IF(H2087&lt;&gt;"",H2087,IF(I2087&lt;&gt;"",I2087,IF(J2087&lt;&gt;"",J2087,K2087)))</f>
        <v>135.0</v>
      </c>
      <c r="C2087" s="3">
        <f>MEDIAN(H2087:K2087)</f>
        <v>199.95</v>
      </c>
      <c r="D2087" s="3">
        <f>ROUND(C2087*(1-Settings!$B$2),2)</f>
        <v>139.97</v>
      </c>
      <c r="E2087" s="2" t="inlineStr">
        <is>
          <t>Pokemon</t>
        </is>
      </c>
      <c r="F2087" s="2" t="inlineStr">
        <is>
          <t>Coffret</t>
        </is>
      </c>
      <c r="G2087" s="2" t="inlineStr">
        <is>
          <t>SM - Guardians Rising</t>
        </is>
      </c>
      <c r="H2087" s="3" t="n"/>
      <c r="I2087" s="3" t="n">
        <v>135</v>
      </c>
      <c r="J2087" s="3" t="n">
        <v>199.97</v>
      </c>
      <c r="K2087" s="3" t="n">
        <v>199.95</v>
      </c>
      <c r="L2087" s="2" t="inlineStr">
        <is>
          <t>TCGplayer</t>
        </is>
      </c>
      <c r="N2087" s="4" t="inlineStr">
        <is>
          <t>https://www.tcgplayer.com/product/131734</t>
        </is>
      </c>
    </row>
    <row r="2088">
      <c r="A2088" s="2" t="inlineStr">
        <is>
          <t>Tapu Koko Pin Collection</t>
        </is>
      </c>
      <c r="B2088" s="3">
        <f>IF(H2088&lt;&gt;"",H2088,IF(I2088&lt;&gt;"",I2088,IF(J2088&lt;&gt;"",J2088,K2088)))</f>
        <v>59.34</v>
      </c>
      <c r="C2088" s="3">
        <f>MEDIAN(H2088:K2088)</f>
        <v>73.5</v>
      </c>
      <c r="D2088" s="3">
        <f>ROUND(C2088*(1-Settings!$B$2),2)</f>
        <v>51.45</v>
      </c>
      <c r="E2088" s="2" t="inlineStr">
        <is>
          <t>Pokemon</t>
        </is>
      </c>
      <c r="F2088" s="2" t="inlineStr">
        <is>
          <t>Coffret</t>
        </is>
      </c>
      <c r="G2088" s="2" t="inlineStr">
        <is>
          <t>SM - Guardians Rising</t>
        </is>
      </c>
      <c r="H2088" s="3" t="n">
        <v>59.34</v>
      </c>
      <c r="I2088" s="3" t="n">
        <v>73.5</v>
      </c>
      <c r="J2088" s="3" t="n">
        <v>99.98999999999999</v>
      </c>
      <c r="K2088" s="3" t="n">
        <v>73.5</v>
      </c>
      <c r="L2088" s="2" t="inlineStr">
        <is>
          <t>PriceCharting + TCGplayer</t>
        </is>
      </c>
      <c r="M2088" s="4" t="inlineStr">
        <is>
          <t>https://www.pricecharting.com/game/pokemon-guardians-rising/tapu-koko-pin-collection</t>
        </is>
      </c>
      <c r="N2088" s="4" t="inlineStr">
        <is>
          <t>https://www.tcgplayer.com/product/132237</t>
        </is>
      </c>
    </row>
    <row r="2089">
      <c r="A2089" s="2" t="inlineStr">
        <is>
          <t>Triple Effect Tin [Flareon]</t>
        </is>
      </c>
      <c r="B2089" s="3">
        <f>IF(H2089&lt;&gt;"",H2089,IF(I2089&lt;&gt;"",I2089,IF(J2089&lt;&gt;"",J2089,K2089)))</f>
        <v>300.0</v>
      </c>
      <c r="C2089" s="3">
        <f>MEDIAN(H2089:K2089)</f>
        <v>300.0</v>
      </c>
      <c r="D2089" s="3">
        <f>ROUND(C2089*(1-Settings!$B$2),2)</f>
        <v>210.0</v>
      </c>
      <c r="E2089" s="2" t="inlineStr">
        <is>
          <t>Pokemon</t>
        </is>
      </c>
      <c r="F2089" s="2" t="inlineStr">
        <is>
          <t>Coffret</t>
        </is>
      </c>
      <c r="G2089" s="2" t="inlineStr">
        <is>
          <t>SM - Guardians Rising</t>
        </is>
      </c>
      <c r="H2089" s="3" t="n"/>
      <c r="I2089" s="3" t="n">
        <v>300</v>
      </c>
      <c r="J2089" s="3" t="n"/>
      <c r="K2089" s="3" t="n"/>
      <c r="L2089" s="2" t="inlineStr">
        <is>
          <t>TCGplayer</t>
        </is>
      </c>
      <c r="N2089" s="4" t="inlineStr">
        <is>
          <t>https://www.tcgplayer.com/product/177868</t>
        </is>
      </c>
    </row>
    <row r="2090">
      <c r="A2090" s="2" t="inlineStr">
        <is>
          <t>Triple Effect Tin [Jolteon]</t>
        </is>
      </c>
      <c r="B2090" s="3">
        <f>IF(H2090&lt;&gt;"",H2090,IF(I2090&lt;&gt;"",I2090,IF(J2090&lt;&gt;"",J2090,K2090)))</f>
        <v>300.0</v>
      </c>
      <c r="C2090" s="3">
        <f>MEDIAN(H2090:K2090)</f>
        <v>300.0</v>
      </c>
      <c r="D2090" s="3">
        <f>ROUND(C2090*(1-Settings!$B$2),2)</f>
        <v>210.0</v>
      </c>
      <c r="E2090" s="2" t="inlineStr">
        <is>
          <t>Pokemon</t>
        </is>
      </c>
      <c r="F2090" s="2" t="inlineStr">
        <is>
          <t>Coffret</t>
        </is>
      </c>
      <c r="G2090" s="2" t="inlineStr">
        <is>
          <t>SM - Guardians Rising</t>
        </is>
      </c>
      <c r="H2090" s="3" t="n"/>
      <c r="I2090" s="3" t="n">
        <v>300</v>
      </c>
      <c r="J2090" s="3" t="n"/>
      <c r="K2090" s="3" t="n"/>
      <c r="L2090" s="2" t="inlineStr">
        <is>
          <t>TCGplayer</t>
        </is>
      </c>
      <c r="N2090" s="4" t="inlineStr">
        <is>
          <t>https://www.tcgplayer.com/product/177869</t>
        </is>
      </c>
    </row>
    <row r="2091">
      <c r="A2091" s="2" t="inlineStr">
        <is>
          <t>Umbreon GX Premium Collection</t>
        </is>
      </c>
      <c r="B2091" s="3">
        <f>IF(H2091&lt;&gt;"",H2091,IF(I2091&lt;&gt;"",I2091,IF(J2091&lt;&gt;"",J2091,K2091)))</f>
        <v>800.0</v>
      </c>
      <c r="C2091" s="3">
        <f>MEDIAN(H2091:K2091)</f>
        <v>813.745</v>
      </c>
      <c r="D2091" s="3">
        <f>ROUND(C2091*(1-Settings!$B$2),2)</f>
        <v>569.62</v>
      </c>
      <c r="E2091" s="2" t="inlineStr">
        <is>
          <t>Pokemon</t>
        </is>
      </c>
      <c r="F2091" s="2" t="inlineStr">
        <is>
          <t>Coffret</t>
        </is>
      </c>
      <c r="G2091" s="2" t="inlineStr">
        <is>
          <t>SM - Guardians Rising</t>
        </is>
      </c>
      <c r="H2091" s="3" t="n">
        <v>800</v>
      </c>
      <c r="I2091" s="3" t="n">
        <v>812.5</v>
      </c>
      <c r="J2091" s="3" t="n">
        <v>1249.99</v>
      </c>
      <c r="K2091" s="3" t="n">
        <v>814.99</v>
      </c>
      <c r="L2091" s="2" t="inlineStr">
        <is>
          <t>PriceCharting + TCGplayer</t>
        </is>
      </c>
      <c r="M2091" s="4" t="inlineStr">
        <is>
          <t>https://www.pricecharting.com/game/pokemon-guardians-rising/umbreon-gx-premium-collection</t>
        </is>
      </c>
      <c r="N2091" s="4" t="inlineStr">
        <is>
          <t>https://www.tcgplayer.com/product/137524</t>
        </is>
      </c>
    </row>
    <row r="2092">
      <c r="A2092" s="2" t="inlineStr">
        <is>
          <t>Fall 2018 Collector Chest</t>
        </is>
      </c>
      <c r="B2092" s="3">
        <f>IF(H2092&lt;&gt;"",H2092,IF(I2092&lt;&gt;"",I2092,IF(J2092&lt;&gt;"",J2092,K2092)))</f>
        <v>300.0</v>
      </c>
      <c r="C2092" s="3">
        <f>MEDIAN(H2092:K2092)</f>
        <v>300.0</v>
      </c>
      <c r="D2092" s="3">
        <f>ROUND(C2092*(1-Settings!$B$2),2)</f>
        <v>210.0</v>
      </c>
      <c r="E2092" s="2" t="inlineStr">
        <is>
          <t>Pokemon</t>
        </is>
      </c>
      <c r="F2092" s="2" t="inlineStr">
        <is>
          <t>Coffret</t>
        </is>
      </c>
      <c r="G2092" s="2" t="inlineStr">
        <is>
          <t>SM - Lost Thunder</t>
        </is>
      </c>
      <c r="H2092" s="3" t="n"/>
      <c r="I2092" s="3" t="n">
        <v>300</v>
      </c>
      <c r="J2092" s="3" t="n"/>
      <c r="K2092" s="3" t="n"/>
      <c r="L2092" s="2" t="inlineStr">
        <is>
          <t>TCGplayer</t>
        </is>
      </c>
      <c r="N2092" s="4" t="inlineStr">
        <is>
          <t>https://www.tcgplayer.com/product/180518</t>
        </is>
      </c>
    </row>
    <row r="2093">
      <c r="A2093" s="2" t="inlineStr">
        <is>
          <t>Island Guardians GX Premium Collection</t>
        </is>
      </c>
      <c r="B2093" s="3">
        <f>IF(H2093&lt;&gt;"",H2093,IF(I2093&lt;&gt;"",I2093,IF(J2093&lt;&gt;"",J2093,K2093)))</f>
        <v>580.0</v>
      </c>
      <c r="C2093" s="3">
        <f>MEDIAN(H2093:K2093)</f>
        <v>570.0</v>
      </c>
      <c r="D2093" s="3">
        <f>ROUND(C2093*(1-Settings!$B$2),2)</f>
        <v>399.0</v>
      </c>
      <c r="E2093" s="2" t="inlineStr">
        <is>
          <t>Pokemon</t>
        </is>
      </c>
      <c r="F2093" s="2" t="inlineStr">
        <is>
          <t>Coffret</t>
        </is>
      </c>
      <c r="G2093" s="2" t="inlineStr">
        <is>
          <t>SM - Lost Thunder</t>
        </is>
      </c>
      <c r="H2093" s="3" t="n"/>
      <c r="I2093" s="3" t="n"/>
      <c r="J2093" s="3" t="n">
        <v>580</v>
      </c>
      <c r="K2093" s="3" t="n">
        <v>560</v>
      </c>
      <c r="L2093" s="2" t="inlineStr">
        <is>
          <t>TCGplayer</t>
        </is>
      </c>
      <c r="N2093" s="4" t="inlineStr">
        <is>
          <t>https://www.tcgplayer.com/product/177864</t>
        </is>
      </c>
    </row>
    <row r="2094">
      <c r="A2094" s="2" t="inlineStr">
        <is>
          <t>Island Guardians GX Premium Pin Collection</t>
        </is>
      </c>
      <c r="B2094" s="3">
        <f>IF(H2094&lt;&gt;"",H2094,IF(I2094&lt;&gt;"",I2094,IF(J2094&lt;&gt;"",J2094,K2094)))</f>
        <v>897.99</v>
      </c>
      <c r="C2094" s="3">
        <f>MEDIAN(H2094:K2094)</f>
        <v>896.99</v>
      </c>
      <c r="D2094" s="3">
        <f>ROUND(C2094*(1-Settings!$B$2),2)</f>
        <v>627.89</v>
      </c>
      <c r="E2094" s="2" t="inlineStr">
        <is>
          <t>Pokemon</t>
        </is>
      </c>
      <c r="F2094" s="2" t="inlineStr">
        <is>
          <t>Coffret</t>
        </is>
      </c>
      <c r="G2094" s="2" t="inlineStr">
        <is>
          <t>SM - Lost Thunder</t>
        </is>
      </c>
      <c r="H2094" s="3" t="n"/>
      <c r="I2094" s="3" t="n"/>
      <c r="J2094" s="3" t="n">
        <v>897.99</v>
      </c>
      <c r="K2094" s="3" t="n">
        <v>895.99</v>
      </c>
      <c r="L2094" s="2" t="inlineStr">
        <is>
          <t>TCGplayer</t>
        </is>
      </c>
      <c r="N2094" s="4" t="inlineStr">
        <is>
          <t>https://www.tcgplayer.com/product/181707</t>
        </is>
      </c>
    </row>
    <row r="2095">
      <c r="A2095" s="2" t="inlineStr">
        <is>
          <t>Jolteon GX Special Collection</t>
        </is>
      </c>
      <c r="B2095" s="3">
        <f>IF(H2095&lt;&gt;"",H2095,IF(I2095&lt;&gt;"",I2095,IF(J2095&lt;&gt;"",J2095,K2095)))</f>
        <v>600.0</v>
      </c>
      <c r="C2095" s="3">
        <f>MEDIAN(H2095:K2095)</f>
        <v>600.0</v>
      </c>
      <c r="D2095" s="3">
        <f>ROUND(C2095*(1-Settings!$B$2),2)</f>
        <v>420.0</v>
      </c>
      <c r="E2095" s="2" t="inlineStr">
        <is>
          <t>Pokemon</t>
        </is>
      </c>
      <c r="F2095" s="2" t="inlineStr">
        <is>
          <t>Coffret</t>
        </is>
      </c>
      <c r="G2095" s="2" t="inlineStr">
        <is>
          <t>SM - Lost Thunder</t>
        </is>
      </c>
      <c r="H2095" s="3" t="n"/>
      <c r="I2095" s="3" t="n"/>
      <c r="J2095" s="3" t="n">
        <v>600</v>
      </c>
      <c r="K2095" s="3" t="n">
        <v>600</v>
      </c>
      <c r="L2095" s="2" t="inlineStr">
        <is>
          <t>TCGplayer</t>
        </is>
      </c>
      <c r="N2095" s="4" t="inlineStr">
        <is>
          <t>https://www.tcgplayer.com/product/181709</t>
        </is>
      </c>
    </row>
    <row r="2096">
      <c r="A2096" s="2" t="inlineStr">
        <is>
          <t>Lost Thunder Booster Pack Art Bundle [Set of 4]</t>
        </is>
      </c>
      <c r="B2096" s="3">
        <f>IF(H2096&lt;&gt;"",H2096,IF(I2096&lt;&gt;"",I2096,IF(J2096&lt;&gt;"",J2096,K2096)))</f>
        <v>199.48</v>
      </c>
      <c r="C2096" s="3">
        <f>MEDIAN(H2096:K2096)</f>
        <v>129.74</v>
      </c>
      <c r="D2096" s="3">
        <f>ROUND(C2096*(1-Settings!$B$2),2)</f>
        <v>90.82</v>
      </c>
      <c r="E2096" s="2" t="inlineStr">
        <is>
          <t>Pokemon</t>
        </is>
      </c>
      <c r="F2096" s="2" t="inlineStr">
        <is>
          <t>Coffret</t>
        </is>
      </c>
      <c r="G2096" s="2" t="inlineStr">
        <is>
          <t>SM - Lost Thunder</t>
        </is>
      </c>
      <c r="H2096" s="3" t="n"/>
      <c r="I2096" s="3" t="n">
        <v>199.48</v>
      </c>
      <c r="J2096" s="3" t="n"/>
      <c r="K2096" s="3" t="n">
        <v>60</v>
      </c>
      <c r="L2096" s="2" t="inlineStr">
        <is>
          <t>TCGplayer</t>
        </is>
      </c>
      <c r="N2096" s="4" t="inlineStr">
        <is>
          <t>https://www.tcgplayer.com/product/267043</t>
        </is>
      </c>
    </row>
    <row r="2097">
      <c r="A2097" s="2" t="inlineStr">
        <is>
          <t>Lost Thunder Build &amp; Battle Box</t>
        </is>
      </c>
      <c r="B2097" s="3">
        <f>IF(H2097&lt;&gt;"",H2097,IF(I2097&lt;&gt;"",I2097,IF(J2097&lt;&gt;"",J2097,K2097)))</f>
        <v>200.75</v>
      </c>
      <c r="C2097" s="3">
        <f>MEDIAN(H2097:K2097)</f>
        <v>220.35500000000002</v>
      </c>
      <c r="D2097" s="3">
        <f>ROUND(C2097*(1-Settings!$B$2),2)</f>
        <v>154.25</v>
      </c>
      <c r="E2097" s="2" t="inlineStr">
        <is>
          <t>Pokemon</t>
        </is>
      </c>
      <c r="F2097" s="2" t="inlineStr">
        <is>
          <t>Coffret</t>
        </is>
      </c>
      <c r="G2097" s="2" t="inlineStr">
        <is>
          <t>SM - Lost Thunder</t>
        </is>
      </c>
      <c r="H2097" s="3" t="n">
        <v>200.75</v>
      </c>
      <c r="I2097" s="3" t="n">
        <v>192.54</v>
      </c>
      <c r="J2097" s="3" t="n">
        <v>264.95</v>
      </c>
      <c r="K2097" s="3" t="n">
        <v>239.96</v>
      </c>
      <c r="L2097" s="2" t="inlineStr">
        <is>
          <t>PriceCharting + TCGplayer</t>
        </is>
      </c>
      <c r="M2097" s="4" t="inlineStr">
        <is>
          <t>https://www.pricecharting.com/game/pokemon-lost-thunder/build-&amp;-battle-box</t>
        </is>
      </c>
      <c r="N2097" s="4" t="inlineStr">
        <is>
          <t>https://www.tcgplayer.com/product/179423</t>
        </is>
      </c>
    </row>
    <row r="2098">
      <c r="A2098" s="2" t="inlineStr">
        <is>
          <t>Lost Thunder Elite Trainer Box</t>
        </is>
      </c>
      <c r="B2098" s="3">
        <f>IF(H2098&lt;&gt;"",H2098,IF(I2098&lt;&gt;"",I2098,IF(J2098&lt;&gt;"",J2098,K2098)))</f>
        <v>721.89</v>
      </c>
      <c r="C2098" s="3">
        <f>MEDIAN(H2098:K2098)</f>
        <v>728.19</v>
      </c>
      <c r="D2098" s="3">
        <f>ROUND(C2098*(1-Settings!$B$2),2)</f>
        <v>509.73</v>
      </c>
      <c r="E2098" s="2" t="inlineStr">
        <is>
          <t>Pokemon</t>
        </is>
      </c>
      <c r="F2098" s="2" t="inlineStr">
        <is>
          <t>Coffret</t>
        </is>
      </c>
      <c r="G2098" s="2" t="inlineStr">
        <is>
          <t>SM - Lost Thunder</t>
        </is>
      </c>
      <c r="H2098" s="3" t="n">
        <v>721.89</v>
      </c>
      <c r="I2098" s="3" t="n">
        <v>681.55</v>
      </c>
      <c r="J2098" s="3" t="n">
        <v>799.99</v>
      </c>
      <c r="K2098" s="3" t="n">
        <v>734.49</v>
      </c>
      <c r="L2098" s="2" t="inlineStr">
        <is>
          <t>PriceCharting + TCGplayer</t>
        </is>
      </c>
      <c r="M2098" s="4" t="inlineStr">
        <is>
          <t>https://www.pricecharting.com/game/pokemon-lost-thunder/elite-trainer-box</t>
        </is>
      </c>
      <c r="N2098" s="4" t="inlineStr">
        <is>
          <t>https://www.tcgplayer.com/product/175511</t>
        </is>
      </c>
    </row>
    <row r="2099">
      <c r="A2099" s="2" t="inlineStr">
        <is>
          <t>Vaporeon GX Special Collection</t>
        </is>
      </c>
      <c r="B2099" s="3">
        <f>IF(H2099&lt;&gt;"",H2099,IF(I2099&lt;&gt;"",I2099,IF(J2099&lt;&gt;"",J2099,K2099)))</f>
        <v>599.99</v>
      </c>
      <c r="C2099" s="3">
        <f>MEDIAN(H2099:K2099)</f>
        <v>599.99</v>
      </c>
      <c r="D2099" s="3">
        <f>ROUND(C2099*(1-Settings!$B$2),2)</f>
        <v>419.99</v>
      </c>
      <c r="E2099" s="2" t="inlineStr">
        <is>
          <t>Pokemon</t>
        </is>
      </c>
      <c r="F2099" s="2" t="inlineStr">
        <is>
          <t>Coffret</t>
        </is>
      </c>
      <c r="G2099" s="2" t="inlineStr">
        <is>
          <t>SM - Lost Thunder</t>
        </is>
      </c>
      <c r="H2099" s="3" t="n"/>
      <c r="I2099" s="3" t="n">
        <v>599.99</v>
      </c>
      <c r="J2099" s="3" t="n"/>
      <c r="K2099" s="3" t="n"/>
      <c r="L2099" s="2" t="inlineStr">
        <is>
          <t>TCGplayer</t>
        </is>
      </c>
      <c r="N2099" s="4" t="inlineStr">
        <is>
          <t>https://www.tcgplayer.com/product/181710</t>
        </is>
      </c>
    </row>
    <row r="2100">
      <c r="A2100" s="2" t="inlineStr">
        <is>
          <t>Melmetal GX Box</t>
        </is>
      </c>
      <c r="B2100" s="3">
        <f>IF(H2100&lt;&gt;"",H2100,IF(I2100&lt;&gt;"",I2100,IF(J2100&lt;&gt;"",J2100,K2100)))</f>
        <v>950.0</v>
      </c>
      <c r="C2100" s="3">
        <f>MEDIAN(H2100:K2100)</f>
        <v>950.0</v>
      </c>
      <c r="D2100" s="3">
        <f>ROUND(C2100*(1-Settings!$B$2),2)</f>
        <v>665.0</v>
      </c>
      <c r="E2100" s="2" t="inlineStr">
        <is>
          <t>Pokemon</t>
        </is>
      </c>
      <c r="F2100" s="2" t="inlineStr">
        <is>
          <t>Coffret</t>
        </is>
      </c>
      <c r="G2100" s="2" t="inlineStr">
        <is>
          <t>SM - Team Up</t>
        </is>
      </c>
      <c r="H2100" s="3" t="n"/>
      <c r="I2100" s="3" t="n">
        <v>950</v>
      </c>
      <c r="J2100" s="3" t="n"/>
      <c r="K2100" s="3" t="n"/>
      <c r="L2100" s="2" t="inlineStr">
        <is>
          <t>TCGplayer</t>
        </is>
      </c>
      <c r="N2100" s="4" t="inlineStr">
        <is>
          <t>https://www.tcgplayer.com/product/185246</t>
        </is>
      </c>
    </row>
    <row r="2101">
      <c r="A2101" s="2" t="inlineStr">
        <is>
          <t>TAG TEAM Tin [Celebi &amp; Venusaur GX]</t>
        </is>
      </c>
      <c r="B2101" s="3">
        <f>IF(H2101&lt;&gt;"",H2101,IF(I2101&lt;&gt;"",I2101,IF(J2101&lt;&gt;"",J2101,K2101)))</f>
        <v>618.33</v>
      </c>
      <c r="C2101" s="3">
        <f>MEDIAN(H2101:K2101)</f>
        <v>700.0</v>
      </c>
      <c r="D2101" s="3">
        <f>ROUND(C2101*(1-Settings!$B$2),2)</f>
        <v>490.0</v>
      </c>
      <c r="E2101" s="2" t="inlineStr">
        <is>
          <t>Pokemon</t>
        </is>
      </c>
      <c r="F2101" s="2" t="inlineStr">
        <is>
          <t>Coffret</t>
        </is>
      </c>
      <c r="G2101" s="2" t="inlineStr">
        <is>
          <t>SM - Team Up</t>
        </is>
      </c>
      <c r="H2101" s="3" t="n"/>
      <c r="I2101" s="3" t="n">
        <v>618.33</v>
      </c>
      <c r="J2101" s="3" t="n">
        <v>752.48</v>
      </c>
      <c r="K2101" s="3" t="n">
        <v>700</v>
      </c>
      <c r="L2101" s="2" t="inlineStr">
        <is>
          <t>TCGplayer</t>
        </is>
      </c>
      <c r="N2101" s="4" t="inlineStr">
        <is>
          <t>https://www.tcgplayer.com/product/185256</t>
        </is>
      </c>
    </row>
    <row r="2102">
      <c r="A2102" s="2" t="inlineStr">
        <is>
          <t>TAG TEAM Tin [Eevee &amp; Snorlax GX]</t>
        </is>
      </c>
      <c r="B2102" s="3">
        <f>IF(H2102&lt;&gt;"",H2102,IF(I2102&lt;&gt;"",I2102,IF(J2102&lt;&gt;"",J2102,K2102)))</f>
        <v>702.48</v>
      </c>
      <c r="C2102" s="3">
        <f>MEDIAN(H2102:K2102)</f>
        <v>775.0</v>
      </c>
      <c r="D2102" s="3">
        <f>ROUND(C2102*(1-Settings!$B$2),2)</f>
        <v>542.5</v>
      </c>
      <c r="E2102" s="2" t="inlineStr">
        <is>
          <t>Pokemon</t>
        </is>
      </c>
      <c r="F2102" s="2" t="inlineStr">
        <is>
          <t>Coffret</t>
        </is>
      </c>
      <c r="G2102" s="2" t="inlineStr">
        <is>
          <t>SM - Team Up</t>
        </is>
      </c>
      <c r="H2102" s="3" t="n"/>
      <c r="I2102" s="3" t="n">
        <v>702.48</v>
      </c>
      <c r="J2102" s="3" t="n">
        <v>815</v>
      </c>
      <c r="K2102" s="3" t="n">
        <v>775</v>
      </c>
      <c r="L2102" s="2" t="inlineStr">
        <is>
          <t>TCGplayer</t>
        </is>
      </c>
      <c r="N2102" s="4" t="inlineStr">
        <is>
          <t>https://www.tcgplayer.com/product/185257</t>
        </is>
      </c>
    </row>
    <row r="2103">
      <c r="A2103" s="2" t="inlineStr">
        <is>
          <t>TAG TEAM Tin [Pikachu &amp; Zekrom GX]</t>
        </is>
      </c>
      <c r="B2103" s="3">
        <f>IF(H2103&lt;&gt;"",H2103,IF(I2103&lt;&gt;"",I2103,IF(J2103&lt;&gt;"",J2103,K2103)))</f>
        <v>709.79</v>
      </c>
      <c r="C2103" s="3">
        <f>MEDIAN(H2103:K2103)</f>
        <v>954.895</v>
      </c>
      <c r="D2103" s="3">
        <f>ROUND(C2103*(1-Settings!$B$2),2)</f>
        <v>668.43</v>
      </c>
      <c r="E2103" s="2" t="inlineStr">
        <is>
          <t>Pokemon</t>
        </is>
      </c>
      <c r="F2103" s="2" t="inlineStr">
        <is>
          <t>Coffret</t>
        </is>
      </c>
      <c r="G2103" s="2" t="inlineStr">
        <is>
          <t>SM - Team Up</t>
        </is>
      </c>
      <c r="H2103" s="3" t="n"/>
      <c r="I2103" s="3" t="n">
        <v>709.79</v>
      </c>
      <c r="J2103" s="3" t="n"/>
      <c r="K2103" s="3" t="n">
        <v>1200</v>
      </c>
      <c r="L2103" s="2" t="inlineStr">
        <is>
          <t>TCGplayer</t>
        </is>
      </c>
      <c r="N2103" s="4" t="inlineStr">
        <is>
          <t>https://www.tcgplayer.com/product/185258</t>
        </is>
      </c>
    </row>
    <row r="2104">
      <c r="A2104" s="2" t="inlineStr">
        <is>
          <t>Team Up Booster Pack Art Bundle [Set of 4]</t>
        </is>
      </c>
      <c r="B2104" s="3">
        <f>IF(H2104&lt;&gt;"",H2104,IF(I2104&lt;&gt;"",I2104,IF(J2104&lt;&gt;"",J2104,K2104)))</f>
        <v>1000.0</v>
      </c>
      <c r="C2104" s="3">
        <f>MEDIAN(H2104:K2104)</f>
        <v>2000.0</v>
      </c>
      <c r="D2104" s="3">
        <f>ROUND(C2104*(1-Settings!$B$2),2)</f>
        <v>1400.0</v>
      </c>
      <c r="E2104" s="2" t="inlineStr">
        <is>
          <t>Pokemon</t>
        </is>
      </c>
      <c r="F2104" s="2" t="inlineStr">
        <is>
          <t>Coffret</t>
        </is>
      </c>
      <c r="G2104" s="2" t="inlineStr">
        <is>
          <t>SM - Team Up</t>
        </is>
      </c>
      <c r="H2104" s="3" t="n"/>
      <c r="I2104" s="3" t="n">
        <v>1000</v>
      </c>
      <c r="J2104" s="3" t="n">
        <v>2000</v>
      </c>
      <c r="K2104" s="3" t="n">
        <v>2000</v>
      </c>
      <c r="L2104" s="2" t="inlineStr">
        <is>
          <t>TCGplayer</t>
        </is>
      </c>
      <c r="N2104" s="4" t="inlineStr">
        <is>
          <t>https://www.tcgplayer.com/product/267044</t>
        </is>
      </c>
    </row>
    <row r="2105">
      <c r="A2105" s="2" t="inlineStr">
        <is>
          <t>Team Up Elite Trainer Box</t>
        </is>
      </c>
      <c r="B2105" s="3">
        <f>IF(H2105&lt;&gt;"",H2105,IF(I2105&lt;&gt;"",I2105,IF(J2105&lt;&gt;"",J2105,K2105)))</f>
        <v>3782.42</v>
      </c>
      <c r="C2105" s="3">
        <f>MEDIAN(H2105:K2105)</f>
        <v>4600.0</v>
      </c>
      <c r="D2105" s="3">
        <f>ROUND(C2105*(1-Settings!$B$2),2)</f>
        <v>3220.0</v>
      </c>
      <c r="E2105" s="2" t="inlineStr">
        <is>
          <t>Pokemon</t>
        </is>
      </c>
      <c r="F2105" s="2" t="inlineStr">
        <is>
          <t>Coffret</t>
        </is>
      </c>
      <c r="G2105" s="2" t="inlineStr">
        <is>
          <t>SM - Team Up</t>
        </is>
      </c>
      <c r="H2105" s="3" t="n">
        <v>3782.42</v>
      </c>
      <c r="I2105" s="3" t="n">
        <v>4000</v>
      </c>
      <c r="J2105" s="3" t="n">
        <v>5599.96</v>
      </c>
      <c r="K2105" s="3" t="n">
        <v>5200</v>
      </c>
      <c r="L2105" s="2" t="inlineStr">
        <is>
          <t>PriceCharting + TCGplayer</t>
        </is>
      </c>
      <c r="M2105" s="4" t="inlineStr">
        <is>
          <t>https://www.pricecharting.com/game/pokemon-team-up/elite-trainer-box</t>
        </is>
      </c>
      <c r="N2105" s="4" t="inlineStr">
        <is>
          <t>https://www.tcgplayer.com/product/181704</t>
        </is>
      </c>
    </row>
    <row r="2106">
      <c r="A2106" s="2" t="inlineStr">
        <is>
          <t>Team Up Prerelease Kit</t>
        </is>
      </c>
      <c r="B2106" s="3">
        <f>IF(H2106&lt;&gt;"",H2106,IF(I2106&lt;&gt;"",I2106,IF(J2106&lt;&gt;"",J2106,K2106)))</f>
        <v>1300.0</v>
      </c>
      <c r="C2106" s="3">
        <f>MEDIAN(H2106:K2106)</f>
        <v>2499.99</v>
      </c>
      <c r="D2106" s="3">
        <f>ROUND(C2106*(1-Settings!$B$2),2)</f>
        <v>1749.99</v>
      </c>
      <c r="E2106" s="2" t="inlineStr">
        <is>
          <t>Pokemon</t>
        </is>
      </c>
      <c r="F2106" s="2" t="inlineStr">
        <is>
          <t>Coffret</t>
        </is>
      </c>
      <c r="G2106" s="2" t="inlineStr">
        <is>
          <t>SM - Team Up</t>
        </is>
      </c>
      <c r="H2106" s="3" t="n"/>
      <c r="I2106" s="3" t="n">
        <v>1300</v>
      </c>
      <c r="J2106" s="3" t="n">
        <v>2499.99</v>
      </c>
      <c r="K2106" s="3" t="n">
        <v>2499.99</v>
      </c>
      <c r="L2106" s="2" t="inlineStr">
        <is>
          <t>TCGplayer</t>
        </is>
      </c>
      <c r="N2106" s="4" t="inlineStr">
        <is>
          <t>https://www.tcgplayer.com/product/183975</t>
        </is>
      </c>
    </row>
    <row r="2107">
      <c r="A2107" s="2" t="inlineStr">
        <is>
          <t>Team Up Sleeved Booster Pack Art Bundle [Set of 4]</t>
        </is>
      </c>
      <c r="B2107" s="3">
        <f>IF(H2107&lt;&gt;"",H2107,IF(I2107&lt;&gt;"",I2107,IF(J2107&lt;&gt;"",J2107,K2107)))</f>
        <v>1311.25</v>
      </c>
      <c r="C2107" s="3">
        <f>MEDIAN(H2107:K2107)</f>
        <v>1439.96</v>
      </c>
      <c r="D2107" s="3">
        <f>ROUND(C2107*(1-Settings!$B$2),2)</f>
        <v>1007.97</v>
      </c>
      <c r="E2107" s="2" t="inlineStr">
        <is>
          <t>Pokemon</t>
        </is>
      </c>
      <c r="F2107" s="2" t="inlineStr">
        <is>
          <t>Coffret</t>
        </is>
      </c>
      <c r="G2107" s="2" t="inlineStr">
        <is>
          <t>SM - Team Up</t>
        </is>
      </c>
      <c r="H2107" s="3" t="n"/>
      <c r="I2107" s="3" t="n">
        <v>1311.25</v>
      </c>
      <c r="J2107" s="3" t="n">
        <v>1439.96</v>
      </c>
      <c r="K2107" s="3" t="n">
        <v>1439.96</v>
      </c>
      <c r="L2107" s="2" t="inlineStr">
        <is>
          <t>TCGplayer</t>
        </is>
      </c>
      <c r="N2107" s="4" t="inlineStr">
        <is>
          <t>https://www.tcgplayer.com/product/276584</t>
        </is>
      </c>
    </row>
    <row r="2108">
      <c r="A2108" s="2" t="inlineStr">
        <is>
          <t>Towering Splash GX Box</t>
        </is>
      </c>
      <c r="B2108" s="3">
        <f>IF(H2108&lt;&gt;"",H2108,IF(I2108&lt;&gt;"",I2108,IF(J2108&lt;&gt;"",J2108,K2108)))</f>
        <v>1200.0</v>
      </c>
      <c r="C2108" s="3">
        <f>MEDIAN(H2108:K2108)</f>
        <v>1200.0</v>
      </c>
      <c r="D2108" s="3">
        <f>ROUND(C2108*(1-Settings!$B$2),2)</f>
        <v>840.0</v>
      </c>
      <c r="E2108" s="2" t="inlineStr">
        <is>
          <t>Pokemon</t>
        </is>
      </c>
      <c r="F2108" s="2" t="inlineStr">
        <is>
          <t>Coffret</t>
        </is>
      </c>
      <c r="G2108" s="2" t="inlineStr">
        <is>
          <t>SM - Team Up</t>
        </is>
      </c>
      <c r="H2108" s="3" t="n">
        <v>1200</v>
      </c>
      <c r="I2108" s="3" t="n"/>
      <c r="J2108" s="3" t="n"/>
      <c r="K2108" s="3" t="n"/>
      <c r="L2108" s="2" t="inlineStr">
        <is>
          <t>PriceCharting + TCGplayer</t>
        </is>
      </c>
      <c r="M2108" s="4" t="inlineStr">
        <is>
          <t>https://www.pricecharting.com/game/pokemon-team-up/towering-splash-gx-box</t>
        </is>
      </c>
      <c r="N2108" s="4" t="inlineStr">
        <is>
          <t>https://www.tcgplayer.com/product/181693</t>
        </is>
      </c>
    </row>
    <row r="2109">
      <c r="A2109" s="2" t="inlineStr">
        <is>
          <t>Charmander Sidekick Collection</t>
        </is>
      </c>
      <c r="B2109" s="3">
        <f>IF(H2109&lt;&gt;"",H2109,IF(I2109&lt;&gt;"",I2109,IF(J2109&lt;&gt;"",J2109,K2109)))</f>
        <v>171.96</v>
      </c>
      <c r="C2109" s="3">
        <f>MEDIAN(H2109:K2109)</f>
        <v>274.975</v>
      </c>
      <c r="D2109" s="3">
        <f>ROUND(C2109*(1-Settings!$B$2),2)</f>
        <v>192.48</v>
      </c>
      <c r="E2109" s="2" t="inlineStr">
        <is>
          <t>Pokemon</t>
        </is>
      </c>
      <c r="F2109" s="2" t="inlineStr">
        <is>
          <t>Coffret</t>
        </is>
      </c>
      <c r="G2109" s="2" t="inlineStr">
        <is>
          <t>SM - Ultra Prism</t>
        </is>
      </c>
      <c r="H2109" s="3" t="n">
        <v>171.96</v>
      </c>
      <c r="I2109" s="3" t="n">
        <v>250</v>
      </c>
      <c r="J2109" s="3" t="n">
        <v>487.97</v>
      </c>
      <c r="K2109" s="3" t="n">
        <v>299.95</v>
      </c>
      <c r="L2109" s="2" t="inlineStr">
        <is>
          <t>PriceCharting + TCGplayer</t>
        </is>
      </c>
      <c r="M2109" s="4" t="inlineStr">
        <is>
          <t>https://www.pricecharting.com/game/pokemon-ultra-prism/charmander-sidekick-collection</t>
        </is>
      </c>
      <c r="N2109" s="4" t="inlineStr">
        <is>
          <t>https://www.tcgplayer.com/product/186105</t>
        </is>
      </c>
    </row>
    <row r="2110">
      <c r="A2110" s="2" t="inlineStr">
        <is>
          <t>Legends of Johto GX Premium Collection Box</t>
        </is>
      </c>
      <c r="B2110" s="3">
        <f>IF(H2110&lt;&gt;"",H2110,IF(I2110&lt;&gt;"",I2110,IF(J2110&lt;&gt;"",J2110,K2110)))</f>
        <v>323.92</v>
      </c>
      <c r="C2110" s="3">
        <f>MEDIAN(H2110:K2110)</f>
        <v>323.92</v>
      </c>
      <c r="D2110" s="3">
        <f>ROUND(C2110*(1-Settings!$B$2),2)</f>
        <v>226.74</v>
      </c>
      <c r="E2110" s="2" t="inlineStr">
        <is>
          <t>Pokemon</t>
        </is>
      </c>
      <c r="F2110" s="2" t="inlineStr">
        <is>
          <t>Coffret</t>
        </is>
      </c>
      <c r="G2110" s="2" t="inlineStr">
        <is>
          <t>SM - Ultra Prism</t>
        </is>
      </c>
      <c r="H2110" s="3" t="n"/>
      <c r="I2110" s="3" t="n">
        <v>323.92</v>
      </c>
      <c r="J2110" s="3" t="n">
        <v>329.93</v>
      </c>
      <c r="K2110" s="3" t="n">
        <v>319.9</v>
      </c>
      <c r="L2110" s="2" t="inlineStr">
        <is>
          <t>TCGplayer</t>
        </is>
      </c>
      <c r="N2110" s="4" t="inlineStr">
        <is>
          <t>https://www.tcgplayer.com/product/164232</t>
        </is>
      </c>
    </row>
    <row r="2111">
      <c r="A2111" s="2" t="inlineStr">
        <is>
          <t>Lucario GX Box</t>
        </is>
      </c>
      <c r="B2111" s="3">
        <f>IF(H2111&lt;&gt;"",H2111,IF(I2111&lt;&gt;"",I2111,IF(J2111&lt;&gt;"",J2111,K2111)))</f>
        <v>399.99</v>
      </c>
      <c r="C2111" s="3">
        <f>MEDIAN(H2111:K2111)</f>
        <v>399.99</v>
      </c>
      <c r="D2111" s="3">
        <f>ROUND(C2111*(1-Settings!$B$2),2)</f>
        <v>279.99</v>
      </c>
      <c r="E2111" s="2" t="inlineStr">
        <is>
          <t>Pokemon</t>
        </is>
      </c>
      <c r="F2111" s="2" t="inlineStr">
        <is>
          <t>Coffret</t>
        </is>
      </c>
      <c r="G2111" s="2" t="inlineStr">
        <is>
          <t>SM - Ultra Prism</t>
        </is>
      </c>
      <c r="H2111" s="3" t="n"/>
      <c r="I2111" s="3" t="n"/>
      <c r="J2111" s="3" t="n"/>
      <c r="K2111" s="3" t="n">
        <v>399.99</v>
      </c>
      <c r="L2111" s="2" t="inlineStr">
        <is>
          <t>TCGplayer</t>
        </is>
      </c>
      <c r="N2111" s="4" t="inlineStr">
        <is>
          <t>https://www.tcgplayer.com/product/161256</t>
        </is>
      </c>
    </row>
    <row r="2112">
      <c r="A2112" s="2" t="inlineStr">
        <is>
          <t>Necrozma Prism Tin [Dawn Wings Necrozma GX]</t>
        </is>
      </c>
      <c r="B2112" s="3">
        <f>IF(H2112&lt;&gt;"",H2112,IF(I2112&lt;&gt;"",I2112,IF(J2112&lt;&gt;"",J2112,K2112)))</f>
        <v>240.0</v>
      </c>
      <c r="C2112" s="3">
        <f>MEDIAN(H2112:K2112)</f>
        <v>237.5</v>
      </c>
      <c r="D2112" s="3">
        <f>ROUND(C2112*(1-Settings!$B$2),2)</f>
        <v>166.25</v>
      </c>
      <c r="E2112" s="2" t="inlineStr">
        <is>
          <t>Pokemon</t>
        </is>
      </c>
      <c r="F2112" s="2" t="inlineStr">
        <is>
          <t>Coffret</t>
        </is>
      </c>
      <c r="G2112" s="2" t="inlineStr">
        <is>
          <t>SM - Ultra Prism</t>
        </is>
      </c>
      <c r="H2112" s="3" t="n"/>
      <c r="I2112" s="3" t="n"/>
      <c r="J2112" s="3" t="n">
        <v>240</v>
      </c>
      <c r="K2112" s="3" t="n">
        <v>235</v>
      </c>
      <c r="L2112" s="2" t="inlineStr">
        <is>
          <t>TCGplayer</t>
        </is>
      </c>
      <c r="N2112" s="4" t="inlineStr">
        <is>
          <t>https://www.tcgplayer.com/product/162046</t>
        </is>
      </c>
    </row>
    <row r="2113">
      <c r="A2113" s="2" t="inlineStr">
        <is>
          <t>Necrozma Prism Tin [Dusk Mane Necrozma GX]</t>
        </is>
      </c>
      <c r="B2113" s="3">
        <f>IF(H2113&lt;&gt;"",H2113,IF(I2113&lt;&gt;"",I2113,IF(J2113&lt;&gt;"",J2113,K2113)))</f>
        <v>262.0</v>
      </c>
      <c r="C2113" s="3">
        <f>MEDIAN(H2113:K2113)</f>
        <v>262.0</v>
      </c>
      <c r="D2113" s="3">
        <f>ROUND(C2113*(1-Settings!$B$2),2)</f>
        <v>183.4</v>
      </c>
      <c r="E2113" s="2" t="inlineStr">
        <is>
          <t>Pokemon</t>
        </is>
      </c>
      <c r="F2113" s="2" t="inlineStr">
        <is>
          <t>Coffret</t>
        </is>
      </c>
      <c r="G2113" s="2" t="inlineStr">
        <is>
          <t>SM - Ultra Prism</t>
        </is>
      </c>
      <c r="H2113" s="3" t="n"/>
      <c r="I2113" s="3" t="n">
        <v>262</v>
      </c>
      <c r="J2113" s="3" t="n"/>
      <c r="K2113" s="3" t="n"/>
      <c r="L2113" s="2" t="inlineStr">
        <is>
          <t>TCGplayer</t>
        </is>
      </c>
      <c r="N2113" s="4" t="inlineStr">
        <is>
          <t>https://www.tcgplayer.com/product/162045</t>
        </is>
      </c>
    </row>
    <row r="2114">
      <c r="A2114" s="2" t="inlineStr">
        <is>
          <t>Ultra Prism 3 Pack Hanger Box</t>
        </is>
      </c>
      <c r="B2114" s="3">
        <f>IF(H2114&lt;&gt;"",H2114,IF(I2114&lt;&gt;"",I2114,IF(J2114&lt;&gt;"",J2114,K2114)))</f>
        <v>120.0</v>
      </c>
      <c r="C2114" s="3">
        <f>MEDIAN(H2114:K2114)</f>
        <v>149.93</v>
      </c>
      <c r="D2114" s="3">
        <f>ROUND(C2114*(1-Settings!$B$2),2)</f>
        <v>104.95</v>
      </c>
      <c r="E2114" s="2" t="inlineStr">
        <is>
          <t>Pokemon</t>
        </is>
      </c>
      <c r="F2114" s="2" t="inlineStr">
        <is>
          <t>Coffret</t>
        </is>
      </c>
      <c r="G2114" s="2" t="inlineStr">
        <is>
          <t>SM - Ultra Prism</t>
        </is>
      </c>
      <c r="H2114" s="3" t="n">
        <v>120</v>
      </c>
      <c r="I2114" s="3" t="n">
        <v>139.98</v>
      </c>
      <c r="J2114" s="3" t="n">
        <v>159.95</v>
      </c>
      <c r="K2114" s="3" t="n">
        <v>159.88</v>
      </c>
      <c r="L2114" s="2" t="inlineStr">
        <is>
          <t>PriceCharting + TCGplayer</t>
        </is>
      </c>
      <c r="M2114" s="4" t="inlineStr">
        <is>
          <t>https://www.pricecharting.com/game/pokemon-ultra-prism/3-pack-hanger-box</t>
        </is>
      </c>
      <c r="N2114" s="4" t="inlineStr">
        <is>
          <t>https://www.tcgplayer.com/product/232314</t>
        </is>
      </c>
    </row>
    <row r="2115">
      <c r="A2115" s="2" t="inlineStr">
        <is>
          <t>Ultra Prism Booster Pack Art Bundle [Set of 4]</t>
        </is>
      </c>
      <c r="B2115" s="3">
        <f>IF(H2115&lt;&gt;"",H2115,IF(I2115&lt;&gt;"",I2115,IF(J2115&lt;&gt;"",J2115,K2115)))</f>
        <v>199.99</v>
      </c>
      <c r="C2115" s="3">
        <f>MEDIAN(H2115:K2115)</f>
        <v>199.99</v>
      </c>
      <c r="D2115" s="3">
        <f>ROUND(C2115*(1-Settings!$B$2),2)</f>
        <v>139.99</v>
      </c>
      <c r="E2115" s="2" t="inlineStr">
        <is>
          <t>Pokemon</t>
        </is>
      </c>
      <c r="F2115" s="2" t="inlineStr">
        <is>
          <t>Coffret</t>
        </is>
      </c>
      <c r="G2115" s="2" t="inlineStr">
        <is>
          <t>SM - Ultra Prism</t>
        </is>
      </c>
      <c r="H2115" s="3" t="n"/>
      <c r="I2115" s="3" t="n">
        <v>199.99</v>
      </c>
      <c r="J2115" s="3" t="n"/>
      <c r="K2115" s="3" t="n"/>
      <c r="L2115" s="2" t="inlineStr">
        <is>
          <t>TCGplayer</t>
        </is>
      </c>
      <c r="N2115" s="4" t="inlineStr">
        <is>
          <t>https://www.tcgplayer.com/product/267040</t>
        </is>
      </c>
    </row>
    <row r="2116">
      <c r="A2116" s="2" t="inlineStr">
        <is>
          <t>Ultra Prism Elite Trainer Box [Dawn Wings Necrozma]</t>
        </is>
      </c>
      <c r="B2116" s="3">
        <f>IF(H2116&lt;&gt;"",H2116,IF(I2116&lt;&gt;"",I2116,IF(J2116&lt;&gt;"",J2116,K2116)))</f>
        <v>925.58</v>
      </c>
      <c r="C2116" s="3">
        <f>MEDIAN(H2116:K2116)</f>
        <v>1312.785</v>
      </c>
      <c r="D2116" s="3">
        <f>ROUND(C2116*(1-Settings!$B$2),2)</f>
        <v>918.95</v>
      </c>
      <c r="E2116" s="2" t="inlineStr">
        <is>
          <t>Pokemon</t>
        </is>
      </c>
      <c r="F2116" s="2" t="inlineStr">
        <is>
          <t>Coffret</t>
        </is>
      </c>
      <c r="G2116" s="2" t="inlineStr">
        <is>
          <t>SM - Ultra Prism</t>
        </is>
      </c>
      <c r="H2116" s="3" t="n">
        <v>925.58</v>
      </c>
      <c r="I2116" s="3" t="n">
        <v>711.99</v>
      </c>
      <c r="J2116" s="3" t="n">
        <v>1899.99</v>
      </c>
      <c r="K2116" s="3" t="n">
        <v>1699.99</v>
      </c>
      <c r="L2116" s="2" t="inlineStr">
        <is>
          <t>PriceCharting + TCGplayer</t>
        </is>
      </c>
      <c r="M2116" s="4" t="inlineStr">
        <is>
          <t>https://www.pricecharting.com/game/pokemon-ultra-prism/elite-trainer-box-dawn-wings-necrozma</t>
        </is>
      </c>
      <c r="N2116" s="4" t="inlineStr">
        <is>
          <t>https://www.tcgplayer.com/product/155663</t>
        </is>
      </c>
    </row>
    <row r="2117">
      <c r="A2117" s="2" t="inlineStr">
        <is>
          <t>Ultra Prism Elite Trainer Box [Dusk Mane Necrozma]</t>
        </is>
      </c>
      <c r="B2117" s="3">
        <f>IF(H2117&lt;&gt;"",H2117,IF(I2117&lt;&gt;"",I2117,IF(J2117&lt;&gt;"",J2117,K2117)))</f>
        <v>740.14</v>
      </c>
      <c r="C2117" s="3">
        <f>MEDIAN(H2117:K2117)</f>
        <v>741.05</v>
      </c>
      <c r="D2117" s="3">
        <f>ROUND(C2117*(1-Settings!$B$2),2)</f>
        <v>518.74</v>
      </c>
      <c r="E2117" s="2" t="inlineStr">
        <is>
          <t>Pokemon</t>
        </is>
      </c>
      <c r="F2117" s="2" t="inlineStr">
        <is>
          <t>Coffret</t>
        </is>
      </c>
      <c r="G2117" s="2" t="inlineStr">
        <is>
          <t>SM - Ultra Prism</t>
        </is>
      </c>
      <c r="H2117" s="3" t="n">
        <v>740.14</v>
      </c>
      <c r="I2117" s="3" t="n">
        <v>741.96</v>
      </c>
      <c r="J2117" s="3" t="n">
        <v>850</v>
      </c>
      <c r="K2117" s="3" t="n">
        <v>727.99</v>
      </c>
      <c r="L2117" s="2" t="inlineStr">
        <is>
          <t>PriceCharting + TCGplayer</t>
        </is>
      </c>
      <c r="M2117" s="4" t="inlineStr">
        <is>
          <t>https://www.pricecharting.com/game/pokemon-ultra-prism/elite-trainer-box-dusk-mane-necrozma</t>
        </is>
      </c>
      <c r="N2117" s="4" t="inlineStr">
        <is>
          <t>https://www.tcgplayer.com/product/155664</t>
        </is>
      </c>
    </row>
    <row r="2118">
      <c r="A2118" s="2" t="inlineStr">
        <is>
          <t>Ultra Prism Prerelease Kit</t>
        </is>
      </c>
      <c r="B2118" s="3">
        <f>IF(H2118&lt;&gt;"",H2118,IF(I2118&lt;&gt;"",I2118,IF(J2118&lt;&gt;"",J2118,K2118)))</f>
        <v>344.99</v>
      </c>
      <c r="C2118" s="3">
        <f>MEDIAN(H2118:K2118)</f>
        <v>450.0</v>
      </c>
      <c r="D2118" s="3">
        <f>ROUND(C2118*(1-Settings!$B$2),2)</f>
        <v>315.0</v>
      </c>
      <c r="E2118" s="2" t="inlineStr">
        <is>
          <t>Pokemon</t>
        </is>
      </c>
      <c r="F2118" s="2" t="inlineStr">
        <is>
          <t>Coffret</t>
        </is>
      </c>
      <c r="G2118" s="2" t="inlineStr">
        <is>
          <t>SM - Ultra Prism</t>
        </is>
      </c>
      <c r="H2118" s="3" t="n"/>
      <c r="I2118" s="3" t="n">
        <v>344.99</v>
      </c>
      <c r="J2118" s="3" t="n">
        <v>475</v>
      </c>
      <c r="K2118" s="3" t="n">
        <v>450</v>
      </c>
      <c r="L2118" s="2" t="inlineStr">
        <is>
          <t>TCGplayer</t>
        </is>
      </c>
      <c r="N2118" s="4" t="inlineStr">
        <is>
          <t>https://www.tcgplayer.com/product/158254</t>
        </is>
      </c>
    </row>
    <row r="2119">
      <c r="A2119" s="2" t="inlineStr">
        <is>
          <t>Ultra Prism Sleeved Booster Pack Art Bundle [Set of 4]</t>
        </is>
      </c>
      <c r="B2119" s="3">
        <f>IF(H2119&lt;&gt;"",H2119,IF(I2119&lt;&gt;"",I2119,IF(J2119&lt;&gt;"",J2119,K2119)))</f>
        <v>1400.0</v>
      </c>
      <c r="C2119" s="3">
        <f>MEDIAN(H2119:K2119)</f>
        <v>1350.0</v>
      </c>
      <c r="D2119" s="3">
        <f>ROUND(C2119*(1-Settings!$B$2),2)</f>
        <v>945.0</v>
      </c>
      <c r="E2119" s="2" t="inlineStr">
        <is>
          <t>Pokemon</t>
        </is>
      </c>
      <c r="F2119" s="2" t="inlineStr">
        <is>
          <t>Coffret</t>
        </is>
      </c>
      <c r="G2119" s="2" t="inlineStr">
        <is>
          <t>SM - Ultra Prism</t>
        </is>
      </c>
      <c r="H2119" s="3" t="n"/>
      <c r="I2119" s="3" t="n"/>
      <c r="J2119" s="3" t="n">
        <v>1400</v>
      </c>
      <c r="K2119" s="3" t="n">
        <v>1300</v>
      </c>
      <c r="L2119" s="2" t="inlineStr">
        <is>
          <t>TCGplayer</t>
        </is>
      </c>
      <c r="N2119" s="4" t="inlineStr">
        <is>
          <t>https://www.tcgplayer.com/product/276581</t>
        </is>
      </c>
    </row>
    <row r="2120">
      <c r="A2120" s="2" t="inlineStr">
        <is>
          <t>Alolan Marowak GX Box</t>
        </is>
      </c>
      <c r="B2120" s="3">
        <f>IF(H2120&lt;&gt;"",H2120,IF(I2120&lt;&gt;"",I2120,IF(J2120&lt;&gt;"",J2120,K2120)))</f>
        <v>849.0</v>
      </c>
      <c r="C2120" s="3">
        <f>MEDIAN(H2120:K2120)</f>
        <v>849.0</v>
      </c>
      <c r="D2120" s="3">
        <f>ROUND(C2120*(1-Settings!$B$2),2)</f>
        <v>594.3</v>
      </c>
      <c r="E2120" s="2" t="inlineStr">
        <is>
          <t>Pokemon</t>
        </is>
      </c>
      <c r="F2120" s="2" t="inlineStr">
        <is>
          <t>Coffret</t>
        </is>
      </c>
      <c r="G2120" s="2" t="inlineStr">
        <is>
          <t>SM - Unbroken Bonds</t>
        </is>
      </c>
      <c r="H2120" s="3" t="n"/>
      <c r="I2120" s="3" t="n"/>
      <c r="J2120" s="3" t="n">
        <v>849</v>
      </c>
      <c r="K2120" s="3" t="n">
        <v>849</v>
      </c>
      <c r="L2120" s="2" t="inlineStr">
        <is>
          <t>TCGplayer</t>
        </is>
      </c>
      <c r="N2120" s="4" t="inlineStr">
        <is>
          <t>https://www.tcgplayer.com/product/189658</t>
        </is>
      </c>
    </row>
    <row r="2121">
      <c r="A2121" s="2" t="inlineStr">
        <is>
          <t>Blastoise GX Premium Collection</t>
        </is>
      </c>
      <c r="B2121" s="3">
        <f>IF(H2121&lt;&gt;"",H2121,IF(I2121&lt;&gt;"",I2121,IF(J2121&lt;&gt;"",J2121,K2121)))</f>
        <v>410.0</v>
      </c>
      <c r="C2121" s="3">
        <f>MEDIAN(H2121:K2121)</f>
        <v>530.0</v>
      </c>
      <c r="D2121" s="3">
        <f>ROUND(C2121*(1-Settings!$B$2),2)</f>
        <v>371.0</v>
      </c>
      <c r="E2121" s="2" t="inlineStr">
        <is>
          <t>Pokemon</t>
        </is>
      </c>
      <c r="F2121" s="2" t="inlineStr">
        <is>
          <t>Coffret</t>
        </is>
      </c>
      <c r="G2121" s="2" t="inlineStr">
        <is>
          <t>SM - Unbroken Bonds</t>
        </is>
      </c>
      <c r="H2121" s="3" t="n">
        <v>410</v>
      </c>
      <c r="I2121" s="3" t="n">
        <v>410</v>
      </c>
      <c r="J2121" s="3" t="n">
        <v>650</v>
      </c>
      <c r="K2121" s="3" t="n">
        <v>650</v>
      </c>
      <c r="L2121" s="2" t="inlineStr">
        <is>
          <t>PriceCharting + TCGplayer</t>
        </is>
      </c>
      <c r="M2121" s="4" t="inlineStr">
        <is>
          <t>https://www.pricecharting.com/game/pokemon-unbroken-bonds/blastoise-gx-premium-collection</t>
        </is>
      </c>
      <c r="N2121" s="4" t="inlineStr">
        <is>
          <t>https://www.tcgplayer.com/product/192230</t>
        </is>
      </c>
    </row>
    <row r="2122">
      <c r="A2122" s="2" t="inlineStr">
        <is>
          <t>Kangaskhan GX Box</t>
        </is>
      </c>
      <c r="B2122" s="3">
        <f>IF(H2122&lt;&gt;"",H2122,IF(I2122&lt;&gt;"",I2122,IF(J2122&lt;&gt;"",J2122,K2122)))</f>
        <v>400.0</v>
      </c>
      <c r="C2122" s="3">
        <f>MEDIAN(H2122:K2122)</f>
        <v>384.995</v>
      </c>
      <c r="D2122" s="3">
        <f>ROUND(C2122*(1-Settings!$B$2),2)</f>
        <v>269.5</v>
      </c>
      <c r="E2122" s="2" t="inlineStr">
        <is>
          <t>Pokemon</t>
        </is>
      </c>
      <c r="F2122" s="2" t="inlineStr">
        <is>
          <t>Coffret</t>
        </is>
      </c>
      <c r="G2122" s="2" t="inlineStr">
        <is>
          <t>SM - Unbroken Bonds</t>
        </is>
      </c>
      <c r="H2122" s="3" t="n"/>
      <c r="I2122" s="3" t="n"/>
      <c r="J2122" s="3" t="n">
        <v>400</v>
      </c>
      <c r="K2122" s="3" t="n">
        <v>369.99</v>
      </c>
      <c r="L2122" s="2" t="inlineStr">
        <is>
          <t>TCGplayer</t>
        </is>
      </c>
      <c r="N2122" s="4" t="inlineStr">
        <is>
          <t>https://www.tcgplayer.com/product/192083</t>
        </is>
      </c>
    </row>
    <row r="2123">
      <c r="A2123" s="2" t="inlineStr">
        <is>
          <t>Reshiram &amp; Charizard GX Figure Collection</t>
        </is>
      </c>
      <c r="B2123" s="3">
        <f>IF(H2123&lt;&gt;"",H2123,IF(I2123&lt;&gt;"",I2123,IF(J2123&lt;&gt;"",J2123,K2123)))</f>
        <v>854.25</v>
      </c>
      <c r="C2123" s="3">
        <f>MEDIAN(H2123:K2123)</f>
        <v>900.0</v>
      </c>
      <c r="D2123" s="3">
        <f>ROUND(C2123*(1-Settings!$B$2),2)</f>
        <v>630.0</v>
      </c>
      <c r="E2123" s="2" t="inlineStr">
        <is>
          <t>Pokemon</t>
        </is>
      </c>
      <c r="F2123" s="2" t="inlineStr">
        <is>
          <t>Coffret</t>
        </is>
      </c>
      <c r="G2123" s="2" t="inlineStr">
        <is>
          <t>SM - Unbroken Bonds</t>
        </is>
      </c>
      <c r="H2123" s="3" t="n">
        <v>854.25</v>
      </c>
      <c r="I2123" s="3" t="n">
        <v>900</v>
      </c>
      <c r="J2123" s="3" t="n">
        <v>950</v>
      </c>
      <c r="K2123" s="3" t="n">
        <v>900</v>
      </c>
      <c r="L2123" s="2" t="inlineStr">
        <is>
          <t>PriceCharting + TCGplayer</t>
        </is>
      </c>
      <c r="M2123" s="4" t="inlineStr">
        <is>
          <t>https://www.pricecharting.com/game/pokemon-unbroken-bonds/reshiram-&amp;-charizard-gx-figure-collection</t>
        </is>
      </c>
      <c r="N2123" s="4" t="inlineStr">
        <is>
          <t>https://www.tcgplayer.com/product/194597</t>
        </is>
      </c>
    </row>
    <row r="2124">
      <c r="A2124" s="2" t="inlineStr">
        <is>
          <t>Unbroken Bonds 3 Pack Hanger Box</t>
        </is>
      </c>
      <c r="B2124" s="3">
        <f>IF(H2124&lt;&gt;"",H2124,IF(I2124&lt;&gt;"",I2124,IF(J2124&lt;&gt;"",J2124,K2124)))</f>
        <v>249.48</v>
      </c>
      <c r="C2124" s="3">
        <f>MEDIAN(H2124:K2124)</f>
        <v>262.96</v>
      </c>
      <c r="D2124" s="3">
        <f>ROUND(C2124*(1-Settings!$B$2),2)</f>
        <v>184.07</v>
      </c>
      <c r="E2124" s="2" t="inlineStr">
        <is>
          <t>Pokemon</t>
        </is>
      </c>
      <c r="F2124" s="2" t="inlineStr">
        <is>
          <t>Coffret</t>
        </is>
      </c>
      <c r="G2124" s="2" t="inlineStr">
        <is>
          <t>SM - Unbroken Bonds</t>
        </is>
      </c>
      <c r="H2124" s="3" t="n"/>
      <c r="I2124" s="3" t="n">
        <v>249.48</v>
      </c>
      <c r="J2124" s="3" t="n">
        <v>276.45</v>
      </c>
      <c r="K2124" s="3" t="n">
        <v>262.96</v>
      </c>
      <c r="L2124" s="2" t="inlineStr">
        <is>
          <t>TCGplayer</t>
        </is>
      </c>
      <c r="N2124" s="4" t="inlineStr">
        <is>
          <t>https://www.tcgplayer.com/product/232315</t>
        </is>
      </c>
    </row>
    <row r="2125">
      <c r="A2125" s="2" t="inlineStr">
        <is>
          <t>Unbroken Bonds Booster Pack Art Bundle [Set of 4]</t>
        </is>
      </c>
      <c r="B2125" s="3">
        <f>IF(H2125&lt;&gt;"",H2125,IF(I2125&lt;&gt;"",I2125,IF(J2125&lt;&gt;"",J2125,K2125)))</f>
        <v>243.0</v>
      </c>
      <c r="C2125" s="3">
        <f>MEDIAN(H2125:K2125)</f>
        <v>156.5</v>
      </c>
      <c r="D2125" s="3">
        <f>ROUND(C2125*(1-Settings!$B$2),2)</f>
        <v>109.55</v>
      </c>
      <c r="E2125" s="2" t="inlineStr">
        <is>
          <t>Pokemon</t>
        </is>
      </c>
      <c r="F2125" s="2" t="inlineStr">
        <is>
          <t>Coffret</t>
        </is>
      </c>
      <c r="G2125" s="2" t="inlineStr">
        <is>
          <t>SM - Unbroken Bonds</t>
        </is>
      </c>
      <c r="H2125" s="3" t="n"/>
      <c r="I2125" s="3" t="n">
        <v>243</v>
      </c>
      <c r="J2125" s="3" t="n"/>
      <c r="K2125" s="3" t="n">
        <v>70</v>
      </c>
      <c r="L2125" s="2" t="inlineStr">
        <is>
          <t>TCGplayer</t>
        </is>
      </c>
      <c r="N2125" s="4" t="inlineStr">
        <is>
          <t>https://www.tcgplayer.com/product/267045</t>
        </is>
      </c>
    </row>
    <row r="2126">
      <c r="A2126" s="2" t="inlineStr">
        <is>
          <t>Unbroken Bonds Elite Trainer Box</t>
        </is>
      </c>
      <c r="B2126" s="3">
        <f>IF(H2126&lt;&gt;"",H2126,IF(I2126&lt;&gt;"",I2126,IF(J2126&lt;&gt;"",J2126,K2126)))</f>
        <v>1805.0</v>
      </c>
      <c r="C2126" s="3">
        <f>MEDIAN(H2126:K2126)</f>
        <v>1899.99</v>
      </c>
      <c r="D2126" s="3">
        <f>ROUND(C2126*(1-Settings!$B$2),2)</f>
        <v>1329.99</v>
      </c>
      <c r="E2126" s="2" t="inlineStr">
        <is>
          <t>Pokemon</t>
        </is>
      </c>
      <c r="F2126" s="2" t="inlineStr">
        <is>
          <t>Coffret</t>
        </is>
      </c>
      <c r="G2126" s="2" t="inlineStr">
        <is>
          <t>SM - Unbroken Bonds</t>
        </is>
      </c>
      <c r="H2126" s="3" t="n">
        <v>1805</v>
      </c>
      <c r="I2126" s="3" t="n"/>
      <c r="J2126" s="3" t="n">
        <v>2799.99</v>
      </c>
      <c r="K2126" s="3" t="n">
        <v>1899.99</v>
      </c>
      <c r="L2126" s="2" t="inlineStr">
        <is>
          <t>PriceCharting + TCGplayer</t>
        </is>
      </c>
      <c r="M2126" s="4" t="inlineStr">
        <is>
          <t>https://www.pricecharting.com/game/pokemon-unbroken-bonds/elite-trainer-box</t>
        </is>
      </c>
      <c r="N2126" s="4" t="inlineStr">
        <is>
          <t>https://www.tcgplayer.com/product/185719</t>
        </is>
      </c>
    </row>
    <row r="2127">
      <c r="A2127" s="2" t="inlineStr">
        <is>
          <t>Unbroken Bonds Prerelease Kit</t>
        </is>
      </c>
      <c r="B2127" s="3">
        <f>IF(H2127&lt;&gt;"",H2127,IF(I2127&lt;&gt;"",I2127,IF(J2127&lt;&gt;"",J2127,K2127)))</f>
        <v>334.99</v>
      </c>
      <c r="C2127" s="3">
        <f>MEDIAN(H2127:K2127)</f>
        <v>449.99</v>
      </c>
      <c r="D2127" s="3">
        <f>ROUND(C2127*(1-Settings!$B$2),2)</f>
        <v>314.99</v>
      </c>
      <c r="E2127" s="2" t="inlineStr">
        <is>
          <t>Pokemon</t>
        </is>
      </c>
      <c r="F2127" s="2" t="inlineStr">
        <is>
          <t>Coffret</t>
        </is>
      </c>
      <c r="G2127" s="2" t="inlineStr">
        <is>
          <t>SM - Unbroken Bonds</t>
        </is>
      </c>
      <c r="H2127" s="3" t="n"/>
      <c r="I2127" s="3" t="n">
        <v>334.99</v>
      </c>
      <c r="J2127" s="3" t="n">
        <v>449.99</v>
      </c>
      <c r="K2127" s="3" t="n">
        <v>449.99</v>
      </c>
      <c r="L2127" s="2" t="inlineStr">
        <is>
          <t>TCGplayer</t>
        </is>
      </c>
      <c r="N2127" s="4" t="inlineStr">
        <is>
          <t>https://www.tcgplayer.com/product/189823</t>
        </is>
      </c>
    </row>
    <row r="2128">
      <c r="A2128" s="2" t="inlineStr">
        <is>
          <t>Pale Moon GX Box</t>
        </is>
      </c>
      <c r="B2128" s="3">
        <f>IF(H2128&lt;&gt;"",H2128,IF(I2128&lt;&gt;"",I2128,IF(J2128&lt;&gt;"",J2128,K2128)))</f>
        <v>400.0</v>
      </c>
      <c r="C2128" s="3">
        <f>MEDIAN(H2128:K2128)</f>
        <v>400.0</v>
      </c>
      <c r="D2128" s="3">
        <f>ROUND(C2128*(1-Settings!$B$2),2)</f>
        <v>280.0</v>
      </c>
      <c r="E2128" s="2" t="inlineStr">
        <is>
          <t>Pokemon</t>
        </is>
      </c>
      <c r="F2128" s="2" t="inlineStr">
        <is>
          <t>Coffret</t>
        </is>
      </c>
      <c r="G2128" s="2" t="inlineStr">
        <is>
          <t>SM - Unified Minds</t>
        </is>
      </c>
      <c r="H2128" s="3" t="n"/>
      <c r="I2128" s="3" t="n">
        <v>400</v>
      </c>
      <c r="J2128" s="3" t="n">
        <v>417.48</v>
      </c>
      <c r="K2128" s="3" t="n">
        <v>399.99</v>
      </c>
      <c r="L2128" s="2" t="inlineStr">
        <is>
          <t>TCGplayer</t>
        </is>
      </c>
      <c r="N2128" s="4" t="inlineStr">
        <is>
          <t>https://www.tcgplayer.com/product/198528</t>
        </is>
      </c>
    </row>
    <row r="2129">
      <c r="A2129" s="2" t="inlineStr">
        <is>
          <t>Porygon-Z GX Box</t>
        </is>
      </c>
      <c r="B2129" s="3">
        <f>IF(H2129&lt;&gt;"",H2129,IF(I2129&lt;&gt;"",I2129,IF(J2129&lt;&gt;"",J2129,K2129)))</f>
        <v>399.97</v>
      </c>
      <c r="C2129" s="3">
        <f>MEDIAN(H2129:K2129)</f>
        <v>399.97</v>
      </c>
      <c r="D2129" s="3">
        <f>ROUND(C2129*(1-Settings!$B$2),2)</f>
        <v>279.98</v>
      </c>
      <c r="E2129" s="2" t="inlineStr">
        <is>
          <t>Pokemon</t>
        </is>
      </c>
      <c r="F2129" s="2" t="inlineStr">
        <is>
          <t>Coffret</t>
        </is>
      </c>
      <c r="G2129" s="2" t="inlineStr">
        <is>
          <t>SM - Unified Minds</t>
        </is>
      </c>
      <c r="H2129" s="3" t="n"/>
      <c r="I2129" s="3" t="n"/>
      <c r="J2129" s="3" t="n"/>
      <c r="K2129" s="3" t="n">
        <v>399.97</v>
      </c>
      <c r="L2129" s="2" t="inlineStr">
        <is>
          <t>TCGplayer</t>
        </is>
      </c>
      <c r="N2129" s="4" t="inlineStr">
        <is>
          <t>https://www.tcgplayer.com/product/198521</t>
        </is>
      </c>
    </row>
    <row r="2130">
      <c r="A2130" s="2" t="inlineStr">
        <is>
          <t>Power Partnership Tin [Garchomp &amp; Giratina GX]</t>
        </is>
      </c>
      <c r="B2130" s="3">
        <f>IF(H2130&lt;&gt;"",H2130,IF(I2130&lt;&gt;"",I2130,IF(J2130&lt;&gt;"",J2130,K2130)))</f>
        <v>549.99</v>
      </c>
      <c r="C2130" s="3">
        <f>MEDIAN(H2130:K2130)</f>
        <v>549.99</v>
      </c>
      <c r="D2130" s="3">
        <f>ROUND(C2130*(1-Settings!$B$2),2)</f>
        <v>384.99</v>
      </c>
      <c r="E2130" s="2" t="inlineStr">
        <is>
          <t>Pokemon</t>
        </is>
      </c>
      <c r="F2130" s="2" t="inlineStr">
        <is>
          <t>Coffret</t>
        </is>
      </c>
      <c r="G2130" s="2" t="inlineStr">
        <is>
          <t>SM - Unified Minds</t>
        </is>
      </c>
      <c r="H2130" s="3" t="n"/>
      <c r="I2130" s="3" t="n">
        <v>549.99</v>
      </c>
      <c r="J2130" s="3" t="n">
        <v>650</v>
      </c>
      <c r="K2130" s="3" t="n">
        <v>419.99</v>
      </c>
      <c r="L2130" s="2" t="inlineStr">
        <is>
          <t>TCGplayer</t>
        </is>
      </c>
      <c r="N2130" s="4" t="inlineStr">
        <is>
          <t>https://www.tcgplayer.com/product/194737</t>
        </is>
      </c>
    </row>
    <row r="2131">
      <c r="A2131" s="2" t="inlineStr">
        <is>
          <t>Power Partnership Tin [Lucario &amp; Melmetal GX]</t>
        </is>
      </c>
      <c r="B2131" s="3">
        <f>IF(H2131&lt;&gt;"",H2131,IF(I2131&lt;&gt;"",I2131,IF(J2131&lt;&gt;"",J2131,K2131)))</f>
        <v>410.0</v>
      </c>
      <c r="C2131" s="3">
        <f>MEDIAN(H2131:K2131)</f>
        <v>404.995</v>
      </c>
      <c r="D2131" s="3">
        <f>ROUND(C2131*(1-Settings!$B$2),2)</f>
        <v>283.5</v>
      </c>
      <c r="E2131" s="2" t="inlineStr">
        <is>
          <t>Pokemon</t>
        </is>
      </c>
      <c r="F2131" s="2" t="inlineStr">
        <is>
          <t>Coffret</t>
        </is>
      </c>
      <c r="G2131" s="2" t="inlineStr">
        <is>
          <t>SM - Unified Minds</t>
        </is>
      </c>
      <c r="H2131" s="3" t="n"/>
      <c r="I2131" s="3" t="n"/>
      <c r="J2131" s="3" t="n">
        <v>410</v>
      </c>
      <c r="K2131" s="3" t="n">
        <v>399.99</v>
      </c>
      <c r="L2131" s="2" t="inlineStr">
        <is>
          <t>TCGplayer</t>
        </is>
      </c>
      <c r="N2131" s="4" t="inlineStr">
        <is>
          <t>https://www.tcgplayer.com/product/194736</t>
        </is>
      </c>
    </row>
    <row r="2132">
      <c r="A2132" s="2" t="inlineStr">
        <is>
          <t>Power Partnership Tin [Mewtwo &amp; Mew GX]</t>
        </is>
      </c>
      <c r="B2132" s="3">
        <f>IF(H2132&lt;&gt;"",H2132,IF(I2132&lt;&gt;"",I2132,IF(J2132&lt;&gt;"",J2132,K2132)))</f>
        <v>857.4</v>
      </c>
      <c r="C2132" s="3">
        <f>MEDIAN(H2132:K2132)</f>
        <v>857.4</v>
      </c>
      <c r="D2132" s="3">
        <f>ROUND(C2132*(1-Settings!$B$2),2)</f>
        <v>600.18</v>
      </c>
      <c r="E2132" s="2" t="inlineStr">
        <is>
          <t>Pokemon</t>
        </is>
      </c>
      <c r="F2132" s="2" t="inlineStr">
        <is>
          <t>Coffret</t>
        </is>
      </c>
      <c r="G2132" s="2" t="inlineStr">
        <is>
          <t>SM - Unified Minds</t>
        </is>
      </c>
      <c r="H2132" s="3" t="n"/>
      <c r="I2132" s="3" t="n">
        <v>857.4</v>
      </c>
      <c r="J2132" s="3" t="n">
        <v>1400</v>
      </c>
      <c r="K2132" s="3" t="n">
        <v>20</v>
      </c>
      <c r="L2132" s="2" t="inlineStr">
        <is>
          <t>TCGplayer</t>
        </is>
      </c>
      <c r="N2132" s="4" t="inlineStr">
        <is>
          <t>https://www.tcgplayer.com/product/194735</t>
        </is>
      </c>
    </row>
    <row r="2133">
      <c r="A2133" s="2" t="inlineStr">
        <is>
          <t>Power Partnership Tin [Set of 3]</t>
        </is>
      </c>
      <c r="B2133" s="3">
        <f>IF(H2133&lt;&gt;"",H2133,IF(I2133&lt;&gt;"",I2133,IF(J2133&lt;&gt;"",J2133,K2133)))</f>
        <v>1899.95</v>
      </c>
      <c r="C2133" s="3">
        <f>MEDIAN(H2133:K2133)</f>
        <v>1824.975</v>
      </c>
      <c r="D2133" s="3">
        <f>ROUND(C2133*(1-Settings!$B$2),2)</f>
        <v>1277.48</v>
      </c>
      <c r="E2133" s="2" t="inlineStr">
        <is>
          <t>Pokemon</t>
        </is>
      </c>
      <c r="F2133" s="2" t="inlineStr">
        <is>
          <t>Coffret</t>
        </is>
      </c>
      <c r="G2133" s="2" t="inlineStr">
        <is>
          <t>SM - Unified Minds</t>
        </is>
      </c>
      <c r="H2133" s="3" t="n"/>
      <c r="I2133" s="3" t="n">
        <v>1899.95</v>
      </c>
      <c r="J2133" s="3" t="n"/>
      <c r="K2133" s="3" t="n">
        <v>1750</v>
      </c>
      <c r="L2133" s="2" t="inlineStr">
        <is>
          <t>TCGplayer</t>
        </is>
      </c>
      <c r="N2133" s="4" t="inlineStr">
        <is>
          <t>https://www.tcgplayer.com/product/195611</t>
        </is>
      </c>
    </row>
    <row r="2134">
      <c r="A2134" s="2" t="inlineStr">
        <is>
          <t>Unified Minds 3 Pack Hanger Box</t>
        </is>
      </c>
      <c r="B2134" s="3">
        <f>IF(H2134&lt;&gt;"",H2134,IF(I2134&lt;&gt;"",I2134,IF(J2134&lt;&gt;"",J2134,K2134)))</f>
        <v>248.12</v>
      </c>
      <c r="C2134" s="3">
        <f>MEDIAN(H2134:K2134)</f>
        <v>248.12</v>
      </c>
      <c r="D2134" s="3">
        <f>ROUND(C2134*(1-Settings!$B$2),2)</f>
        <v>173.68</v>
      </c>
      <c r="E2134" s="2" t="inlineStr">
        <is>
          <t>Pokemon</t>
        </is>
      </c>
      <c r="F2134" s="2" t="inlineStr">
        <is>
          <t>Coffret</t>
        </is>
      </c>
      <c r="G2134" s="2" t="inlineStr">
        <is>
          <t>SM - Unified Minds</t>
        </is>
      </c>
      <c r="H2134" s="3" t="n"/>
      <c r="I2134" s="3" t="n">
        <v>248.12</v>
      </c>
      <c r="J2134" s="3" t="n">
        <v>258.5</v>
      </c>
      <c r="K2134" s="3" t="n">
        <v>222.98</v>
      </c>
      <c r="L2134" s="2" t="inlineStr">
        <is>
          <t>TCGplayer</t>
        </is>
      </c>
      <c r="N2134" s="4" t="inlineStr">
        <is>
          <t>https://www.tcgplayer.com/product/232313</t>
        </is>
      </c>
    </row>
    <row r="2135">
      <c r="A2135" s="2" t="inlineStr">
        <is>
          <t>Unified Minds Booster Pack Art Bundle [Set of 4]</t>
        </is>
      </c>
      <c r="B2135" s="3">
        <f>IF(H2135&lt;&gt;"",H2135,IF(I2135&lt;&gt;"",I2135,IF(J2135&lt;&gt;"",J2135,K2135)))</f>
        <v>230.0</v>
      </c>
      <c r="C2135" s="3">
        <f>MEDIAN(H2135:K2135)</f>
        <v>230.0</v>
      </c>
      <c r="D2135" s="3">
        <f>ROUND(C2135*(1-Settings!$B$2),2)</f>
        <v>161.0</v>
      </c>
      <c r="E2135" s="2" t="inlineStr">
        <is>
          <t>Pokemon</t>
        </is>
      </c>
      <c r="F2135" s="2" t="inlineStr">
        <is>
          <t>Coffret</t>
        </is>
      </c>
      <c r="G2135" s="2" t="inlineStr">
        <is>
          <t>SM - Unified Minds</t>
        </is>
      </c>
      <c r="H2135" s="3" t="n"/>
      <c r="I2135" s="3" t="n">
        <v>230</v>
      </c>
      <c r="J2135" s="3" t="n">
        <v>599</v>
      </c>
      <c r="K2135" s="3" t="n">
        <v>154.97</v>
      </c>
      <c r="L2135" s="2" t="inlineStr">
        <is>
          <t>TCGplayer</t>
        </is>
      </c>
      <c r="N2135" s="4" t="inlineStr">
        <is>
          <t>https://www.tcgplayer.com/product/267046</t>
        </is>
      </c>
    </row>
    <row r="2136">
      <c r="A2136" s="2" t="inlineStr">
        <is>
          <t>Unified Minds Elite Trainer Box</t>
        </is>
      </c>
      <c r="B2136" s="3">
        <f>IF(H2136&lt;&gt;"",H2136,IF(I2136&lt;&gt;"",I2136,IF(J2136&lt;&gt;"",J2136,K2136)))</f>
        <v>1560.19</v>
      </c>
      <c r="C2136" s="3">
        <f>MEDIAN(H2136:K2136)</f>
        <v>2109.95</v>
      </c>
      <c r="D2136" s="3">
        <f>ROUND(C2136*(1-Settings!$B$2),2)</f>
        <v>1476.97</v>
      </c>
      <c r="E2136" s="2" t="inlineStr">
        <is>
          <t>Pokemon</t>
        </is>
      </c>
      <c r="F2136" s="2" t="inlineStr">
        <is>
          <t>Coffret</t>
        </is>
      </c>
      <c r="G2136" s="2" t="inlineStr">
        <is>
          <t>SM - Unified Minds</t>
        </is>
      </c>
      <c r="H2136" s="3" t="n">
        <v>1560.19</v>
      </c>
      <c r="I2136" s="3" t="n">
        <v>1719.9</v>
      </c>
      <c r="J2136" s="3" t="n">
        <v>3750</v>
      </c>
      <c r="K2136" s="3" t="n">
        <v>2500</v>
      </c>
      <c r="L2136" s="2" t="inlineStr">
        <is>
          <t>PriceCharting + TCGplayer</t>
        </is>
      </c>
      <c r="M2136" s="4" t="inlineStr">
        <is>
          <t>https://www.pricecharting.com/game/pokemon-unified-minds/elite-trainer-box</t>
        </is>
      </c>
      <c r="N2136" s="4" t="inlineStr">
        <is>
          <t>https://www.tcgplayer.com/product/193052</t>
        </is>
      </c>
    </row>
    <row r="2137">
      <c r="A2137" s="2" t="inlineStr">
        <is>
          <t>Unified Minds Prerelease Kit</t>
        </is>
      </c>
      <c r="B2137" s="3">
        <f>IF(H2137&lt;&gt;"",H2137,IF(I2137&lt;&gt;"",I2137,IF(J2137&lt;&gt;"",J2137,K2137)))</f>
        <v>349.98</v>
      </c>
      <c r="C2137" s="3">
        <f>MEDIAN(H2137:K2137)</f>
        <v>349.98</v>
      </c>
      <c r="D2137" s="3">
        <f>ROUND(C2137*(1-Settings!$B$2),2)</f>
        <v>244.99</v>
      </c>
      <c r="E2137" s="2" t="inlineStr">
        <is>
          <t>Pokemon</t>
        </is>
      </c>
      <c r="F2137" s="2" t="inlineStr">
        <is>
          <t>Coffret</t>
        </is>
      </c>
      <c r="G2137" s="2" t="inlineStr">
        <is>
          <t>SM - Unified Minds</t>
        </is>
      </c>
      <c r="H2137" s="3" t="n"/>
      <c r="I2137" s="3" t="n">
        <v>349.98</v>
      </c>
      <c r="J2137" s="3" t="n">
        <v>399.99</v>
      </c>
      <c r="K2137" s="3" t="n">
        <v>154.99</v>
      </c>
      <c r="L2137" s="2" t="inlineStr">
        <is>
          <t>TCGplayer</t>
        </is>
      </c>
      <c r="N2137" s="4" t="inlineStr">
        <is>
          <t>https://www.tcgplayer.com/product/195612</t>
        </is>
      </c>
    </row>
    <row r="2138">
      <c r="A2138" s="2" t="inlineStr">
        <is>
          <t>Unified Minds Sleeved Booster Pack Art Bundle [Set of 4]</t>
        </is>
      </c>
      <c r="B2138" s="3">
        <f>IF(H2138&lt;&gt;"",H2138,IF(I2138&lt;&gt;"",I2138,IF(J2138&lt;&gt;"",J2138,K2138)))</f>
        <v>452.83</v>
      </c>
      <c r="C2138" s="3">
        <f>MEDIAN(H2138:K2138)</f>
        <v>451.36</v>
      </c>
      <c r="D2138" s="3">
        <f>ROUND(C2138*(1-Settings!$B$2),2)</f>
        <v>315.95</v>
      </c>
      <c r="E2138" s="2" t="inlineStr">
        <is>
          <t>Pokemon</t>
        </is>
      </c>
      <c r="F2138" s="2" t="inlineStr">
        <is>
          <t>Coffret</t>
        </is>
      </c>
      <c r="G2138" s="2" t="inlineStr">
        <is>
          <t>SM - Unified Minds</t>
        </is>
      </c>
      <c r="H2138" s="3" t="n"/>
      <c r="I2138" s="3" t="n"/>
      <c r="J2138" s="3" t="n">
        <v>452.83</v>
      </c>
      <c r="K2138" s="3" t="n">
        <v>449.89</v>
      </c>
      <c r="L2138" s="2" t="inlineStr">
        <is>
          <t>TCGplayer</t>
        </is>
      </c>
      <c r="N2138" s="4" t="inlineStr">
        <is>
          <t>https://www.tcgplayer.com/product/276586</t>
        </is>
      </c>
    </row>
    <row r="2139">
      <c r="A2139" s="2" t="inlineStr">
        <is>
          <t>Decidueye GX Challenge Box</t>
        </is>
      </c>
      <c r="B2139" s="3">
        <f>IF(H2139&lt;&gt;"",H2139,IF(I2139&lt;&gt;"",I2139,IF(J2139&lt;&gt;"",J2139,K2139)))</f>
        <v>68.0</v>
      </c>
      <c r="C2139" s="3">
        <f>MEDIAN(H2139:K2139)</f>
        <v>68.0</v>
      </c>
      <c r="D2139" s="3">
        <f>ROUND(C2139*(1-Settings!$B$2),2)</f>
        <v>47.6</v>
      </c>
      <c r="E2139" s="2" t="inlineStr">
        <is>
          <t>Pokemon</t>
        </is>
      </c>
      <c r="F2139" s="2" t="inlineStr">
        <is>
          <t>Coffret</t>
        </is>
      </c>
      <c r="G2139" s="2" t="inlineStr">
        <is>
          <t>SM Base Set</t>
        </is>
      </c>
      <c r="H2139" s="3" t="n"/>
      <c r="I2139" s="3" t="n">
        <v>68</v>
      </c>
      <c r="J2139" s="3" t="n"/>
      <c r="K2139" s="3" t="n"/>
      <c r="L2139" s="2" t="inlineStr">
        <is>
          <t>TCGplayer</t>
        </is>
      </c>
      <c r="N2139" s="4" t="inlineStr">
        <is>
          <t>https://www.tcgplayer.com/product/230425</t>
        </is>
      </c>
    </row>
    <row r="2140">
      <c r="A2140" s="2" t="inlineStr">
        <is>
          <t>Kingdra EX Box</t>
        </is>
      </c>
      <c r="B2140" s="3">
        <f>IF(H2140&lt;&gt;"",H2140,IF(I2140&lt;&gt;"",I2140,IF(J2140&lt;&gt;"",J2140,K2140)))</f>
        <v>199.99</v>
      </c>
      <c r="C2140" s="3">
        <f>MEDIAN(H2140:K2140)</f>
        <v>199.99</v>
      </c>
      <c r="D2140" s="3">
        <f>ROUND(C2140*(1-Settings!$B$2),2)</f>
        <v>139.99</v>
      </c>
      <c r="E2140" s="2" t="inlineStr">
        <is>
          <t>Pokemon</t>
        </is>
      </c>
      <c r="F2140" s="2" t="inlineStr">
        <is>
          <t>Coffret</t>
        </is>
      </c>
      <c r="G2140" s="2" t="inlineStr">
        <is>
          <t>SM Base Set</t>
        </is>
      </c>
      <c r="H2140" s="3" t="n"/>
      <c r="I2140" s="3" t="n">
        <v>199.99</v>
      </c>
      <c r="J2140" s="3" t="n"/>
      <c r="K2140" s="3" t="n"/>
      <c r="L2140" s="2" t="inlineStr">
        <is>
          <t>TCGplayer</t>
        </is>
      </c>
      <c r="N2140" s="4" t="inlineStr">
        <is>
          <t>https://www.tcgplayer.com/product/131867</t>
        </is>
      </c>
    </row>
    <row r="2141">
      <c r="A2141" s="2" t="inlineStr">
        <is>
          <t>Legacy Evolution Pin Collection</t>
        </is>
      </c>
      <c r="B2141" s="3">
        <f>IF(H2141&lt;&gt;"",H2141,IF(I2141&lt;&gt;"",I2141,IF(J2141&lt;&gt;"",J2141,K2141)))</f>
        <v>260.0</v>
      </c>
      <c r="C2141" s="3">
        <f>MEDIAN(H2141:K2141)</f>
        <v>349.0</v>
      </c>
      <c r="D2141" s="3">
        <f>ROUND(C2141*(1-Settings!$B$2),2)</f>
        <v>244.3</v>
      </c>
      <c r="E2141" s="2" t="inlineStr">
        <is>
          <t>Pokemon</t>
        </is>
      </c>
      <c r="F2141" s="2" t="inlineStr">
        <is>
          <t>Coffret</t>
        </is>
      </c>
      <c r="G2141" s="2" t="inlineStr">
        <is>
          <t>SM Base Set</t>
        </is>
      </c>
      <c r="H2141" s="3" t="n"/>
      <c r="I2141" s="3" t="n">
        <v>260</v>
      </c>
      <c r="J2141" s="3" t="n">
        <v>349</v>
      </c>
      <c r="K2141" s="3" t="n">
        <v>349</v>
      </c>
      <c r="L2141" s="2" t="inlineStr">
        <is>
          <t>TCGplayer</t>
        </is>
      </c>
      <c r="N2141" s="4" t="inlineStr">
        <is>
          <t>https://www.tcgplayer.com/product/148381</t>
        </is>
      </c>
    </row>
    <row r="2142">
      <c r="A2142" s="2" t="inlineStr">
        <is>
          <t>Legends of Alola Tin [Lunala GX]</t>
        </is>
      </c>
      <c r="B2142" s="3">
        <f>IF(H2142&lt;&gt;"",H2142,IF(I2142&lt;&gt;"",I2142,IF(J2142&lt;&gt;"",J2142,K2142)))</f>
        <v>196.96</v>
      </c>
      <c r="C2142" s="3">
        <f>MEDIAN(H2142:K2142)</f>
        <v>196.96</v>
      </c>
      <c r="D2142" s="3">
        <f>ROUND(C2142*(1-Settings!$B$2),2)</f>
        <v>137.87</v>
      </c>
      <c r="E2142" s="2" t="inlineStr">
        <is>
          <t>Pokemon</t>
        </is>
      </c>
      <c r="F2142" s="2" t="inlineStr">
        <is>
          <t>Coffret</t>
        </is>
      </c>
      <c r="G2142" s="2" t="inlineStr">
        <is>
          <t>SM Base Set</t>
        </is>
      </c>
      <c r="H2142" s="3" t="n"/>
      <c r="I2142" s="3" t="n"/>
      <c r="J2142" s="3" t="n">
        <v>196.96</v>
      </c>
      <c r="K2142" s="3" t="n">
        <v>196.96</v>
      </c>
      <c r="L2142" s="2" t="inlineStr">
        <is>
          <t>TCGplayer</t>
        </is>
      </c>
      <c r="N2142" s="4" t="inlineStr">
        <is>
          <t>https://www.tcgplayer.com/product/129310</t>
        </is>
      </c>
    </row>
    <row r="2143">
      <c r="A2143" s="2" t="inlineStr">
        <is>
          <t>Legends of Alola Tin [Solgaleo GX]</t>
        </is>
      </c>
      <c r="B2143" s="3">
        <f>IF(H2143&lt;&gt;"",H2143,IF(I2143&lt;&gt;"",I2143,IF(J2143&lt;&gt;"",J2143,K2143)))</f>
        <v>192.49</v>
      </c>
      <c r="C2143" s="3">
        <f>MEDIAN(H2143:K2143)</f>
        <v>191.245</v>
      </c>
      <c r="D2143" s="3">
        <f>ROUND(C2143*(1-Settings!$B$2),2)</f>
        <v>133.87</v>
      </c>
      <c r="E2143" s="2" t="inlineStr">
        <is>
          <t>Pokemon</t>
        </is>
      </c>
      <c r="F2143" s="2" t="inlineStr">
        <is>
          <t>Coffret</t>
        </is>
      </c>
      <c r="G2143" s="2" t="inlineStr">
        <is>
          <t>SM Base Set</t>
        </is>
      </c>
      <c r="H2143" s="3" t="n"/>
      <c r="I2143" s="3" t="n"/>
      <c r="J2143" s="3" t="n">
        <v>192.49</v>
      </c>
      <c r="K2143" s="3" t="n">
        <v>190</v>
      </c>
      <c r="L2143" s="2" t="inlineStr">
        <is>
          <t>TCGplayer</t>
        </is>
      </c>
      <c r="N2143" s="4" t="inlineStr">
        <is>
          <t>https://www.tcgplayer.com/product/129309</t>
        </is>
      </c>
    </row>
    <row r="2144">
      <c r="A2144" s="2" t="inlineStr">
        <is>
          <t>Mega Camerupt EX Premium Collection</t>
        </is>
      </c>
      <c r="B2144" s="3">
        <f>IF(H2144&lt;&gt;"",H2144,IF(I2144&lt;&gt;"",I2144,IF(J2144&lt;&gt;"",J2144,K2144)))</f>
        <v>524.5</v>
      </c>
      <c r="C2144" s="3">
        <f>MEDIAN(H2144:K2144)</f>
        <v>512.25</v>
      </c>
      <c r="D2144" s="3">
        <f>ROUND(C2144*(1-Settings!$B$2),2)</f>
        <v>358.58</v>
      </c>
      <c r="E2144" s="2" t="inlineStr">
        <is>
          <t>Pokemon</t>
        </is>
      </c>
      <c r="F2144" s="2" t="inlineStr">
        <is>
          <t>Coffret</t>
        </is>
      </c>
      <c r="G2144" s="2" t="inlineStr">
        <is>
          <t>SM Base Set</t>
        </is>
      </c>
      <c r="H2144" s="3" t="n"/>
      <c r="I2144" s="3" t="n"/>
      <c r="J2144" s="3" t="n">
        <v>524.5</v>
      </c>
      <c r="K2144" s="3" t="n">
        <v>500</v>
      </c>
      <c r="L2144" s="2" t="inlineStr">
        <is>
          <t>TCGplayer</t>
        </is>
      </c>
      <c r="N2144" s="4" t="inlineStr">
        <is>
          <t>https://www.tcgplayer.com/product/129896</t>
        </is>
      </c>
    </row>
    <row r="2145">
      <c r="A2145" s="2" t="inlineStr">
        <is>
          <t>Mega Sharpedo EX Premium Collection</t>
        </is>
      </c>
      <c r="B2145" s="3">
        <f>IF(H2145&lt;&gt;"",H2145,IF(I2145&lt;&gt;"",I2145,IF(J2145&lt;&gt;"",J2145,K2145)))</f>
        <v>533.84</v>
      </c>
      <c r="C2145" s="3">
        <f>MEDIAN(H2145:K2145)</f>
        <v>516.9200000000001</v>
      </c>
      <c r="D2145" s="3">
        <f>ROUND(C2145*(1-Settings!$B$2),2)</f>
        <v>361.84</v>
      </c>
      <c r="E2145" s="2" t="inlineStr">
        <is>
          <t>Pokemon</t>
        </is>
      </c>
      <c r="F2145" s="2" t="inlineStr">
        <is>
          <t>Coffret</t>
        </is>
      </c>
      <c r="G2145" s="2" t="inlineStr">
        <is>
          <t>SM Base Set</t>
        </is>
      </c>
      <c r="H2145" s="3" t="n"/>
      <c r="I2145" s="3" t="n"/>
      <c r="J2145" s="3" t="n">
        <v>533.84</v>
      </c>
      <c r="K2145" s="3" t="n">
        <v>500</v>
      </c>
      <c r="L2145" s="2" t="inlineStr">
        <is>
          <t>TCGplayer</t>
        </is>
      </c>
      <c r="N2145" s="4" t="inlineStr">
        <is>
          <t>https://www.tcgplayer.com/product/129897</t>
        </is>
      </c>
    </row>
    <row r="2146">
      <c r="A2146" s="2" t="inlineStr">
        <is>
          <t>Mimikyu Pin Collection</t>
        </is>
      </c>
      <c r="B2146" s="3">
        <f>IF(H2146&lt;&gt;"",H2146,IF(I2146&lt;&gt;"",I2146,IF(J2146&lt;&gt;"",J2146,K2146)))</f>
        <v>165.79</v>
      </c>
      <c r="C2146" s="3">
        <f>MEDIAN(H2146:K2146)</f>
        <v>165.79</v>
      </c>
      <c r="D2146" s="3">
        <f>ROUND(C2146*(1-Settings!$B$2),2)</f>
        <v>116.05</v>
      </c>
      <c r="E2146" s="2" t="inlineStr">
        <is>
          <t>Pokemon</t>
        </is>
      </c>
      <c r="F2146" s="2" t="inlineStr">
        <is>
          <t>Coffret</t>
        </is>
      </c>
      <c r="G2146" s="2" t="inlineStr">
        <is>
          <t>SM Base Set</t>
        </is>
      </c>
      <c r="H2146" s="3" t="n"/>
      <c r="I2146" s="3" t="n">
        <v>165.79</v>
      </c>
      <c r="J2146" s="3" t="n">
        <v>224.99</v>
      </c>
      <c r="K2146" s="3" t="n">
        <v>15</v>
      </c>
      <c r="L2146" s="2" t="inlineStr">
        <is>
          <t>TCGplayer</t>
        </is>
      </c>
      <c r="N2146" s="4" t="inlineStr">
        <is>
          <t>https://www.tcgplayer.com/product/129895</t>
        </is>
      </c>
    </row>
    <row r="2147">
      <c r="A2147" s="2" t="inlineStr">
        <is>
          <t>Scizor EX Box</t>
        </is>
      </c>
      <c r="B2147" s="3">
        <f>IF(H2147&lt;&gt;"",H2147,IF(I2147&lt;&gt;"",I2147,IF(J2147&lt;&gt;"",J2147,K2147)))</f>
        <v>249.95</v>
      </c>
      <c r="C2147" s="3">
        <f>MEDIAN(H2147:K2147)</f>
        <v>450.0</v>
      </c>
      <c r="D2147" s="3">
        <f>ROUND(C2147*(1-Settings!$B$2),2)</f>
        <v>315.0</v>
      </c>
      <c r="E2147" s="2" t="inlineStr">
        <is>
          <t>Pokemon</t>
        </is>
      </c>
      <c r="F2147" s="2" t="inlineStr">
        <is>
          <t>Coffret</t>
        </is>
      </c>
      <c r="G2147" s="2" t="inlineStr">
        <is>
          <t>SM Base Set</t>
        </is>
      </c>
      <c r="H2147" s="3" t="n"/>
      <c r="I2147" s="3" t="n">
        <v>249.95</v>
      </c>
      <c r="J2147" s="3" t="n">
        <v>450</v>
      </c>
      <c r="K2147" s="3" t="n">
        <v>450</v>
      </c>
      <c r="L2147" s="2" t="inlineStr">
        <is>
          <t>TCGplayer</t>
        </is>
      </c>
      <c r="N2147" s="4" t="inlineStr">
        <is>
          <t>https://www.tcgplayer.com/product/131870</t>
        </is>
      </c>
    </row>
    <row r="2148">
      <c r="A2148" s="2" t="inlineStr">
        <is>
          <t>Spring 2017 Collector's Chest Tin</t>
        </is>
      </c>
      <c r="B2148" s="3">
        <f>IF(H2148&lt;&gt;"",H2148,IF(I2148&lt;&gt;"",I2148,IF(J2148&lt;&gt;"",J2148,K2148)))</f>
        <v>230.99</v>
      </c>
      <c r="C2148" s="3">
        <f>MEDIAN(H2148:K2148)</f>
        <v>247.97</v>
      </c>
      <c r="D2148" s="3">
        <f>ROUND(C2148*(1-Settings!$B$2),2)</f>
        <v>173.58</v>
      </c>
      <c r="E2148" s="2" t="inlineStr">
        <is>
          <t>Pokemon</t>
        </is>
      </c>
      <c r="F2148" s="2" t="inlineStr">
        <is>
          <t>Coffret</t>
        </is>
      </c>
      <c r="G2148" s="2" t="inlineStr">
        <is>
          <t>SM Base Set</t>
        </is>
      </c>
      <c r="H2148" s="3" t="n"/>
      <c r="I2148" s="3" t="n">
        <v>230.99</v>
      </c>
      <c r="J2148" s="3" t="n">
        <v>247.97</v>
      </c>
      <c r="K2148" s="3" t="n">
        <v>247.97</v>
      </c>
      <c r="L2148" s="2" t="inlineStr">
        <is>
          <t>TCGplayer</t>
        </is>
      </c>
      <c r="N2148" s="4" t="inlineStr">
        <is>
          <t>https://www.tcgplayer.com/product/267958</t>
        </is>
      </c>
    </row>
    <row r="2149">
      <c r="A2149" s="2" t="inlineStr">
        <is>
          <t>Sun &amp; Moon Booster Pack Art Bundle [Set of 5]</t>
        </is>
      </c>
      <c r="B2149" s="3">
        <f>IF(H2149&lt;&gt;"",H2149,IF(I2149&lt;&gt;"",I2149,IF(J2149&lt;&gt;"",J2149,K2149)))</f>
        <v>129.34</v>
      </c>
      <c r="C2149" s="3">
        <f>MEDIAN(H2149:K2149)</f>
        <v>116.98</v>
      </c>
      <c r="D2149" s="3">
        <f>ROUND(C2149*(1-Settings!$B$2),2)</f>
        <v>81.89</v>
      </c>
      <c r="E2149" s="2" t="inlineStr">
        <is>
          <t>Pokemon</t>
        </is>
      </c>
      <c r="F2149" s="2" t="inlineStr">
        <is>
          <t>Coffret</t>
        </is>
      </c>
      <c r="G2149" s="2" t="inlineStr">
        <is>
          <t>SM Base Set</t>
        </is>
      </c>
      <c r="H2149" s="3" t="n"/>
      <c r="I2149" s="3" t="n">
        <v>129.34</v>
      </c>
      <c r="J2149" s="3" t="n">
        <v>116.98</v>
      </c>
      <c r="K2149" s="3" t="n">
        <v>80</v>
      </c>
      <c r="L2149" s="2" t="inlineStr">
        <is>
          <t>TCGplayer</t>
        </is>
      </c>
      <c r="N2149" s="4" t="inlineStr">
        <is>
          <t>https://www.tcgplayer.com/product/267036</t>
        </is>
      </c>
    </row>
    <row r="2150">
      <c r="A2150" s="2" t="inlineStr">
        <is>
          <t>Sun &amp; Moon Elite Trainer Box [Lunala]</t>
        </is>
      </c>
      <c r="B2150" s="3">
        <f>IF(H2150&lt;&gt;"",H2150,IF(I2150&lt;&gt;"",I2150,IF(J2150&lt;&gt;"",J2150,K2150)))</f>
        <v>249.65</v>
      </c>
      <c r="C2150" s="3">
        <f>MEDIAN(H2150:K2150)</f>
        <v>249.65</v>
      </c>
      <c r="D2150" s="3">
        <f>ROUND(C2150*(1-Settings!$B$2),2)</f>
        <v>174.76</v>
      </c>
      <c r="E2150" s="2" t="inlineStr">
        <is>
          <t>Pokemon</t>
        </is>
      </c>
      <c r="F2150" s="2" t="inlineStr">
        <is>
          <t>Coffret</t>
        </is>
      </c>
      <c r="G2150" s="2" t="inlineStr">
        <is>
          <t>SM Base Set</t>
        </is>
      </c>
      <c r="H2150" s="3" t="n"/>
      <c r="I2150" s="3" t="n">
        <v>249.65</v>
      </c>
      <c r="J2150" s="3" t="n">
        <v>275</v>
      </c>
      <c r="K2150" s="3" t="n">
        <v>226</v>
      </c>
      <c r="L2150" s="2" t="inlineStr">
        <is>
          <t>TCGplayer</t>
        </is>
      </c>
      <c r="N2150" s="4" t="inlineStr">
        <is>
          <t>https://www.tcgplayer.com/product/126091</t>
        </is>
      </c>
    </row>
    <row r="2151">
      <c r="A2151" s="2" t="inlineStr">
        <is>
          <t>Sun &amp; Moon Elite Trainer Box [Solgaleo]</t>
        </is>
      </c>
      <c r="B2151" s="3">
        <f>IF(H2151&lt;&gt;"",H2151,IF(I2151&lt;&gt;"",I2151,IF(J2151&lt;&gt;"",J2151,K2151)))</f>
        <v>250.93</v>
      </c>
      <c r="C2151" s="3">
        <f>MEDIAN(H2151:K2151)</f>
        <v>250.93</v>
      </c>
      <c r="D2151" s="3">
        <f>ROUND(C2151*(1-Settings!$B$2),2)</f>
        <v>175.65</v>
      </c>
      <c r="E2151" s="2" t="inlineStr">
        <is>
          <t>Pokemon</t>
        </is>
      </c>
      <c r="F2151" s="2" t="inlineStr">
        <is>
          <t>Coffret</t>
        </is>
      </c>
      <c r="G2151" s="2" t="inlineStr">
        <is>
          <t>SM Base Set</t>
        </is>
      </c>
      <c r="H2151" s="3" t="n"/>
      <c r="I2151" s="3" t="n">
        <v>250.93</v>
      </c>
      <c r="J2151" s="3" t="n">
        <v>264.99</v>
      </c>
      <c r="K2151" s="3" t="n">
        <v>20.99</v>
      </c>
      <c r="L2151" s="2" t="inlineStr">
        <is>
          <t>TCGplayer</t>
        </is>
      </c>
      <c r="N2151" s="4" t="inlineStr">
        <is>
          <t>https://www.tcgplayer.com/product/126089</t>
        </is>
      </c>
    </row>
    <row r="2152">
      <c r="A2152" s="2" t="inlineStr">
        <is>
          <t>Sun &amp; Moon GX Challenge Box [Decidueye]</t>
        </is>
      </c>
      <c r="B2152" s="3">
        <f>IF(H2152&lt;&gt;"",H2152,IF(I2152&lt;&gt;"",I2152,IF(J2152&lt;&gt;"",J2152,K2152)))</f>
        <v>150.0</v>
      </c>
      <c r="C2152" s="3">
        <f>MEDIAN(H2152:K2152)</f>
        <v>269.62</v>
      </c>
      <c r="D2152" s="3">
        <f>ROUND(C2152*(1-Settings!$B$2),2)</f>
        <v>188.73</v>
      </c>
      <c r="E2152" s="2" t="inlineStr">
        <is>
          <t>Pokemon</t>
        </is>
      </c>
      <c r="F2152" s="2" t="inlineStr">
        <is>
          <t>Coffret</t>
        </is>
      </c>
      <c r="G2152" s="2" t="inlineStr">
        <is>
          <t>SM Base Set</t>
        </is>
      </c>
      <c r="H2152" s="3" t="n"/>
      <c r="I2152" s="3" t="n">
        <v>150</v>
      </c>
      <c r="J2152" s="3" t="n">
        <v>269.69</v>
      </c>
      <c r="K2152" s="3" t="n">
        <v>269.62</v>
      </c>
      <c r="L2152" s="2" t="inlineStr">
        <is>
          <t>TCGplayer</t>
        </is>
      </c>
      <c r="N2152" s="4" t="inlineStr">
        <is>
          <t>https://www.tcgplayer.com/product/244314</t>
        </is>
      </c>
    </row>
    <row r="2153">
      <c r="A2153" s="2" t="inlineStr">
        <is>
          <t>Sun &amp; Moon GX Challenge Box [Incineroar]</t>
        </is>
      </c>
      <c r="B2153" s="3">
        <f>IF(H2153&lt;&gt;"",H2153,IF(I2153&lt;&gt;"",I2153,IF(J2153&lt;&gt;"",J2153,K2153)))</f>
        <v>103.97</v>
      </c>
      <c r="C2153" s="3">
        <f>MEDIAN(H2153:K2153)</f>
        <v>250.0</v>
      </c>
      <c r="D2153" s="3">
        <f>ROUND(C2153*(1-Settings!$B$2),2)</f>
        <v>175.0</v>
      </c>
      <c r="E2153" s="2" t="inlineStr">
        <is>
          <t>Pokemon</t>
        </is>
      </c>
      <c r="F2153" s="2" t="inlineStr">
        <is>
          <t>Coffret</t>
        </is>
      </c>
      <c r="G2153" s="2" t="inlineStr">
        <is>
          <t>SM Base Set</t>
        </is>
      </c>
      <c r="H2153" s="3" t="n"/>
      <c r="I2153" s="3" t="n">
        <v>103.97</v>
      </c>
      <c r="J2153" s="3" t="n">
        <v>250</v>
      </c>
      <c r="K2153" s="3" t="n">
        <v>250</v>
      </c>
      <c r="L2153" s="2" t="inlineStr">
        <is>
          <t>TCGplayer</t>
        </is>
      </c>
      <c r="N2153" s="4" t="inlineStr">
        <is>
          <t>https://www.tcgplayer.com/product/244313</t>
        </is>
      </c>
    </row>
    <row r="2154">
      <c r="A2154" s="2" t="inlineStr">
        <is>
          <t>Sun &amp; Moon GX Challenge Box [Primarina]</t>
        </is>
      </c>
      <c r="B2154" s="3">
        <f>IF(H2154&lt;&gt;"",H2154,IF(I2154&lt;&gt;"",I2154,IF(J2154&lt;&gt;"",J2154,K2154)))</f>
        <v>139.22</v>
      </c>
      <c r="C2154" s="3">
        <f>MEDIAN(H2154:K2154)</f>
        <v>199.99</v>
      </c>
      <c r="D2154" s="3">
        <f>ROUND(C2154*(1-Settings!$B$2),2)</f>
        <v>139.99</v>
      </c>
      <c r="E2154" s="2" t="inlineStr">
        <is>
          <t>Pokemon</t>
        </is>
      </c>
      <c r="F2154" s="2" t="inlineStr">
        <is>
          <t>Coffret</t>
        </is>
      </c>
      <c r="G2154" s="2" t="inlineStr">
        <is>
          <t>SM Base Set</t>
        </is>
      </c>
      <c r="H2154" s="3" t="n"/>
      <c r="I2154" s="3" t="n">
        <v>139.22</v>
      </c>
      <c r="J2154" s="3" t="n">
        <v>204.99</v>
      </c>
      <c r="K2154" s="3" t="n">
        <v>199.99</v>
      </c>
      <c r="L2154" s="2" t="inlineStr">
        <is>
          <t>TCGplayer</t>
        </is>
      </c>
      <c r="N2154" s="4" t="inlineStr">
        <is>
          <t>https://www.tcgplayer.com/product/656996</t>
        </is>
      </c>
    </row>
    <row r="2155">
      <c r="A2155" s="2" t="inlineStr">
        <is>
          <t>Sun &amp; Moon Prerelease Kit</t>
        </is>
      </c>
      <c r="B2155" s="3">
        <f>IF(H2155&lt;&gt;"",H2155,IF(I2155&lt;&gt;"",I2155,IF(J2155&lt;&gt;"",J2155,K2155)))</f>
        <v>662.5</v>
      </c>
      <c r="C2155" s="3">
        <f>MEDIAN(H2155:K2155)</f>
        <v>631.245</v>
      </c>
      <c r="D2155" s="3">
        <f>ROUND(C2155*(1-Settings!$B$2),2)</f>
        <v>441.87</v>
      </c>
      <c r="E2155" s="2" t="inlineStr">
        <is>
          <t>Pokemon</t>
        </is>
      </c>
      <c r="F2155" s="2" t="inlineStr">
        <is>
          <t>Coffret</t>
        </is>
      </c>
      <c r="G2155" s="2" t="inlineStr">
        <is>
          <t>SM Base Set</t>
        </is>
      </c>
      <c r="H2155" s="3" t="n"/>
      <c r="I2155" s="3" t="n"/>
      <c r="J2155" s="3" t="n">
        <v>662.5</v>
      </c>
      <c r="K2155" s="3" t="n">
        <v>599.99</v>
      </c>
      <c r="L2155" s="2" t="inlineStr">
        <is>
          <t>TCGplayer</t>
        </is>
      </c>
      <c r="N2155" s="4" t="inlineStr">
        <is>
          <t>https://www.tcgplayer.com/product/206409</t>
        </is>
      </c>
    </row>
    <row r="2156">
      <c r="A2156" s="2" t="inlineStr">
        <is>
          <t>Zygarde Complete Forme Pin Collection</t>
        </is>
      </c>
      <c r="B2156" s="3">
        <f>IF(H2156&lt;&gt;"",H2156,IF(I2156&lt;&gt;"",I2156,IF(J2156&lt;&gt;"",J2156,K2156)))</f>
        <v>150.0</v>
      </c>
      <c r="C2156" s="3">
        <f>MEDIAN(H2156:K2156)</f>
        <v>137.495</v>
      </c>
      <c r="D2156" s="3">
        <f>ROUND(C2156*(1-Settings!$B$2),2)</f>
        <v>96.25</v>
      </c>
      <c r="E2156" s="2" t="inlineStr">
        <is>
          <t>Pokemon</t>
        </is>
      </c>
      <c r="F2156" s="2" t="inlineStr">
        <is>
          <t>Coffret</t>
        </is>
      </c>
      <c r="G2156" s="2" t="inlineStr">
        <is>
          <t>SM Base Set</t>
        </is>
      </c>
      <c r="H2156" s="3" t="n"/>
      <c r="I2156" s="3" t="n"/>
      <c r="J2156" s="3" t="n">
        <v>150</v>
      </c>
      <c r="K2156" s="3" t="n">
        <v>124.99</v>
      </c>
      <c r="L2156" s="2" t="inlineStr">
        <is>
          <t>TCGplayer</t>
        </is>
      </c>
      <c r="N2156" s="4" t="inlineStr">
        <is>
          <t>https://www.tcgplayer.com/product/455776</t>
        </is>
      </c>
    </row>
    <row r="2157">
      <c r="A2157" s="2" t="inlineStr">
        <is>
          <t>Pikachu's New Friends Collection</t>
        </is>
      </c>
      <c r="B2157" s="3">
        <f>IF(H2157&lt;&gt;"",H2157,IF(I2157&lt;&gt;"",I2157,IF(J2157&lt;&gt;"",J2157,K2157)))</f>
        <v>199.99</v>
      </c>
      <c r="C2157" s="3">
        <f>MEDIAN(H2157:K2157)</f>
        <v>199.99</v>
      </c>
      <c r="D2157" s="3">
        <f>ROUND(C2157*(1-Settings!$B$2),2)</f>
        <v>139.99</v>
      </c>
      <c r="E2157" s="2" t="inlineStr">
        <is>
          <t>Pokemon</t>
        </is>
      </c>
      <c r="F2157" s="2" t="inlineStr">
        <is>
          <t>Coffret</t>
        </is>
      </c>
      <c r="G2157" s="2" t="inlineStr">
        <is>
          <t>SM0: Pikachu's New Friends</t>
        </is>
      </c>
      <c r="H2157" s="3" t="n"/>
      <c r="I2157" s="3" t="n">
        <v>199.99</v>
      </c>
      <c r="J2157" s="3" t="n"/>
      <c r="K2157" s="3" t="n"/>
      <c r="L2157" s="2" t="inlineStr">
        <is>
          <t>TCGplayer</t>
        </is>
      </c>
      <c r="N2157" s="4" t="inlineStr">
        <is>
          <t>https://www.tcgplayer.com/product/576965</t>
        </is>
      </c>
    </row>
    <row r="2158">
      <c r="A2158" s="2" t="inlineStr">
        <is>
          <t>Rainbow Island Fields of Flowers Box Set</t>
        </is>
      </c>
      <c r="B2158" s="3">
        <f>IF(H2158&lt;&gt;"",H2158,IF(I2158&lt;&gt;"",I2158,IF(J2158&lt;&gt;"",J2158,K2158)))</f>
        <v>499.99</v>
      </c>
      <c r="C2158" s="3">
        <f>MEDIAN(H2158:K2158)</f>
        <v>499.99</v>
      </c>
      <c r="D2158" s="3">
        <f>ROUND(C2158*(1-Settings!$B$2),2)</f>
        <v>349.99</v>
      </c>
      <c r="E2158" s="2" t="inlineStr">
        <is>
          <t>Pokemon</t>
        </is>
      </c>
      <c r="F2158" s="2" t="inlineStr">
        <is>
          <t>Coffret</t>
        </is>
      </c>
      <c r="G2158" s="2" t="inlineStr">
        <is>
          <t>Southern Island</t>
        </is>
      </c>
      <c r="H2158" s="3" t="n"/>
      <c r="I2158" s="3" t="n"/>
      <c r="J2158" s="3" t="n"/>
      <c r="K2158" s="3" t="n">
        <v>499.99</v>
      </c>
      <c r="L2158" s="2" t="inlineStr">
        <is>
          <t>TCGplayer</t>
        </is>
      </c>
      <c r="N2158" s="4" t="inlineStr">
        <is>
          <t>https://www.tcgplayer.com/product/701545</t>
        </is>
      </c>
    </row>
    <row r="2159">
      <c r="A2159" s="2" t="inlineStr">
        <is>
          <t>Rainbow Island Riverside Box Set</t>
        </is>
      </c>
      <c r="B2159" s="3">
        <f>IF(H2159&lt;&gt;"",H2159,IF(I2159&lt;&gt;"",I2159,IF(J2159&lt;&gt;"",J2159,K2159)))</f>
        <v>235.0</v>
      </c>
      <c r="C2159" s="3">
        <f>MEDIAN(H2159:K2159)</f>
        <v>392.5</v>
      </c>
      <c r="D2159" s="3">
        <f>ROUND(C2159*(1-Settings!$B$2),2)</f>
        <v>274.75</v>
      </c>
      <c r="E2159" s="2" t="inlineStr">
        <is>
          <t>Pokemon</t>
        </is>
      </c>
      <c r="F2159" s="2" t="inlineStr">
        <is>
          <t>Coffret</t>
        </is>
      </c>
      <c r="G2159" s="2" t="inlineStr">
        <is>
          <t>Southern Island</t>
        </is>
      </c>
      <c r="H2159" s="3" t="n"/>
      <c r="I2159" s="3" t="n">
        <v>235</v>
      </c>
      <c r="J2159" s="3" t="n"/>
      <c r="K2159" s="3" t="n">
        <v>550</v>
      </c>
      <c r="L2159" s="2" t="inlineStr">
        <is>
          <t>TCGplayer</t>
        </is>
      </c>
      <c r="N2159" s="4" t="inlineStr">
        <is>
          <t>https://www.tcgplayer.com/product/701544</t>
        </is>
      </c>
    </row>
    <row r="2160">
      <c r="A2160" s="2" t="inlineStr">
        <is>
          <t>Rainbow Island Sky Box Set</t>
        </is>
      </c>
      <c r="B2160" s="3">
        <f>IF(H2160&lt;&gt;"",H2160,IF(I2160&lt;&gt;"",I2160,IF(J2160&lt;&gt;"",J2160,K2160)))</f>
        <v>1750.0</v>
      </c>
      <c r="C2160" s="3">
        <f>MEDIAN(H2160:K2160)</f>
        <v>1750.0</v>
      </c>
      <c r="D2160" s="3">
        <f>ROUND(C2160*(1-Settings!$B$2),2)</f>
        <v>1225.0</v>
      </c>
      <c r="E2160" s="2" t="inlineStr">
        <is>
          <t>Pokemon</t>
        </is>
      </c>
      <c r="F2160" s="2" t="inlineStr">
        <is>
          <t>Coffret</t>
        </is>
      </c>
      <c r="G2160" s="2" t="inlineStr">
        <is>
          <t>Southern Island</t>
        </is>
      </c>
      <c r="H2160" s="3" t="n"/>
      <c r="I2160" s="3" t="n"/>
      <c r="J2160" s="3" t="n"/>
      <c r="K2160" s="3" t="n">
        <v>1750</v>
      </c>
      <c r="L2160" s="2" t="inlineStr">
        <is>
          <t>TCGplayer</t>
        </is>
      </c>
      <c r="N2160" s="4" t="inlineStr">
        <is>
          <t>https://www.tcgplayer.com/product/701543</t>
        </is>
      </c>
    </row>
    <row r="2161">
      <c r="A2161" s="2" t="inlineStr">
        <is>
          <t>Tropical Island Beach Box Set</t>
        </is>
      </c>
      <c r="B2161" s="3">
        <f>IF(H2161&lt;&gt;"",H2161,IF(I2161&lt;&gt;"",I2161,IF(J2161&lt;&gt;"",J2161,K2161)))</f>
        <v>375.0</v>
      </c>
      <c r="C2161" s="3">
        <f>MEDIAN(H2161:K2161)</f>
        <v>375.0</v>
      </c>
      <c r="D2161" s="3">
        <f>ROUND(C2161*(1-Settings!$B$2),2)</f>
        <v>262.5</v>
      </c>
      <c r="E2161" s="2" t="inlineStr">
        <is>
          <t>Pokemon</t>
        </is>
      </c>
      <c r="F2161" s="2" t="inlineStr">
        <is>
          <t>Coffret</t>
        </is>
      </c>
      <c r="G2161" s="2" t="inlineStr">
        <is>
          <t>Southern Island</t>
        </is>
      </c>
      <c r="H2161" s="3" t="n"/>
      <c r="I2161" s="3" t="n"/>
      <c r="J2161" s="3" t="n"/>
      <c r="K2161" s="3" t="n">
        <v>375</v>
      </c>
      <c r="L2161" s="2" t="inlineStr">
        <is>
          <t>TCGplayer</t>
        </is>
      </c>
      <c r="N2161" s="4" t="inlineStr">
        <is>
          <t>https://www.tcgplayer.com/product/701539</t>
        </is>
      </c>
    </row>
    <row r="2162">
      <c r="A2162" s="2" t="inlineStr">
        <is>
          <t>Tropical Island Jungle Box Set</t>
        </is>
      </c>
      <c r="B2162" s="3">
        <f>IF(H2162&lt;&gt;"",H2162,IF(I2162&lt;&gt;"",I2162,IF(J2162&lt;&gt;"",J2162,K2162)))</f>
        <v>275.0</v>
      </c>
      <c r="C2162" s="3">
        <f>MEDIAN(H2162:K2162)</f>
        <v>275.0</v>
      </c>
      <c r="D2162" s="3">
        <f>ROUND(C2162*(1-Settings!$B$2),2)</f>
        <v>192.5</v>
      </c>
      <c r="E2162" s="2" t="inlineStr">
        <is>
          <t>Pokemon</t>
        </is>
      </c>
      <c r="F2162" s="2" t="inlineStr">
        <is>
          <t>Coffret</t>
        </is>
      </c>
      <c r="G2162" s="2" t="inlineStr">
        <is>
          <t>Southern Island</t>
        </is>
      </c>
      <c r="H2162" s="3" t="n"/>
      <c r="I2162" s="3" t="n"/>
      <c r="J2162" s="3" t="n"/>
      <c r="K2162" s="3" t="n">
        <v>275</v>
      </c>
      <c r="L2162" s="2" t="inlineStr">
        <is>
          <t>TCGplayer</t>
        </is>
      </c>
      <c r="N2162" s="4" t="inlineStr">
        <is>
          <t>https://www.tcgplayer.com/product/701538</t>
        </is>
      </c>
    </row>
    <row r="2163">
      <c r="A2163" s="2" t="inlineStr">
        <is>
          <t>Tropical Island Sea Box Set</t>
        </is>
      </c>
      <c r="B2163" s="3">
        <f>IF(H2163&lt;&gt;"",H2163,IF(I2163&lt;&gt;"",I2163,IF(J2163&lt;&gt;"",J2163,K2163)))</f>
        <v>449.99</v>
      </c>
      <c r="C2163" s="3">
        <f>MEDIAN(H2163:K2163)</f>
        <v>449.99</v>
      </c>
      <c r="D2163" s="3">
        <f>ROUND(C2163*(1-Settings!$B$2),2)</f>
        <v>314.99</v>
      </c>
      <c r="E2163" s="2" t="inlineStr">
        <is>
          <t>Pokemon</t>
        </is>
      </c>
      <c r="F2163" s="2" t="inlineStr">
        <is>
          <t>Coffret</t>
        </is>
      </c>
      <c r="G2163" s="2" t="inlineStr">
        <is>
          <t>Southern Island</t>
        </is>
      </c>
      <c r="H2163" s="3" t="n"/>
      <c r="I2163" s="3" t="n"/>
      <c r="J2163" s="3" t="n"/>
      <c r="K2163" s="3" t="n">
        <v>449.99</v>
      </c>
      <c r="L2163" s="2" t="inlineStr">
        <is>
          <t>TCGplayer</t>
        </is>
      </c>
      <c r="N2163" s="4" t="inlineStr">
        <is>
          <t>https://www.tcgplayer.com/product/701546</t>
        </is>
      </c>
    </row>
    <row r="2164">
      <c r="A2164" s="2" t="inlineStr">
        <is>
          <t>Southern Islands Collection</t>
        </is>
      </c>
      <c r="B2164" s="3">
        <f>IF(H2164&lt;&gt;"",H2164,IF(I2164&lt;&gt;"",I2164,IF(J2164&lt;&gt;"",J2164,K2164)))</f>
        <v>17925.0</v>
      </c>
      <c r="C2164" s="3">
        <f>MEDIAN(H2164:K2164)</f>
        <v>12962.0</v>
      </c>
      <c r="D2164" s="3">
        <f>ROUND(C2164*(1-Settings!$B$2),2)</f>
        <v>9073.4</v>
      </c>
      <c r="E2164" s="2" t="inlineStr">
        <is>
          <t>Pokemon</t>
        </is>
      </c>
      <c r="F2164" s="2" t="inlineStr">
        <is>
          <t>Coffret</t>
        </is>
      </c>
      <c r="G2164" s="2" t="inlineStr">
        <is>
          <t>Southern Islands</t>
        </is>
      </c>
      <c r="H2164" s="3" t="n"/>
      <c r="I2164" s="3" t="n"/>
      <c r="J2164" s="3" t="n">
        <v>17925</v>
      </c>
      <c r="K2164" s="3" t="n">
        <v>7999</v>
      </c>
      <c r="L2164" s="2" t="inlineStr">
        <is>
          <t>TCGplayer</t>
        </is>
      </c>
      <c r="N2164" s="4" t="inlineStr">
        <is>
          <t>https://www.tcgplayer.com/product/610709</t>
        </is>
      </c>
    </row>
    <row r="2165">
      <c r="A2165" s="2" t="inlineStr">
        <is>
          <t>Southern Islands Collection Box</t>
        </is>
      </c>
      <c r="B2165" s="3">
        <f>IF(H2165&lt;&gt;"",H2165,IF(I2165&lt;&gt;"",I2165,IF(J2165&lt;&gt;"",J2165,K2165)))</f>
        <v>4112.5</v>
      </c>
      <c r="C2165" s="3">
        <f>MEDIAN(H2165:K2165)</f>
        <v>4112.5</v>
      </c>
      <c r="D2165" s="3">
        <f>ROUND(C2165*(1-Settings!$B$2),2)</f>
        <v>2878.75</v>
      </c>
      <c r="E2165" s="2" t="inlineStr">
        <is>
          <t>Pokemon</t>
        </is>
      </c>
      <c r="F2165" s="2" t="inlineStr">
        <is>
          <t>Coffret</t>
        </is>
      </c>
      <c r="G2165" s="2" t="inlineStr">
        <is>
          <t>Southern Islands</t>
        </is>
      </c>
      <c r="H2165" s="3" t="n">
        <v>4112.5</v>
      </c>
      <c r="I2165" s="3" t="n"/>
      <c r="J2165" s="3" t="n"/>
      <c r="K2165" s="3" t="n"/>
      <c r="L2165" s="2" t="inlineStr">
        <is>
          <t>PriceCharting</t>
        </is>
      </c>
      <c r="M2165" s="4" t="inlineStr">
        <is>
          <t>https://www.pricecharting.com/game/pokemon-southern-islands/collection-box</t>
        </is>
      </c>
    </row>
    <row r="2166">
      <c r="A2166" s="2" t="inlineStr">
        <is>
          <t>Pokemon Go Special BOX</t>
        </is>
      </c>
      <c r="B2166" s="3">
        <f>IF(H2166&lt;&gt;"",H2166,IF(I2166&lt;&gt;"",I2166,IF(J2166&lt;&gt;"",J2166,K2166)))</f>
        <v>1250.0</v>
      </c>
      <c r="C2166" s="3">
        <f>MEDIAN(H2166:K2166)</f>
        <v>1250.0</v>
      </c>
      <c r="D2166" s="3">
        <f>ROUND(C2166*(1-Settings!$B$2),2)</f>
        <v>875.0</v>
      </c>
      <c r="E2166" s="2" t="inlineStr">
        <is>
          <t>Pokemon</t>
        </is>
      </c>
      <c r="F2166" s="2" t="inlineStr">
        <is>
          <t>Coffret</t>
        </is>
      </c>
      <c r="G2166" s="2" t="inlineStr">
        <is>
          <t>Special Box Collections</t>
        </is>
      </c>
      <c r="H2166" s="3" t="n"/>
      <c r="I2166" s="3" t="n"/>
      <c r="J2166" s="3" t="n"/>
      <c r="K2166" s="3" t="n">
        <v>1250</v>
      </c>
      <c r="L2166" s="2" t="inlineStr">
        <is>
          <t>TCGplayer</t>
        </is>
      </c>
      <c r="N2166" s="4" t="inlineStr">
        <is>
          <t>https://www.tcgplayer.com/product/688627</t>
        </is>
      </c>
    </row>
    <row r="2167">
      <c r="A2167" s="2" t="inlineStr">
        <is>
          <t>Special BOX Pokemon Center Fukuoka</t>
        </is>
      </c>
      <c r="B2167" s="3">
        <f>IF(H2167&lt;&gt;"",H2167,IF(I2167&lt;&gt;"",I2167,IF(J2167&lt;&gt;"",J2167,K2167)))</f>
        <v>174.41</v>
      </c>
      <c r="C2167" s="3">
        <f>MEDIAN(H2167:K2167)</f>
        <v>87.95</v>
      </c>
      <c r="D2167" s="3">
        <f>ROUND(C2167*(1-Settings!$B$2),2)</f>
        <v>61.57</v>
      </c>
      <c r="E2167" s="2" t="inlineStr">
        <is>
          <t>Pokemon</t>
        </is>
      </c>
      <c r="F2167" s="2" t="inlineStr">
        <is>
          <t>Coffret</t>
        </is>
      </c>
      <c r="G2167" s="2" t="inlineStr">
        <is>
          <t>Special Box Collections</t>
        </is>
      </c>
      <c r="H2167" s="3" t="n"/>
      <c r="I2167" s="3" t="n">
        <v>174.41</v>
      </c>
      <c r="J2167" s="3" t="n"/>
      <c r="K2167" s="3" t="n">
        <v>1.49</v>
      </c>
      <c r="L2167" s="2" t="inlineStr">
        <is>
          <t>TCGplayer</t>
        </is>
      </c>
      <c r="N2167" s="4" t="inlineStr">
        <is>
          <t>https://www.tcgplayer.com/product/657845</t>
        </is>
      </c>
    </row>
    <row r="2168">
      <c r="A2168" s="2" t="inlineStr">
        <is>
          <t>Special BOX Pokemon Center Hiroshima</t>
        </is>
      </c>
      <c r="B2168" s="3">
        <f>IF(H2168&lt;&gt;"",H2168,IF(I2168&lt;&gt;"",I2168,IF(J2168&lt;&gt;"",J2168,K2168)))</f>
        <v>177.75</v>
      </c>
      <c r="C2168" s="3">
        <f>MEDIAN(H2168:K2168)</f>
        <v>103.875</v>
      </c>
      <c r="D2168" s="3">
        <f>ROUND(C2168*(1-Settings!$B$2),2)</f>
        <v>72.71</v>
      </c>
      <c r="E2168" s="2" t="inlineStr">
        <is>
          <t>Pokemon</t>
        </is>
      </c>
      <c r="F2168" s="2" t="inlineStr">
        <is>
          <t>Coffret</t>
        </is>
      </c>
      <c r="G2168" s="2" t="inlineStr">
        <is>
          <t>Special Box Collections</t>
        </is>
      </c>
      <c r="H2168" s="3" t="n"/>
      <c r="I2168" s="3" t="n">
        <v>177.75</v>
      </c>
      <c r="J2168" s="3" t="n"/>
      <c r="K2168" s="3" t="n">
        <v>30</v>
      </c>
      <c r="L2168" s="2" t="inlineStr">
        <is>
          <t>TCGplayer</t>
        </is>
      </c>
      <c r="N2168" s="4" t="inlineStr">
        <is>
          <t>https://www.tcgplayer.com/product/650760</t>
        </is>
      </c>
    </row>
    <row r="2169">
      <c r="A2169" s="2" t="inlineStr">
        <is>
          <t>Special BOX Pokemon Center Tohoku</t>
        </is>
      </c>
      <c r="B2169" s="3">
        <f>IF(H2169&lt;&gt;"",H2169,IF(I2169&lt;&gt;"",I2169,IF(J2169&lt;&gt;"",J2169,K2169)))</f>
        <v>142.05</v>
      </c>
      <c r="C2169" s="3">
        <f>MEDIAN(H2169:K2169)</f>
        <v>81.025</v>
      </c>
      <c r="D2169" s="3">
        <f>ROUND(C2169*(1-Settings!$B$2),2)</f>
        <v>56.72</v>
      </c>
      <c r="E2169" s="2" t="inlineStr">
        <is>
          <t>Pokemon</t>
        </is>
      </c>
      <c r="F2169" s="2" t="inlineStr">
        <is>
          <t>Coffret</t>
        </is>
      </c>
      <c r="G2169" s="2" t="inlineStr">
        <is>
          <t>Special Box Collections</t>
        </is>
      </c>
      <c r="H2169" s="3" t="n"/>
      <c r="I2169" s="3" t="n">
        <v>142.05</v>
      </c>
      <c r="J2169" s="3" t="n"/>
      <c r="K2169" s="3" t="n">
        <v>20</v>
      </c>
      <c r="L2169" s="2" t="inlineStr">
        <is>
          <t>TCGplayer</t>
        </is>
      </c>
      <c r="N2169" s="4" t="inlineStr">
        <is>
          <t>https://www.tcgplayer.com/product/650419</t>
        </is>
      </c>
    </row>
    <row r="2170">
      <c r="A2170" s="2" t="inlineStr">
        <is>
          <t>Steam Siege Elite Trainer Box</t>
        </is>
      </c>
      <c r="B2170" s="3">
        <f>IF(H2170&lt;&gt;"",H2170,IF(I2170&lt;&gt;"",I2170,IF(J2170&lt;&gt;"",J2170,K2170)))</f>
        <v>1336.31</v>
      </c>
      <c r="C2170" s="3">
        <f>MEDIAN(H2170:K2170)</f>
        <v>1336.31</v>
      </c>
      <c r="D2170" s="3">
        <f>ROUND(C2170*(1-Settings!$B$2),2)</f>
        <v>935.42</v>
      </c>
      <c r="E2170" s="2" t="inlineStr">
        <is>
          <t>Pokemon</t>
        </is>
      </c>
      <c r="F2170" s="2" t="inlineStr">
        <is>
          <t>Coffret</t>
        </is>
      </c>
      <c r="G2170" s="2" t="inlineStr">
        <is>
          <t>Steam Siege</t>
        </is>
      </c>
      <c r="H2170" s="3" t="n">
        <v>1336.31</v>
      </c>
      <c r="I2170" s="3" t="n"/>
      <c r="J2170" s="3" t="n"/>
      <c r="K2170" s="3" t="n"/>
      <c r="L2170" s="2" t="inlineStr">
        <is>
          <t>PriceCharting</t>
        </is>
      </c>
      <c r="M2170" s="4" t="inlineStr">
        <is>
          <t>https://www.pricecharting.com/game/pokemon-steam-siege/elite-trainer-box</t>
        </is>
      </c>
    </row>
    <row r="2171">
      <c r="A2171" s="2" t="inlineStr">
        <is>
          <t>Stellar Crown Booster Bundle</t>
        </is>
      </c>
      <c r="B2171" s="3">
        <f>IF(H2171&lt;&gt;"",H2171,IF(I2171&lt;&gt;"",I2171,IF(J2171&lt;&gt;"",J2171,K2171)))</f>
        <v>56.22</v>
      </c>
      <c r="C2171" s="3">
        <f>MEDIAN(H2171:K2171)</f>
        <v>56.22</v>
      </c>
      <c r="D2171" s="3">
        <f>ROUND(C2171*(1-Settings!$B$2),2)</f>
        <v>39.35</v>
      </c>
      <c r="E2171" s="2" t="inlineStr">
        <is>
          <t>Pokemon</t>
        </is>
      </c>
      <c r="F2171" s="2" t="inlineStr">
        <is>
          <t>Coffret</t>
        </is>
      </c>
      <c r="G2171" s="2" t="inlineStr">
        <is>
          <t>Stellar Crown</t>
        </is>
      </c>
      <c r="H2171" s="3" t="n">
        <v>56.22</v>
      </c>
      <c r="I2171" s="3" t="n"/>
      <c r="J2171" s="3" t="n"/>
      <c r="K2171" s="3" t="n"/>
      <c r="L2171" s="2" t="inlineStr">
        <is>
          <t>PriceCharting</t>
        </is>
      </c>
      <c r="M2171" s="4" t="inlineStr">
        <is>
          <t>https://www.pricecharting.com/game/pokemon-stellar-crown/booster-bundle</t>
        </is>
      </c>
    </row>
    <row r="2172">
      <c r="A2172" s="2" t="inlineStr">
        <is>
          <t>Stellar Crown Build and Battle Box</t>
        </is>
      </c>
      <c r="B2172" s="3">
        <f>IF(H2172&lt;&gt;"",H2172,IF(I2172&lt;&gt;"",I2172,IF(J2172&lt;&gt;"",J2172,K2172)))</f>
        <v>48.0</v>
      </c>
      <c r="C2172" s="3">
        <f>MEDIAN(H2172:K2172)</f>
        <v>48.0</v>
      </c>
      <c r="D2172" s="3">
        <f>ROUND(C2172*(1-Settings!$B$2),2)</f>
        <v>33.6</v>
      </c>
      <c r="E2172" s="2" t="inlineStr">
        <is>
          <t>Pokemon</t>
        </is>
      </c>
      <c r="F2172" s="2" t="inlineStr">
        <is>
          <t>Coffret</t>
        </is>
      </c>
      <c r="G2172" s="2" t="inlineStr">
        <is>
          <t>Stellar Crown</t>
        </is>
      </c>
      <c r="H2172" s="3" t="n">
        <v>48</v>
      </c>
      <c r="I2172" s="3" t="n"/>
      <c r="J2172" s="3" t="n"/>
      <c r="K2172" s="3" t="n"/>
      <c r="L2172" s="2" t="inlineStr">
        <is>
          <t>PriceCharting</t>
        </is>
      </c>
      <c r="M2172" s="4" t="inlineStr">
        <is>
          <t>https://www.pricecharting.com/game/pokemon-stellar-crown/build-and-battle-box</t>
        </is>
      </c>
    </row>
    <row r="2173">
      <c r="A2173" s="2" t="inlineStr">
        <is>
          <t>Stellar Crown Elite Trainer Box</t>
        </is>
      </c>
      <c r="B2173" s="3">
        <f>IF(H2173&lt;&gt;"",H2173,IF(I2173&lt;&gt;"",I2173,IF(J2173&lt;&gt;"",J2173,K2173)))</f>
        <v>156.39</v>
      </c>
      <c r="C2173" s="3">
        <f>MEDIAN(H2173:K2173)</f>
        <v>156.39</v>
      </c>
      <c r="D2173" s="3">
        <f>ROUND(C2173*(1-Settings!$B$2),2)</f>
        <v>109.47</v>
      </c>
      <c r="E2173" s="2" t="inlineStr">
        <is>
          <t>Pokemon</t>
        </is>
      </c>
      <c r="F2173" s="2" t="inlineStr">
        <is>
          <t>Coffret</t>
        </is>
      </c>
      <c r="G2173" s="2" t="inlineStr">
        <is>
          <t>Stellar Crown</t>
        </is>
      </c>
      <c r="H2173" s="3" t="n">
        <v>156.39</v>
      </c>
      <c r="I2173" s="3" t="n"/>
      <c r="J2173" s="3" t="n"/>
      <c r="K2173" s="3" t="n"/>
      <c r="L2173" s="2" t="inlineStr">
        <is>
          <t>PriceCharting</t>
        </is>
      </c>
      <c r="M2173" s="4" t="inlineStr">
        <is>
          <t>https://www.pricecharting.com/game/pokemon-stellar-crown/elite-trainer-box</t>
        </is>
      </c>
    </row>
    <row r="2174">
      <c r="A2174" s="2" t="inlineStr">
        <is>
          <t>Stellar Crown Elite Trainer Box [Pokemon Center]</t>
        </is>
      </c>
      <c r="B2174" s="3">
        <f>IF(H2174&lt;&gt;"",H2174,IF(I2174&lt;&gt;"",I2174,IF(J2174&lt;&gt;"",J2174,K2174)))</f>
        <v>170.13</v>
      </c>
      <c r="C2174" s="3">
        <f>MEDIAN(H2174:K2174)</f>
        <v>170.13</v>
      </c>
      <c r="D2174" s="3">
        <f>ROUND(C2174*(1-Settings!$B$2),2)</f>
        <v>119.09</v>
      </c>
      <c r="E2174" s="2" t="inlineStr">
        <is>
          <t>Pokemon</t>
        </is>
      </c>
      <c r="F2174" s="2" t="inlineStr">
        <is>
          <t>Coffret</t>
        </is>
      </c>
      <c r="G2174" s="2" t="inlineStr">
        <is>
          <t>Stellar Crown</t>
        </is>
      </c>
      <c r="H2174" s="3" t="n">
        <v>170.13</v>
      </c>
      <c r="I2174" s="3" t="n"/>
      <c r="J2174" s="3" t="n"/>
      <c r="K2174" s="3" t="n"/>
      <c r="L2174" s="2" t="inlineStr">
        <is>
          <t>PriceCharting</t>
        </is>
      </c>
      <c r="M2174" s="4" t="inlineStr">
        <is>
          <t>https://www.pricecharting.com/game/pokemon-stellar-crown/elite-trainer-box-pokemon-center</t>
        </is>
      </c>
    </row>
    <row r="2175">
      <c r="A2175" s="2" t="inlineStr">
        <is>
          <t>Stormfront 2-Pack Blister</t>
        </is>
      </c>
      <c r="B2175" s="3">
        <f>IF(H2175&lt;&gt;"",H2175,IF(I2175&lt;&gt;"",I2175,IF(J2175&lt;&gt;"",J2175,K2175)))</f>
        <v>499.0</v>
      </c>
      <c r="C2175" s="3">
        <f>MEDIAN(H2175:K2175)</f>
        <v>499.0</v>
      </c>
      <c r="D2175" s="3">
        <f>ROUND(C2175*(1-Settings!$B$2),2)</f>
        <v>349.3</v>
      </c>
      <c r="E2175" s="2" t="inlineStr">
        <is>
          <t>Pokemon</t>
        </is>
      </c>
      <c r="F2175" s="2" t="inlineStr">
        <is>
          <t>Coffret</t>
        </is>
      </c>
      <c r="G2175" s="2" t="inlineStr">
        <is>
          <t>Stormfront</t>
        </is>
      </c>
      <c r="H2175" s="3" t="n">
        <v>499</v>
      </c>
      <c r="I2175" s="3" t="n"/>
      <c r="J2175" s="3" t="n"/>
      <c r="K2175" s="3" t="n"/>
      <c r="L2175" s="2" t="inlineStr">
        <is>
          <t>PriceCharting</t>
        </is>
      </c>
      <c r="M2175" s="4" t="inlineStr">
        <is>
          <t>https://www.pricecharting.com/game/pokemon-stormfront/2-pack-blister</t>
        </is>
      </c>
    </row>
    <row r="2176">
      <c r="A2176" s="2" t="inlineStr">
        <is>
          <t>Stormfront 3-Pack Blister</t>
        </is>
      </c>
      <c r="B2176" s="3">
        <f>IF(H2176&lt;&gt;"",H2176,IF(I2176&lt;&gt;"",I2176,IF(J2176&lt;&gt;"",J2176,K2176)))</f>
        <v>999.95</v>
      </c>
      <c r="C2176" s="3">
        <f>MEDIAN(H2176:K2176)</f>
        <v>999.95</v>
      </c>
      <c r="D2176" s="3">
        <f>ROUND(C2176*(1-Settings!$B$2),2)</f>
        <v>699.97</v>
      </c>
      <c r="E2176" s="2" t="inlineStr">
        <is>
          <t>Pokemon</t>
        </is>
      </c>
      <c r="F2176" s="2" t="inlineStr">
        <is>
          <t>Coffret</t>
        </is>
      </c>
      <c r="G2176" s="2" t="inlineStr">
        <is>
          <t>Stormfront</t>
        </is>
      </c>
      <c r="H2176" s="3" t="n">
        <v>999.95</v>
      </c>
      <c r="I2176" s="3" t="n"/>
      <c r="J2176" s="3" t="n"/>
      <c r="K2176" s="3" t="n"/>
      <c r="L2176" s="2" t="inlineStr">
        <is>
          <t>PriceCharting</t>
        </is>
      </c>
      <c r="M2176" s="4" t="inlineStr">
        <is>
          <t>https://www.pricecharting.com/game/pokemon-stormfront/3-pack-blister</t>
        </is>
      </c>
    </row>
    <row r="2177">
      <c r="A2177" s="2" t="inlineStr">
        <is>
          <t>Supreme Victors Poster Pack Box</t>
        </is>
      </c>
      <c r="B2177" s="3">
        <f>IF(H2177&lt;&gt;"",H2177,IF(I2177&lt;&gt;"",I2177,IF(J2177&lt;&gt;"",J2177,K2177)))</f>
        <v>806.69</v>
      </c>
      <c r="C2177" s="3">
        <f>MEDIAN(H2177:K2177)</f>
        <v>806.69</v>
      </c>
      <c r="D2177" s="3">
        <f>ROUND(C2177*(1-Settings!$B$2),2)</f>
        <v>564.68</v>
      </c>
      <c r="E2177" s="2" t="inlineStr">
        <is>
          <t>Pokemon</t>
        </is>
      </c>
      <c r="F2177" s="2" t="inlineStr">
        <is>
          <t>Coffret</t>
        </is>
      </c>
      <c r="G2177" s="2" t="inlineStr">
        <is>
          <t>Supreme Victors</t>
        </is>
      </c>
      <c r="H2177" s="3" t="n">
        <v>806.6900000000001</v>
      </c>
      <c r="I2177" s="3" t="n"/>
      <c r="J2177" s="3" t="n"/>
      <c r="K2177" s="3" t="n"/>
      <c r="L2177" s="2" t="inlineStr">
        <is>
          <t>PriceCharting</t>
        </is>
      </c>
      <c r="M2177" s="4" t="inlineStr">
        <is>
          <t>https://www.pricecharting.com/game/pokemon-supreme-victors/poster-pack-box</t>
        </is>
      </c>
    </row>
    <row r="2178">
      <c r="A2178" s="2" t="inlineStr">
        <is>
          <t>Supreme Victors Regigigas 3-Pack Blister</t>
        </is>
      </c>
      <c r="B2178" s="3">
        <f>IF(H2178&lt;&gt;"",H2178,IF(I2178&lt;&gt;"",I2178,IF(J2178&lt;&gt;"",J2178,K2178)))</f>
        <v>1143.36</v>
      </c>
      <c r="C2178" s="3">
        <f>MEDIAN(H2178:K2178)</f>
        <v>1143.36</v>
      </c>
      <c r="D2178" s="3">
        <f>ROUND(C2178*(1-Settings!$B$2),2)</f>
        <v>800.35</v>
      </c>
      <c r="E2178" s="2" t="inlineStr">
        <is>
          <t>Pokemon</t>
        </is>
      </c>
      <c r="F2178" s="2" t="inlineStr">
        <is>
          <t>Coffret</t>
        </is>
      </c>
      <c r="G2178" s="2" t="inlineStr">
        <is>
          <t>Supreme Victors</t>
        </is>
      </c>
      <c r="H2178" s="3" t="n">
        <v>1143.36</v>
      </c>
      <c r="I2178" s="3" t="n"/>
      <c r="J2178" s="3" t="n"/>
      <c r="K2178" s="3" t="n"/>
      <c r="L2178" s="2" t="inlineStr">
        <is>
          <t>PriceCharting</t>
        </is>
      </c>
      <c r="M2178" s="4" t="inlineStr">
        <is>
          <t>https://www.pricecharting.com/game/pokemon-supreme-victors/regigigas-3-pack-blister</t>
        </is>
      </c>
    </row>
    <row r="2179">
      <c r="A2179" s="2" t="inlineStr">
        <is>
          <t>Surging Sparks Bloodmoon Ursaluna Ex Box</t>
        </is>
      </c>
      <c r="B2179" s="3">
        <f>IF(H2179&lt;&gt;"",H2179,IF(I2179&lt;&gt;"",I2179,IF(J2179&lt;&gt;"",J2179,K2179)))</f>
        <v>34.0</v>
      </c>
      <c r="C2179" s="3">
        <f>MEDIAN(H2179:K2179)</f>
        <v>34.0</v>
      </c>
      <c r="D2179" s="3">
        <f>ROUND(C2179*(1-Settings!$B$2),2)</f>
        <v>23.8</v>
      </c>
      <c r="E2179" s="2" t="inlineStr">
        <is>
          <t>Pokemon</t>
        </is>
      </c>
      <c r="F2179" s="2" t="inlineStr">
        <is>
          <t>Coffret</t>
        </is>
      </c>
      <c r="G2179" s="2" t="inlineStr">
        <is>
          <t>Surging Sparks</t>
        </is>
      </c>
      <c r="H2179" s="3" t="n">
        <v>34</v>
      </c>
      <c r="I2179" s="3" t="n"/>
      <c r="J2179" s="3" t="n"/>
      <c r="K2179" s="3" t="n"/>
      <c r="L2179" s="2" t="inlineStr">
        <is>
          <t>PriceCharting</t>
        </is>
      </c>
      <c r="M2179" s="4" t="inlineStr">
        <is>
          <t>https://www.pricecharting.com/game/pokemon-surging-sparks/bloodmoon-ursaluna-ex-box</t>
        </is>
      </c>
    </row>
    <row r="2180">
      <c r="A2180" s="2" t="inlineStr">
        <is>
          <t>Surging Sparks Booster Bundle</t>
        </is>
      </c>
      <c r="B2180" s="3">
        <f>IF(H2180&lt;&gt;"",H2180,IF(I2180&lt;&gt;"",I2180,IF(J2180&lt;&gt;"",J2180,K2180)))</f>
        <v>60.0</v>
      </c>
      <c r="C2180" s="3">
        <f>MEDIAN(H2180:K2180)</f>
        <v>60.0</v>
      </c>
      <c r="D2180" s="3">
        <f>ROUND(C2180*(1-Settings!$B$2),2)</f>
        <v>42.0</v>
      </c>
      <c r="E2180" s="2" t="inlineStr">
        <is>
          <t>Pokemon</t>
        </is>
      </c>
      <c r="F2180" s="2" t="inlineStr">
        <is>
          <t>Coffret</t>
        </is>
      </c>
      <c r="G2180" s="2" t="inlineStr">
        <is>
          <t>Surging Sparks</t>
        </is>
      </c>
      <c r="H2180" s="3" t="n">
        <v>60</v>
      </c>
      <c r="I2180" s="3" t="n"/>
      <c r="J2180" s="3" t="n"/>
      <c r="K2180" s="3" t="n"/>
      <c r="L2180" s="2" t="inlineStr">
        <is>
          <t>PriceCharting</t>
        </is>
      </c>
      <c r="M2180" s="4" t="inlineStr">
        <is>
          <t>https://www.pricecharting.com/game/pokemon-surging-sparks/booster-bundle</t>
        </is>
      </c>
    </row>
    <row r="2181">
      <c r="A2181" s="2" t="inlineStr">
        <is>
          <t>Surging Sparks Costco 2-Pack Trainer Box &amp; Booster Bundle</t>
        </is>
      </c>
      <c r="B2181" s="3">
        <f>IF(H2181&lt;&gt;"",H2181,IF(I2181&lt;&gt;"",I2181,IF(J2181&lt;&gt;"",J2181,K2181)))</f>
        <v>187.5</v>
      </c>
      <c r="C2181" s="3">
        <f>MEDIAN(H2181:K2181)</f>
        <v>187.5</v>
      </c>
      <c r="D2181" s="3">
        <f>ROUND(C2181*(1-Settings!$B$2),2)</f>
        <v>131.25</v>
      </c>
      <c r="E2181" s="2" t="inlineStr">
        <is>
          <t>Pokemon</t>
        </is>
      </c>
      <c r="F2181" s="2" t="inlineStr">
        <is>
          <t>Coffret</t>
        </is>
      </c>
      <c r="G2181" s="2" t="inlineStr">
        <is>
          <t>Surging Sparks</t>
        </is>
      </c>
      <c r="H2181" s="3" t="n">
        <v>187.5</v>
      </c>
      <c r="I2181" s="3" t="n"/>
      <c r="J2181" s="3" t="n"/>
      <c r="K2181" s="3" t="n"/>
      <c r="L2181" s="2" t="inlineStr">
        <is>
          <t>PriceCharting</t>
        </is>
      </c>
      <c r="M2181" s="4" t="inlineStr">
        <is>
          <t>https://www.pricecharting.com/game/pokemon-surging-sparks/costco-2-pack-trainer-box-&amp;-booster-bundle</t>
        </is>
      </c>
    </row>
    <row r="2182">
      <c r="A2182" s="2" t="inlineStr">
        <is>
          <t>Surging Sparks Elite Trainer Box [Pokemon Center]</t>
        </is>
      </c>
      <c r="B2182" s="3">
        <f>IF(H2182&lt;&gt;"",H2182,IF(I2182&lt;&gt;"",I2182,IF(J2182&lt;&gt;"",J2182,K2182)))</f>
        <v>243.75</v>
      </c>
      <c r="C2182" s="3">
        <f>MEDIAN(H2182:K2182)</f>
        <v>243.75</v>
      </c>
      <c r="D2182" s="3">
        <f>ROUND(C2182*(1-Settings!$B$2),2)</f>
        <v>170.63</v>
      </c>
      <c r="E2182" s="2" t="inlineStr">
        <is>
          <t>Pokemon</t>
        </is>
      </c>
      <c r="F2182" s="2" t="inlineStr">
        <is>
          <t>Coffret</t>
        </is>
      </c>
      <c r="G2182" s="2" t="inlineStr">
        <is>
          <t>Surging Sparks</t>
        </is>
      </c>
      <c r="H2182" s="3" t="n">
        <v>243.75</v>
      </c>
      <c r="I2182" s="3" t="n"/>
      <c r="J2182" s="3" t="n"/>
      <c r="K2182" s="3" t="n"/>
      <c r="L2182" s="2" t="inlineStr">
        <is>
          <t>PriceCharting</t>
        </is>
      </c>
      <c r="M2182" s="4" t="inlineStr">
        <is>
          <t>https://www.pricecharting.com/game/pokemon-surging-sparks/elite-trainer-box-pokemon-center</t>
        </is>
      </c>
    </row>
    <row r="2183">
      <c r="A2183" s="2" t="inlineStr">
        <is>
          <t>Surging Sparks Grand Adventure Collection</t>
        </is>
      </c>
      <c r="B2183" s="3">
        <f>IF(H2183&lt;&gt;"",H2183,IF(I2183&lt;&gt;"",I2183,IF(J2183&lt;&gt;"",J2183,K2183)))</f>
        <v>47.75</v>
      </c>
      <c r="C2183" s="3">
        <f>MEDIAN(H2183:K2183)</f>
        <v>47.75</v>
      </c>
      <c r="D2183" s="3">
        <f>ROUND(C2183*(1-Settings!$B$2),2)</f>
        <v>33.43</v>
      </c>
      <c r="E2183" s="2" t="inlineStr">
        <is>
          <t>Pokemon</t>
        </is>
      </c>
      <c r="F2183" s="2" t="inlineStr">
        <is>
          <t>Coffret</t>
        </is>
      </c>
      <c r="G2183" s="2" t="inlineStr">
        <is>
          <t>Surging Sparks</t>
        </is>
      </c>
      <c r="H2183" s="3" t="n">
        <v>47.75</v>
      </c>
      <c r="I2183" s="3" t="n"/>
      <c r="J2183" s="3" t="n"/>
      <c r="K2183" s="3" t="n"/>
      <c r="L2183" s="2" t="inlineStr">
        <is>
          <t>PriceCharting</t>
        </is>
      </c>
      <c r="M2183" s="4" t="inlineStr">
        <is>
          <t>https://www.pricecharting.com/game/pokemon-surging-sparks/grand-adventure-collection</t>
        </is>
      </c>
    </row>
    <row r="2184">
      <c r="A2184" s="2" t="inlineStr">
        <is>
          <t>Surging Sparks Meddling Sparks Premium Collection Box</t>
        </is>
      </c>
      <c r="B2184" s="3">
        <f>IF(H2184&lt;&gt;"",H2184,IF(I2184&lt;&gt;"",I2184,IF(J2184&lt;&gt;"",J2184,K2184)))</f>
        <v>47.0</v>
      </c>
      <c r="C2184" s="3">
        <f>MEDIAN(H2184:K2184)</f>
        <v>47.0</v>
      </c>
      <c r="D2184" s="3">
        <f>ROUND(C2184*(1-Settings!$B$2),2)</f>
        <v>32.9</v>
      </c>
      <c r="E2184" s="2" t="inlineStr">
        <is>
          <t>Pokemon</t>
        </is>
      </c>
      <c r="F2184" s="2" t="inlineStr">
        <is>
          <t>Coffret</t>
        </is>
      </c>
      <c r="G2184" s="2" t="inlineStr">
        <is>
          <t>Surging Sparks</t>
        </is>
      </c>
      <c r="H2184" s="3" t="n">
        <v>47</v>
      </c>
      <c r="I2184" s="3" t="n"/>
      <c r="J2184" s="3" t="n"/>
      <c r="K2184" s="3" t="n"/>
      <c r="L2184" s="2" t="inlineStr">
        <is>
          <t>PriceCharting</t>
        </is>
      </c>
      <c r="M2184" s="4" t="inlineStr">
        <is>
          <t>https://www.pricecharting.com/game/pokemon-surging-sparks/meddling-sparks-premium-collection-box</t>
        </is>
      </c>
    </row>
    <row r="2185">
      <c r="A2185" s="2" t="inlineStr">
        <is>
          <t>Scarlet &amp; Violet Booster Bundle</t>
        </is>
      </c>
      <c r="B2185" s="3">
        <f>IF(H2185&lt;&gt;"",H2185,IF(I2185&lt;&gt;"",I2185,IF(J2185&lt;&gt;"",J2185,K2185)))</f>
        <v>104.72</v>
      </c>
      <c r="C2185" s="3">
        <f>MEDIAN(H2185:K2185)</f>
        <v>104.72</v>
      </c>
      <c r="D2185" s="3">
        <f>ROUND(C2185*(1-Settings!$B$2),2)</f>
        <v>73.3</v>
      </c>
      <c r="E2185" s="2" t="inlineStr">
        <is>
          <t>Pokemon</t>
        </is>
      </c>
      <c r="F2185" s="2" t="inlineStr">
        <is>
          <t>Coffret</t>
        </is>
      </c>
      <c r="G2185" s="2" t="inlineStr">
        <is>
          <t>SV01: Scarlet &amp; Violet Base Set</t>
        </is>
      </c>
      <c r="H2185" s="3" t="n"/>
      <c r="I2185" s="3" t="n">
        <v>104.72</v>
      </c>
      <c r="J2185" s="3" t="n">
        <v>109.84</v>
      </c>
      <c r="K2185" s="3" t="n">
        <v>99.98999999999999</v>
      </c>
      <c r="L2185" s="2" t="inlineStr">
        <is>
          <t>TCGplayer</t>
        </is>
      </c>
      <c r="N2185" s="4" t="inlineStr">
        <is>
          <t>https://www.tcgplayer.com/product/478258</t>
        </is>
      </c>
    </row>
    <row r="2186">
      <c r="A2186" s="2" t="inlineStr">
        <is>
          <t>Scarlet &amp; Violet Booster Pack Art Bundle [Set of 4]</t>
        </is>
      </c>
      <c r="B2186" s="3">
        <f>IF(H2186&lt;&gt;"",H2186,IF(I2186&lt;&gt;"",I2186,IF(J2186&lt;&gt;"",J2186,K2186)))</f>
        <v>39.11</v>
      </c>
      <c r="C2186" s="3">
        <f>MEDIAN(H2186:K2186)</f>
        <v>39.11</v>
      </c>
      <c r="D2186" s="3">
        <f>ROUND(C2186*(1-Settings!$B$2),2)</f>
        <v>27.38</v>
      </c>
      <c r="E2186" s="2" t="inlineStr">
        <is>
          <t>Pokemon</t>
        </is>
      </c>
      <c r="F2186" s="2" t="inlineStr">
        <is>
          <t>Coffret</t>
        </is>
      </c>
      <c r="G2186" s="2" t="inlineStr">
        <is>
          <t>SV01: Scarlet &amp; Violet Base Set</t>
        </is>
      </c>
      <c r="H2186" s="3" t="n"/>
      <c r="I2186" s="3" t="n">
        <v>39.11</v>
      </c>
      <c r="J2186" s="3" t="n">
        <v>40.99</v>
      </c>
      <c r="K2186" s="3" t="n">
        <v>36.99</v>
      </c>
      <c r="L2186" s="2" t="inlineStr">
        <is>
          <t>TCGplayer</t>
        </is>
      </c>
      <c r="N2186" s="4" t="inlineStr">
        <is>
          <t>https://www.tcgplayer.com/product/478759</t>
        </is>
      </c>
    </row>
    <row r="2187">
      <c r="A2187" s="2" t="inlineStr">
        <is>
          <t>Scarlet &amp; Violet Build &amp; Battle Box</t>
        </is>
      </c>
      <c r="B2187" s="3">
        <f>IF(H2187&lt;&gt;"",H2187,IF(I2187&lt;&gt;"",I2187,IF(J2187&lt;&gt;"",J2187,K2187)))</f>
        <v>40.94</v>
      </c>
      <c r="C2187" s="3">
        <f>MEDIAN(H2187:K2187)</f>
        <v>40.94</v>
      </c>
      <c r="D2187" s="3">
        <f>ROUND(C2187*(1-Settings!$B$2),2)</f>
        <v>28.66</v>
      </c>
      <c r="E2187" s="2" t="inlineStr">
        <is>
          <t>Pokemon</t>
        </is>
      </c>
      <c r="F2187" s="2" t="inlineStr">
        <is>
          <t>Coffret</t>
        </is>
      </c>
      <c r="G2187" s="2" t="inlineStr">
        <is>
          <t>SV01: Scarlet &amp; Violet Base Set</t>
        </is>
      </c>
      <c r="H2187" s="3" t="n"/>
      <c r="I2187" s="3" t="n">
        <v>40.94</v>
      </c>
      <c r="J2187" s="3" t="n">
        <v>43.68</v>
      </c>
      <c r="K2187" s="3" t="n">
        <v>35</v>
      </c>
      <c r="L2187" s="2" t="inlineStr">
        <is>
          <t>TCGplayer</t>
        </is>
      </c>
      <c r="N2187" s="4" t="inlineStr">
        <is>
          <t>https://www.tcgplayer.com/product/478253</t>
        </is>
      </c>
    </row>
    <row r="2188">
      <c r="A2188" s="2" t="inlineStr">
        <is>
          <t>Scarlet &amp; Violet Build &amp; Battle Stadium</t>
        </is>
      </c>
      <c r="B2188" s="3">
        <f>IF(H2188&lt;&gt;"",H2188,IF(I2188&lt;&gt;"",I2188,IF(J2188&lt;&gt;"",J2188,K2188)))</f>
        <v>88.6</v>
      </c>
      <c r="C2188" s="3">
        <f>MEDIAN(H2188:K2188)</f>
        <v>88.6</v>
      </c>
      <c r="D2188" s="3">
        <f>ROUND(C2188*(1-Settings!$B$2),2)</f>
        <v>62.02</v>
      </c>
      <c r="E2188" s="2" t="inlineStr">
        <is>
          <t>Pokemon</t>
        </is>
      </c>
      <c r="F2188" s="2" t="inlineStr">
        <is>
          <t>Coffret</t>
        </is>
      </c>
      <c r="G2188" s="2" t="inlineStr">
        <is>
          <t>SV01: Scarlet &amp; Violet Base Set</t>
        </is>
      </c>
      <c r="H2188" s="3" t="n"/>
      <c r="I2188" s="3" t="n">
        <v>88.59999999999999</v>
      </c>
      <c r="J2188" s="3" t="n">
        <v>99.84</v>
      </c>
      <c r="K2188" s="3" t="n">
        <v>88.59999999999999</v>
      </c>
      <c r="L2188" s="2" t="inlineStr">
        <is>
          <t>TCGplayer</t>
        </is>
      </c>
      <c r="N2188" s="4" t="inlineStr">
        <is>
          <t>https://www.tcgplayer.com/product/478257</t>
        </is>
      </c>
    </row>
    <row r="2189">
      <c r="A2189" s="2" t="inlineStr">
        <is>
          <t>Scarlet &amp; Violet Elite Trainer Box [Koraidon]</t>
        </is>
      </c>
      <c r="B2189" s="3">
        <f>IF(H2189&lt;&gt;"",H2189,IF(I2189&lt;&gt;"",I2189,IF(J2189&lt;&gt;"",J2189,K2189)))</f>
        <v>130.92</v>
      </c>
      <c r="C2189" s="3">
        <f>MEDIAN(H2189:K2189)</f>
        <v>130.92</v>
      </c>
      <c r="D2189" s="3">
        <f>ROUND(C2189*(1-Settings!$B$2),2)</f>
        <v>91.64</v>
      </c>
      <c r="E2189" s="2" t="inlineStr">
        <is>
          <t>Pokemon</t>
        </is>
      </c>
      <c r="F2189" s="2" t="inlineStr">
        <is>
          <t>Coffret</t>
        </is>
      </c>
      <c r="G2189" s="2" t="inlineStr">
        <is>
          <t>SV01: Scarlet &amp; Violet Base Set</t>
        </is>
      </c>
      <c r="H2189" s="3" t="n"/>
      <c r="I2189" s="3" t="n">
        <v>130.92</v>
      </c>
      <c r="J2189" s="3" t="n">
        <v>138.41</v>
      </c>
      <c r="K2189" s="3" t="n">
        <v>122</v>
      </c>
      <c r="L2189" s="2" t="inlineStr">
        <is>
          <t>TCGplayer</t>
        </is>
      </c>
      <c r="N2189" s="4" t="inlineStr">
        <is>
          <t>https://www.tcgplayer.com/product/478335</t>
        </is>
      </c>
    </row>
    <row r="2190">
      <c r="A2190" s="2" t="inlineStr">
        <is>
          <t>Scarlet &amp; Violet Elite Trainer Box [Miraidon]</t>
        </is>
      </c>
      <c r="B2190" s="3">
        <f>IF(H2190&lt;&gt;"",H2190,IF(I2190&lt;&gt;"",I2190,IF(J2190&lt;&gt;"",J2190,K2190)))</f>
        <v>144.73</v>
      </c>
      <c r="C2190" s="3">
        <f>MEDIAN(H2190:K2190)</f>
        <v>144.73</v>
      </c>
      <c r="D2190" s="3">
        <f>ROUND(C2190*(1-Settings!$B$2),2)</f>
        <v>101.31</v>
      </c>
      <c r="E2190" s="2" t="inlineStr">
        <is>
          <t>Pokemon</t>
        </is>
      </c>
      <c r="F2190" s="2" t="inlineStr">
        <is>
          <t>Coffret</t>
        </is>
      </c>
      <c r="G2190" s="2" t="inlineStr">
        <is>
          <t>SV01: Scarlet &amp; Violet Base Set</t>
        </is>
      </c>
      <c r="H2190" s="3" t="n"/>
      <c r="I2190" s="3" t="n">
        <v>144.73</v>
      </c>
      <c r="J2190" s="3" t="n">
        <v>154.5</v>
      </c>
      <c r="K2190" s="3" t="n">
        <v>139.99</v>
      </c>
      <c r="L2190" s="2" t="inlineStr">
        <is>
          <t>TCGplayer</t>
        </is>
      </c>
      <c r="N2190" s="4" t="inlineStr">
        <is>
          <t>https://www.tcgplayer.com/product/478336</t>
        </is>
      </c>
    </row>
    <row r="2191">
      <c r="A2191" s="2" t="inlineStr">
        <is>
          <t>Scarlet &amp; Violet Pokemon Center Elite Trainer Box (Exclusive) [Koraidon]</t>
        </is>
      </c>
      <c r="B2191" s="3">
        <f>IF(H2191&lt;&gt;"",H2191,IF(I2191&lt;&gt;"",I2191,IF(J2191&lt;&gt;"",J2191,K2191)))</f>
        <v>285.52</v>
      </c>
      <c r="C2191" s="3">
        <f>MEDIAN(H2191:K2191)</f>
        <v>285.52</v>
      </c>
      <c r="D2191" s="3">
        <f>ROUND(C2191*(1-Settings!$B$2),2)</f>
        <v>199.86</v>
      </c>
      <c r="E2191" s="2" t="inlineStr">
        <is>
          <t>Pokemon</t>
        </is>
      </c>
      <c r="F2191" s="2" t="inlineStr">
        <is>
          <t>Coffret</t>
        </is>
      </c>
      <c r="G2191" s="2" t="inlineStr">
        <is>
          <t>SV01: Scarlet &amp; Violet Base Set</t>
        </is>
      </c>
      <c r="H2191" s="3" t="n"/>
      <c r="I2191" s="3" t="n">
        <v>285.52</v>
      </c>
      <c r="J2191" s="3" t="n">
        <v>295</v>
      </c>
      <c r="K2191" s="3" t="n">
        <v>258.98</v>
      </c>
      <c r="L2191" s="2" t="inlineStr">
        <is>
          <t>TCGplayer</t>
        </is>
      </c>
      <c r="N2191" s="4" t="inlineStr">
        <is>
          <t>https://www.tcgplayer.com/product/478758</t>
        </is>
      </c>
    </row>
    <row r="2192">
      <c r="A2192" s="2" t="inlineStr">
        <is>
          <t>Scarlet &amp; Violet Pokemon Center Elite Trainer Box (Exclusive) [Miraidon]</t>
        </is>
      </c>
      <c r="B2192" s="3">
        <f>IF(H2192&lt;&gt;"",H2192,IF(I2192&lt;&gt;"",I2192,IF(J2192&lt;&gt;"",J2192,K2192)))</f>
        <v>317.06</v>
      </c>
      <c r="C2192" s="3">
        <f>MEDIAN(H2192:K2192)</f>
        <v>317.06</v>
      </c>
      <c r="D2192" s="3">
        <f>ROUND(C2192*(1-Settings!$B$2),2)</f>
        <v>221.94</v>
      </c>
      <c r="E2192" s="2" t="inlineStr">
        <is>
          <t>Pokemon</t>
        </is>
      </c>
      <c r="F2192" s="2" t="inlineStr">
        <is>
          <t>Coffret</t>
        </is>
      </c>
      <c r="G2192" s="2" t="inlineStr">
        <is>
          <t>SV01: Scarlet &amp; Violet Base Set</t>
        </is>
      </c>
      <c r="H2192" s="3" t="n"/>
      <c r="I2192" s="3" t="n">
        <v>317.06</v>
      </c>
      <c r="J2192" s="3" t="n">
        <v>330</v>
      </c>
      <c r="K2192" s="3" t="n">
        <v>308.23</v>
      </c>
      <c r="L2192" s="2" t="inlineStr">
        <is>
          <t>TCGplayer</t>
        </is>
      </c>
      <c r="N2192" s="4" t="inlineStr">
        <is>
          <t>https://www.tcgplayer.com/product/478756</t>
        </is>
      </c>
    </row>
    <row r="2193">
      <c r="A2193" s="2" t="inlineStr">
        <is>
          <t>Scarlet &amp; Violet Sleeved Booster Pack Art Bundle [Set of 4]</t>
        </is>
      </c>
      <c r="B2193" s="3">
        <f>IF(H2193&lt;&gt;"",H2193,IF(I2193&lt;&gt;"",I2193,IF(J2193&lt;&gt;"",J2193,K2193)))</f>
        <v>43.35</v>
      </c>
      <c r="C2193" s="3">
        <f>MEDIAN(H2193:K2193)</f>
        <v>43.35</v>
      </c>
      <c r="D2193" s="3">
        <f>ROUND(C2193*(1-Settings!$B$2),2)</f>
        <v>30.35</v>
      </c>
      <c r="E2193" s="2" t="inlineStr">
        <is>
          <t>Pokemon</t>
        </is>
      </c>
      <c r="F2193" s="2" t="inlineStr">
        <is>
          <t>Coffret</t>
        </is>
      </c>
      <c r="G2193" s="2" t="inlineStr">
        <is>
          <t>SV01: Scarlet &amp; Violet Base Set</t>
        </is>
      </c>
      <c r="H2193" s="3" t="n"/>
      <c r="I2193" s="3" t="n">
        <v>43.35</v>
      </c>
      <c r="J2193" s="3" t="n">
        <v>44.85</v>
      </c>
      <c r="K2193" s="3" t="n">
        <v>42</v>
      </c>
      <c r="L2193" s="2" t="inlineStr">
        <is>
          <t>TCGplayer</t>
        </is>
      </c>
      <c r="N2193" s="4" t="inlineStr">
        <is>
          <t>https://www.tcgplayer.com/product/478274</t>
        </is>
      </c>
    </row>
    <row r="2194">
      <c r="A2194" s="2" t="inlineStr">
        <is>
          <t>Scarlet &amp; Violet Sleeved Booster Pack Bundle [Set of 8]</t>
        </is>
      </c>
      <c r="B2194" s="3">
        <f>IF(H2194&lt;&gt;"",H2194,IF(I2194&lt;&gt;"",I2194,IF(J2194&lt;&gt;"",J2194,K2194)))</f>
        <v>83.26</v>
      </c>
      <c r="C2194" s="3">
        <f>MEDIAN(H2194:K2194)</f>
        <v>84.59</v>
      </c>
      <c r="D2194" s="3">
        <f>ROUND(C2194*(1-Settings!$B$2),2)</f>
        <v>59.21</v>
      </c>
      <c r="E2194" s="2" t="inlineStr">
        <is>
          <t>Pokemon</t>
        </is>
      </c>
      <c r="F2194" s="2" t="inlineStr">
        <is>
          <t>Coffret</t>
        </is>
      </c>
      <c r="G2194" s="2" t="inlineStr">
        <is>
          <t>SV01: Scarlet &amp; Violet Base Set</t>
        </is>
      </c>
      <c r="H2194" s="3" t="n"/>
      <c r="I2194" s="3" t="n">
        <v>83.26000000000001</v>
      </c>
      <c r="J2194" s="3" t="n">
        <v>84.69</v>
      </c>
      <c r="K2194" s="3" t="n">
        <v>84.59</v>
      </c>
      <c r="L2194" s="2" t="inlineStr">
        <is>
          <t>TCGplayer</t>
        </is>
      </c>
      <c r="N2194" s="4" t="inlineStr">
        <is>
          <t>https://www.tcgplayer.com/product/478275</t>
        </is>
      </c>
    </row>
    <row r="2195">
      <c r="A2195" s="2" t="inlineStr">
        <is>
          <t>Paldea Evolved Booster Bundle</t>
        </is>
      </c>
      <c r="B2195" s="3">
        <f>IF(H2195&lt;&gt;"",H2195,IF(I2195&lt;&gt;"",I2195,IF(J2195&lt;&gt;"",J2195,K2195)))</f>
        <v>124.77</v>
      </c>
      <c r="C2195" s="3">
        <f>MEDIAN(H2195:K2195)</f>
        <v>126.25</v>
      </c>
      <c r="D2195" s="3">
        <f>ROUND(C2195*(1-Settings!$B$2),2)</f>
        <v>88.38</v>
      </c>
      <c r="E2195" s="2" t="inlineStr">
        <is>
          <t>Pokemon</t>
        </is>
      </c>
      <c r="F2195" s="2" t="inlineStr">
        <is>
          <t>Coffret</t>
        </is>
      </c>
      <c r="G2195" s="2" t="inlineStr">
        <is>
          <t>SV02: Paldea Evolved</t>
        </is>
      </c>
      <c r="H2195" s="3" t="n">
        <v>124.77</v>
      </c>
      <c r="I2195" s="3" t="n">
        <v>127.73</v>
      </c>
      <c r="J2195" s="3" t="n">
        <v>135.24</v>
      </c>
      <c r="K2195" s="3" t="n">
        <v>124.01</v>
      </c>
      <c r="L2195" s="2" t="inlineStr">
        <is>
          <t>PriceCharting + TCGplayer</t>
        </is>
      </c>
      <c r="M2195" s="4" t="inlineStr">
        <is>
          <t>https://www.pricecharting.com/game/pokemon-paldea-evolved/booster-bundle</t>
        </is>
      </c>
      <c r="N2195" s="4" t="inlineStr">
        <is>
          <t>https://www.tcgplayer.com/product/496914</t>
        </is>
      </c>
    </row>
    <row r="2196">
      <c r="A2196" s="2" t="inlineStr">
        <is>
          <t>Paldea Evolved Booster Pack Art Bundle [Set of 5]</t>
        </is>
      </c>
      <c r="B2196" s="3">
        <f>IF(H2196&lt;&gt;"",H2196,IF(I2196&lt;&gt;"",I2196,IF(J2196&lt;&gt;"",J2196,K2196)))</f>
        <v>77.86</v>
      </c>
      <c r="C2196" s="3">
        <f>MEDIAN(H2196:K2196)</f>
        <v>77.86</v>
      </c>
      <c r="D2196" s="3">
        <f>ROUND(C2196*(1-Settings!$B$2),2)</f>
        <v>54.5</v>
      </c>
      <c r="E2196" s="2" t="inlineStr">
        <is>
          <t>Pokemon</t>
        </is>
      </c>
      <c r="F2196" s="2" t="inlineStr">
        <is>
          <t>Coffret</t>
        </is>
      </c>
      <c r="G2196" s="2" t="inlineStr">
        <is>
          <t>SV02: Paldea Evolved</t>
        </is>
      </c>
      <c r="H2196" s="3" t="n"/>
      <c r="I2196" s="3" t="n">
        <v>77.86</v>
      </c>
      <c r="J2196" s="3" t="n">
        <v>80.23</v>
      </c>
      <c r="K2196" s="3" t="n">
        <v>74.5</v>
      </c>
      <c r="L2196" s="2" t="inlineStr">
        <is>
          <t>TCGplayer</t>
        </is>
      </c>
      <c r="N2196" s="4" t="inlineStr">
        <is>
          <t>https://www.tcgplayer.com/product/496913</t>
        </is>
      </c>
    </row>
    <row r="2197">
      <c r="A2197" s="2" t="inlineStr">
        <is>
          <t>Paldea Evolved Build &amp; Battle Box</t>
        </is>
      </c>
      <c r="B2197" s="3">
        <f>IF(H2197&lt;&gt;"",H2197,IF(I2197&lt;&gt;"",I2197,IF(J2197&lt;&gt;"",J2197,K2197)))</f>
        <v>66.38</v>
      </c>
      <c r="C2197" s="3">
        <f>MEDIAN(H2197:K2197)</f>
        <v>65.47</v>
      </c>
      <c r="D2197" s="3">
        <f>ROUND(C2197*(1-Settings!$B$2),2)</f>
        <v>45.83</v>
      </c>
      <c r="E2197" s="2" t="inlineStr">
        <is>
          <t>Pokemon</t>
        </is>
      </c>
      <c r="F2197" s="2" t="inlineStr">
        <is>
          <t>Coffret</t>
        </is>
      </c>
      <c r="G2197" s="2" t="inlineStr">
        <is>
          <t>SV02: Paldea Evolved</t>
        </is>
      </c>
      <c r="H2197" s="3" t="n">
        <v>66.38</v>
      </c>
      <c r="I2197" s="3" t="n">
        <v>64.56</v>
      </c>
      <c r="J2197" s="3" t="n">
        <v>69.84</v>
      </c>
      <c r="K2197" s="3" t="n">
        <v>58.47</v>
      </c>
      <c r="L2197" s="2" t="inlineStr">
        <is>
          <t>PriceCharting + TCGplayer</t>
        </is>
      </c>
      <c r="M2197" s="4" t="inlineStr">
        <is>
          <t>https://www.pricecharting.com/game/pokemon-paldea-evolved/build-and-battle-box</t>
        </is>
      </c>
      <c r="N2197" s="4" t="inlineStr">
        <is>
          <t>https://www.tcgplayer.com/product/496929</t>
        </is>
      </c>
    </row>
    <row r="2198">
      <c r="A2198" s="2" t="inlineStr">
        <is>
          <t>Paldea Evolved Build &amp; Battle Stadium</t>
        </is>
      </c>
      <c r="B2198" s="3">
        <f>IF(H2198&lt;&gt;"",H2198,IF(I2198&lt;&gt;"",I2198,IF(J2198&lt;&gt;"",J2198,K2198)))</f>
        <v>200.0</v>
      </c>
      <c r="C2198" s="3">
        <f>MEDIAN(H2198:K2198)</f>
        <v>210.72</v>
      </c>
      <c r="D2198" s="3">
        <f>ROUND(C2198*(1-Settings!$B$2),2)</f>
        <v>147.5</v>
      </c>
      <c r="E2198" s="2" t="inlineStr">
        <is>
          <t>Pokemon</t>
        </is>
      </c>
      <c r="F2198" s="2" t="inlineStr">
        <is>
          <t>Coffret</t>
        </is>
      </c>
      <c r="G2198" s="2" t="inlineStr">
        <is>
          <t>SV02: Paldea Evolved</t>
        </is>
      </c>
      <c r="H2198" s="3" t="n">
        <v>200</v>
      </c>
      <c r="I2198" s="3" t="n">
        <v>205.49</v>
      </c>
      <c r="J2198" s="3" t="n">
        <v>230.32</v>
      </c>
      <c r="K2198" s="3" t="n">
        <v>215.95</v>
      </c>
      <c r="L2198" s="2" t="inlineStr">
        <is>
          <t>PriceCharting + TCGplayer</t>
        </is>
      </c>
      <c r="M2198" s="4" t="inlineStr">
        <is>
          <t>https://www.pricecharting.com/game/pokemon-paldea-evolved/build-&amp;-battle-stadium</t>
        </is>
      </c>
      <c r="N2198" s="4" t="inlineStr">
        <is>
          <t>https://www.tcgplayer.com/product/496935</t>
        </is>
      </c>
    </row>
    <row r="2199">
      <c r="A2199" s="2" t="inlineStr">
        <is>
          <t>Paldea Evolved Elite Trainer Box</t>
        </is>
      </c>
      <c r="B2199" s="3">
        <f>IF(H2199&lt;&gt;"",H2199,IF(I2199&lt;&gt;"",I2199,IF(J2199&lt;&gt;"",J2199,K2199)))</f>
        <v>213.57</v>
      </c>
      <c r="C2199" s="3">
        <f>MEDIAN(H2199:K2199)</f>
        <v>215.76</v>
      </c>
      <c r="D2199" s="3">
        <f>ROUND(C2199*(1-Settings!$B$2),2)</f>
        <v>151.03</v>
      </c>
      <c r="E2199" s="2" t="inlineStr">
        <is>
          <t>Pokemon</t>
        </is>
      </c>
      <c r="F2199" s="2" t="inlineStr">
        <is>
          <t>Coffret</t>
        </is>
      </c>
      <c r="G2199" s="2" t="inlineStr">
        <is>
          <t>SV02: Paldea Evolved</t>
        </is>
      </c>
      <c r="H2199" s="3" t="n">
        <v>213.57</v>
      </c>
      <c r="I2199" s="3" t="n">
        <v>217.95</v>
      </c>
      <c r="J2199" s="3" t="n">
        <v>232.5</v>
      </c>
      <c r="K2199" s="3" t="n">
        <v>190</v>
      </c>
      <c r="L2199" s="2" t="inlineStr">
        <is>
          <t>PriceCharting + TCGplayer</t>
        </is>
      </c>
      <c r="M2199" s="4" t="inlineStr">
        <is>
          <t>https://www.pricecharting.com/game/pokemon-paldea-evolved/elite-trainer-box</t>
        </is>
      </c>
      <c r="N2199" s="4" t="inlineStr">
        <is>
          <t>https://www.tcgplayer.com/product/493974</t>
        </is>
      </c>
    </row>
    <row r="2200">
      <c r="A2200" s="2" t="inlineStr">
        <is>
          <t>Paldea Evolved Pokemon Center Elite Trainer Box (Exclusive)</t>
        </is>
      </c>
      <c r="B2200" s="3">
        <f>IF(H2200&lt;&gt;"",H2200,IF(I2200&lt;&gt;"",I2200,IF(J2200&lt;&gt;"",J2200,K2200)))</f>
        <v>611.51</v>
      </c>
      <c r="C2200" s="3">
        <f>MEDIAN(H2200:K2200)</f>
        <v>611.51</v>
      </c>
      <c r="D2200" s="3">
        <f>ROUND(C2200*(1-Settings!$B$2),2)</f>
        <v>428.06</v>
      </c>
      <c r="E2200" s="2" t="inlineStr">
        <is>
          <t>Pokemon</t>
        </is>
      </c>
      <c r="F2200" s="2" t="inlineStr">
        <is>
          <t>Coffret</t>
        </is>
      </c>
      <c r="G2200" s="2" t="inlineStr">
        <is>
          <t>SV02: Paldea Evolved</t>
        </is>
      </c>
      <c r="H2200" s="3" t="n"/>
      <c r="I2200" s="3" t="n">
        <v>611.51</v>
      </c>
      <c r="J2200" s="3" t="n">
        <v>611.51</v>
      </c>
      <c r="K2200" s="3" t="n">
        <v>561.95</v>
      </c>
      <c r="L2200" s="2" t="inlineStr">
        <is>
          <t>TCGplayer</t>
        </is>
      </c>
      <c r="N2200" s="4" t="inlineStr">
        <is>
          <t>https://www.tcgplayer.com/product/493973</t>
        </is>
      </c>
    </row>
    <row r="2201">
      <c r="A2201" s="2" t="inlineStr">
        <is>
          <t>Paldea Evolved Sleeved Booster Pack Art Bundle [Set of 5]</t>
        </is>
      </c>
      <c r="B2201" s="3">
        <f>IF(H2201&lt;&gt;"",H2201,IF(I2201&lt;&gt;"",I2201,IF(J2201&lt;&gt;"",J2201,K2201)))</f>
        <v>79.39</v>
      </c>
      <c r="C2201" s="3">
        <f>MEDIAN(H2201:K2201)</f>
        <v>82.99</v>
      </c>
      <c r="D2201" s="3">
        <f>ROUND(C2201*(1-Settings!$B$2),2)</f>
        <v>58.09</v>
      </c>
      <c r="E2201" s="2" t="inlineStr">
        <is>
          <t>Pokemon</t>
        </is>
      </c>
      <c r="F2201" s="2" t="inlineStr">
        <is>
          <t>Coffret</t>
        </is>
      </c>
      <c r="G2201" s="2" t="inlineStr">
        <is>
          <t>SV02: Paldea Evolved</t>
        </is>
      </c>
      <c r="H2201" s="3" t="n"/>
      <c r="I2201" s="3" t="n">
        <v>79.39</v>
      </c>
      <c r="J2201" s="3" t="n">
        <v>89.48999999999999</v>
      </c>
      <c r="K2201" s="3" t="n">
        <v>82.98999999999999</v>
      </c>
      <c r="L2201" s="2" t="inlineStr">
        <is>
          <t>TCGplayer</t>
        </is>
      </c>
      <c r="N2201" s="4" t="inlineStr">
        <is>
          <t>https://www.tcgplayer.com/product/502480</t>
        </is>
      </c>
    </row>
    <row r="2202">
      <c r="A2202" s="2" t="inlineStr">
        <is>
          <t>Obsidian Flames Booster Bundle</t>
        </is>
      </c>
      <c r="B2202" s="3">
        <f>IF(H2202&lt;&gt;"",H2202,IF(I2202&lt;&gt;"",I2202,IF(J2202&lt;&gt;"",J2202,K2202)))</f>
        <v>100.0</v>
      </c>
      <c r="C2202" s="3">
        <f>MEDIAN(H2202:K2202)</f>
        <v>119.745</v>
      </c>
      <c r="D2202" s="3">
        <f>ROUND(C2202*(1-Settings!$B$2),2)</f>
        <v>83.82</v>
      </c>
      <c r="E2202" s="2" t="inlineStr">
        <is>
          <t>Pokemon</t>
        </is>
      </c>
      <c r="F2202" s="2" t="inlineStr">
        <is>
          <t>Coffret</t>
        </is>
      </c>
      <c r="G2202" s="2" t="inlineStr">
        <is>
          <t>SV03: Obsidian Flames</t>
        </is>
      </c>
      <c r="H2202" s="3" t="n">
        <v>100</v>
      </c>
      <c r="I2202" s="3" t="n">
        <v>121.49</v>
      </c>
      <c r="J2202" s="3" t="n">
        <v>125</v>
      </c>
      <c r="K2202" s="3" t="n">
        <v>118</v>
      </c>
      <c r="L2202" s="2" t="inlineStr">
        <is>
          <t>PriceCharting + TCGplayer</t>
        </is>
      </c>
      <c r="M2202" s="4" t="inlineStr">
        <is>
          <t>https://www.pricecharting.com/game/pokemon-obsidian-flames/booster-bundle</t>
        </is>
      </c>
      <c r="N2202" s="4" t="inlineStr">
        <is>
          <t>https://www.tcgplayer.com/product/501263</t>
        </is>
      </c>
    </row>
    <row r="2203">
      <c r="A2203" s="2" t="inlineStr">
        <is>
          <t>Obsidian Flames Booster Pack Art Bundle [Set of 4]</t>
        </is>
      </c>
      <c r="B2203" s="3">
        <f>IF(H2203&lt;&gt;"",H2203,IF(I2203&lt;&gt;"",I2203,IF(J2203&lt;&gt;"",J2203,K2203)))</f>
        <v>52.65</v>
      </c>
      <c r="C2203" s="3">
        <f>MEDIAN(H2203:K2203)</f>
        <v>53.0</v>
      </c>
      <c r="D2203" s="3">
        <f>ROUND(C2203*(1-Settings!$B$2),2)</f>
        <v>37.1</v>
      </c>
      <c r="E2203" s="2" t="inlineStr">
        <is>
          <t>Pokemon</t>
        </is>
      </c>
      <c r="F2203" s="2" t="inlineStr">
        <is>
          <t>Coffret</t>
        </is>
      </c>
      <c r="G2203" s="2" t="inlineStr">
        <is>
          <t>SV03: Obsidian Flames</t>
        </is>
      </c>
      <c r="H2203" s="3" t="n"/>
      <c r="I2203" s="3" t="n">
        <v>52.65</v>
      </c>
      <c r="J2203" s="3" t="n">
        <v>57.49</v>
      </c>
      <c r="K2203" s="3" t="n">
        <v>53</v>
      </c>
      <c r="L2203" s="2" t="inlineStr">
        <is>
          <t>TCGplayer</t>
        </is>
      </c>
      <c r="N2203" s="4" t="inlineStr">
        <is>
          <t>https://www.tcgplayer.com/product/515079</t>
        </is>
      </c>
    </row>
    <row r="2204">
      <c r="A2204" s="2" t="inlineStr">
        <is>
          <t>Obsidian Flames Build &amp; Battle Box</t>
        </is>
      </c>
      <c r="B2204" s="3">
        <f>IF(H2204&lt;&gt;"",H2204,IF(I2204&lt;&gt;"",I2204,IF(J2204&lt;&gt;"",J2204,K2204)))</f>
        <v>61.98</v>
      </c>
      <c r="C2204" s="3">
        <f>MEDIAN(H2204:K2204)</f>
        <v>59.89</v>
      </c>
      <c r="D2204" s="3">
        <f>ROUND(C2204*(1-Settings!$B$2),2)</f>
        <v>41.92</v>
      </c>
      <c r="E2204" s="2" t="inlineStr">
        <is>
          <t>Pokemon</t>
        </is>
      </c>
      <c r="F2204" s="2" t="inlineStr">
        <is>
          <t>Coffret</t>
        </is>
      </c>
      <c r="G2204" s="2" t="inlineStr">
        <is>
          <t>SV03: Obsidian Flames</t>
        </is>
      </c>
      <c r="H2204" s="3" t="n">
        <v>61.98</v>
      </c>
      <c r="I2204" s="3" t="n">
        <v>57.8</v>
      </c>
      <c r="J2204" s="3" t="n">
        <v>61.98</v>
      </c>
      <c r="K2204" s="3" t="n">
        <v>57</v>
      </c>
      <c r="L2204" s="2" t="inlineStr">
        <is>
          <t>PriceCharting + TCGplayer</t>
        </is>
      </c>
      <c r="M2204" s="4" t="inlineStr">
        <is>
          <t>https://www.pricecharting.com/game/pokemon-obsidian-flames/build-and-battle-box</t>
        </is>
      </c>
      <c r="N2204" s="4" t="inlineStr">
        <is>
          <t>https://www.tcgplayer.com/product/501268</t>
        </is>
      </c>
    </row>
    <row r="2205">
      <c r="A2205" s="2" t="inlineStr">
        <is>
          <t>Obsidian Flames Build &amp; Battle Stadium</t>
        </is>
      </c>
      <c r="B2205" s="3">
        <f>IF(H2205&lt;&gt;"",H2205,IF(I2205&lt;&gt;"",I2205,IF(J2205&lt;&gt;"",J2205,K2205)))</f>
        <v>129.38</v>
      </c>
      <c r="C2205" s="3">
        <f>MEDIAN(H2205:K2205)</f>
        <v>187.975</v>
      </c>
      <c r="D2205" s="3">
        <f>ROUND(C2205*(1-Settings!$B$2),2)</f>
        <v>131.58</v>
      </c>
      <c r="E2205" s="2" t="inlineStr">
        <is>
          <t>Pokemon</t>
        </is>
      </c>
      <c r="F2205" s="2" t="inlineStr">
        <is>
          <t>Coffret</t>
        </is>
      </c>
      <c r="G2205" s="2" t="inlineStr">
        <is>
          <t>SV03: Obsidian Flames</t>
        </is>
      </c>
      <c r="H2205" s="3" t="n">
        <v>129.38</v>
      </c>
      <c r="I2205" s="3" t="n">
        <v>186</v>
      </c>
      <c r="J2205" s="3" t="n">
        <v>207.5</v>
      </c>
      <c r="K2205" s="3" t="n">
        <v>189.95</v>
      </c>
      <c r="L2205" s="2" t="inlineStr">
        <is>
          <t>PriceCharting + TCGplayer</t>
        </is>
      </c>
      <c r="M2205" s="4" t="inlineStr">
        <is>
          <t>https://www.pricecharting.com/game/pokemon-obsidian-flames/build-&amp;-battle-stadium</t>
        </is>
      </c>
      <c r="N2205" s="4" t="inlineStr">
        <is>
          <t>https://www.tcgplayer.com/product/501267</t>
        </is>
      </c>
    </row>
    <row r="2206">
      <c r="A2206" s="2" t="inlineStr">
        <is>
          <t>Obsidian Flames Elite Trainer Box</t>
        </is>
      </c>
      <c r="B2206" s="3">
        <f>IF(H2206&lt;&gt;"",H2206,IF(I2206&lt;&gt;"",I2206,IF(J2206&lt;&gt;"",J2206,K2206)))</f>
        <v>275.0</v>
      </c>
      <c r="C2206" s="3">
        <f>MEDIAN(H2206:K2206)</f>
        <v>274.95500000000004</v>
      </c>
      <c r="D2206" s="3">
        <f>ROUND(C2206*(1-Settings!$B$2),2)</f>
        <v>192.47</v>
      </c>
      <c r="E2206" s="2" t="inlineStr">
        <is>
          <t>Pokemon</t>
        </is>
      </c>
      <c r="F2206" s="2" t="inlineStr">
        <is>
          <t>Coffret</t>
        </is>
      </c>
      <c r="G2206" s="2" t="inlineStr">
        <is>
          <t>SV03: Obsidian Flames</t>
        </is>
      </c>
      <c r="H2206" s="3" t="n">
        <v>275</v>
      </c>
      <c r="I2206" s="3" t="n">
        <v>274.91</v>
      </c>
      <c r="J2206" s="3" t="n">
        <v>315.46</v>
      </c>
      <c r="K2206" s="3" t="n">
        <v>220</v>
      </c>
      <c r="L2206" s="2" t="inlineStr">
        <is>
          <t>PriceCharting + TCGplayer</t>
        </is>
      </c>
      <c r="M2206" s="4" t="inlineStr">
        <is>
          <t>https://www.pricecharting.com/game/pokemon-obsidian-flames/elite-trainer-box</t>
        </is>
      </c>
      <c r="N2206" s="4" t="inlineStr">
        <is>
          <t>https://www.tcgplayer.com/product/501264</t>
        </is>
      </c>
    </row>
    <row r="2207">
      <c r="A2207" s="2" t="inlineStr">
        <is>
          <t>Obsidian Flames Pokemon Center Elite Trainer Box (Exclusive)</t>
        </is>
      </c>
      <c r="B2207" s="3">
        <f>IF(H2207&lt;&gt;"",H2207,IF(I2207&lt;&gt;"",I2207,IF(J2207&lt;&gt;"",J2207,K2207)))</f>
        <v>631.59</v>
      </c>
      <c r="C2207" s="3">
        <f>MEDIAN(H2207:K2207)</f>
        <v>634.9</v>
      </c>
      <c r="D2207" s="3">
        <f>ROUND(C2207*(1-Settings!$B$2),2)</f>
        <v>444.43</v>
      </c>
      <c r="E2207" s="2" t="inlineStr">
        <is>
          <t>Pokemon</t>
        </is>
      </c>
      <c r="F2207" s="2" t="inlineStr">
        <is>
          <t>Coffret</t>
        </is>
      </c>
      <c r="G2207" s="2" t="inlineStr">
        <is>
          <t>SV03: Obsidian Flames</t>
        </is>
      </c>
      <c r="H2207" s="3" t="n"/>
      <c r="I2207" s="3" t="n">
        <v>631.59</v>
      </c>
      <c r="J2207" s="3" t="n">
        <v>763.88</v>
      </c>
      <c r="K2207" s="3" t="n">
        <v>634.9</v>
      </c>
      <c r="L2207" s="2" t="inlineStr">
        <is>
          <t>TCGplayer</t>
        </is>
      </c>
      <c r="N2207" s="4" t="inlineStr">
        <is>
          <t>https://www.tcgplayer.com/product/501266</t>
        </is>
      </c>
    </row>
    <row r="2208">
      <c r="A2208" s="2" t="inlineStr">
        <is>
          <t>Obsidian Flames Sleeved Booster Pack Art Bundle [Set of 4]</t>
        </is>
      </c>
      <c r="B2208" s="3">
        <f>IF(H2208&lt;&gt;"",H2208,IF(I2208&lt;&gt;"",I2208,IF(J2208&lt;&gt;"",J2208,K2208)))</f>
        <v>57.76</v>
      </c>
      <c r="C2208" s="3">
        <f>MEDIAN(H2208:K2208)</f>
        <v>58.0</v>
      </c>
      <c r="D2208" s="3">
        <f>ROUND(C2208*(1-Settings!$B$2),2)</f>
        <v>40.6</v>
      </c>
      <c r="E2208" s="2" t="inlineStr">
        <is>
          <t>Pokemon</t>
        </is>
      </c>
      <c r="F2208" s="2" t="inlineStr">
        <is>
          <t>Coffret</t>
        </is>
      </c>
      <c r="G2208" s="2" t="inlineStr">
        <is>
          <t>SV03: Obsidian Flames</t>
        </is>
      </c>
      <c r="H2208" s="3" t="n"/>
      <c r="I2208" s="3" t="n">
        <v>57.76</v>
      </c>
      <c r="J2208" s="3" t="n">
        <v>65</v>
      </c>
      <c r="K2208" s="3" t="n">
        <v>58</v>
      </c>
      <c r="L2208" s="2" t="inlineStr">
        <is>
          <t>TCGplayer</t>
        </is>
      </c>
      <c r="N2208" s="4" t="inlineStr">
        <is>
          <t>https://www.tcgplayer.com/product/513422</t>
        </is>
      </c>
    </row>
    <row r="2209">
      <c r="A2209" s="2" t="inlineStr">
        <is>
          <t>Paradox Rift Booster Bundle</t>
        </is>
      </c>
      <c r="B2209" s="3">
        <f>IF(H2209&lt;&gt;"",H2209,IF(I2209&lt;&gt;"",I2209,IF(J2209&lt;&gt;"",J2209,K2209)))</f>
        <v>39.99</v>
      </c>
      <c r="C2209" s="3">
        <f>MEDIAN(H2209:K2209)</f>
        <v>94.3</v>
      </c>
      <c r="D2209" s="3">
        <f>ROUND(C2209*(1-Settings!$B$2),2)</f>
        <v>66.01</v>
      </c>
      <c r="E2209" s="2" t="inlineStr">
        <is>
          <t>Pokemon</t>
        </is>
      </c>
      <c r="F2209" s="2" t="inlineStr">
        <is>
          <t>Coffret</t>
        </is>
      </c>
      <c r="G2209" s="2" t="inlineStr">
        <is>
          <t>SV04: Paradox Rift</t>
        </is>
      </c>
      <c r="H2209" s="3" t="n">
        <v>39.99</v>
      </c>
      <c r="I2209" s="3" t="n">
        <v>90.59999999999999</v>
      </c>
      <c r="J2209" s="3" t="n">
        <v>114.94</v>
      </c>
      <c r="K2209" s="3" t="n">
        <v>98</v>
      </c>
      <c r="L2209" s="2" t="inlineStr">
        <is>
          <t>PriceCharting + TCGplayer</t>
        </is>
      </c>
      <c r="M2209" s="4" t="inlineStr">
        <is>
          <t>https://www.pricecharting.com/game/pokemon-paradox-rift/booster-bundle</t>
        </is>
      </c>
      <c r="N2209" s="4" t="inlineStr">
        <is>
          <t>https://www.tcgplayer.com/product/512820</t>
        </is>
      </c>
    </row>
    <row r="2210">
      <c r="A2210" s="2" t="inlineStr">
        <is>
          <t>Paradox Rift Booster Pack Art Bundle [Set of 4]</t>
        </is>
      </c>
      <c r="B2210" s="3">
        <f>IF(H2210&lt;&gt;"",H2210,IF(I2210&lt;&gt;"",I2210,IF(J2210&lt;&gt;"",J2210,K2210)))</f>
        <v>40.31</v>
      </c>
      <c r="C2210" s="3">
        <f>MEDIAN(H2210:K2210)</f>
        <v>40.0</v>
      </c>
      <c r="D2210" s="3">
        <f>ROUND(C2210*(1-Settings!$B$2),2)</f>
        <v>28.0</v>
      </c>
      <c r="E2210" s="2" t="inlineStr">
        <is>
          <t>Pokemon</t>
        </is>
      </c>
      <c r="F2210" s="2" t="inlineStr">
        <is>
          <t>Coffret</t>
        </is>
      </c>
      <c r="G2210" s="2" t="inlineStr">
        <is>
          <t>SV04: Paradox Rift</t>
        </is>
      </c>
      <c r="H2210" s="3" t="n"/>
      <c r="I2210" s="3" t="n">
        <v>40.31</v>
      </c>
      <c r="J2210" s="3" t="n">
        <v>40</v>
      </c>
      <c r="K2210" s="3" t="n">
        <v>35.99</v>
      </c>
      <c r="L2210" s="2" t="inlineStr">
        <is>
          <t>TCGplayer</t>
        </is>
      </c>
      <c r="N2210" s="4" t="inlineStr">
        <is>
          <t>https://www.tcgplayer.com/product/512831</t>
        </is>
      </c>
    </row>
    <row r="2211">
      <c r="A2211" s="2" t="inlineStr">
        <is>
          <t>Paradox Rift Build &amp; Battle Box</t>
        </is>
      </c>
      <c r="B2211" s="3">
        <f>IF(H2211&lt;&gt;"",H2211,IF(I2211&lt;&gt;"",I2211,IF(J2211&lt;&gt;"",J2211,K2211)))</f>
        <v>43.79</v>
      </c>
      <c r="C2211" s="3">
        <f>MEDIAN(H2211:K2211)</f>
        <v>43.51</v>
      </c>
      <c r="D2211" s="3">
        <f>ROUND(C2211*(1-Settings!$B$2),2)</f>
        <v>30.46</v>
      </c>
      <c r="E2211" s="2" t="inlineStr">
        <is>
          <t>Pokemon</t>
        </is>
      </c>
      <c r="F2211" s="2" t="inlineStr">
        <is>
          <t>Coffret</t>
        </is>
      </c>
      <c r="G2211" s="2" t="inlineStr">
        <is>
          <t>SV04: Paradox Rift</t>
        </is>
      </c>
      <c r="H2211" s="3" t="n">
        <v>43.79</v>
      </c>
      <c r="I2211" s="3" t="n">
        <v>43.23</v>
      </c>
      <c r="J2211" s="3" t="n">
        <v>47.48</v>
      </c>
      <c r="K2211" s="3" t="n">
        <v>39.21</v>
      </c>
      <c r="L2211" s="2" t="inlineStr">
        <is>
          <t>PriceCharting + TCGplayer</t>
        </is>
      </c>
      <c r="M2211" s="4" t="inlineStr">
        <is>
          <t>https://www.pricecharting.com/game/pokemon-paradox-rift/build-&amp;-battle-box</t>
        </is>
      </c>
      <c r="N2211" s="4" t="inlineStr">
        <is>
          <t>https://www.tcgplayer.com/product/514068</t>
        </is>
      </c>
    </row>
    <row r="2212">
      <c r="A2212" s="2" t="inlineStr">
        <is>
          <t>Paradox Rift Build &amp; Battle Stadium</t>
        </is>
      </c>
      <c r="B2212" s="3">
        <f>IF(H2212&lt;&gt;"",H2212,IF(I2212&lt;&gt;"",I2212,IF(J2212&lt;&gt;"",J2212,K2212)))</f>
        <v>96.85</v>
      </c>
      <c r="C2212" s="3">
        <f>MEDIAN(H2212:K2212)</f>
        <v>98.4</v>
      </c>
      <c r="D2212" s="3">
        <f>ROUND(C2212*(1-Settings!$B$2),2)</f>
        <v>68.88</v>
      </c>
      <c r="E2212" s="2" t="inlineStr">
        <is>
          <t>Pokemon</t>
        </is>
      </c>
      <c r="F2212" s="2" t="inlineStr">
        <is>
          <t>Coffret</t>
        </is>
      </c>
      <c r="G2212" s="2" t="inlineStr">
        <is>
          <t>SV04: Paradox Rift</t>
        </is>
      </c>
      <c r="H2212" s="3" t="n">
        <v>96.84999999999999</v>
      </c>
      <c r="I2212" s="3" t="n">
        <v>94.93000000000001</v>
      </c>
      <c r="J2212" s="3" t="n">
        <v>107.89</v>
      </c>
      <c r="K2212" s="3" t="n">
        <v>99.95</v>
      </c>
      <c r="L2212" s="2" t="inlineStr">
        <is>
          <t>PriceCharting + TCGplayer</t>
        </is>
      </c>
      <c r="M2212" s="4" t="inlineStr">
        <is>
          <t>https://www.pricecharting.com/game/pokemon-paradox-rift/build-&amp;-battle-stadium</t>
        </is>
      </c>
      <c r="N2212" s="4" t="inlineStr">
        <is>
          <t>https://www.tcgplayer.com/product/514070</t>
        </is>
      </c>
    </row>
    <row r="2213">
      <c r="A2213" s="2" t="inlineStr">
        <is>
          <t>Paradox Rift Elite Trainer Box [Iron Valiant]</t>
        </is>
      </c>
      <c r="B2213" s="3">
        <f>IF(H2213&lt;&gt;"",H2213,IF(I2213&lt;&gt;"",I2213,IF(J2213&lt;&gt;"",J2213,K2213)))</f>
        <v>135.0</v>
      </c>
      <c r="C2213" s="3">
        <f>MEDIAN(H2213:K2213)</f>
        <v>135.09</v>
      </c>
      <c r="D2213" s="3">
        <f>ROUND(C2213*(1-Settings!$B$2),2)</f>
        <v>94.56</v>
      </c>
      <c r="E2213" s="2" t="inlineStr">
        <is>
          <t>Pokemon</t>
        </is>
      </c>
      <c r="F2213" s="2" t="inlineStr">
        <is>
          <t>Coffret</t>
        </is>
      </c>
      <c r="G2213" s="2" t="inlineStr">
        <is>
          <t>SV04: Paradox Rift</t>
        </is>
      </c>
      <c r="H2213" s="3" t="n">
        <v>135</v>
      </c>
      <c r="I2213" s="3" t="n">
        <v>135.18</v>
      </c>
      <c r="J2213" s="3" t="n">
        <v>155.04</v>
      </c>
      <c r="K2213" s="3" t="n">
        <v>130</v>
      </c>
      <c r="L2213" s="2" t="inlineStr">
        <is>
          <t>PriceCharting + TCGplayer</t>
        </is>
      </c>
      <c r="M2213" s="4" t="inlineStr">
        <is>
          <t>https://www.pricecharting.com/game/pokemon-paradox-rift/elite-trainer-box-iron-valiant</t>
        </is>
      </c>
      <c r="N2213" s="4" t="inlineStr">
        <is>
          <t>https://www.tcgplayer.com/product/512813</t>
        </is>
      </c>
    </row>
    <row r="2214">
      <c r="A2214" s="2" t="inlineStr">
        <is>
          <t>Paradox Rift Elite Trainer Box [Roaring Moon]</t>
        </is>
      </c>
      <c r="B2214" s="3">
        <f>IF(H2214&lt;&gt;"",H2214,IF(I2214&lt;&gt;"",I2214,IF(J2214&lt;&gt;"",J2214,K2214)))</f>
        <v>140.62</v>
      </c>
      <c r="C2214" s="3">
        <f>MEDIAN(H2214:K2214)</f>
        <v>139.05</v>
      </c>
      <c r="D2214" s="3">
        <f>ROUND(C2214*(1-Settings!$B$2),2)</f>
        <v>97.34</v>
      </c>
      <c r="E2214" s="2" t="inlineStr">
        <is>
          <t>Pokemon</t>
        </is>
      </c>
      <c r="F2214" s="2" t="inlineStr">
        <is>
          <t>Coffret</t>
        </is>
      </c>
      <c r="G2214" s="2" t="inlineStr">
        <is>
          <t>SV04: Paradox Rift</t>
        </is>
      </c>
      <c r="H2214" s="3" t="n">
        <v>140.62</v>
      </c>
      <c r="I2214" s="3" t="n">
        <v>137.48</v>
      </c>
      <c r="J2214" s="3" t="n">
        <v>146.97</v>
      </c>
      <c r="K2214" s="3" t="n">
        <v>126.99</v>
      </c>
      <c r="L2214" s="2" t="inlineStr">
        <is>
          <t>PriceCharting + TCGplayer</t>
        </is>
      </c>
      <c r="M2214" s="4" t="inlineStr">
        <is>
          <t>https://www.pricecharting.com/game/pokemon-paradox-rift/elite-trainer-box-roaring-moon</t>
        </is>
      </c>
      <c r="N2214" s="4" t="inlineStr">
        <is>
          <t>https://www.tcgplayer.com/product/512815</t>
        </is>
      </c>
    </row>
    <row r="2215">
      <c r="A2215" s="2" t="inlineStr">
        <is>
          <t>Paradox Rift Pokemon Center Elite Trainer Box (Exclusive) [Iron Valiant]</t>
        </is>
      </c>
      <c r="B2215" s="3">
        <f>IF(H2215&lt;&gt;"",H2215,IF(I2215&lt;&gt;"",I2215,IF(J2215&lt;&gt;"",J2215,K2215)))</f>
        <v>191.19</v>
      </c>
      <c r="C2215" s="3">
        <f>MEDIAN(H2215:K2215)</f>
        <v>191.19</v>
      </c>
      <c r="D2215" s="3">
        <f>ROUND(C2215*(1-Settings!$B$2),2)</f>
        <v>133.83</v>
      </c>
      <c r="E2215" s="2" t="inlineStr">
        <is>
          <t>Pokemon</t>
        </is>
      </c>
      <c r="F2215" s="2" t="inlineStr">
        <is>
          <t>Coffret</t>
        </is>
      </c>
      <c r="G2215" s="2" t="inlineStr">
        <is>
          <t>SV04: Paradox Rift</t>
        </is>
      </c>
      <c r="H2215" s="3" t="n"/>
      <c r="I2215" s="3" t="n">
        <v>191.19</v>
      </c>
      <c r="J2215" s="3" t="n">
        <v>200</v>
      </c>
      <c r="K2215" s="3" t="n">
        <v>189.51</v>
      </c>
      <c r="L2215" s="2" t="inlineStr">
        <is>
          <t>TCGplayer</t>
        </is>
      </c>
      <c r="N2215" s="4" t="inlineStr">
        <is>
          <t>https://www.tcgplayer.com/product/512801</t>
        </is>
      </c>
    </row>
    <row r="2216">
      <c r="A2216" s="2" t="inlineStr">
        <is>
          <t>Paradox Rift Pokemon Center Elite Trainer Box (Exclusive) [Roaring Moon]</t>
        </is>
      </c>
      <c r="B2216" s="3">
        <f>IF(H2216&lt;&gt;"",H2216,IF(I2216&lt;&gt;"",I2216,IF(J2216&lt;&gt;"",J2216,K2216)))</f>
        <v>222.52</v>
      </c>
      <c r="C2216" s="3">
        <f>MEDIAN(H2216:K2216)</f>
        <v>222.52</v>
      </c>
      <c r="D2216" s="3">
        <f>ROUND(C2216*(1-Settings!$B$2),2)</f>
        <v>155.76</v>
      </c>
      <c r="E2216" s="2" t="inlineStr">
        <is>
          <t>Pokemon</t>
        </is>
      </c>
      <c r="F2216" s="2" t="inlineStr">
        <is>
          <t>Coffret</t>
        </is>
      </c>
      <c r="G2216" s="2" t="inlineStr">
        <is>
          <t>SV04: Paradox Rift</t>
        </is>
      </c>
      <c r="H2216" s="3" t="n"/>
      <c r="I2216" s="3" t="n">
        <v>222.52</v>
      </c>
      <c r="J2216" s="3" t="n">
        <v>222.52</v>
      </c>
      <c r="K2216" s="3" t="n">
        <v>208.75</v>
      </c>
      <c r="L2216" s="2" t="inlineStr">
        <is>
          <t>TCGplayer</t>
        </is>
      </c>
      <c r="N2216" s="4" t="inlineStr">
        <is>
          <t>https://www.tcgplayer.com/product/512809</t>
        </is>
      </c>
    </row>
    <row r="2217">
      <c r="A2217" s="2" t="inlineStr">
        <is>
          <t>Temporal Forces Booster Bundle</t>
        </is>
      </c>
      <c r="B2217" s="3">
        <f>IF(H2217&lt;&gt;"",H2217,IF(I2217&lt;&gt;"",I2217,IF(J2217&lt;&gt;"",J2217,K2217)))</f>
        <v>80.32</v>
      </c>
      <c r="C2217" s="3">
        <f>MEDIAN(H2217:K2217)</f>
        <v>84.46</v>
      </c>
      <c r="D2217" s="3">
        <f>ROUND(C2217*(1-Settings!$B$2),2)</f>
        <v>59.12</v>
      </c>
      <c r="E2217" s="2" t="inlineStr">
        <is>
          <t>Pokemon</t>
        </is>
      </c>
      <c r="F2217" s="2" t="inlineStr">
        <is>
          <t>Coffret</t>
        </is>
      </c>
      <c r="G2217" s="2" t="inlineStr">
        <is>
          <t>SV05: Temporal Forces</t>
        </is>
      </c>
      <c r="H2217" s="3" t="n">
        <v>80.31999999999999</v>
      </c>
      <c r="I2217" s="3" t="n">
        <v>88.59999999999999</v>
      </c>
      <c r="J2217" s="3" t="n">
        <v>90</v>
      </c>
      <c r="K2217" s="3" t="n">
        <v>74.98999999999999</v>
      </c>
      <c r="L2217" s="2" t="inlineStr">
        <is>
          <t>PriceCharting + TCGplayer</t>
        </is>
      </c>
      <c r="M2217" s="4" t="inlineStr">
        <is>
          <t>https://www.pricecharting.com/game/pokemon-temporal-forces/booster-bundle</t>
        </is>
      </c>
      <c r="N2217" s="4" t="inlineStr">
        <is>
          <t>https://www.tcgplayer.com/product/541017</t>
        </is>
      </c>
    </row>
    <row r="2218">
      <c r="A2218" s="2" t="inlineStr">
        <is>
          <t>Temporal Forces Booster Pack Art Bundle [Set of 4]</t>
        </is>
      </c>
      <c r="B2218" s="3">
        <f>IF(H2218&lt;&gt;"",H2218,IF(I2218&lt;&gt;"",I2218,IF(J2218&lt;&gt;"",J2218,K2218)))</f>
        <v>39.35</v>
      </c>
      <c r="C2218" s="3">
        <f>MEDIAN(H2218:K2218)</f>
        <v>39.35</v>
      </c>
      <c r="D2218" s="3">
        <f>ROUND(C2218*(1-Settings!$B$2),2)</f>
        <v>27.55</v>
      </c>
      <c r="E2218" s="2" t="inlineStr">
        <is>
          <t>Pokemon</t>
        </is>
      </c>
      <c r="F2218" s="2" t="inlineStr">
        <is>
          <t>Coffret</t>
        </is>
      </c>
      <c r="G2218" s="2" t="inlineStr">
        <is>
          <t>SV05: Temporal Forces</t>
        </is>
      </c>
      <c r="H2218" s="3" t="n"/>
      <c r="I2218" s="3" t="n">
        <v>39.35</v>
      </c>
      <c r="J2218" s="3" t="n">
        <v>41.74</v>
      </c>
      <c r="K2218" s="3" t="n">
        <v>39</v>
      </c>
      <c r="L2218" s="2" t="inlineStr">
        <is>
          <t>TCGplayer</t>
        </is>
      </c>
      <c r="N2218" s="4" t="inlineStr">
        <is>
          <t>https://www.tcgplayer.com/product/538786</t>
        </is>
      </c>
    </row>
    <row r="2219">
      <c r="A2219" s="2" t="inlineStr">
        <is>
          <t>Temporal Forces Build &amp; Battle Box</t>
        </is>
      </c>
      <c r="B2219" s="3">
        <f>IF(H2219&lt;&gt;"",H2219,IF(I2219&lt;&gt;"",I2219,IF(J2219&lt;&gt;"",J2219,K2219)))</f>
        <v>64.42</v>
      </c>
      <c r="C2219" s="3">
        <f>MEDIAN(H2219:K2219)</f>
        <v>67.205</v>
      </c>
      <c r="D2219" s="3">
        <f>ROUND(C2219*(1-Settings!$B$2),2)</f>
        <v>47.04</v>
      </c>
      <c r="E2219" s="2" t="inlineStr">
        <is>
          <t>Pokemon</t>
        </is>
      </c>
      <c r="F2219" s="2" t="inlineStr">
        <is>
          <t>Coffret</t>
        </is>
      </c>
      <c r="G2219" s="2" t="inlineStr">
        <is>
          <t>SV05: Temporal Forces</t>
        </is>
      </c>
      <c r="H2219" s="3" t="n">
        <v>64.42</v>
      </c>
      <c r="I2219" s="3" t="n">
        <v>43.46</v>
      </c>
      <c r="J2219" s="3" t="n">
        <v>70</v>
      </c>
      <c r="K2219" s="3" t="n">
        <v>69.98999999999999</v>
      </c>
      <c r="L2219" s="2" t="inlineStr">
        <is>
          <t>PriceCharting + TCGplayer</t>
        </is>
      </c>
      <c r="M2219" s="4" t="inlineStr">
        <is>
          <t>https://www.pricecharting.com/game/pokemon-temporal-forces/build-and-battle-box</t>
        </is>
      </c>
      <c r="N2219" s="4" t="inlineStr">
        <is>
          <t>https://www.tcgplayer.com/product/537411</t>
        </is>
      </c>
    </row>
    <row r="2220">
      <c r="A2220" s="2" t="inlineStr">
        <is>
          <t>Temporal Forces Elite Trainer Box [Iron Leaves ex]</t>
        </is>
      </c>
      <c r="B2220" s="3">
        <f>IF(H2220&lt;&gt;"",H2220,IF(I2220&lt;&gt;"",I2220,IF(J2220&lt;&gt;"",J2220,K2220)))</f>
        <v>123.82</v>
      </c>
      <c r="C2220" s="3">
        <f>MEDIAN(H2220:K2220)</f>
        <v>123.82</v>
      </c>
      <c r="D2220" s="3">
        <f>ROUND(C2220*(1-Settings!$B$2),2)</f>
        <v>86.67</v>
      </c>
      <c r="E2220" s="2" t="inlineStr">
        <is>
          <t>Pokemon</t>
        </is>
      </c>
      <c r="F2220" s="2" t="inlineStr">
        <is>
          <t>Coffret</t>
        </is>
      </c>
      <c r="G2220" s="2" t="inlineStr">
        <is>
          <t>SV05: Temporal Forces</t>
        </is>
      </c>
      <c r="H2220" s="3" t="n"/>
      <c r="I2220" s="3" t="n">
        <v>123.82</v>
      </c>
      <c r="J2220" s="3" t="n">
        <v>137.48</v>
      </c>
      <c r="K2220" s="3" t="n">
        <v>6.99</v>
      </c>
      <c r="L2220" s="2" t="inlineStr">
        <is>
          <t>TCGplayer</t>
        </is>
      </c>
      <c r="N2220" s="4" t="inlineStr">
        <is>
          <t>https://www.tcgplayer.com/product/532848</t>
        </is>
      </c>
    </row>
    <row r="2221">
      <c r="A2221" s="2" t="inlineStr">
        <is>
          <t>Temporal Forces Elite Trainer Box [Set of 2]</t>
        </is>
      </c>
      <c r="B2221" s="3">
        <f>IF(H2221&lt;&gt;"",H2221,IF(I2221&lt;&gt;"",I2221,IF(J2221&lt;&gt;"",J2221,K2221)))</f>
        <v>236.39</v>
      </c>
      <c r="C2221" s="3">
        <f>MEDIAN(H2221:K2221)</f>
        <v>236.39</v>
      </c>
      <c r="D2221" s="3">
        <f>ROUND(C2221*(1-Settings!$B$2),2)</f>
        <v>165.47</v>
      </c>
      <c r="E2221" s="2" t="inlineStr">
        <is>
          <t>Pokemon</t>
        </is>
      </c>
      <c r="F2221" s="2" t="inlineStr">
        <is>
          <t>Coffret</t>
        </is>
      </c>
      <c r="G2221" s="2" t="inlineStr">
        <is>
          <t>SV05: Temporal Forces</t>
        </is>
      </c>
      <c r="H2221" s="3" t="n"/>
      <c r="I2221" s="3" t="n">
        <v>236.39</v>
      </c>
      <c r="J2221" s="3" t="n"/>
      <c r="K2221" s="3" t="n"/>
      <c r="L2221" s="2" t="inlineStr">
        <is>
          <t>TCGplayer</t>
        </is>
      </c>
      <c r="N2221" s="4" t="inlineStr">
        <is>
          <t>https://www.tcgplayer.com/product/532849</t>
        </is>
      </c>
    </row>
    <row r="2222">
      <c r="A2222" s="2" t="inlineStr">
        <is>
          <t>Temporal Forces Elite Trainer Box [Walking Wake]</t>
        </is>
      </c>
      <c r="B2222" s="3">
        <f>IF(H2222&lt;&gt;"",H2222,IF(I2222&lt;&gt;"",I2222,IF(J2222&lt;&gt;"",J2222,K2222)))</f>
        <v>141.5</v>
      </c>
      <c r="C2222" s="3">
        <f>MEDIAN(H2222:K2222)</f>
        <v>140.75</v>
      </c>
      <c r="D2222" s="3">
        <f>ROUND(C2222*(1-Settings!$B$2),2)</f>
        <v>98.53</v>
      </c>
      <c r="E2222" s="2" t="inlineStr">
        <is>
          <t>Pokemon</t>
        </is>
      </c>
      <c r="F2222" s="2" t="inlineStr">
        <is>
          <t>Coffret</t>
        </is>
      </c>
      <c r="G2222" s="2" t="inlineStr">
        <is>
          <t>SV05: Temporal Forces</t>
        </is>
      </c>
      <c r="H2222" s="3" t="n">
        <v>141.5</v>
      </c>
      <c r="I2222" s="3" t="n">
        <v>140</v>
      </c>
      <c r="J2222" s="3" t="n">
        <v>153.99</v>
      </c>
      <c r="K2222" s="3" t="n">
        <v>79.98999999999999</v>
      </c>
      <c r="L2222" s="2" t="inlineStr">
        <is>
          <t>PriceCharting + TCGplayer</t>
        </is>
      </c>
      <c r="M2222" s="4" t="inlineStr">
        <is>
          <t>https://www.pricecharting.com/game/pokemon-temporal-forces/elite-trainer-box-walking-wake</t>
        </is>
      </c>
      <c r="N2222" s="4" t="inlineStr">
        <is>
          <t>https://www.tcgplayer.com/product/532845</t>
        </is>
      </c>
    </row>
    <row r="2223">
      <c r="A2223" s="2" t="inlineStr">
        <is>
          <t>Temporal Forces Pokemon Center Elite Trainer Box (Exclusive) [Iron Leaves]</t>
        </is>
      </c>
      <c r="B2223" s="3">
        <f>IF(H2223&lt;&gt;"",H2223,IF(I2223&lt;&gt;"",I2223,IF(J2223&lt;&gt;"",J2223,K2223)))</f>
        <v>196.56</v>
      </c>
      <c r="C2223" s="3">
        <f>MEDIAN(H2223:K2223)</f>
        <v>196.56</v>
      </c>
      <c r="D2223" s="3">
        <f>ROUND(C2223*(1-Settings!$B$2),2)</f>
        <v>137.59</v>
      </c>
      <c r="E2223" s="2" t="inlineStr">
        <is>
          <t>Pokemon</t>
        </is>
      </c>
      <c r="F2223" s="2" t="inlineStr">
        <is>
          <t>Coffret</t>
        </is>
      </c>
      <c r="G2223" s="2" t="inlineStr">
        <is>
          <t>SV05: Temporal Forces</t>
        </is>
      </c>
      <c r="H2223" s="3" t="n"/>
      <c r="I2223" s="3" t="n">
        <v>196.56</v>
      </c>
      <c r="J2223" s="3" t="n">
        <v>230.5</v>
      </c>
      <c r="K2223" s="3" t="n">
        <v>190</v>
      </c>
      <c r="L2223" s="2" t="inlineStr">
        <is>
          <t>TCGplayer</t>
        </is>
      </c>
      <c r="N2223" s="4" t="inlineStr">
        <is>
          <t>https://www.tcgplayer.com/product/532853</t>
        </is>
      </c>
    </row>
    <row r="2224">
      <c r="A2224" s="2" t="inlineStr">
        <is>
          <t>Temporal Forces Pokemon Center Elite Trainer Box (Exclusive) [Walking Wake]</t>
        </is>
      </c>
      <c r="B2224" s="3">
        <f>IF(H2224&lt;&gt;"",H2224,IF(I2224&lt;&gt;"",I2224,IF(J2224&lt;&gt;"",J2224,K2224)))</f>
        <v>201.81</v>
      </c>
      <c r="C2224" s="3">
        <f>MEDIAN(H2224:K2224)</f>
        <v>210.0</v>
      </c>
      <c r="D2224" s="3">
        <f>ROUND(C2224*(1-Settings!$B$2),2)</f>
        <v>147.0</v>
      </c>
      <c r="E2224" s="2" t="inlineStr">
        <is>
          <t>Pokemon</t>
        </is>
      </c>
      <c r="F2224" s="2" t="inlineStr">
        <is>
          <t>Coffret</t>
        </is>
      </c>
      <c r="G2224" s="2" t="inlineStr">
        <is>
          <t>SV05: Temporal Forces</t>
        </is>
      </c>
      <c r="H2224" s="3" t="n"/>
      <c r="I2224" s="3" t="n">
        <v>201.81</v>
      </c>
      <c r="J2224" s="3" t="n">
        <v>275</v>
      </c>
      <c r="K2224" s="3" t="n">
        <v>210</v>
      </c>
      <c r="L2224" s="2" t="inlineStr">
        <is>
          <t>TCGplayer</t>
        </is>
      </c>
      <c r="N2224" s="4" t="inlineStr">
        <is>
          <t>https://www.tcgplayer.com/product/538775</t>
        </is>
      </c>
    </row>
    <row r="2225">
      <c r="A2225" s="2" t="inlineStr">
        <is>
          <t>Temporal Forces Sleeved Booster Pack Art Bundle [Set of 4]</t>
        </is>
      </c>
      <c r="B2225" s="3">
        <f>IF(H2225&lt;&gt;"",H2225,IF(I2225&lt;&gt;"",I2225,IF(J2225&lt;&gt;"",J2225,K2225)))</f>
        <v>42.52</v>
      </c>
      <c r="C2225" s="3">
        <f>MEDIAN(H2225:K2225)</f>
        <v>44.99</v>
      </c>
      <c r="D2225" s="3">
        <f>ROUND(C2225*(1-Settings!$B$2),2)</f>
        <v>31.49</v>
      </c>
      <c r="E2225" s="2" t="inlineStr">
        <is>
          <t>Pokemon</t>
        </is>
      </c>
      <c r="F2225" s="2" t="inlineStr">
        <is>
          <t>Coffret</t>
        </is>
      </c>
      <c r="G2225" s="2" t="inlineStr">
        <is>
          <t>SV05: Temporal Forces</t>
        </is>
      </c>
      <c r="H2225" s="3" t="n"/>
      <c r="I2225" s="3" t="n">
        <v>42.52</v>
      </c>
      <c r="J2225" s="3" t="n">
        <v>46.49</v>
      </c>
      <c r="K2225" s="3" t="n">
        <v>44.99</v>
      </c>
      <c r="L2225" s="2" t="inlineStr">
        <is>
          <t>TCGplayer</t>
        </is>
      </c>
      <c r="N2225" s="4" t="inlineStr">
        <is>
          <t>https://www.tcgplayer.com/product/538789</t>
        </is>
      </c>
    </row>
    <row r="2226">
      <c r="A2226" s="2" t="inlineStr">
        <is>
          <t>Temporal Forces Sleeved Booster Pack Bundle [Set of 8]</t>
        </is>
      </c>
      <c r="B2226" s="3">
        <f>IF(H2226&lt;&gt;"",H2226,IF(I2226&lt;&gt;"",I2226,IF(J2226&lt;&gt;"",J2226,K2226)))</f>
        <v>85.9</v>
      </c>
      <c r="C2226" s="3">
        <f>MEDIAN(H2226:K2226)</f>
        <v>85.9</v>
      </c>
      <c r="D2226" s="3">
        <f>ROUND(C2226*(1-Settings!$B$2),2)</f>
        <v>60.13</v>
      </c>
      <c r="E2226" s="2" t="inlineStr">
        <is>
          <t>Pokemon</t>
        </is>
      </c>
      <c r="F2226" s="2" t="inlineStr">
        <is>
          <t>Coffret</t>
        </is>
      </c>
      <c r="G2226" s="2" t="inlineStr">
        <is>
          <t>SV05: Temporal Forces</t>
        </is>
      </c>
      <c r="H2226" s="3" t="n"/>
      <c r="I2226" s="3" t="n">
        <v>85.90000000000001</v>
      </c>
      <c r="J2226" s="3" t="n"/>
      <c r="K2226" s="3" t="n"/>
      <c r="L2226" s="2" t="inlineStr">
        <is>
          <t>TCGplayer</t>
        </is>
      </c>
      <c r="N2226" s="4" t="inlineStr">
        <is>
          <t>https://www.tcgplayer.com/product/538807</t>
        </is>
      </c>
    </row>
    <row r="2227">
      <c r="A2227" s="2" t="inlineStr">
        <is>
          <t>Twilight Masquerade Booster Bundle</t>
        </is>
      </c>
      <c r="B2227" s="3">
        <f>IF(H2227&lt;&gt;"",H2227,IF(I2227&lt;&gt;"",I2227,IF(J2227&lt;&gt;"",J2227,K2227)))</f>
        <v>45.99</v>
      </c>
      <c r="C2227" s="3">
        <f>MEDIAN(H2227:K2227)</f>
        <v>74.355</v>
      </c>
      <c r="D2227" s="3">
        <f>ROUND(C2227*(1-Settings!$B$2),2)</f>
        <v>52.05</v>
      </c>
      <c r="E2227" s="2" t="inlineStr">
        <is>
          <t>Pokemon</t>
        </is>
      </c>
      <c r="F2227" s="2" t="inlineStr">
        <is>
          <t>Coffret</t>
        </is>
      </c>
      <c r="G2227" s="2" t="inlineStr">
        <is>
          <t>SV06: Twilight Masquerade</t>
        </is>
      </c>
      <c r="H2227" s="3" t="n">
        <v>45.99</v>
      </c>
      <c r="I2227" s="3" t="n">
        <v>74.76000000000001</v>
      </c>
      <c r="J2227" s="3" t="n">
        <v>79.79000000000001</v>
      </c>
      <c r="K2227" s="3" t="n">
        <v>73.95</v>
      </c>
      <c r="L2227" s="2" t="inlineStr">
        <is>
          <t>PriceCharting + TCGplayer</t>
        </is>
      </c>
      <c r="M2227" s="4" t="inlineStr">
        <is>
          <t>https://www.pricecharting.com/game/pokemon-twilight-masquerade/booster-bundle</t>
        </is>
      </c>
      <c r="N2227" s="4" t="inlineStr">
        <is>
          <t>https://www.tcgplayer.com/product/543852</t>
        </is>
      </c>
    </row>
    <row r="2228">
      <c r="A2228" s="2" t="inlineStr">
        <is>
          <t>Twilight Masquerade Booster Pack Art Bundle [Set of 4]</t>
        </is>
      </c>
      <c r="B2228" s="3">
        <f>IF(H2228&lt;&gt;"",H2228,IF(I2228&lt;&gt;"",I2228,IF(J2228&lt;&gt;"",J2228,K2228)))</f>
        <v>37.25</v>
      </c>
      <c r="C2228" s="3">
        <f>MEDIAN(H2228:K2228)</f>
        <v>37.25</v>
      </c>
      <c r="D2228" s="3">
        <f>ROUND(C2228*(1-Settings!$B$2),2)</f>
        <v>26.08</v>
      </c>
      <c r="E2228" s="2" t="inlineStr">
        <is>
          <t>Pokemon</t>
        </is>
      </c>
      <c r="F2228" s="2" t="inlineStr">
        <is>
          <t>Coffret</t>
        </is>
      </c>
      <c r="G2228" s="2" t="inlineStr">
        <is>
          <t>SV06: Twilight Masquerade</t>
        </is>
      </c>
      <c r="H2228" s="3" t="n"/>
      <c r="I2228" s="3" t="n">
        <v>37.25</v>
      </c>
      <c r="J2228" s="3" t="n">
        <v>40.99</v>
      </c>
      <c r="K2228" s="3" t="n">
        <v>36.9</v>
      </c>
      <c r="L2228" s="2" t="inlineStr">
        <is>
          <t>TCGplayer</t>
        </is>
      </c>
      <c r="N2228" s="4" t="inlineStr">
        <is>
          <t>https://www.tcgplayer.com/product/549487</t>
        </is>
      </c>
    </row>
    <row r="2229">
      <c r="A2229" s="2" t="inlineStr">
        <is>
          <t>Twilight Masquerade Build &amp; Battle Box</t>
        </is>
      </c>
      <c r="B2229" s="3">
        <f>IF(H2229&lt;&gt;"",H2229,IF(I2229&lt;&gt;"",I2229,IF(J2229&lt;&gt;"",J2229,K2229)))</f>
        <v>35.29</v>
      </c>
      <c r="C2229" s="3">
        <f>MEDIAN(H2229:K2229)</f>
        <v>59.59</v>
      </c>
      <c r="D2229" s="3">
        <f>ROUND(C2229*(1-Settings!$B$2),2)</f>
        <v>41.71</v>
      </c>
      <c r="E2229" s="2" t="inlineStr">
        <is>
          <t>Pokemon</t>
        </is>
      </c>
      <c r="F2229" s="2" t="inlineStr">
        <is>
          <t>Coffret</t>
        </is>
      </c>
      <c r="G2229" s="2" t="inlineStr">
        <is>
          <t>SV06: Twilight Masquerade</t>
        </is>
      </c>
      <c r="H2229" s="3" t="n">
        <v>35.29</v>
      </c>
      <c r="I2229" s="3" t="n">
        <v>62.59</v>
      </c>
      <c r="J2229" s="3" t="n">
        <v>63.95</v>
      </c>
      <c r="K2229" s="3" t="n">
        <v>56.59</v>
      </c>
      <c r="L2229" s="2" t="inlineStr">
        <is>
          <t>PriceCharting + TCGplayer</t>
        </is>
      </c>
      <c r="M2229" s="4" t="inlineStr">
        <is>
          <t>https://www.pricecharting.com/game/pokemon-twilight-masquerade/build-and-battle-box</t>
        </is>
      </c>
      <c r="N2229" s="4" t="inlineStr">
        <is>
          <t>https://www.tcgplayer.com/product/544386</t>
        </is>
      </c>
    </row>
    <row r="2230">
      <c r="A2230" s="2" t="inlineStr">
        <is>
          <t>Twilight Masquerade Elite Trainer Box</t>
        </is>
      </c>
      <c r="B2230" s="3">
        <f>IF(H2230&lt;&gt;"",H2230,IF(I2230&lt;&gt;"",I2230,IF(J2230&lt;&gt;"",J2230,K2230)))</f>
        <v>106.48</v>
      </c>
      <c r="C2230" s="3">
        <f>MEDIAN(H2230:K2230)</f>
        <v>105.545</v>
      </c>
      <c r="D2230" s="3">
        <f>ROUND(C2230*(1-Settings!$B$2),2)</f>
        <v>73.88</v>
      </c>
      <c r="E2230" s="2" t="inlineStr">
        <is>
          <t>Pokemon</t>
        </is>
      </c>
      <c r="F2230" s="2" t="inlineStr">
        <is>
          <t>Coffret</t>
        </is>
      </c>
      <c r="G2230" s="2" t="inlineStr">
        <is>
          <t>SV06: Twilight Masquerade</t>
        </is>
      </c>
      <c r="H2230" s="3" t="n">
        <v>106.48</v>
      </c>
      <c r="I2230" s="3" t="n">
        <v>104.61</v>
      </c>
      <c r="J2230" s="3" t="n">
        <v>120.53</v>
      </c>
      <c r="K2230" s="3" t="n">
        <v>101</v>
      </c>
      <c r="L2230" s="2" t="inlineStr">
        <is>
          <t>PriceCharting + TCGplayer</t>
        </is>
      </c>
      <c r="M2230" s="4" t="inlineStr">
        <is>
          <t>https://www.pricecharting.com/game/pokemon-twilight-masquerade/elite-trainer-box</t>
        </is>
      </c>
      <c r="N2230" s="4" t="inlineStr">
        <is>
          <t>https://www.tcgplayer.com/product/543845</t>
        </is>
      </c>
    </row>
    <row r="2231">
      <c r="A2231" s="2" t="inlineStr">
        <is>
          <t>Twilight Masquerade Pokemon Center Elite Trainer Box (Exclusive)</t>
        </is>
      </c>
      <c r="B2231" s="3">
        <f>IF(H2231&lt;&gt;"",H2231,IF(I2231&lt;&gt;"",I2231,IF(J2231&lt;&gt;"",J2231,K2231)))</f>
        <v>187.35</v>
      </c>
      <c r="C2231" s="3">
        <f>MEDIAN(H2231:K2231)</f>
        <v>187.35</v>
      </c>
      <c r="D2231" s="3">
        <f>ROUND(C2231*(1-Settings!$B$2),2)</f>
        <v>131.15</v>
      </c>
      <c r="E2231" s="2" t="inlineStr">
        <is>
          <t>Pokemon</t>
        </is>
      </c>
      <c r="F2231" s="2" t="inlineStr">
        <is>
          <t>Coffret</t>
        </is>
      </c>
      <c r="G2231" s="2" t="inlineStr">
        <is>
          <t>SV06: Twilight Masquerade</t>
        </is>
      </c>
      <c r="H2231" s="3" t="n"/>
      <c r="I2231" s="3" t="n">
        <v>187.35</v>
      </c>
      <c r="J2231" s="3" t="n">
        <v>200</v>
      </c>
      <c r="K2231" s="3" t="n">
        <v>178.01</v>
      </c>
      <c r="L2231" s="2" t="inlineStr">
        <is>
          <t>TCGplayer</t>
        </is>
      </c>
      <c r="N2231" s="4" t="inlineStr">
        <is>
          <t>https://www.tcgplayer.com/product/543844</t>
        </is>
      </c>
    </row>
    <row r="2232">
      <c r="A2232" s="2" t="inlineStr">
        <is>
          <t>Twilight Masquerade Sleeved Booster Pack Art Bundle [Set of 4]</t>
        </is>
      </c>
      <c r="B2232" s="3">
        <f>IF(H2232&lt;&gt;"",H2232,IF(I2232&lt;&gt;"",I2232,IF(J2232&lt;&gt;"",J2232,K2232)))</f>
        <v>44.07</v>
      </c>
      <c r="C2232" s="3">
        <f>MEDIAN(H2232:K2232)</f>
        <v>44.07</v>
      </c>
      <c r="D2232" s="3">
        <f>ROUND(C2232*(1-Settings!$B$2),2)</f>
        <v>30.85</v>
      </c>
      <c r="E2232" s="2" t="inlineStr">
        <is>
          <t>Pokemon</t>
        </is>
      </c>
      <c r="F2232" s="2" t="inlineStr">
        <is>
          <t>Coffret</t>
        </is>
      </c>
      <c r="G2232" s="2" t="inlineStr">
        <is>
          <t>SV06: Twilight Masquerade</t>
        </is>
      </c>
      <c r="H2232" s="3" t="n"/>
      <c r="I2232" s="3" t="n">
        <v>44.07</v>
      </c>
      <c r="J2232" s="3" t="n">
        <v>45.45</v>
      </c>
      <c r="K2232" s="3" t="n">
        <v>39.99</v>
      </c>
      <c r="L2232" s="2" t="inlineStr">
        <is>
          <t>TCGplayer</t>
        </is>
      </c>
      <c r="N2232" s="4" t="inlineStr">
        <is>
          <t>https://www.tcgplayer.com/product/549494</t>
        </is>
      </c>
    </row>
    <row r="2233">
      <c r="A2233" s="2" t="inlineStr">
        <is>
          <t>Stellar Crown Booster Bundle</t>
        </is>
      </c>
      <c r="B2233" s="3">
        <f>IF(H2233&lt;&gt;"",H2233,IF(I2233&lt;&gt;"",I2233,IF(J2233&lt;&gt;"",J2233,K2233)))</f>
        <v>73.07</v>
      </c>
      <c r="C2233" s="3">
        <f>MEDIAN(H2233:K2233)</f>
        <v>73.07</v>
      </c>
      <c r="D2233" s="3">
        <f>ROUND(C2233*(1-Settings!$B$2),2)</f>
        <v>51.15</v>
      </c>
      <c r="E2233" s="2" t="inlineStr">
        <is>
          <t>Pokemon</t>
        </is>
      </c>
      <c r="F2233" s="2" t="inlineStr">
        <is>
          <t>Coffret</t>
        </is>
      </c>
      <c r="G2233" s="2" t="inlineStr">
        <is>
          <t>SV07: Stellar Crown</t>
        </is>
      </c>
      <c r="H2233" s="3" t="n"/>
      <c r="I2233" s="3" t="n">
        <v>73.06999999999999</v>
      </c>
      <c r="J2233" s="3" t="n">
        <v>79.45</v>
      </c>
      <c r="K2233" s="3" t="n">
        <v>63</v>
      </c>
      <c r="L2233" s="2" t="inlineStr">
        <is>
          <t>TCGplayer</t>
        </is>
      </c>
      <c r="N2233" s="4" t="inlineStr">
        <is>
          <t>https://www.tcgplayer.com/product/557345</t>
        </is>
      </c>
    </row>
    <row r="2234">
      <c r="A2234" s="2" t="inlineStr">
        <is>
          <t>Stellar Crown Booster Pack Art Bundle [Set of 4]</t>
        </is>
      </c>
      <c r="B2234" s="3">
        <f>IF(H2234&lt;&gt;"",H2234,IF(I2234&lt;&gt;"",I2234,IF(J2234&lt;&gt;"",J2234,K2234)))</f>
        <v>45.31</v>
      </c>
      <c r="C2234" s="3">
        <f>MEDIAN(H2234:K2234)</f>
        <v>45.5</v>
      </c>
      <c r="D2234" s="3">
        <f>ROUND(C2234*(1-Settings!$B$2),2)</f>
        <v>31.85</v>
      </c>
      <c r="E2234" s="2" t="inlineStr">
        <is>
          <t>Pokemon</t>
        </is>
      </c>
      <c r="F2234" s="2" t="inlineStr">
        <is>
          <t>Coffret</t>
        </is>
      </c>
      <c r="G2234" s="2" t="inlineStr">
        <is>
          <t>SV07: Stellar Crown</t>
        </is>
      </c>
      <c r="H2234" s="3" t="n"/>
      <c r="I2234" s="3" t="n">
        <v>45.31</v>
      </c>
      <c r="J2234" s="3" t="n">
        <v>50.95</v>
      </c>
      <c r="K2234" s="3" t="n">
        <v>45.5</v>
      </c>
      <c r="L2234" s="2" t="inlineStr">
        <is>
          <t>TCGplayer</t>
        </is>
      </c>
      <c r="N2234" s="4" t="inlineStr">
        <is>
          <t>https://www.tcgplayer.com/product/557357</t>
        </is>
      </c>
    </row>
    <row r="2235">
      <c r="A2235" s="2" t="inlineStr">
        <is>
          <t>Stellar Crown Build &amp; Battle Box</t>
        </is>
      </c>
      <c r="B2235" s="3">
        <f>IF(H2235&lt;&gt;"",H2235,IF(I2235&lt;&gt;"",I2235,IF(J2235&lt;&gt;"",J2235,K2235)))</f>
        <v>49.38</v>
      </c>
      <c r="C2235" s="3">
        <f>MEDIAN(H2235:K2235)</f>
        <v>49.45</v>
      </c>
      <c r="D2235" s="3">
        <f>ROUND(C2235*(1-Settings!$B$2),2)</f>
        <v>34.62</v>
      </c>
      <c r="E2235" s="2" t="inlineStr">
        <is>
          <t>Pokemon</t>
        </is>
      </c>
      <c r="F2235" s="2" t="inlineStr">
        <is>
          <t>Coffret</t>
        </is>
      </c>
      <c r="G2235" s="2" t="inlineStr">
        <is>
          <t>SV07: Stellar Crown</t>
        </is>
      </c>
      <c r="H2235" s="3" t="n"/>
      <c r="I2235" s="3" t="n">
        <v>49.38</v>
      </c>
      <c r="J2235" s="3" t="n">
        <v>49.99</v>
      </c>
      <c r="K2235" s="3" t="n">
        <v>49.45</v>
      </c>
      <c r="L2235" s="2" t="inlineStr">
        <is>
          <t>TCGplayer</t>
        </is>
      </c>
      <c r="N2235" s="4" t="inlineStr">
        <is>
          <t>https://www.tcgplayer.com/product/557330</t>
        </is>
      </c>
    </row>
    <row r="2236">
      <c r="A2236" s="2" t="inlineStr">
        <is>
          <t>Stellar Crown Build &amp; Battle Box [Set of 10]</t>
        </is>
      </c>
      <c r="B2236" s="3">
        <f>IF(H2236&lt;&gt;"",H2236,IF(I2236&lt;&gt;"",I2236,IF(J2236&lt;&gt;"",J2236,K2236)))</f>
        <v>397.49</v>
      </c>
      <c r="C2236" s="3">
        <f>MEDIAN(H2236:K2236)</f>
        <v>439.0</v>
      </c>
      <c r="D2236" s="3">
        <f>ROUND(C2236*(1-Settings!$B$2),2)</f>
        <v>307.3</v>
      </c>
      <c r="E2236" s="2" t="inlineStr">
        <is>
          <t>Pokemon</t>
        </is>
      </c>
      <c r="F2236" s="2" t="inlineStr">
        <is>
          <t>Coffret</t>
        </is>
      </c>
      <c r="G2236" s="2" t="inlineStr">
        <is>
          <t>SV07: Stellar Crown</t>
        </is>
      </c>
      <c r="H2236" s="3" t="n"/>
      <c r="I2236" s="3" t="n">
        <v>397.49</v>
      </c>
      <c r="J2236" s="3" t="n">
        <v>439.5</v>
      </c>
      <c r="K2236" s="3" t="n">
        <v>439</v>
      </c>
      <c r="L2236" s="2" t="inlineStr">
        <is>
          <t>TCGplayer</t>
        </is>
      </c>
      <c r="N2236" s="4" t="inlineStr">
        <is>
          <t>https://www.tcgplayer.com/product/557366</t>
        </is>
      </c>
    </row>
    <row r="2237">
      <c r="A2237" s="2" t="inlineStr">
        <is>
          <t>Stellar Crown Elite Trainer Box</t>
        </is>
      </c>
      <c r="B2237" s="3">
        <f>IF(H2237&lt;&gt;"",H2237,IF(I2237&lt;&gt;"",I2237,IF(J2237&lt;&gt;"",J2237,K2237)))</f>
        <v>156.75</v>
      </c>
      <c r="C2237" s="3">
        <f>MEDIAN(H2237:K2237)</f>
        <v>156.75</v>
      </c>
      <c r="D2237" s="3">
        <f>ROUND(C2237*(1-Settings!$B$2),2)</f>
        <v>109.73</v>
      </c>
      <c r="E2237" s="2" t="inlineStr">
        <is>
          <t>Pokemon</t>
        </is>
      </c>
      <c r="F2237" s="2" t="inlineStr">
        <is>
          <t>Coffret</t>
        </is>
      </c>
      <c r="G2237" s="2" t="inlineStr">
        <is>
          <t>SV07: Stellar Crown</t>
        </is>
      </c>
      <c r="H2237" s="3" t="n"/>
      <c r="I2237" s="3" t="n">
        <v>156.75</v>
      </c>
      <c r="J2237" s="3" t="n">
        <v>176.84</v>
      </c>
      <c r="K2237" s="3" t="n">
        <v>89.98999999999999</v>
      </c>
      <c r="L2237" s="2" t="inlineStr">
        <is>
          <t>TCGplayer</t>
        </is>
      </c>
      <c r="N2237" s="4" t="inlineStr">
        <is>
          <t>https://www.tcgplayer.com/product/557350</t>
        </is>
      </c>
    </row>
    <row r="2238">
      <c r="A2238" s="2" t="inlineStr">
        <is>
          <t>Stellar Crown Pokemon Center Elite Trainer Box (Exclusive)</t>
        </is>
      </c>
      <c r="B2238" s="3">
        <f>IF(H2238&lt;&gt;"",H2238,IF(I2238&lt;&gt;"",I2238,IF(J2238&lt;&gt;"",J2238,K2238)))</f>
        <v>169.45</v>
      </c>
      <c r="C2238" s="3">
        <f>MEDIAN(H2238:K2238)</f>
        <v>169.45</v>
      </c>
      <c r="D2238" s="3">
        <f>ROUND(C2238*(1-Settings!$B$2),2)</f>
        <v>118.62</v>
      </c>
      <c r="E2238" s="2" t="inlineStr">
        <is>
          <t>Pokemon</t>
        </is>
      </c>
      <c r="F2238" s="2" t="inlineStr">
        <is>
          <t>Coffret</t>
        </is>
      </c>
      <c r="G2238" s="2" t="inlineStr">
        <is>
          <t>SV07: Stellar Crown</t>
        </is>
      </c>
      <c r="H2238" s="3" t="n"/>
      <c r="I2238" s="3" t="n">
        <v>169.45</v>
      </c>
      <c r="J2238" s="3" t="n">
        <v>197.99</v>
      </c>
      <c r="K2238" s="3" t="n">
        <v>155</v>
      </c>
      <c r="L2238" s="2" t="inlineStr">
        <is>
          <t>TCGplayer</t>
        </is>
      </c>
      <c r="N2238" s="4" t="inlineStr">
        <is>
          <t>https://www.tcgplayer.com/product/557340</t>
        </is>
      </c>
    </row>
    <row r="2239">
      <c r="A2239" s="2" t="inlineStr">
        <is>
          <t>Stellar Crown Sleeved Booster Pack Art Bundle [Set of 4]</t>
        </is>
      </c>
      <c r="B2239" s="3">
        <f>IF(H2239&lt;&gt;"",H2239,IF(I2239&lt;&gt;"",I2239,IF(J2239&lt;&gt;"",J2239,K2239)))</f>
        <v>42.5</v>
      </c>
      <c r="C2239" s="3">
        <f>MEDIAN(H2239:K2239)</f>
        <v>42.5</v>
      </c>
      <c r="D2239" s="3">
        <f>ROUND(C2239*(1-Settings!$B$2),2)</f>
        <v>29.75</v>
      </c>
      <c r="E2239" s="2" t="inlineStr">
        <is>
          <t>Pokemon</t>
        </is>
      </c>
      <c r="F2239" s="2" t="inlineStr">
        <is>
          <t>Coffret</t>
        </is>
      </c>
      <c r="G2239" s="2" t="inlineStr">
        <is>
          <t>SV07: Stellar Crown</t>
        </is>
      </c>
      <c r="H2239" s="3" t="n"/>
      <c r="I2239" s="3" t="n">
        <v>42.5</v>
      </c>
      <c r="J2239" s="3" t="n">
        <v>43</v>
      </c>
      <c r="K2239" s="3" t="n">
        <v>39.99</v>
      </c>
      <c r="L2239" s="2" t="inlineStr">
        <is>
          <t>TCGplayer</t>
        </is>
      </c>
      <c r="N2239" s="4" t="inlineStr">
        <is>
          <t>https://www.tcgplayer.com/product/557361</t>
        </is>
      </c>
    </row>
    <row r="2240">
      <c r="A2240" s="2" t="inlineStr">
        <is>
          <t>Surging Sparks Booster Bundle (LGS)</t>
        </is>
      </c>
      <c r="B2240" s="3">
        <f>IF(H2240&lt;&gt;"",H2240,IF(I2240&lt;&gt;"",I2240,IF(J2240&lt;&gt;"",J2240,K2240)))</f>
        <v>64.46</v>
      </c>
      <c r="C2240" s="3">
        <f>MEDIAN(H2240:K2240)</f>
        <v>64.46</v>
      </c>
      <c r="D2240" s="3">
        <f>ROUND(C2240*(1-Settings!$B$2),2)</f>
        <v>45.12</v>
      </c>
      <c r="E2240" s="2" t="inlineStr">
        <is>
          <t>Pokemon</t>
        </is>
      </c>
      <c r="F2240" s="2" t="inlineStr">
        <is>
          <t>Coffret</t>
        </is>
      </c>
      <c r="G2240" s="2" t="inlineStr">
        <is>
          <t>SV08: Surging Sparks</t>
        </is>
      </c>
      <c r="H2240" s="3" t="n"/>
      <c r="I2240" s="3" t="n">
        <v>64.45999999999999</v>
      </c>
      <c r="J2240" s="3" t="n">
        <v>74.89</v>
      </c>
      <c r="K2240" s="3" t="n">
        <v>54</v>
      </c>
      <c r="L2240" s="2" t="inlineStr">
        <is>
          <t>TCGplayer</t>
        </is>
      </c>
      <c r="N2240" s="4" t="inlineStr">
        <is>
          <t>https://www.tcgplayer.com/product/565629</t>
        </is>
      </c>
    </row>
    <row r="2241">
      <c r="A2241" s="2" t="inlineStr">
        <is>
          <t>Surging Sparks Booster Bundle (Retail)</t>
        </is>
      </c>
      <c r="B2241" s="3">
        <f>IF(H2241&lt;&gt;"",H2241,IF(I2241&lt;&gt;"",I2241,IF(J2241&lt;&gt;"",J2241,K2241)))</f>
        <v>62.0</v>
      </c>
      <c r="C2241" s="3">
        <f>MEDIAN(H2241:K2241)</f>
        <v>62.0</v>
      </c>
      <c r="D2241" s="3">
        <f>ROUND(C2241*(1-Settings!$B$2),2)</f>
        <v>43.4</v>
      </c>
      <c r="E2241" s="2" t="inlineStr">
        <is>
          <t>Pokemon</t>
        </is>
      </c>
      <c r="F2241" s="2" t="inlineStr">
        <is>
          <t>Coffret</t>
        </is>
      </c>
      <c r="G2241" s="2" t="inlineStr">
        <is>
          <t>SV08: Surging Sparks</t>
        </is>
      </c>
      <c r="H2241" s="3" t="n"/>
      <c r="I2241" s="3" t="n">
        <v>62</v>
      </c>
      <c r="J2241" s="3" t="n">
        <v>68.98999999999999</v>
      </c>
      <c r="K2241" s="3" t="n">
        <v>49.99</v>
      </c>
      <c r="L2241" s="2" t="inlineStr">
        <is>
          <t>TCGplayer</t>
        </is>
      </c>
      <c r="N2241" s="4" t="inlineStr">
        <is>
          <t>https://www.tcgplayer.com/product/679564</t>
        </is>
      </c>
    </row>
    <row r="2242">
      <c r="A2242" s="2" t="inlineStr">
        <is>
          <t>Surging Sparks Booster Pack Art Bundle [Set of 4]</t>
        </is>
      </c>
      <c r="B2242" s="3">
        <f>IF(H2242&lt;&gt;"",H2242,IF(I2242&lt;&gt;"",I2242,IF(J2242&lt;&gt;"",J2242,K2242)))</f>
        <v>34.44</v>
      </c>
      <c r="C2242" s="3">
        <f>MEDIAN(H2242:K2242)</f>
        <v>34.44</v>
      </c>
      <c r="D2242" s="3">
        <f>ROUND(C2242*(1-Settings!$B$2),2)</f>
        <v>24.11</v>
      </c>
      <c r="E2242" s="2" t="inlineStr">
        <is>
          <t>Pokemon</t>
        </is>
      </c>
      <c r="F2242" s="2" t="inlineStr">
        <is>
          <t>Coffret</t>
        </is>
      </c>
      <c r="G2242" s="2" t="inlineStr">
        <is>
          <t>SV08: Surging Sparks</t>
        </is>
      </c>
      <c r="H2242" s="3" t="n"/>
      <c r="I2242" s="3" t="n">
        <v>34.44</v>
      </c>
      <c r="J2242" s="3" t="n">
        <v>36.25</v>
      </c>
      <c r="K2242" s="3" t="n">
        <v>32</v>
      </c>
      <c r="L2242" s="2" t="inlineStr">
        <is>
          <t>TCGplayer</t>
        </is>
      </c>
      <c r="N2242" s="4" t="inlineStr">
        <is>
          <t>https://www.tcgplayer.com/product/565605</t>
        </is>
      </c>
    </row>
    <row r="2243">
      <c r="A2243" s="2" t="inlineStr">
        <is>
          <t>Surging Sparks Build &amp; Battle Box</t>
        </is>
      </c>
      <c r="B2243" s="3">
        <f>IF(H2243&lt;&gt;"",H2243,IF(I2243&lt;&gt;"",I2243,IF(J2243&lt;&gt;"",J2243,K2243)))</f>
        <v>60.6</v>
      </c>
      <c r="C2243" s="3">
        <f>MEDIAN(H2243:K2243)</f>
        <v>60.795</v>
      </c>
      <c r="D2243" s="3">
        <f>ROUND(C2243*(1-Settings!$B$2),2)</f>
        <v>42.56</v>
      </c>
      <c r="E2243" s="2" t="inlineStr">
        <is>
          <t>Pokemon</t>
        </is>
      </c>
      <c r="F2243" s="2" t="inlineStr">
        <is>
          <t>Coffret</t>
        </is>
      </c>
      <c r="G2243" s="2" t="inlineStr">
        <is>
          <t>SV08: Surging Sparks</t>
        </is>
      </c>
      <c r="H2243" s="3" t="n">
        <v>60.6</v>
      </c>
      <c r="I2243" s="3" t="n">
        <v>62.57</v>
      </c>
      <c r="J2243" s="3" t="n">
        <v>60.99</v>
      </c>
      <c r="K2243" s="3" t="n">
        <v>20</v>
      </c>
      <c r="L2243" s="2" t="inlineStr">
        <is>
          <t>PriceCharting + TCGplayer</t>
        </is>
      </c>
      <c r="M2243" s="4" t="inlineStr">
        <is>
          <t>https://www.pricecharting.com/game/pokemon-surging-sparks/build-and-battle-box</t>
        </is>
      </c>
      <c r="N2243" s="4" t="inlineStr">
        <is>
          <t>https://www.tcgplayer.com/product/565599</t>
        </is>
      </c>
    </row>
    <row r="2244">
      <c r="A2244" s="2" t="inlineStr">
        <is>
          <t>Surging Sparks Elite Trainer Box</t>
        </is>
      </c>
      <c r="B2244" s="3">
        <f>IF(H2244&lt;&gt;"",H2244,IF(I2244&lt;&gt;"",I2244,IF(J2244&lt;&gt;"",J2244,K2244)))</f>
        <v>123.22</v>
      </c>
      <c r="C2244" s="3">
        <f>MEDIAN(H2244:K2244)</f>
        <v>122.32</v>
      </c>
      <c r="D2244" s="3">
        <f>ROUND(C2244*(1-Settings!$B$2),2)</f>
        <v>85.62</v>
      </c>
      <c r="E2244" s="2" t="inlineStr">
        <is>
          <t>Pokemon</t>
        </is>
      </c>
      <c r="F2244" s="2" t="inlineStr">
        <is>
          <t>Coffret</t>
        </is>
      </c>
      <c r="G2244" s="2" t="inlineStr">
        <is>
          <t>SV08: Surging Sparks</t>
        </is>
      </c>
      <c r="H2244" s="3" t="n">
        <v>123.22</v>
      </c>
      <c r="I2244" s="3" t="n">
        <v>121.42</v>
      </c>
      <c r="J2244" s="3" t="n">
        <v>140</v>
      </c>
      <c r="K2244" s="3" t="n">
        <v>44.98</v>
      </c>
      <c r="L2244" s="2" t="inlineStr">
        <is>
          <t>PriceCharting + TCGplayer</t>
        </is>
      </c>
      <c r="M2244" s="4" t="inlineStr">
        <is>
          <t>https://www.pricecharting.com/game/pokemon-surging-sparks/elite-trainer-box</t>
        </is>
      </c>
      <c r="N2244" s="4" t="inlineStr">
        <is>
          <t>https://www.tcgplayer.com/product/565630</t>
        </is>
      </c>
    </row>
    <row r="2245">
      <c r="A2245" s="2" t="inlineStr">
        <is>
          <t>Surging Sparks Pokemon Center Elite Trainer Box (Exclusive)</t>
        </is>
      </c>
      <c r="B2245" s="3">
        <f>IF(H2245&lt;&gt;"",H2245,IF(I2245&lt;&gt;"",I2245,IF(J2245&lt;&gt;"",J2245,K2245)))</f>
        <v>270.25</v>
      </c>
      <c r="C2245" s="3">
        <f>MEDIAN(H2245:K2245)</f>
        <v>270.25</v>
      </c>
      <c r="D2245" s="3">
        <f>ROUND(C2245*(1-Settings!$B$2),2)</f>
        <v>189.18</v>
      </c>
      <c r="E2245" s="2" t="inlineStr">
        <is>
          <t>Pokemon</t>
        </is>
      </c>
      <c r="F2245" s="2" t="inlineStr">
        <is>
          <t>Coffret</t>
        </is>
      </c>
      <c r="G2245" s="2" t="inlineStr">
        <is>
          <t>SV08: Surging Sparks</t>
        </is>
      </c>
      <c r="H2245" s="3" t="n"/>
      <c r="I2245" s="3" t="n">
        <v>270.25</v>
      </c>
      <c r="J2245" s="3" t="n">
        <v>301.51</v>
      </c>
      <c r="K2245" s="3" t="n">
        <v>263.01</v>
      </c>
      <c r="L2245" s="2" t="inlineStr">
        <is>
          <t>TCGplayer</t>
        </is>
      </c>
      <c r="N2245" s="4" t="inlineStr">
        <is>
          <t>https://www.tcgplayer.com/product/565632</t>
        </is>
      </c>
    </row>
    <row r="2246">
      <c r="A2246" s="2" t="inlineStr">
        <is>
          <t>Surging Sparks Sleeved Booster Pack Bundle [Set of 4]</t>
        </is>
      </c>
      <c r="B2246" s="3">
        <f>IF(H2246&lt;&gt;"",H2246,IF(I2246&lt;&gt;"",I2246,IF(J2246&lt;&gt;"",J2246,K2246)))</f>
        <v>43.52</v>
      </c>
      <c r="C2246" s="3">
        <f>MEDIAN(H2246:K2246)</f>
        <v>43.52</v>
      </c>
      <c r="D2246" s="3">
        <f>ROUND(C2246*(1-Settings!$B$2),2)</f>
        <v>30.46</v>
      </c>
      <c r="E2246" s="2" t="inlineStr">
        <is>
          <t>Pokemon</t>
        </is>
      </c>
      <c r="F2246" s="2" t="inlineStr">
        <is>
          <t>Coffret</t>
        </is>
      </c>
      <c r="G2246" s="2" t="inlineStr">
        <is>
          <t>SV08: Surging Sparks</t>
        </is>
      </c>
      <c r="H2246" s="3" t="n"/>
      <c r="I2246" s="3" t="n">
        <v>43.52</v>
      </c>
      <c r="J2246" s="3" t="n">
        <v>49.76</v>
      </c>
      <c r="K2246" s="3" t="n">
        <v>42.5</v>
      </c>
      <c r="L2246" s="2" t="inlineStr">
        <is>
          <t>TCGplayer</t>
        </is>
      </c>
      <c r="N2246" s="4" t="inlineStr">
        <is>
          <t>https://www.tcgplayer.com/product/565603</t>
        </is>
      </c>
    </row>
    <row r="2247">
      <c r="A2247" s="2" t="inlineStr">
        <is>
          <t>Journey Together Booster Bundle</t>
        </is>
      </c>
      <c r="B2247" s="3">
        <f>IF(H2247&lt;&gt;"",H2247,IF(I2247&lt;&gt;"",I2247,IF(J2247&lt;&gt;"",J2247,K2247)))</f>
        <v>44.47</v>
      </c>
      <c r="C2247" s="3">
        <f>MEDIAN(H2247:K2247)</f>
        <v>43.5</v>
      </c>
      <c r="D2247" s="3">
        <f>ROUND(C2247*(1-Settings!$B$2),2)</f>
        <v>30.45</v>
      </c>
      <c r="E2247" s="2" t="inlineStr">
        <is>
          <t>Pokemon</t>
        </is>
      </c>
      <c r="F2247" s="2" t="inlineStr">
        <is>
          <t>Coffret</t>
        </is>
      </c>
      <c r="G2247" s="2" t="inlineStr">
        <is>
          <t>SV09: Journey Together</t>
        </is>
      </c>
      <c r="H2247" s="3" t="n">
        <v>44.47</v>
      </c>
      <c r="I2247" s="3" t="n">
        <v>42.53</v>
      </c>
      <c r="J2247" s="3" t="n">
        <v>48</v>
      </c>
      <c r="K2247" s="3" t="n">
        <v>40</v>
      </c>
      <c r="L2247" s="2" t="inlineStr">
        <is>
          <t>PriceCharting + TCGplayer</t>
        </is>
      </c>
      <c r="M2247" s="4" t="inlineStr">
        <is>
          <t>https://www.pricecharting.com/game/pokemon-journey-together/booster-bundle</t>
        </is>
      </c>
      <c r="N2247" s="4" t="inlineStr">
        <is>
          <t>https://www.tcgplayer.com/product/610953</t>
        </is>
      </c>
    </row>
    <row r="2248">
      <c r="A2248" s="2" t="inlineStr">
        <is>
          <t>Journey Together Booster Pack Art Bundle [Set of 4]</t>
        </is>
      </c>
      <c r="B2248" s="3">
        <f>IF(H2248&lt;&gt;"",H2248,IF(I2248&lt;&gt;"",I2248,IF(J2248&lt;&gt;"",J2248,K2248)))</f>
        <v>25.24</v>
      </c>
      <c r="C2248" s="3">
        <f>MEDIAN(H2248:K2248)</f>
        <v>25.24</v>
      </c>
      <c r="D2248" s="3">
        <f>ROUND(C2248*(1-Settings!$B$2),2)</f>
        <v>17.67</v>
      </c>
      <c r="E2248" s="2" t="inlineStr">
        <is>
          <t>Pokemon</t>
        </is>
      </c>
      <c r="F2248" s="2" t="inlineStr">
        <is>
          <t>Coffret</t>
        </is>
      </c>
      <c r="G2248" s="2" t="inlineStr">
        <is>
          <t>SV09: Journey Together</t>
        </is>
      </c>
      <c r="H2248" s="3" t="n"/>
      <c r="I2248" s="3" t="n">
        <v>25.24</v>
      </c>
      <c r="J2248" s="3" t="n">
        <v>28</v>
      </c>
      <c r="K2248" s="3" t="n">
        <v>21.7</v>
      </c>
      <c r="L2248" s="2" t="inlineStr">
        <is>
          <t>TCGplayer</t>
        </is>
      </c>
      <c r="N2248" s="4" t="inlineStr">
        <is>
          <t>https://www.tcgplayer.com/product/626660</t>
        </is>
      </c>
    </row>
    <row r="2249">
      <c r="A2249" s="2" t="inlineStr">
        <is>
          <t>Journey Together Build &amp; Battle Box</t>
        </is>
      </c>
      <c r="B2249" s="3">
        <f>IF(H2249&lt;&gt;"",H2249,IF(I2249&lt;&gt;"",I2249,IF(J2249&lt;&gt;"",J2249,K2249)))</f>
        <v>36.83</v>
      </c>
      <c r="C2249" s="3">
        <f>MEDIAN(H2249:K2249)</f>
        <v>37.915</v>
      </c>
      <c r="D2249" s="3">
        <f>ROUND(C2249*(1-Settings!$B$2),2)</f>
        <v>26.54</v>
      </c>
      <c r="E2249" s="2" t="inlineStr">
        <is>
          <t>Pokemon</t>
        </is>
      </c>
      <c r="F2249" s="2" t="inlineStr">
        <is>
          <t>Coffret</t>
        </is>
      </c>
      <c r="G2249" s="2" t="inlineStr">
        <is>
          <t>SV09: Journey Together</t>
        </is>
      </c>
      <c r="H2249" s="3" t="n">
        <v>36.83</v>
      </c>
      <c r="I2249" s="3" t="n">
        <v>39.07</v>
      </c>
      <c r="J2249" s="3" t="n">
        <v>39</v>
      </c>
      <c r="K2249" s="3" t="n">
        <v>33.9</v>
      </c>
      <c r="L2249" s="2" t="inlineStr">
        <is>
          <t>PriceCharting + TCGplayer</t>
        </is>
      </c>
      <c r="M2249" s="4" t="inlineStr">
        <is>
          <t>https://www.pricecharting.com/game/pokemon-journey-together/build-&amp;-battle-box</t>
        </is>
      </c>
      <c r="N2249" s="4" t="inlineStr">
        <is>
          <t>https://www.tcgplayer.com/product/610954</t>
        </is>
      </c>
    </row>
    <row r="2250">
      <c r="A2250" s="2" t="inlineStr">
        <is>
          <t>Journey Together Elite Trainer Box</t>
        </is>
      </c>
      <c r="B2250" s="3">
        <f>IF(H2250&lt;&gt;"",H2250,IF(I2250&lt;&gt;"",I2250,IF(J2250&lt;&gt;"",J2250,K2250)))</f>
        <v>136.72</v>
      </c>
      <c r="C2250" s="3">
        <f>MEDIAN(H2250:K2250)</f>
        <v>136.61</v>
      </c>
      <c r="D2250" s="3">
        <f>ROUND(C2250*(1-Settings!$B$2),2)</f>
        <v>95.63</v>
      </c>
      <c r="E2250" s="2" t="inlineStr">
        <is>
          <t>Pokemon</t>
        </is>
      </c>
      <c r="F2250" s="2" t="inlineStr">
        <is>
          <t>Coffret</t>
        </is>
      </c>
      <c r="G2250" s="2" t="inlineStr">
        <is>
          <t>SV09: Journey Together</t>
        </is>
      </c>
      <c r="H2250" s="3" t="n">
        <v>136.72</v>
      </c>
      <c r="I2250" s="3" t="n">
        <v>136.5</v>
      </c>
      <c r="J2250" s="3" t="n">
        <v>149.9</v>
      </c>
      <c r="K2250" s="3" t="n">
        <v>1.99</v>
      </c>
      <c r="L2250" s="2" t="inlineStr">
        <is>
          <t>PriceCharting + TCGplayer</t>
        </is>
      </c>
      <c r="M2250" s="4" t="inlineStr">
        <is>
          <t>https://www.pricecharting.com/game/pokemon-journey-together/elite-trainer-box</t>
        </is>
      </c>
      <c r="N2250" s="4" t="inlineStr">
        <is>
          <t>https://www.tcgplayer.com/product/610930</t>
        </is>
      </c>
    </row>
    <row r="2251">
      <c r="A2251" s="2" t="inlineStr">
        <is>
          <t>Journey Together Pokemon Center Elite Trainer Box (Exclusive)</t>
        </is>
      </c>
      <c r="B2251" s="3">
        <f>IF(H2251&lt;&gt;"",H2251,IF(I2251&lt;&gt;"",I2251,IF(J2251&lt;&gt;"",J2251,K2251)))</f>
        <v>195.05</v>
      </c>
      <c r="C2251" s="3">
        <f>MEDIAN(H2251:K2251)</f>
        <v>195.05</v>
      </c>
      <c r="D2251" s="3">
        <f>ROUND(C2251*(1-Settings!$B$2),2)</f>
        <v>136.54</v>
      </c>
      <c r="E2251" s="2" t="inlineStr">
        <is>
          <t>Pokemon</t>
        </is>
      </c>
      <c r="F2251" s="2" t="inlineStr">
        <is>
          <t>Coffret</t>
        </is>
      </c>
      <c r="G2251" s="2" t="inlineStr">
        <is>
          <t>SV09: Journey Together</t>
        </is>
      </c>
      <c r="H2251" s="3" t="n"/>
      <c r="I2251" s="3" t="n">
        <v>195.05</v>
      </c>
      <c r="J2251" s="3" t="n">
        <v>227.5</v>
      </c>
      <c r="K2251" s="3" t="n">
        <v>185</v>
      </c>
      <c r="L2251" s="2" t="inlineStr">
        <is>
          <t>TCGplayer</t>
        </is>
      </c>
      <c r="N2251" s="4" t="inlineStr">
        <is>
          <t>https://www.tcgplayer.com/product/610929</t>
        </is>
      </c>
    </row>
    <row r="2252">
      <c r="A2252" s="2" t="inlineStr">
        <is>
          <t>Journey Together Sleeved Booster Pack Art Bundle [Set of 4]</t>
        </is>
      </c>
      <c r="B2252" s="3">
        <f>IF(H2252&lt;&gt;"",H2252,IF(I2252&lt;&gt;"",I2252,IF(J2252&lt;&gt;"",J2252,K2252)))</f>
        <v>30.44</v>
      </c>
      <c r="C2252" s="3">
        <f>MEDIAN(H2252:K2252)</f>
        <v>30.44</v>
      </c>
      <c r="D2252" s="3">
        <f>ROUND(C2252*(1-Settings!$B$2),2)</f>
        <v>21.31</v>
      </c>
      <c r="E2252" s="2" t="inlineStr">
        <is>
          <t>Pokemon</t>
        </is>
      </c>
      <c r="F2252" s="2" t="inlineStr">
        <is>
          <t>Coffret</t>
        </is>
      </c>
      <c r="G2252" s="2" t="inlineStr">
        <is>
          <t>SV09: Journey Together</t>
        </is>
      </c>
      <c r="H2252" s="3" t="n"/>
      <c r="I2252" s="3" t="n">
        <v>30.44</v>
      </c>
      <c r="J2252" s="3" t="n">
        <v>31</v>
      </c>
      <c r="K2252" s="3" t="n">
        <v>26.88</v>
      </c>
      <c r="L2252" s="2" t="inlineStr">
        <is>
          <t>TCGplayer</t>
        </is>
      </c>
      <c r="N2252" s="4" t="inlineStr">
        <is>
          <t>https://www.tcgplayer.com/product/626659</t>
        </is>
      </c>
    </row>
    <row r="2253">
      <c r="A2253" s="2" t="inlineStr">
        <is>
          <t>Destined Rivals Booster Bundle</t>
        </is>
      </c>
      <c r="B2253" s="3">
        <f>IF(H2253&lt;&gt;"",H2253,IF(I2253&lt;&gt;"",I2253,IF(J2253&lt;&gt;"",J2253,K2253)))</f>
        <v>58.87</v>
      </c>
      <c r="C2253" s="3">
        <f>MEDIAN(H2253:K2253)</f>
        <v>60.864999999999995</v>
      </c>
      <c r="D2253" s="3">
        <f>ROUND(C2253*(1-Settings!$B$2),2)</f>
        <v>42.61</v>
      </c>
      <c r="E2253" s="2" t="inlineStr">
        <is>
          <t>Pokemon</t>
        </is>
      </c>
      <c r="F2253" s="2" t="inlineStr">
        <is>
          <t>Coffret</t>
        </is>
      </c>
      <c r="G2253" s="2" t="inlineStr">
        <is>
          <t>SV10: Destined Rivals</t>
        </is>
      </c>
      <c r="H2253" s="3" t="n">
        <v>58.87</v>
      </c>
      <c r="I2253" s="3" t="n">
        <v>62.86</v>
      </c>
      <c r="J2253" s="3" t="n">
        <v>79.98999999999999</v>
      </c>
      <c r="K2253" s="3" t="n">
        <v>57.95</v>
      </c>
      <c r="L2253" s="2" t="inlineStr">
        <is>
          <t>PriceCharting + TCGplayer</t>
        </is>
      </c>
      <c r="M2253" s="4" t="inlineStr">
        <is>
          <t>https://www.pricecharting.com/game/pokemon-destined-rivals/booster-bundle</t>
        </is>
      </c>
      <c r="N2253" s="4" t="inlineStr">
        <is>
          <t>https://www.tcgplayer.com/product/625670</t>
        </is>
      </c>
    </row>
    <row r="2254">
      <c r="A2254" s="2" t="inlineStr">
        <is>
          <t>Destined Rivals Booster Pack Art Bundle [Set of 4]</t>
        </is>
      </c>
      <c r="B2254" s="3">
        <f>IF(H2254&lt;&gt;"",H2254,IF(I2254&lt;&gt;"",I2254,IF(J2254&lt;&gt;"",J2254,K2254)))</f>
        <v>39.36</v>
      </c>
      <c r="C2254" s="3">
        <f>MEDIAN(H2254:K2254)</f>
        <v>39.36</v>
      </c>
      <c r="D2254" s="3">
        <f>ROUND(C2254*(1-Settings!$B$2),2)</f>
        <v>27.55</v>
      </c>
      <c r="E2254" s="2" t="inlineStr">
        <is>
          <t>Pokemon</t>
        </is>
      </c>
      <c r="F2254" s="2" t="inlineStr">
        <is>
          <t>Coffret</t>
        </is>
      </c>
      <c r="G2254" s="2" t="inlineStr">
        <is>
          <t>SV10: Destined Rivals</t>
        </is>
      </c>
      <c r="H2254" s="3" t="n"/>
      <c r="I2254" s="3" t="n">
        <v>39.36</v>
      </c>
      <c r="J2254" s="3" t="n">
        <v>42.48</v>
      </c>
      <c r="K2254" s="3" t="n">
        <v>37</v>
      </c>
      <c r="L2254" s="2" t="inlineStr">
        <is>
          <t>TCGplayer</t>
        </is>
      </c>
      <c r="N2254" s="4" t="inlineStr">
        <is>
          <t>https://www.tcgplayer.com/product/649711</t>
        </is>
      </c>
    </row>
    <row r="2255">
      <c r="A2255" s="2" t="inlineStr">
        <is>
          <t>Destined Rivals Build &amp; Battle Box</t>
        </is>
      </c>
      <c r="B2255" s="3">
        <f>IF(H2255&lt;&gt;"",H2255,IF(I2255&lt;&gt;"",I2255,IF(J2255&lt;&gt;"",J2255,K2255)))</f>
        <v>66.12</v>
      </c>
      <c r="C2255" s="3">
        <f>MEDIAN(H2255:K2255)</f>
        <v>67.985</v>
      </c>
      <c r="D2255" s="3">
        <f>ROUND(C2255*(1-Settings!$B$2),2)</f>
        <v>47.59</v>
      </c>
      <c r="E2255" s="2" t="inlineStr">
        <is>
          <t>Pokemon</t>
        </is>
      </c>
      <c r="F2255" s="2" t="inlineStr">
        <is>
          <t>Coffret</t>
        </is>
      </c>
      <c r="G2255" s="2" t="inlineStr">
        <is>
          <t>SV10: Destined Rivals</t>
        </is>
      </c>
      <c r="H2255" s="3" t="n">
        <v>66.12</v>
      </c>
      <c r="I2255" s="3" t="n">
        <v>68.48</v>
      </c>
      <c r="J2255" s="3" t="n">
        <v>75</v>
      </c>
      <c r="K2255" s="3" t="n">
        <v>67.48999999999999</v>
      </c>
      <c r="L2255" s="2" t="inlineStr">
        <is>
          <t>PriceCharting + TCGplayer</t>
        </is>
      </c>
      <c r="M2255" s="4" t="inlineStr">
        <is>
          <t>https://www.pricecharting.com/game/pokemon-destined-rivals/build-&amp;-battle-box</t>
        </is>
      </c>
      <c r="N2255" s="4" t="inlineStr">
        <is>
          <t>https://www.tcgplayer.com/product/625677</t>
        </is>
      </c>
    </row>
    <row r="2256">
      <c r="A2256" s="2" t="inlineStr">
        <is>
          <t>Destined Rivals Elite Trainer Box</t>
        </is>
      </c>
      <c r="B2256" s="3">
        <f>IF(H2256&lt;&gt;"",H2256,IF(I2256&lt;&gt;"",I2256,IF(J2256&lt;&gt;"",J2256,K2256)))</f>
        <v>119.72</v>
      </c>
      <c r="C2256" s="3">
        <f>MEDIAN(H2256:K2256)</f>
        <v>119.2</v>
      </c>
      <c r="D2256" s="3">
        <f>ROUND(C2256*(1-Settings!$B$2),2)</f>
        <v>83.44</v>
      </c>
      <c r="E2256" s="2" t="inlineStr">
        <is>
          <t>Pokemon</t>
        </is>
      </c>
      <c r="F2256" s="2" t="inlineStr">
        <is>
          <t>Coffret</t>
        </is>
      </c>
      <c r="G2256" s="2" t="inlineStr">
        <is>
          <t>SV10: Destined Rivals</t>
        </is>
      </c>
      <c r="H2256" s="3" t="n">
        <v>119.72</v>
      </c>
      <c r="I2256" s="3" t="n">
        <v>118.68</v>
      </c>
      <c r="J2256" s="3" t="n">
        <v>140</v>
      </c>
      <c r="K2256" s="3" t="n">
        <v>35</v>
      </c>
      <c r="L2256" s="2" t="inlineStr">
        <is>
          <t>PriceCharting + TCGplayer</t>
        </is>
      </c>
      <c r="M2256" s="4" t="inlineStr">
        <is>
          <t>https://www.pricecharting.com/game/pokemon-destined-rivals/elite-trainer-box</t>
        </is>
      </c>
      <c r="N2256" s="4" t="inlineStr">
        <is>
          <t>https://www.tcgplayer.com/product/624676</t>
        </is>
      </c>
    </row>
    <row r="2257">
      <c r="A2257" s="2" t="inlineStr">
        <is>
          <t>Destined Rivals Pokemon Center Elite Trainer Box (Exclusive)</t>
        </is>
      </c>
      <c r="B2257" s="3">
        <f>IF(H2257&lt;&gt;"",H2257,IF(I2257&lt;&gt;"",I2257,IF(J2257&lt;&gt;"",J2257,K2257)))</f>
        <v>428.34</v>
      </c>
      <c r="C2257" s="3">
        <f>MEDIAN(H2257:K2257)</f>
        <v>428.34</v>
      </c>
      <c r="D2257" s="3">
        <f>ROUND(C2257*(1-Settings!$B$2),2)</f>
        <v>299.84</v>
      </c>
      <c r="E2257" s="2" t="inlineStr">
        <is>
          <t>Pokemon</t>
        </is>
      </c>
      <c r="F2257" s="2" t="inlineStr">
        <is>
          <t>Coffret</t>
        </is>
      </c>
      <c r="G2257" s="2" t="inlineStr">
        <is>
          <t>SV10: Destined Rivals</t>
        </is>
      </c>
      <c r="H2257" s="3" t="n"/>
      <c r="I2257" s="3" t="n">
        <v>428.34</v>
      </c>
      <c r="J2257" s="3" t="n">
        <v>540</v>
      </c>
      <c r="K2257" s="3" t="n">
        <v>370</v>
      </c>
      <c r="L2257" s="2" t="inlineStr">
        <is>
          <t>TCGplayer</t>
        </is>
      </c>
      <c r="N2257" s="4" t="inlineStr">
        <is>
          <t>https://www.tcgplayer.com/product/624675</t>
        </is>
      </c>
    </row>
    <row r="2258">
      <c r="A2258" s="2" t="inlineStr">
        <is>
          <t>Destined Rivals Premium Checklane Blister [Gastrodon]</t>
        </is>
      </c>
      <c r="B2258" s="3">
        <f>IF(H2258&lt;&gt;"",H2258,IF(I2258&lt;&gt;"",I2258,IF(J2258&lt;&gt;"",J2258,K2258)))</f>
        <v>18.61</v>
      </c>
      <c r="C2258" s="3">
        <f>MEDIAN(H2258:K2258)</f>
        <v>18.32</v>
      </c>
      <c r="D2258" s="3">
        <f>ROUND(C2258*(1-Settings!$B$2),2)</f>
        <v>12.82</v>
      </c>
      <c r="E2258" s="2" t="inlineStr">
        <is>
          <t>Pokemon</t>
        </is>
      </c>
      <c r="F2258" s="2" t="inlineStr">
        <is>
          <t>Coffret</t>
        </is>
      </c>
      <c r="G2258" s="2" t="inlineStr">
        <is>
          <t>SV10: Destined Rivals</t>
        </is>
      </c>
      <c r="H2258" s="3" t="n"/>
      <c r="I2258" s="3" t="n">
        <v>18.61</v>
      </c>
      <c r="J2258" s="3" t="n">
        <v>18.32</v>
      </c>
      <c r="K2258" s="3" t="n">
        <v>15.75</v>
      </c>
      <c r="L2258" s="2" t="inlineStr">
        <is>
          <t>TCGplayer</t>
        </is>
      </c>
      <c r="N2258" s="4" t="inlineStr">
        <is>
          <t>https://www.tcgplayer.com/product/628395</t>
        </is>
      </c>
    </row>
    <row r="2259">
      <c r="A2259" s="2" t="inlineStr">
        <is>
          <t>Destined Rivals Premium Checklane Blister [Rabsca]</t>
        </is>
      </c>
      <c r="B2259" s="3">
        <f>IF(H2259&lt;&gt;"",H2259,IF(I2259&lt;&gt;"",I2259,IF(J2259&lt;&gt;"",J2259,K2259)))</f>
        <v>17.37</v>
      </c>
      <c r="C2259" s="3">
        <f>MEDIAN(H2259:K2259)</f>
        <v>17.37</v>
      </c>
      <c r="D2259" s="3">
        <f>ROUND(C2259*(1-Settings!$B$2),2)</f>
        <v>12.16</v>
      </c>
      <c r="E2259" s="2" t="inlineStr">
        <is>
          <t>Pokemon</t>
        </is>
      </c>
      <c r="F2259" s="2" t="inlineStr">
        <is>
          <t>Coffret</t>
        </is>
      </c>
      <c r="G2259" s="2" t="inlineStr">
        <is>
          <t>SV10: Destined Rivals</t>
        </is>
      </c>
      <c r="H2259" s="3" t="n"/>
      <c r="I2259" s="3" t="n">
        <v>17.37</v>
      </c>
      <c r="J2259" s="3" t="n">
        <v>17.99</v>
      </c>
      <c r="K2259" s="3" t="n">
        <v>14.75</v>
      </c>
      <c r="L2259" s="2" t="inlineStr">
        <is>
          <t>TCGplayer</t>
        </is>
      </c>
      <c r="N2259" s="4" t="inlineStr">
        <is>
          <t>https://www.tcgplayer.com/product/628396</t>
        </is>
      </c>
    </row>
    <row r="2260">
      <c r="A2260" s="2" t="inlineStr">
        <is>
          <t>Destined Rivals Sleeved Booster Pack Art Bundle [Set of 4]</t>
        </is>
      </c>
      <c r="B2260" s="3">
        <f>IF(H2260&lt;&gt;"",H2260,IF(I2260&lt;&gt;"",I2260,IF(J2260&lt;&gt;"",J2260,K2260)))</f>
        <v>40.73</v>
      </c>
      <c r="C2260" s="3">
        <f>MEDIAN(H2260:K2260)</f>
        <v>40.73</v>
      </c>
      <c r="D2260" s="3">
        <f>ROUND(C2260*(1-Settings!$B$2),2)</f>
        <v>28.51</v>
      </c>
      <c r="E2260" s="2" t="inlineStr">
        <is>
          <t>Pokemon</t>
        </is>
      </c>
      <c r="F2260" s="2" t="inlineStr">
        <is>
          <t>Coffret</t>
        </is>
      </c>
      <c r="G2260" s="2" t="inlineStr">
        <is>
          <t>SV10: Destined Rivals</t>
        </is>
      </c>
      <c r="H2260" s="3" t="n"/>
      <c r="I2260" s="3" t="n">
        <v>40.73</v>
      </c>
      <c r="J2260" s="3" t="n">
        <v>49.99</v>
      </c>
      <c r="K2260" s="3" t="n">
        <v>34</v>
      </c>
      <c r="L2260" s="2" t="inlineStr">
        <is>
          <t>TCGplayer</t>
        </is>
      </c>
      <c r="N2260" s="4" t="inlineStr">
        <is>
          <t>https://www.tcgplayer.com/product/635053</t>
        </is>
      </c>
    </row>
    <row r="2261">
      <c r="A2261" s="2" t="inlineStr">
        <is>
          <t>Black Bolt &amp; White Flare Card File Set</t>
        </is>
      </c>
      <c r="B2261" s="3">
        <f>IF(H2261&lt;&gt;"",H2261,IF(I2261&lt;&gt;"",I2261,IF(J2261&lt;&gt;"",J2261,K2261)))</f>
        <v>91.43</v>
      </c>
      <c r="C2261" s="3">
        <f>MEDIAN(H2261:K2261)</f>
        <v>90.33000000000001</v>
      </c>
      <c r="D2261" s="3">
        <f>ROUND(C2261*(1-Settings!$B$2),2)</f>
        <v>63.23</v>
      </c>
      <c r="E2261" s="2" t="inlineStr">
        <is>
          <t>Pokemon</t>
        </is>
      </c>
      <c r="F2261" s="2" t="inlineStr">
        <is>
          <t>Coffret</t>
        </is>
      </c>
      <c r="G2261" s="2" t="inlineStr">
        <is>
          <t>SV11B: Black Bolt</t>
        </is>
      </c>
      <c r="H2261" s="3" t="n"/>
      <c r="I2261" s="3" t="n">
        <v>91.43000000000001</v>
      </c>
      <c r="J2261" s="3" t="n"/>
      <c r="K2261" s="3" t="n">
        <v>89.23</v>
      </c>
      <c r="L2261" s="2" t="inlineStr">
        <is>
          <t>TCGplayer</t>
        </is>
      </c>
      <c r="N2261" s="4" t="inlineStr">
        <is>
          <t>https://www.tcgplayer.com/product/637445</t>
        </is>
      </c>
    </row>
    <row r="2262">
      <c r="A2262" s="2" t="inlineStr">
        <is>
          <t>Pokemon Card 151 Card File Set - Poke Ball</t>
        </is>
      </c>
      <c r="B2262" s="3">
        <f>IF(H2262&lt;&gt;"",H2262,IF(I2262&lt;&gt;"",I2262,IF(J2262&lt;&gt;"",J2262,K2262)))</f>
        <v>191.28</v>
      </c>
      <c r="C2262" s="3">
        <f>MEDIAN(H2262:K2262)</f>
        <v>185.635</v>
      </c>
      <c r="D2262" s="3">
        <f>ROUND(C2262*(1-Settings!$B$2),2)</f>
        <v>129.94</v>
      </c>
      <c r="E2262" s="2" t="inlineStr">
        <is>
          <t>Pokemon</t>
        </is>
      </c>
      <c r="F2262" s="2" t="inlineStr">
        <is>
          <t>Coffret</t>
        </is>
      </c>
      <c r="G2262" s="2" t="inlineStr">
        <is>
          <t>SV2a: Pokemon Card 151</t>
        </is>
      </c>
      <c r="H2262" s="3" t="n"/>
      <c r="I2262" s="3" t="n">
        <v>191.28</v>
      </c>
      <c r="J2262" s="3" t="n"/>
      <c r="K2262" s="3" t="n">
        <v>179.99</v>
      </c>
      <c r="L2262" s="2" t="inlineStr">
        <is>
          <t>TCGplayer</t>
        </is>
      </c>
      <c r="N2262" s="4" t="inlineStr">
        <is>
          <t>https://www.tcgplayer.com/product/618706</t>
        </is>
      </c>
    </row>
    <row r="2263">
      <c r="A2263" s="2" t="inlineStr">
        <is>
          <t>Pokemon Card 151 Card File Set - Venusaur, Charizard, Blastoise</t>
        </is>
      </c>
      <c r="B2263" s="3">
        <f>IF(H2263&lt;&gt;"",H2263,IF(I2263&lt;&gt;"",I2263,IF(J2263&lt;&gt;"",J2263,K2263)))</f>
        <v>190.48</v>
      </c>
      <c r="C2263" s="3">
        <f>MEDIAN(H2263:K2263)</f>
        <v>495.575</v>
      </c>
      <c r="D2263" s="3">
        <f>ROUND(C2263*(1-Settings!$B$2),2)</f>
        <v>346.9</v>
      </c>
      <c r="E2263" s="2" t="inlineStr">
        <is>
          <t>Pokemon</t>
        </is>
      </c>
      <c r="F2263" s="2" t="inlineStr">
        <is>
          <t>Coffret</t>
        </is>
      </c>
      <c r="G2263" s="2" t="inlineStr">
        <is>
          <t>SV2a: Pokemon Card 151</t>
        </is>
      </c>
      <c r="H2263" s="3" t="n"/>
      <c r="I2263" s="3" t="n">
        <v>190.48</v>
      </c>
      <c r="J2263" s="3" t="n"/>
      <c r="K2263" s="3" t="n">
        <v>800.67</v>
      </c>
      <c r="L2263" s="2" t="inlineStr">
        <is>
          <t>TCGplayer</t>
        </is>
      </c>
      <c r="N2263" s="4" t="inlineStr">
        <is>
          <t>https://www.tcgplayer.com/product/618704</t>
        </is>
      </c>
    </row>
    <row r="2264">
      <c r="A2264" s="2" t="inlineStr">
        <is>
          <t>Collection File Set Lillie</t>
        </is>
      </c>
      <c r="B2264" s="3">
        <f>IF(H2264&lt;&gt;"",H2264,IF(I2264&lt;&gt;"",I2264,IF(J2264&lt;&gt;"",J2264,K2264)))</f>
        <v>52.17</v>
      </c>
      <c r="C2264" s="3">
        <f>MEDIAN(H2264:K2264)</f>
        <v>51.085</v>
      </c>
      <c r="D2264" s="3">
        <f>ROUND(C2264*(1-Settings!$B$2),2)</f>
        <v>35.76</v>
      </c>
      <c r="E2264" s="2" t="inlineStr">
        <is>
          <t>Pokemon</t>
        </is>
      </c>
      <c r="F2264" s="2" t="inlineStr">
        <is>
          <t>Coffret</t>
        </is>
      </c>
      <c r="G2264" s="2" t="inlineStr">
        <is>
          <t>SV9: Battle Partners</t>
        </is>
      </c>
      <c r="H2264" s="3" t="n"/>
      <c r="I2264" s="3" t="n">
        <v>52.17</v>
      </c>
      <c r="J2264" s="3" t="n"/>
      <c r="K2264" s="3" t="n">
        <v>50</v>
      </c>
      <c r="L2264" s="2" t="inlineStr">
        <is>
          <t>TCGplayer</t>
        </is>
      </c>
      <c r="N2264" s="4" t="inlineStr">
        <is>
          <t>https://www.tcgplayer.com/product/614706</t>
        </is>
      </c>
    </row>
    <row r="2265">
      <c r="A2265" s="2" t="inlineStr">
        <is>
          <t>Collection File Set N</t>
        </is>
      </c>
      <c r="B2265" s="3">
        <f>IF(H2265&lt;&gt;"",H2265,IF(I2265&lt;&gt;"",I2265,IF(J2265&lt;&gt;"",J2265,K2265)))</f>
        <v>86.49</v>
      </c>
      <c r="C2265" s="3">
        <f>MEDIAN(H2265:K2265)</f>
        <v>86.24</v>
      </c>
      <c r="D2265" s="3">
        <f>ROUND(C2265*(1-Settings!$B$2),2)</f>
        <v>60.37</v>
      </c>
      <c r="E2265" s="2" t="inlineStr">
        <is>
          <t>Pokemon</t>
        </is>
      </c>
      <c r="F2265" s="2" t="inlineStr">
        <is>
          <t>Coffret</t>
        </is>
      </c>
      <c r="G2265" s="2" t="inlineStr">
        <is>
          <t>SV9: Battle Partners</t>
        </is>
      </c>
      <c r="H2265" s="3" t="n"/>
      <c r="I2265" s="3" t="n">
        <v>86.48999999999999</v>
      </c>
      <c r="J2265" s="3" t="n"/>
      <c r="K2265" s="3" t="n">
        <v>85.98999999999999</v>
      </c>
      <c r="L2265" s="2" t="inlineStr">
        <is>
          <t>TCGplayer</t>
        </is>
      </c>
      <c r="N2265" s="4" t="inlineStr">
        <is>
          <t>https://www.tcgplayer.com/product/614705</t>
        </is>
      </c>
    </row>
    <row r="2266">
      <c r="A2266" s="2" t="inlineStr">
        <is>
          <t>Black Bolt Binder Collection</t>
        </is>
      </c>
      <c r="B2266" s="3">
        <f>IF(H2266&lt;&gt;"",H2266,IF(I2266&lt;&gt;"",I2266,IF(J2266&lt;&gt;"",J2266,K2266)))</f>
        <v>81.0</v>
      </c>
      <c r="C2266" s="3">
        <f>MEDIAN(H2266:K2266)</f>
        <v>80.935</v>
      </c>
      <c r="D2266" s="3">
        <f>ROUND(C2266*(1-Settings!$B$2),2)</f>
        <v>56.65</v>
      </c>
      <c r="E2266" s="2" t="inlineStr">
        <is>
          <t>Pokemon</t>
        </is>
      </c>
      <c r="F2266" s="2" t="inlineStr">
        <is>
          <t>Coffret</t>
        </is>
      </c>
      <c r="G2266" s="2" t="inlineStr">
        <is>
          <t>SV: Black Bolt</t>
        </is>
      </c>
      <c r="H2266" s="3" t="n">
        <v>81</v>
      </c>
      <c r="I2266" s="3" t="n">
        <v>80.87</v>
      </c>
      <c r="J2266" s="3" t="n">
        <v>84.98999999999999</v>
      </c>
      <c r="K2266" s="3" t="n">
        <v>9.99</v>
      </c>
      <c r="L2266" s="2" t="inlineStr">
        <is>
          <t>PriceCharting + TCGplayer</t>
        </is>
      </c>
      <c r="M2266" s="4" t="inlineStr">
        <is>
          <t>https://www.pricecharting.com/game/pokemon-black-bolt/binder-collection</t>
        </is>
      </c>
      <c r="N2266" s="4" t="inlineStr">
        <is>
          <t>https://www.tcgplayer.com/product/630430</t>
        </is>
      </c>
    </row>
    <row r="2267">
      <c r="A2267" s="2" t="inlineStr">
        <is>
          <t>Black Bolt Booster Bundle</t>
        </is>
      </c>
      <c r="B2267" s="3">
        <f>IF(H2267&lt;&gt;"",H2267,IF(I2267&lt;&gt;"",I2267,IF(J2267&lt;&gt;"",J2267,K2267)))</f>
        <v>96.7</v>
      </c>
      <c r="C2267" s="3">
        <f>MEDIAN(H2267:K2267)</f>
        <v>96.535</v>
      </c>
      <c r="D2267" s="3">
        <f>ROUND(C2267*(1-Settings!$B$2),2)</f>
        <v>67.57</v>
      </c>
      <c r="E2267" s="2" t="inlineStr">
        <is>
          <t>Pokemon</t>
        </is>
      </c>
      <c r="F2267" s="2" t="inlineStr">
        <is>
          <t>Coffret</t>
        </is>
      </c>
      <c r="G2267" s="2" t="inlineStr">
        <is>
          <t>SV: Black Bolt</t>
        </is>
      </c>
      <c r="H2267" s="3" t="n">
        <v>96.7</v>
      </c>
      <c r="I2267" s="3" t="n">
        <v>96.37</v>
      </c>
      <c r="J2267" s="3" t="n">
        <v>101.95</v>
      </c>
      <c r="K2267" s="3" t="n">
        <v>71.59999999999999</v>
      </c>
      <c r="L2267" s="2" t="inlineStr">
        <is>
          <t>PriceCharting + TCGplayer</t>
        </is>
      </c>
      <c r="M2267" s="4" t="inlineStr">
        <is>
          <t>https://www.pricecharting.com/game/pokemon-black-bolt/booster-bundle</t>
        </is>
      </c>
      <c r="N2267" s="4" t="inlineStr">
        <is>
          <t>https://www.tcgplayer.com/product/630431</t>
        </is>
      </c>
    </row>
    <row r="2268">
      <c r="A2268" s="2" t="inlineStr">
        <is>
          <t>Black Bolt Elite Trainer Box</t>
        </is>
      </c>
      <c r="B2268" s="3">
        <f>IF(H2268&lt;&gt;"",H2268,IF(I2268&lt;&gt;"",I2268,IF(J2268&lt;&gt;"",J2268,K2268)))</f>
        <v>164.85</v>
      </c>
      <c r="C2268" s="3">
        <f>MEDIAN(H2268:K2268)</f>
        <v>163.28</v>
      </c>
      <c r="D2268" s="3">
        <f>ROUND(C2268*(1-Settings!$B$2),2)</f>
        <v>114.3</v>
      </c>
      <c r="E2268" s="2" t="inlineStr">
        <is>
          <t>Pokemon</t>
        </is>
      </c>
      <c r="F2268" s="2" t="inlineStr">
        <is>
          <t>Coffret</t>
        </is>
      </c>
      <c r="G2268" s="2" t="inlineStr">
        <is>
          <t>SV: Black Bolt</t>
        </is>
      </c>
      <c r="H2268" s="3" t="n">
        <v>164.85</v>
      </c>
      <c r="I2268" s="3" t="n">
        <v>161.71</v>
      </c>
      <c r="J2268" s="3" t="n">
        <v>172.24</v>
      </c>
      <c r="K2268" s="3" t="n">
        <v>28.99</v>
      </c>
      <c r="L2268" s="2" t="inlineStr">
        <is>
          <t>PriceCharting + TCGplayer</t>
        </is>
      </c>
      <c r="M2268" s="4" t="inlineStr">
        <is>
          <t>https://www.pricecharting.com/game/pokemon-black-bolt/elite-trainer-box</t>
        </is>
      </c>
      <c r="N2268" s="4" t="inlineStr">
        <is>
          <t>https://www.tcgplayer.com/product/630686</t>
        </is>
      </c>
    </row>
    <row r="2269">
      <c r="A2269" s="2" t="inlineStr">
        <is>
          <t>Black Bolt Pokemon Center Elite Trainer Box (Exclusive)</t>
        </is>
      </c>
      <c r="B2269" s="3">
        <f>IF(H2269&lt;&gt;"",H2269,IF(I2269&lt;&gt;"",I2269,IF(J2269&lt;&gt;"",J2269,K2269)))</f>
        <v>270.91</v>
      </c>
      <c r="C2269" s="3">
        <f>MEDIAN(H2269:K2269)</f>
        <v>270.91</v>
      </c>
      <c r="D2269" s="3">
        <f>ROUND(C2269*(1-Settings!$B$2),2)</f>
        <v>189.64</v>
      </c>
      <c r="E2269" s="2" t="inlineStr">
        <is>
          <t>Pokemon</t>
        </is>
      </c>
      <c r="F2269" s="2" t="inlineStr">
        <is>
          <t>Coffret</t>
        </is>
      </c>
      <c r="G2269" s="2" t="inlineStr">
        <is>
          <t>SV: Black Bolt</t>
        </is>
      </c>
      <c r="H2269" s="3" t="n"/>
      <c r="I2269" s="3" t="n">
        <v>270.91</v>
      </c>
      <c r="J2269" s="3" t="n">
        <v>300</v>
      </c>
      <c r="K2269" s="3" t="n">
        <v>224</v>
      </c>
      <c r="L2269" s="2" t="inlineStr">
        <is>
          <t>TCGplayer</t>
        </is>
      </c>
      <c r="N2269" s="4" t="inlineStr">
        <is>
          <t>https://www.tcgplayer.com/product/630687</t>
        </is>
      </c>
    </row>
    <row r="2270">
      <c r="A2270" s="2" t="inlineStr">
        <is>
          <t>Black Bolt Tech Sticker Collection</t>
        </is>
      </c>
      <c r="B2270" s="3">
        <f>IF(H2270&lt;&gt;"",H2270,IF(I2270&lt;&gt;"",I2270,IF(J2270&lt;&gt;"",J2270,K2270)))</f>
        <v>44.48</v>
      </c>
      <c r="C2270" s="3">
        <f>MEDIAN(H2270:K2270)</f>
        <v>50.760000000000005</v>
      </c>
      <c r="D2270" s="3">
        <f>ROUND(C2270*(1-Settings!$B$2),2)</f>
        <v>35.53</v>
      </c>
      <c r="E2270" s="2" t="inlineStr">
        <is>
          <t>Pokemon</t>
        </is>
      </c>
      <c r="F2270" s="2" t="inlineStr">
        <is>
          <t>Coffret</t>
        </is>
      </c>
      <c r="G2270" s="2" t="inlineStr">
        <is>
          <t>SV: Black Bolt</t>
        </is>
      </c>
      <c r="H2270" s="3" t="n">
        <v>44.48</v>
      </c>
      <c r="I2270" s="3" t="n">
        <v>50.52</v>
      </c>
      <c r="J2270" s="3" t="n">
        <v>54.99</v>
      </c>
      <c r="K2270" s="3" t="n">
        <v>51</v>
      </c>
      <c r="L2270" s="2" t="inlineStr">
        <is>
          <t>PriceCharting + TCGplayer</t>
        </is>
      </c>
      <c r="M2270" s="4" t="inlineStr">
        <is>
          <t>https://www.pricecharting.com/game/pokemon-black-bolt/tech-sticker-collection</t>
        </is>
      </c>
      <c r="N2270" s="4" t="inlineStr">
        <is>
          <t>https://www.tcgplayer.com/product/630614</t>
        </is>
      </c>
    </row>
    <row r="2271">
      <c r="A2271" s="2" t="inlineStr">
        <is>
          <t>Unova Heavy Hitters Premium Collection</t>
        </is>
      </c>
      <c r="B2271" s="3">
        <f>IF(H2271&lt;&gt;"",H2271,IF(I2271&lt;&gt;"",I2271,IF(J2271&lt;&gt;"",J2271,K2271)))</f>
        <v>176.46</v>
      </c>
      <c r="C2271" s="3">
        <f>MEDIAN(H2271:K2271)</f>
        <v>176.46</v>
      </c>
      <c r="D2271" s="3">
        <f>ROUND(C2271*(1-Settings!$B$2),2)</f>
        <v>123.52</v>
      </c>
      <c r="E2271" s="2" t="inlineStr">
        <is>
          <t>Pokemon</t>
        </is>
      </c>
      <c r="F2271" s="2" t="inlineStr">
        <is>
          <t>Coffret</t>
        </is>
      </c>
      <c r="G2271" s="2" t="inlineStr">
        <is>
          <t>SV: Black Bolt</t>
        </is>
      </c>
      <c r="H2271" s="3" t="n"/>
      <c r="I2271" s="3" t="n">
        <v>176.46</v>
      </c>
      <c r="J2271" s="3" t="n">
        <v>187.94</v>
      </c>
      <c r="K2271" s="3" t="n">
        <v>5.99</v>
      </c>
      <c r="L2271" s="2" t="inlineStr">
        <is>
          <t>TCGplayer</t>
        </is>
      </c>
      <c r="N2271" s="4" t="inlineStr">
        <is>
          <t>https://www.tcgplayer.com/product/668632</t>
        </is>
      </c>
    </row>
    <row r="2272">
      <c r="A2272" s="2" t="inlineStr">
        <is>
          <t>Unova Mini Tin [Chandelure &amp; Zorua]</t>
        </is>
      </c>
      <c r="B2272" s="3">
        <f>IF(H2272&lt;&gt;"",H2272,IF(I2272&lt;&gt;"",I2272,IF(J2272&lt;&gt;"",J2272,K2272)))</f>
        <v>32.91</v>
      </c>
      <c r="C2272" s="3">
        <f>MEDIAN(H2272:K2272)</f>
        <v>38.93</v>
      </c>
      <c r="D2272" s="3">
        <f>ROUND(C2272*(1-Settings!$B$2),2)</f>
        <v>27.25</v>
      </c>
      <c r="E2272" s="2" t="inlineStr">
        <is>
          <t>Pokemon</t>
        </is>
      </c>
      <c r="F2272" s="2" t="inlineStr">
        <is>
          <t>Coffret</t>
        </is>
      </c>
      <c r="G2272" s="2" t="inlineStr">
        <is>
          <t>SV: Black Bolt</t>
        </is>
      </c>
      <c r="H2272" s="3" t="n">
        <v>32.91</v>
      </c>
      <c r="I2272" s="3" t="n">
        <v>30.73</v>
      </c>
      <c r="J2272" s="3" t="n">
        <v>49.94</v>
      </c>
      <c r="K2272" s="3" t="n">
        <v>44.95</v>
      </c>
      <c r="L2272" s="2" t="inlineStr">
        <is>
          <t>PriceCharting + TCGplayer</t>
        </is>
      </c>
      <c r="M2272" s="4" t="inlineStr">
        <is>
          <t>https://www.pricecharting.com/game/pokemon-black-bolt/unova-mini-tin-chandelure-&amp;-zorua</t>
        </is>
      </c>
      <c r="N2272" s="4" t="inlineStr">
        <is>
          <t>https://www.tcgplayer.com/product/630439</t>
        </is>
      </c>
    </row>
    <row r="2273">
      <c r="A2273" s="2" t="inlineStr">
        <is>
          <t>Unova Mini Tin [Elektross &amp; Galvantula]</t>
        </is>
      </c>
      <c r="B2273" s="3">
        <f>IF(H2273&lt;&gt;"",H2273,IF(I2273&lt;&gt;"",I2273,IF(J2273&lt;&gt;"",J2273,K2273)))</f>
        <v>21.88</v>
      </c>
      <c r="C2273" s="3">
        <f>MEDIAN(H2273:K2273)</f>
        <v>23.275</v>
      </c>
      <c r="D2273" s="3">
        <f>ROUND(C2273*(1-Settings!$B$2),2)</f>
        <v>16.29</v>
      </c>
      <c r="E2273" s="2" t="inlineStr">
        <is>
          <t>Pokemon</t>
        </is>
      </c>
      <c r="F2273" s="2" t="inlineStr">
        <is>
          <t>Coffret</t>
        </is>
      </c>
      <c r="G2273" s="2" t="inlineStr">
        <is>
          <t>SV: Black Bolt</t>
        </is>
      </c>
      <c r="H2273" s="3" t="n">
        <v>21.88</v>
      </c>
      <c r="I2273" s="3" t="n">
        <v>24.67</v>
      </c>
      <c r="J2273" s="3" t="n">
        <v>37.73</v>
      </c>
      <c r="K2273" s="3" t="n">
        <v>11</v>
      </c>
      <c r="L2273" s="2" t="inlineStr">
        <is>
          <t>PriceCharting + TCGplayer</t>
        </is>
      </c>
      <c r="M2273" s="4" t="inlineStr">
        <is>
          <t>https://www.pricecharting.com/game/pokemon-black-bolt/unova-mini-tin-elektross-&amp;-galvantula</t>
        </is>
      </c>
      <c r="N2273" s="4" t="inlineStr">
        <is>
          <t>https://www.tcgplayer.com/product/630445</t>
        </is>
      </c>
    </row>
    <row r="2274">
      <c r="A2274" s="2" t="inlineStr">
        <is>
          <t>Unova Mini Tin [Krookodile &amp; Excadrill]</t>
        </is>
      </c>
      <c r="B2274" s="3">
        <f>IF(H2274&lt;&gt;"",H2274,IF(I2274&lt;&gt;"",I2274,IF(J2274&lt;&gt;"",J2274,K2274)))</f>
        <v>35.58</v>
      </c>
      <c r="C2274" s="3">
        <f>MEDIAN(H2274:K2274)</f>
        <v>37.12</v>
      </c>
      <c r="D2274" s="3">
        <f>ROUND(C2274*(1-Settings!$B$2),2)</f>
        <v>25.98</v>
      </c>
      <c r="E2274" s="2" t="inlineStr">
        <is>
          <t>Pokemon</t>
        </is>
      </c>
      <c r="F2274" s="2" t="inlineStr">
        <is>
          <t>Coffret</t>
        </is>
      </c>
      <c r="G2274" s="2" t="inlineStr">
        <is>
          <t>SV: Black Bolt</t>
        </is>
      </c>
      <c r="H2274" s="3" t="n">
        <v>35.58</v>
      </c>
      <c r="I2274" s="3" t="n">
        <v>28.61</v>
      </c>
      <c r="J2274" s="3" t="n">
        <v>38.67</v>
      </c>
      <c r="K2274" s="3" t="n">
        <v>38.66</v>
      </c>
      <c r="L2274" s="2" t="inlineStr">
        <is>
          <t>PriceCharting + TCGplayer</t>
        </is>
      </c>
      <c r="M2274" s="4" t="inlineStr">
        <is>
          <t>https://www.pricecharting.com/game/pokemon-black-bolt/unova-mini-tin-krookodile-&amp;-excadrill</t>
        </is>
      </c>
      <c r="N2274" s="4" t="inlineStr">
        <is>
          <t>https://www.tcgplayer.com/product/630440</t>
        </is>
      </c>
    </row>
    <row r="2275">
      <c r="A2275" s="2" t="inlineStr">
        <is>
          <t>Unova Mini Tin [Lilligant &amp; Whimsicot]</t>
        </is>
      </c>
      <c r="B2275" s="3">
        <f>IF(H2275&lt;&gt;"",H2275,IF(I2275&lt;&gt;"",I2275,IF(J2275&lt;&gt;"",J2275,K2275)))</f>
        <v>29.68</v>
      </c>
      <c r="C2275" s="3">
        <f>MEDIAN(H2275:K2275)</f>
        <v>31.84</v>
      </c>
      <c r="D2275" s="3">
        <f>ROUND(C2275*(1-Settings!$B$2),2)</f>
        <v>22.29</v>
      </c>
      <c r="E2275" s="2" t="inlineStr">
        <is>
          <t>Pokemon</t>
        </is>
      </c>
      <c r="F2275" s="2" t="inlineStr">
        <is>
          <t>Coffret</t>
        </is>
      </c>
      <c r="G2275" s="2" t="inlineStr">
        <is>
          <t>SV: Black Bolt</t>
        </is>
      </c>
      <c r="H2275" s="3" t="n">
        <v>29.68</v>
      </c>
      <c r="I2275" s="3" t="n">
        <v>25.04</v>
      </c>
      <c r="J2275" s="3" t="n">
        <v>54.99</v>
      </c>
      <c r="K2275" s="3" t="n">
        <v>34</v>
      </c>
      <c r="L2275" s="2" t="inlineStr">
        <is>
          <t>PriceCharting + TCGplayer</t>
        </is>
      </c>
      <c r="M2275" s="4" t="inlineStr">
        <is>
          <t>https://www.pricecharting.com/game/pokemon-black-bolt/unova-mini-tin-lilligant-&amp;-whimsicot</t>
        </is>
      </c>
      <c r="N2275" s="4" t="inlineStr">
        <is>
          <t>https://www.tcgplayer.com/product/630442</t>
        </is>
      </c>
    </row>
    <row r="2276">
      <c r="A2276" s="2" t="inlineStr">
        <is>
          <t>Unova Mini Tin [Mienshao &amp; Klinklang]</t>
        </is>
      </c>
      <c r="B2276" s="3">
        <f>IF(H2276&lt;&gt;"",H2276,IF(I2276&lt;&gt;"",I2276,IF(J2276&lt;&gt;"",J2276,K2276)))</f>
        <v>31.06</v>
      </c>
      <c r="C2276" s="3">
        <f>MEDIAN(H2276:K2276)</f>
        <v>33.144999999999996</v>
      </c>
      <c r="D2276" s="3">
        <f>ROUND(C2276*(1-Settings!$B$2),2)</f>
        <v>23.2</v>
      </c>
      <c r="E2276" s="2" t="inlineStr">
        <is>
          <t>Pokemon</t>
        </is>
      </c>
      <c r="F2276" s="2" t="inlineStr">
        <is>
          <t>Coffret</t>
        </is>
      </c>
      <c r="G2276" s="2" t="inlineStr">
        <is>
          <t>SV: Black Bolt</t>
        </is>
      </c>
      <c r="H2276" s="3" t="n">
        <v>31.06</v>
      </c>
      <c r="I2276" s="3" t="n">
        <v>25.73</v>
      </c>
      <c r="J2276" s="3" t="n">
        <v>39.86</v>
      </c>
      <c r="K2276" s="3" t="n">
        <v>35.23</v>
      </c>
      <c r="L2276" s="2" t="inlineStr">
        <is>
          <t>PriceCharting + TCGplayer</t>
        </is>
      </c>
      <c r="M2276" s="4" t="inlineStr">
        <is>
          <t>https://www.pricecharting.com/game/pokemon-black-bolt/unova-mini-tin-mienshao-&amp;-klinklang</t>
        </is>
      </c>
      <c r="N2276" s="4" t="inlineStr">
        <is>
          <t>https://www.tcgplayer.com/product/630443</t>
        </is>
      </c>
    </row>
    <row r="2277">
      <c r="A2277" s="2" t="inlineStr">
        <is>
          <t>Unova Mini Tin [Volcarona &amp; Emolga]</t>
        </is>
      </c>
      <c r="B2277" s="3">
        <f>IF(H2277&lt;&gt;"",H2277,IF(I2277&lt;&gt;"",I2277,IF(J2277&lt;&gt;"",J2277,K2277)))</f>
        <v>31.64</v>
      </c>
      <c r="C2277" s="3">
        <f>MEDIAN(H2277:K2277)</f>
        <v>40.81</v>
      </c>
      <c r="D2277" s="3">
        <f>ROUND(C2277*(1-Settings!$B$2),2)</f>
        <v>28.57</v>
      </c>
      <c r="E2277" s="2" t="inlineStr">
        <is>
          <t>Pokemon</t>
        </is>
      </c>
      <c r="F2277" s="2" t="inlineStr">
        <is>
          <t>Coffret</t>
        </is>
      </c>
      <c r="G2277" s="2" t="inlineStr">
        <is>
          <t>SV: Black Bolt</t>
        </is>
      </c>
      <c r="H2277" s="3" t="n">
        <v>31.64</v>
      </c>
      <c r="I2277" s="3" t="n">
        <v>25.57</v>
      </c>
      <c r="J2277" s="3" t="n">
        <v>50</v>
      </c>
      <c r="K2277" s="3" t="n">
        <v>49.98</v>
      </c>
      <c r="L2277" s="2" t="inlineStr">
        <is>
          <t>PriceCharting + TCGplayer</t>
        </is>
      </c>
      <c r="M2277" s="4" t="inlineStr">
        <is>
          <t>https://www.pricecharting.com/game/pokemon-black-bolt/unova-mini-tin-volcarona-&amp;-emolga</t>
        </is>
      </c>
      <c r="N2277" s="4" t="inlineStr">
        <is>
          <t>https://www.tcgplayer.com/product/630441</t>
        </is>
      </c>
    </row>
    <row r="2278">
      <c r="A2278" s="2" t="inlineStr">
        <is>
          <t>Unova Poster Collection</t>
        </is>
      </c>
      <c r="B2278" s="3">
        <f>IF(H2278&lt;&gt;"",H2278,IF(I2278&lt;&gt;"",I2278,IF(J2278&lt;&gt;"",J2278,K2278)))</f>
        <v>46.11</v>
      </c>
      <c r="C2278" s="3">
        <f>MEDIAN(H2278:K2278)</f>
        <v>46.230000000000004</v>
      </c>
      <c r="D2278" s="3">
        <f>ROUND(C2278*(1-Settings!$B$2),2)</f>
        <v>32.36</v>
      </c>
      <c r="E2278" s="2" t="inlineStr">
        <is>
          <t>Pokemon</t>
        </is>
      </c>
      <c r="F2278" s="2" t="inlineStr">
        <is>
          <t>Coffret</t>
        </is>
      </c>
      <c r="G2278" s="2" t="inlineStr">
        <is>
          <t>SV: Black Bolt</t>
        </is>
      </c>
      <c r="H2278" s="3" t="n">
        <v>46.11</v>
      </c>
      <c r="I2278" s="3" t="n">
        <v>46.35</v>
      </c>
      <c r="J2278" s="3" t="n">
        <v>52.37</v>
      </c>
      <c r="K2278" s="3" t="n">
        <v>39.99</v>
      </c>
      <c r="L2278" s="2" t="inlineStr">
        <is>
          <t>PriceCharting + TCGplayer</t>
        </is>
      </c>
      <c r="M2278" s="4" t="inlineStr">
        <is>
          <t>https://www.pricecharting.com/game/pokemon-black-bolt/unova-poster-collection</t>
        </is>
      </c>
      <c r="N2278" s="4" t="inlineStr">
        <is>
          <t>https://www.tcgplayer.com/product/630612</t>
        </is>
      </c>
    </row>
    <row r="2279">
      <c r="A2279" s="2" t="inlineStr">
        <is>
          <t>Unova Victini Illustration Collection</t>
        </is>
      </c>
      <c r="B2279" s="3">
        <f>IF(H2279&lt;&gt;"",H2279,IF(I2279&lt;&gt;"",I2279,IF(J2279&lt;&gt;"",J2279,K2279)))</f>
        <v>72.23</v>
      </c>
      <c r="C2279" s="3">
        <f>MEDIAN(H2279:K2279)</f>
        <v>71.99000000000001</v>
      </c>
      <c r="D2279" s="3">
        <f>ROUND(C2279*(1-Settings!$B$2),2)</f>
        <v>50.39</v>
      </c>
      <c r="E2279" s="2" t="inlineStr">
        <is>
          <t>Pokemon</t>
        </is>
      </c>
      <c r="F2279" s="2" t="inlineStr">
        <is>
          <t>Coffret</t>
        </is>
      </c>
      <c r="G2279" s="2" t="inlineStr">
        <is>
          <t>SV: Black Bolt</t>
        </is>
      </c>
      <c r="H2279" s="3" t="n">
        <v>72.23</v>
      </c>
      <c r="I2279" s="3" t="n">
        <v>71.75</v>
      </c>
      <c r="J2279" s="3" t="n">
        <v>75</v>
      </c>
      <c r="K2279" s="3" t="n">
        <v>58.99</v>
      </c>
      <c r="L2279" s="2" t="inlineStr">
        <is>
          <t>PriceCharting + TCGplayer</t>
        </is>
      </c>
      <c r="M2279" s="4" t="inlineStr">
        <is>
          <t>https://www.pricecharting.com/game/pokemon-black-bolt/unova-victini-illustration-collection</t>
        </is>
      </c>
      <c r="N2279" s="4" t="inlineStr">
        <is>
          <t>https://www.tcgplayer.com/product/630615</t>
        </is>
      </c>
    </row>
    <row r="2280">
      <c r="A2280" s="2" t="inlineStr">
        <is>
          <t>ex Special Set</t>
        </is>
      </c>
      <c r="B2280" s="3">
        <f>IF(H2280&lt;&gt;"",H2280,IF(I2280&lt;&gt;"",I2280,IF(J2280&lt;&gt;"",J2280,K2280)))</f>
        <v>66.0</v>
      </c>
      <c r="C2280" s="3">
        <f>MEDIAN(H2280:K2280)</f>
        <v>73.0</v>
      </c>
      <c r="D2280" s="3">
        <f>ROUND(C2280*(1-Settings!$B$2),2)</f>
        <v>51.1</v>
      </c>
      <c r="E2280" s="2" t="inlineStr">
        <is>
          <t>Pokemon</t>
        </is>
      </c>
      <c r="F2280" s="2" t="inlineStr">
        <is>
          <t>Coffret</t>
        </is>
      </c>
      <c r="G2280" s="2" t="inlineStr">
        <is>
          <t>SV: ex Special Set</t>
        </is>
      </c>
      <c r="H2280" s="3" t="n"/>
      <c r="I2280" s="3" t="n">
        <v>66</v>
      </c>
      <c r="J2280" s="3" t="n"/>
      <c r="K2280" s="3" t="n">
        <v>80</v>
      </c>
      <c r="L2280" s="2" t="inlineStr">
        <is>
          <t>TCGplayer</t>
        </is>
      </c>
      <c r="N2280" s="4" t="inlineStr">
        <is>
          <t>https://www.tcgplayer.com/product/594104</t>
        </is>
      </c>
    </row>
    <row r="2281">
      <c r="A2281" s="2" t="inlineStr">
        <is>
          <t>Paldean Fates Booster Bundle</t>
        </is>
      </c>
      <c r="B2281" s="3">
        <f>IF(H2281&lt;&gt;"",H2281,IF(I2281&lt;&gt;"",I2281,IF(J2281&lt;&gt;"",J2281,K2281)))</f>
        <v>168.87</v>
      </c>
      <c r="C2281" s="3">
        <f>MEDIAN(H2281:K2281)</f>
        <v>171.485</v>
      </c>
      <c r="D2281" s="3">
        <f>ROUND(C2281*(1-Settings!$B$2),2)</f>
        <v>120.04</v>
      </c>
      <c r="E2281" s="2" t="inlineStr">
        <is>
          <t>Pokemon</t>
        </is>
      </c>
      <c r="F2281" s="2" t="inlineStr">
        <is>
          <t>Coffret</t>
        </is>
      </c>
      <c r="G2281" s="2" t="inlineStr">
        <is>
          <t>SV: Paldean Fates</t>
        </is>
      </c>
      <c r="H2281" s="3" t="n">
        <v>168.87</v>
      </c>
      <c r="I2281" s="3" t="n">
        <v>174.1</v>
      </c>
      <c r="J2281" s="3" t="n">
        <v>189.98</v>
      </c>
      <c r="K2281" s="3" t="n">
        <v>25</v>
      </c>
      <c r="L2281" s="2" t="inlineStr">
        <is>
          <t>PriceCharting + TCGplayer</t>
        </is>
      </c>
      <c r="M2281" s="4" t="inlineStr">
        <is>
          <t>https://www.pricecharting.com/game/pokemon-paldean-fates/booster-bundle</t>
        </is>
      </c>
      <c r="N2281" s="4" t="inlineStr">
        <is>
          <t>https://www.tcgplayer.com/product/528771</t>
        </is>
      </c>
    </row>
    <row r="2282">
      <c r="A2282" s="2" t="inlineStr">
        <is>
          <t>Paldean Fates Booster Pack Art Bundle [Set of 4]</t>
        </is>
      </c>
      <c r="B2282" s="3">
        <f>IF(H2282&lt;&gt;"",H2282,IF(I2282&lt;&gt;"",I2282,IF(J2282&lt;&gt;"",J2282,K2282)))</f>
        <v>97.06</v>
      </c>
      <c r="C2282" s="3">
        <f>MEDIAN(H2282:K2282)</f>
        <v>97.06</v>
      </c>
      <c r="D2282" s="3">
        <f>ROUND(C2282*(1-Settings!$B$2),2)</f>
        <v>67.94</v>
      </c>
      <c r="E2282" s="2" t="inlineStr">
        <is>
          <t>Pokemon</t>
        </is>
      </c>
      <c r="F2282" s="2" t="inlineStr">
        <is>
          <t>Coffret</t>
        </is>
      </c>
      <c r="G2282" s="2" t="inlineStr">
        <is>
          <t>SV: Paldean Fates</t>
        </is>
      </c>
      <c r="H2282" s="3" t="n"/>
      <c r="I2282" s="3" t="n">
        <v>97.06</v>
      </c>
      <c r="J2282" s="3" t="n">
        <v>98.98</v>
      </c>
      <c r="K2282" s="3" t="n">
        <v>94.98999999999999</v>
      </c>
      <c r="L2282" s="2" t="inlineStr">
        <is>
          <t>TCGplayer</t>
        </is>
      </c>
      <c r="N2282" s="4" t="inlineStr">
        <is>
          <t>https://www.tcgplayer.com/product/668624</t>
        </is>
      </c>
    </row>
    <row r="2283">
      <c r="A2283" s="2" t="inlineStr">
        <is>
          <t>Paldean Fates Elite Trainer Box</t>
        </is>
      </c>
      <c r="B2283" s="3">
        <f>IF(H2283&lt;&gt;"",H2283,IF(I2283&lt;&gt;"",I2283,IF(J2283&lt;&gt;"",J2283,K2283)))</f>
        <v>423.7</v>
      </c>
      <c r="C2283" s="3">
        <f>MEDIAN(H2283:K2283)</f>
        <v>428.41499999999996</v>
      </c>
      <c r="D2283" s="3">
        <f>ROUND(C2283*(1-Settings!$B$2),2)</f>
        <v>299.89</v>
      </c>
      <c r="E2283" s="2" t="inlineStr">
        <is>
          <t>Pokemon</t>
        </is>
      </c>
      <c r="F2283" s="2" t="inlineStr">
        <is>
          <t>Coffret</t>
        </is>
      </c>
      <c r="G2283" s="2" t="inlineStr">
        <is>
          <t>SV: Paldean Fates</t>
        </is>
      </c>
      <c r="H2283" s="3" t="n">
        <v>423.7</v>
      </c>
      <c r="I2283" s="3" t="n">
        <v>433.13</v>
      </c>
      <c r="J2283" s="3" t="n">
        <v>500</v>
      </c>
      <c r="K2283" s="3" t="n">
        <v>59.99</v>
      </c>
      <c r="L2283" s="2" t="inlineStr">
        <is>
          <t>PriceCharting + TCGplayer</t>
        </is>
      </c>
      <c r="M2283" s="4" t="inlineStr">
        <is>
          <t>https://www.pricecharting.com/game/pokemon-paldean-fates/elite-trainer-box</t>
        </is>
      </c>
      <c r="N2283" s="4" t="inlineStr">
        <is>
          <t>https://www.tcgplayer.com/product/528040</t>
        </is>
      </c>
    </row>
    <row r="2284">
      <c r="A2284" s="2" t="inlineStr">
        <is>
          <t>Paldean Fates Great Tusk ex &amp; Iron Treads ex Premium Collection</t>
        </is>
      </c>
      <c r="B2284" s="3">
        <f>IF(H2284&lt;&gt;"",H2284,IF(I2284&lt;&gt;"",I2284,IF(J2284&lt;&gt;"",J2284,K2284)))</f>
        <v>241.48</v>
      </c>
      <c r="C2284" s="3">
        <f>MEDIAN(H2284:K2284)</f>
        <v>242.235</v>
      </c>
      <c r="D2284" s="3">
        <f>ROUND(C2284*(1-Settings!$B$2),2)</f>
        <v>169.56</v>
      </c>
      <c r="E2284" s="2" t="inlineStr">
        <is>
          <t>Pokemon</t>
        </is>
      </c>
      <c r="F2284" s="2" t="inlineStr">
        <is>
          <t>Coffret</t>
        </is>
      </c>
      <c r="G2284" s="2" t="inlineStr">
        <is>
          <t>SV: Paldean Fates</t>
        </is>
      </c>
      <c r="H2284" s="3" t="n">
        <v>241.48</v>
      </c>
      <c r="I2284" s="3" t="n">
        <v>242.99</v>
      </c>
      <c r="J2284" s="3" t="n">
        <v>274.99</v>
      </c>
      <c r="K2284" s="3" t="n">
        <v>230</v>
      </c>
      <c r="L2284" s="2" t="inlineStr">
        <is>
          <t>PriceCharting + TCGplayer</t>
        </is>
      </c>
      <c r="M2284" s="4" t="inlineStr">
        <is>
          <t>https://www.pricecharting.com/game/pokemon-paldean-fates/great-tusk-ex-&amp;-iron-treads-ex-premium-collection</t>
        </is>
      </c>
      <c r="N2284" s="4" t="inlineStr">
        <is>
          <t>https://www.tcgplayer.com/product/665113</t>
        </is>
      </c>
    </row>
    <row r="2285">
      <c r="A2285" s="2" t="inlineStr">
        <is>
          <t>Paldean Fates International Tin [Charizard ex]</t>
        </is>
      </c>
      <c r="B2285" s="3">
        <f>IF(H2285&lt;&gt;"",H2285,IF(I2285&lt;&gt;"",I2285,IF(J2285&lt;&gt;"",J2285,K2285)))</f>
        <v>141.05</v>
      </c>
      <c r="C2285" s="3">
        <f>MEDIAN(H2285:K2285)</f>
        <v>153.34</v>
      </c>
      <c r="D2285" s="3">
        <f>ROUND(C2285*(1-Settings!$B$2),2)</f>
        <v>107.34</v>
      </c>
      <c r="E2285" s="2" t="inlineStr">
        <is>
          <t>Pokemon</t>
        </is>
      </c>
      <c r="F2285" s="2" t="inlineStr">
        <is>
          <t>Coffret</t>
        </is>
      </c>
      <c r="G2285" s="2" t="inlineStr">
        <is>
          <t>SV: Paldean Fates</t>
        </is>
      </c>
      <c r="H2285" s="3" t="n">
        <v>141.05</v>
      </c>
      <c r="I2285" s="3" t="n">
        <v>151.68</v>
      </c>
      <c r="J2285" s="3" t="n">
        <v>187</v>
      </c>
      <c r="K2285" s="3" t="n">
        <v>155</v>
      </c>
      <c r="L2285" s="2" t="inlineStr">
        <is>
          <t>PriceCharting + TCGplayer</t>
        </is>
      </c>
      <c r="M2285" s="4" t="inlineStr">
        <is>
          <t>https://www.pricecharting.com/game/pokemon-paldean-fates/international-tin-charizard-ex</t>
        </is>
      </c>
      <c r="N2285" s="4" t="inlineStr">
        <is>
          <t>https://www.tcgplayer.com/product/528063</t>
        </is>
      </c>
    </row>
    <row r="2286">
      <c r="A2286" s="2" t="inlineStr">
        <is>
          <t>Paldean Fates International Tin [Great Tusk ex]</t>
        </is>
      </c>
      <c r="B2286" s="3">
        <f>IF(H2286&lt;&gt;"",H2286,IF(I2286&lt;&gt;"",I2286,IF(J2286&lt;&gt;"",J2286,K2286)))</f>
        <v>109.56</v>
      </c>
      <c r="C2286" s="3">
        <f>MEDIAN(H2286:K2286)</f>
        <v>118.275</v>
      </c>
      <c r="D2286" s="3">
        <f>ROUND(C2286*(1-Settings!$B$2),2)</f>
        <v>82.79</v>
      </c>
      <c r="E2286" s="2" t="inlineStr">
        <is>
          <t>Pokemon</t>
        </is>
      </c>
      <c r="F2286" s="2" t="inlineStr">
        <is>
          <t>Coffret</t>
        </is>
      </c>
      <c r="G2286" s="2" t="inlineStr">
        <is>
          <t>SV: Paldean Fates</t>
        </is>
      </c>
      <c r="H2286" s="3" t="n">
        <v>109.56</v>
      </c>
      <c r="I2286" s="3" t="n">
        <v>107.42</v>
      </c>
      <c r="J2286" s="3" t="n">
        <v>139.95</v>
      </c>
      <c r="K2286" s="3" t="n">
        <v>126.99</v>
      </c>
      <c r="L2286" s="2" t="inlineStr">
        <is>
          <t>PriceCharting + TCGplayer</t>
        </is>
      </c>
      <c r="M2286" s="4" t="inlineStr">
        <is>
          <t>https://www.pricecharting.com/game/pokemon-paldean-fates/international-tin-great-tusk-ex</t>
        </is>
      </c>
      <c r="N2286" s="4" t="inlineStr">
        <is>
          <t>https://www.tcgplayer.com/product/528060</t>
        </is>
      </c>
    </row>
    <row r="2287">
      <c r="A2287" s="2" t="inlineStr">
        <is>
          <t>Paldean Fates International Tins [Set of 3]</t>
        </is>
      </c>
      <c r="B2287" s="3">
        <f>IF(H2287&lt;&gt;"",H2287,IF(I2287&lt;&gt;"",I2287,IF(J2287&lt;&gt;"",J2287,K2287)))</f>
        <v>425.0</v>
      </c>
      <c r="C2287" s="3">
        <f>MEDIAN(H2287:K2287)</f>
        <v>425.0</v>
      </c>
      <c r="D2287" s="3">
        <f>ROUND(C2287*(1-Settings!$B$2),2)</f>
        <v>297.5</v>
      </c>
      <c r="E2287" s="2" t="inlineStr">
        <is>
          <t>Pokemon</t>
        </is>
      </c>
      <c r="F2287" s="2" t="inlineStr">
        <is>
          <t>Coffret</t>
        </is>
      </c>
      <c r="G2287" s="2" t="inlineStr">
        <is>
          <t>SV: Paldean Fates</t>
        </is>
      </c>
      <c r="H2287" s="3" t="n"/>
      <c r="I2287" s="3" t="n">
        <v>425</v>
      </c>
      <c r="J2287" s="3" t="n">
        <v>485</v>
      </c>
      <c r="K2287" s="3" t="n">
        <v>269.69</v>
      </c>
      <c r="L2287" s="2" t="inlineStr">
        <is>
          <t>TCGplayer</t>
        </is>
      </c>
      <c r="N2287" s="4" t="inlineStr">
        <is>
          <t>https://www.tcgplayer.com/product/528227</t>
        </is>
      </c>
    </row>
    <row r="2288">
      <c r="A2288" s="2" t="inlineStr">
        <is>
          <t>Paldean Fates Mini Tin [Finizen]</t>
        </is>
      </c>
      <c r="B2288" s="3">
        <f>IF(H2288&lt;&gt;"",H2288,IF(I2288&lt;&gt;"",I2288,IF(J2288&lt;&gt;"",J2288,K2288)))</f>
        <v>50.5</v>
      </c>
      <c r="C2288" s="3">
        <f>MEDIAN(H2288:K2288)</f>
        <v>52.245000000000005</v>
      </c>
      <c r="D2288" s="3">
        <f>ROUND(C2288*(1-Settings!$B$2),2)</f>
        <v>36.57</v>
      </c>
      <c r="E2288" s="2" t="inlineStr">
        <is>
          <t>Pokemon</t>
        </is>
      </c>
      <c r="F2288" s="2" t="inlineStr">
        <is>
          <t>Coffret</t>
        </is>
      </c>
      <c r="G2288" s="2" t="inlineStr">
        <is>
          <t>SV: Paldean Fates</t>
        </is>
      </c>
      <c r="H2288" s="3" t="n">
        <v>50.5</v>
      </c>
      <c r="I2288" s="3" t="n">
        <v>49.77</v>
      </c>
      <c r="J2288" s="3" t="n">
        <v>59.98</v>
      </c>
      <c r="K2288" s="3" t="n">
        <v>53.99</v>
      </c>
      <c r="L2288" s="2" t="inlineStr">
        <is>
          <t>PriceCharting + TCGplayer</t>
        </is>
      </c>
      <c r="M2288" s="4" t="inlineStr">
        <is>
          <t>https://www.pricecharting.com/game/pokemon-paldean-fates/mini-tin-finizen</t>
        </is>
      </c>
      <c r="N2288" s="4" t="inlineStr">
        <is>
          <t>https://www.tcgplayer.com/product/528055</t>
        </is>
      </c>
    </row>
    <row r="2289">
      <c r="A2289" s="2" t="inlineStr">
        <is>
          <t>Paldean Fates Mini Tin [Flamigo]</t>
        </is>
      </c>
      <c r="B2289" s="3">
        <f>IF(H2289&lt;&gt;"",H2289,IF(I2289&lt;&gt;"",I2289,IF(J2289&lt;&gt;"",J2289,K2289)))</f>
        <v>42.09</v>
      </c>
      <c r="C2289" s="3">
        <f>MEDIAN(H2289:K2289)</f>
        <v>45.005</v>
      </c>
      <c r="D2289" s="3">
        <f>ROUND(C2289*(1-Settings!$B$2),2)</f>
        <v>31.5</v>
      </c>
      <c r="E2289" s="2" t="inlineStr">
        <is>
          <t>Pokemon</t>
        </is>
      </c>
      <c r="F2289" s="2" t="inlineStr">
        <is>
          <t>Coffret</t>
        </is>
      </c>
      <c r="G2289" s="2" t="inlineStr">
        <is>
          <t>SV: Paldean Fates</t>
        </is>
      </c>
      <c r="H2289" s="3" t="n">
        <v>42.09</v>
      </c>
      <c r="I2289" s="3" t="n">
        <v>47.92</v>
      </c>
      <c r="J2289" s="3" t="n">
        <v>68.45</v>
      </c>
      <c r="K2289" s="3" t="n">
        <v>10.99</v>
      </c>
      <c r="L2289" s="2" t="inlineStr">
        <is>
          <t>PriceCharting + TCGplayer</t>
        </is>
      </c>
      <c r="M2289" s="4" t="inlineStr">
        <is>
          <t>https://www.pricecharting.com/game/pokemon-paldean-fates/mini-tin-flamigo</t>
        </is>
      </c>
      <c r="N2289" s="4" t="inlineStr">
        <is>
          <t>https://www.tcgplayer.com/product/528050</t>
        </is>
      </c>
    </row>
    <row r="2290">
      <c r="A2290" s="2" t="inlineStr">
        <is>
          <t>Paldean Fates Mini Tin [Maushold]</t>
        </is>
      </c>
      <c r="B2290" s="3">
        <f>IF(H2290&lt;&gt;"",H2290,IF(I2290&lt;&gt;"",I2290,IF(J2290&lt;&gt;"",J2290,K2290)))</f>
        <v>87.71</v>
      </c>
      <c r="C2290" s="3">
        <f>MEDIAN(H2290:K2290)</f>
        <v>87.095</v>
      </c>
      <c r="D2290" s="3">
        <f>ROUND(C2290*(1-Settings!$B$2),2)</f>
        <v>60.97</v>
      </c>
      <c r="E2290" s="2" t="inlineStr">
        <is>
          <t>Pokemon</t>
        </is>
      </c>
      <c r="F2290" s="2" t="inlineStr">
        <is>
          <t>Coffret</t>
        </is>
      </c>
      <c r="G2290" s="2" t="inlineStr">
        <is>
          <t>SV: Paldean Fates</t>
        </is>
      </c>
      <c r="H2290" s="3" t="n">
        <v>87.70999999999999</v>
      </c>
      <c r="I2290" s="3" t="n">
        <v>86.48</v>
      </c>
      <c r="J2290" s="3" t="n">
        <v>90</v>
      </c>
      <c r="K2290" s="3" t="n">
        <v>81.31</v>
      </c>
      <c r="L2290" s="2" t="inlineStr">
        <is>
          <t>PriceCharting + TCGplayer</t>
        </is>
      </c>
      <c r="M2290" s="4" t="inlineStr">
        <is>
          <t>https://www.pricecharting.com/game/pokemon-paldean-fates/mini-tin-maushold</t>
        </is>
      </c>
      <c r="N2290" s="4" t="inlineStr">
        <is>
          <t>https://www.tcgplayer.com/product/528051</t>
        </is>
      </c>
    </row>
    <row r="2291">
      <c r="A2291" s="2" t="inlineStr">
        <is>
          <t>Paldean Fates Mini Tin [Set of 5]</t>
        </is>
      </c>
      <c r="B2291" s="3">
        <f>IF(H2291&lt;&gt;"",H2291,IF(I2291&lt;&gt;"",I2291,IF(J2291&lt;&gt;"",J2291,K2291)))</f>
        <v>256.25</v>
      </c>
      <c r="C2291" s="3">
        <f>MEDIAN(H2291:K2291)</f>
        <v>256.25</v>
      </c>
      <c r="D2291" s="3">
        <f>ROUND(C2291*(1-Settings!$B$2),2)</f>
        <v>179.38</v>
      </c>
      <c r="E2291" s="2" t="inlineStr">
        <is>
          <t>Pokemon</t>
        </is>
      </c>
      <c r="F2291" s="2" t="inlineStr">
        <is>
          <t>Coffret</t>
        </is>
      </c>
      <c r="G2291" s="2" t="inlineStr">
        <is>
          <t>SV: Paldean Fates</t>
        </is>
      </c>
      <c r="H2291" s="3" t="n"/>
      <c r="I2291" s="3" t="n">
        <v>256.25</v>
      </c>
      <c r="J2291" s="3" t="n">
        <v>275</v>
      </c>
      <c r="K2291" s="3" t="n">
        <v>256.25</v>
      </c>
      <c r="L2291" s="2" t="inlineStr">
        <is>
          <t>TCGplayer</t>
        </is>
      </c>
      <c r="N2291" s="4" t="inlineStr">
        <is>
          <t>https://www.tcgplayer.com/product/529039</t>
        </is>
      </c>
    </row>
    <row r="2292">
      <c r="A2292" s="2" t="inlineStr">
        <is>
          <t>Paldean Fates Mini Tin [Smoliv]</t>
        </is>
      </c>
      <c r="B2292" s="3">
        <f>IF(H2292&lt;&gt;"",H2292,IF(I2292&lt;&gt;"",I2292,IF(J2292&lt;&gt;"",J2292,K2292)))</f>
        <v>67.99</v>
      </c>
      <c r="C2292" s="3">
        <f>MEDIAN(H2292:K2292)</f>
        <v>68.47</v>
      </c>
      <c r="D2292" s="3">
        <f>ROUND(C2292*(1-Settings!$B$2),2)</f>
        <v>47.93</v>
      </c>
      <c r="E2292" s="2" t="inlineStr">
        <is>
          <t>Pokemon</t>
        </is>
      </c>
      <c r="F2292" s="2" t="inlineStr">
        <is>
          <t>Coffret</t>
        </is>
      </c>
      <c r="G2292" s="2" t="inlineStr">
        <is>
          <t>SV: Paldean Fates</t>
        </is>
      </c>
      <c r="H2292" s="3" t="n">
        <v>67.98999999999999</v>
      </c>
      <c r="I2292" s="3" t="n">
        <v>57.96</v>
      </c>
      <c r="J2292" s="3" t="n">
        <v>74</v>
      </c>
      <c r="K2292" s="3" t="n">
        <v>68.95</v>
      </c>
      <c r="L2292" s="2" t="inlineStr">
        <is>
          <t>PriceCharting + TCGplayer</t>
        </is>
      </c>
      <c r="M2292" s="4" t="inlineStr">
        <is>
          <t>https://www.pricecharting.com/game/pokemon-paldean-fates/mini-tin-smoliv</t>
        </is>
      </c>
      <c r="N2292" s="4" t="inlineStr">
        <is>
          <t>https://www.tcgplayer.com/product/528049</t>
        </is>
      </c>
    </row>
    <row r="2293">
      <c r="A2293" s="2" t="inlineStr">
        <is>
          <t>Paldean Fates Mini Tin [Tinkatink]</t>
        </is>
      </c>
      <c r="B2293" s="3">
        <f>IF(H2293&lt;&gt;"",H2293,IF(I2293&lt;&gt;"",I2293,IF(J2293&lt;&gt;"",J2293,K2293)))</f>
        <v>53.0</v>
      </c>
      <c r="C2293" s="3">
        <f>MEDIAN(H2293:K2293)</f>
        <v>60.975</v>
      </c>
      <c r="D2293" s="3">
        <f>ROUND(C2293*(1-Settings!$B$2),2)</f>
        <v>42.68</v>
      </c>
      <c r="E2293" s="2" t="inlineStr">
        <is>
          <t>Pokemon</t>
        </is>
      </c>
      <c r="F2293" s="2" t="inlineStr">
        <is>
          <t>Coffret</t>
        </is>
      </c>
      <c r="G2293" s="2" t="inlineStr">
        <is>
          <t>SV: Paldean Fates</t>
        </is>
      </c>
      <c r="H2293" s="3" t="n">
        <v>53</v>
      </c>
      <c r="I2293" s="3" t="n">
        <v>50.63</v>
      </c>
      <c r="J2293" s="3" t="n">
        <v>95</v>
      </c>
      <c r="K2293" s="3" t="n">
        <v>68.95</v>
      </c>
      <c r="L2293" s="2" t="inlineStr">
        <is>
          <t>PriceCharting + TCGplayer</t>
        </is>
      </c>
      <c r="M2293" s="4" t="inlineStr">
        <is>
          <t>https://www.pricecharting.com/game/pokemon-paldean-fates/mini-tin-tinkatink</t>
        </is>
      </c>
      <c r="N2293" s="4" t="inlineStr">
        <is>
          <t>https://www.tcgplayer.com/product/528052</t>
        </is>
      </c>
    </row>
    <row r="2294">
      <c r="A2294" s="2" t="inlineStr">
        <is>
          <t>Paldean Fates Pokemon Center Elite Trainer Box (Exclusive)</t>
        </is>
      </c>
      <c r="B2294" s="3">
        <f>IF(H2294&lt;&gt;"",H2294,IF(I2294&lt;&gt;"",I2294,IF(J2294&lt;&gt;"",J2294,K2294)))</f>
        <v>566.94</v>
      </c>
      <c r="C2294" s="3">
        <f>MEDIAN(H2294:K2294)</f>
        <v>566.94</v>
      </c>
      <c r="D2294" s="3">
        <f>ROUND(C2294*(1-Settings!$B$2),2)</f>
        <v>396.86</v>
      </c>
      <c r="E2294" s="2" t="inlineStr">
        <is>
          <t>Pokemon</t>
        </is>
      </c>
      <c r="F2294" s="2" t="inlineStr">
        <is>
          <t>Coffret</t>
        </is>
      </c>
      <c r="G2294" s="2" t="inlineStr">
        <is>
          <t>SV: Paldean Fates</t>
        </is>
      </c>
      <c r="H2294" s="3" t="n"/>
      <c r="I2294" s="3" t="n">
        <v>566.9400000000001</v>
      </c>
      <c r="J2294" s="3" t="n">
        <v>650</v>
      </c>
      <c r="K2294" s="3" t="n">
        <v>544.99</v>
      </c>
      <c r="L2294" s="2" t="inlineStr">
        <is>
          <t>TCGplayer</t>
        </is>
      </c>
      <c r="N2294" s="4" t="inlineStr">
        <is>
          <t>https://www.tcgplayer.com/product/528039</t>
        </is>
      </c>
    </row>
    <row r="2295">
      <c r="A2295" s="2" t="inlineStr">
        <is>
          <t>Paldean Fates Premium Collection [Meowscarada ex]</t>
        </is>
      </c>
      <c r="B2295" s="3">
        <f>IF(H2295&lt;&gt;"",H2295,IF(I2295&lt;&gt;"",I2295,IF(J2295&lt;&gt;"",J2295,K2295)))</f>
        <v>228.32</v>
      </c>
      <c r="C2295" s="3">
        <f>MEDIAN(H2295:K2295)</f>
        <v>300.0</v>
      </c>
      <c r="D2295" s="3">
        <f>ROUND(C2295*(1-Settings!$B$2),2)</f>
        <v>210.0</v>
      </c>
      <c r="E2295" s="2" t="inlineStr">
        <is>
          <t>Pokemon</t>
        </is>
      </c>
      <c r="F2295" s="2" t="inlineStr">
        <is>
          <t>Coffret</t>
        </is>
      </c>
      <c r="G2295" s="2" t="inlineStr">
        <is>
          <t>SV: Paldean Fates</t>
        </is>
      </c>
      <c r="H2295" s="3" t="n"/>
      <c r="I2295" s="3" t="n">
        <v>228.32</v>
      </c>
      <c r="J2295" s="3" t="n">
        <v>339.95</v>
      </c>
      <c r="K2295" s="3" t="n">
        <v>300</v>
      </c>
      <c r="L2295" s="2" t="inlineStr">
        <is>
          <t>TCGplayer</t>
        </is>
      </c>
      <c r="N2295" s="4" t="inlineStr">
        <is>
          <t>https://www.tcgplayer.com/product/528079</t>
        </is>
      </c>
    </row>
    <row r="2296">
      <c r="A2296" s="2" t="inlineStr">
        <is>
          <t>Paldean Fates Premium Collection [Quaquaval ex]</t>
        </is>
      </c>
      <c r="B2296" s="3">
        <f>IF(H2296&lt;&gt;"",H2296,IF(I2296&lt;&gt;"",I2296,IF(J2296&lt;&gt;"",J2296,K2296)))</f>
        <v>223.36</v>
      </c>
      <c r="C2296" s="3">
        <f>MEDIAN(H2296:K2296)</f>
        <v>241.96</v>
      </c>
      <c r="D2296" s="3">
        <f>ROUND(C2296*(1-Settings!$B$2),2)</f>
        <v>169.37</v>
      </c>
      <c r="E2296" s="2" t="inlineStr">
        <is>
          <t>Pokemon</t>
        </is>
      </c>
      <c r="F2296" s="2" t="inlineStr">
        <is>
          <t>Coffret</t>
        </is>
      </c>
      <c r="G2296" s="2" t="inlineStr">
        <is>
          <t>SV: Paldean Fates</t>
        </is>
      </c>
      <c r="H2296" s="3" t="n"/>
      <c r="I2296" s="3" t="n">
        <v>223.36</v>
      </c>
      <c r="J2296" s="3" t="n">
        <v>269.99</v>
      </c>
      <c r="K2296" s="3" t="n">
        <v>241.96</v>
      </c>
      <c r="L2296" s="2" t="inlineStr">
        <is>
          <t>TCGplayer</t>
        </is>
      </c>
      <c r="N2296" s="4" t="inlineStr">
        <is>
          <t>https://www.tcgplayer.com/product/528082</t>
        </is>
      </c>
    </row>
    <row r="2297">
      <c r="A2297" s="2" t="inlineStr">
        <is>
          <t>Paldean Fates Premium Collection [Set of 3]</t>
        </is>
      </c>
      <c r="B2297" s="3">
        <f>IF(H2297&lt;&gt;"",H2297,IF(I2297&lt;&gt;"",I2297,IF(J2297&lt;&gt;"",J2297,K2297)))</f>
        <v>790.82</v>
      </c>
      <c r="C2297" s="3">
        <f>MEDIAN(H2297:K2297)</f>
        <v>799.0</v>
      </c>
      <c r="D2297" s="3">
        <f>ROUND(C2297*(1-Settings!$B$2),2)</f>
        <v>559.3</v>
      </c>
      <c r="E2297" s="2" t="inlineStr">
        <is>
          <t>Pokemon</t>
        </is>
      </c>
      <c r="F2297" s="2" t="inlineStr">
        <is>
          <t>Coffret</t>
        </is>
      </c>
      <c r="G2297" s="2" t="inlineStr">
        <is>
          <t>SV: Paldean Fates</t>
        </is>
      </c>
      <c r="H2297" s="3" t="n"/>
      <c r="I2297" s="3" t="n">
        <v>790.8200000000001</v>
      </c>
      <c r="J2297" s="3" t="n">
        <v>837</v>
      </c>
      <c r="K2297" s="3" t="n">
        <v>799</v>
      </c>
      <c r="L2297" s="2" t="inlineStr">
        <is>
          <t>TCGplayer</t>
        </is>
      </c>
      <c r="N2297" s="4" t="inlineStr">
        <is>
          <t>https://www.tcgplayer.com/product/528324</t>
        </is>
      </c>
    </row>
    <row r="2298">
      <c r="A2298" s="2" t="inlineStr">
        <is>
          <t>Paldean Fates Premium Collection [Skeledirge ex]</t>
        </is>
      </c>
      <c r="B2298" s="3">
        <f>IF(H2298&lt;&gt;"",H2298,IF(I2298&lt;&gt;"",I2298,IF(J2298&lt;&gt;"",J2298,K2298)))</f>
        <v>237.69</v>
      </c>
      <c r="C2298" s="3">
        <f>MEDIAN(H2298:K2298)</f>
        <v>249.99</v>
      </c>
      <c r="D2298" s="3">
        <f>ROUND(C2298*(1-Settings!$B$2),2)</f>
        <v>174.99</v>
      </c>
      <c r="E2298" s="2" t="inlineStr">
        <is>
          <t>Pokemon</t>
        </is>
      </c>
      <c r="F2298" s="2" t="inlineStr">
        <is>
          <t>Coffret</t>
        </is>
      </c>
      <c r="G2298" s="2" t="inlineStr">
        <is>
          <t>SV: Paldean Fates</t>
        </is>
      </c>
      <c r="H2298" s="3" t="n"/>
      <c r="I2298" s="3" t="n">
        <v>237.69</v>
      </c>
      <c r="J2298" s="3" t="n">
        <v>299.49</v>
      </c>
      <c r="K2298" s="3" t="n">
        <v>249.99</v>
      </c>
      <c r="L2298" s="2" t="inlineStr">
        <is>
          <t>TCGplayer</t>
        </is>
      </c>
      <c r="N2298" s="4" t="inlineStr">
        <is>
          <t>https://www.tcgplayer.com/product/528080</t>
        </is>
      </c>
    </row>
    <row r="2299">
      <c r="A2299" s="2" t="inlineStr">
        <is>
          <t>Paldean Fates Tech Sticker Collection [Fidough]</t>
        </is>
      </c>
      <c r="B2299" s="3">
        <f>IF(H2299&lt;&gt;"",H2299,IF(I2299&lt;&gt;"",I2299,IF(J2299&lt;&gt;"",J2299,K2299)))</f>
        <v>72.0</v>
      </c>
      <c r="C2299" s="3">
        <f>MEDIAN(H2299:K2299)</f>
        <v>71.88</v>
      </c>
      <c r="D2299" s="3">
        <f>ROUND(C2299*(1-Settings!$B$2),2)</f>
        <v>50.32</v>
      </c>
      <c r="E2299" s="2" t="inlineStr">
        <is>
          <t>Pokemon</t>
        </is>
      </c>
      <c r="F2299" s="2" t="inlineStr">
        <is>
          <t>Coffret</t>
        </is>
      </c>
      <c r="G2299" s="2" t="inlineStr">
        <is>
          <t>SV: Paldean Fates</t>
        </is>
      </c>
      <c r="H2299" s="3" t="n">
        <v>72</v>
      </c>
      <c r="I2299" s="3" t="n">
        <v>71.76000000000001</v>
      </c>
      <c r="J2299" s="3" t="n">
        <v>76.54000000000001</v>
      </c>
      <c r="K2299" s="3" t="n">
        <v>64.98999999999999</v>
      </c>
      <c r="L2299" s="2" t="inlineStr">
        <is>
          <t>PriceCharting + TCGplayer</t>
        </is>
      </c>
      <c r="M2299" s="4" t="inlineStr">
        <is>
          <t>https://www.pricecharting.com/game/pokemon-paldean-fates/tech-sticker-collection-fidough</t>
        </is>
      </c>
      <c r="N2299" s="4" t="inlineStr">
        <is>
          <t>https://www.tcgplayer.com/product/528043</t>
        </is>
      </c>
    </row>
    <row r="2300">
      <c r="A2300" s="2" t="inlineStr">
        <is>
          <t>Paldean Fates Tech Sticker Collection [Greavard]</t>
        </is>
      </c>
      <c r="B2300" s="3">
        <f>IF(H2300&lt;&gt;"",H2300,IF(I2300&lt;&gt;"",I2300,IF(J2300&lt;&gt;"",J2300,K2300)))</f>
        <v>74.15</v>
      </c>
      <c r="C2300" s="3">
        <f>MEDIAN(H2300:K2300)</f>
        <v>72.83500000000001</v>
      </c>
      <c r="D2300" s="3">
        <f>ROUND(C2300*(1-Settings!$B$2),2)</f>
        <v>50.98</v>
      </c>
      <c r="E2300" s="2" t="inlineStr">
        <is>
          <t>Pokemon</t>
        </is>
      </c>
      <c r="F2300" s="2" t="inlineStr">
        <is>
          <t>Coffret</t>
        </is>
      </c>
      <c r="G2300" s="2" t="inlineStr">
        <is>
          <t>SV: Paldean Fates</t>
        </is>
      </c>
      <c r="H2300" s="3" t="n">
        <v>74.15000000000001</v>
      </c>
      <c r="I2300" s="3" t="n">
        <v>71.52</v>
      </c>
      <c r="J2300" s="3" t="n">
        <v>79.94</v>
      </c>
      <c r="K2300" s="3" t="n">
        <v>71</v>
      </c>
      <c r="L2300" s="2" t="inlineStr">
        <is>
          <t>PriceCharting + TCGplayer</t>
        </is>
      </c>
      <c r="M2300" s="4" t="inlineStr">
        <is>
          <t>https://www.pricecharting.com/game/pokemon-paldean-fates/tech-sticker-collection-greavard</t>
        </is>
      </c>
      <c r="N2300" s="4" t="inlineStr">
        <is>
          <t>https://www.tcgplayer.com/product/528045</t>
        </is>
      </c>
    </row>
    <row r="2301">
      <c r="A2301" s="2" t="inlineStr">
        <is>
          <t>Paldean Fates Tech Sticker Collection [Maschiff]</t>
        </is>
      </c>
      <c r="B2301" s="3">
        <f>IF(H2301&lt;&gt;"",H2301,IF(I2301&lt;&gt;"",I2301,IF(J2301&lt;&gt;"",J2301,K2301)))</f>
        <v>71.0</v>
      </c>
      <c r="C2301" s="3">
        <f>MEDIAN(H2301:K2301)</f>
        <v>71.575</v>
      </c>
      <c r="D2301" s="3">
        <f>ROUND(C2301*(1-Settings!$B$2),2)</f>
        <v>50.1</v>
      </c>
      <c r="E2301" s="2" t="inlineStr">
        <is>
          <t>Pokemon</t>
        </is>
      </c>
      <c r="F2301" s="2" t="inlineStr">
        <is>
          <t>Coffret</t>
        </is>
      </c>
      <c r="G2301" s="2" t="inlineStr">
        <is>
          <t>SV: Paldean Fates</t>
        </is>
      </c>
      <c r="H2301" s="3" t="n">
        <v>71</v>
      </c>
      <c r="I2301" s="3" t="n">
        <v>72.15000000000001</v>
      </c>
      <c r="J2301" s="3" t="n">
        <v>74.42</v>
      </c>
      <c r="K2301" s="3" t="n">
        <v>65</v>
      </c>
      <c r="L2301" s="2" t="inlineStr">
        <is>
          <t>PriceCharting + TCGplayer</t>
        </is>
      </c>
      <c r="M2301" s="4" t="inlineStr">
        <is>
          <t>https://www.pricecharting.com/game/pokemon-paldean-fates/tech-sticker-collection-maschiff</t>
        </is>
      </c>
      <c r="N2301" s="4" t="inlineStr">
        <is>
          <t>https://www.tcgplayer.com/product/528044</t>
        </is>
      </c>
    </row>
    <row r="2302">
      <c r="A2302" s="2" t="inlineStr">
        <is>
          <t>Paldean Fates Tin [Charizard ex]</t>
        </is>
      </c>
      <c r="B2302" s="3">
        <f>IF(H2302&lt;&gt;"",H2302,IF(I2302&lt;&gt;"",I2302,IF(J2302&lt;&gt;"",J2302,K2302)))</f>
        <v>201.86</v>
      </c>
      <c r="C2302" s="3">
        <f>MEDIAN(H2302:K2302)</f>
        <v>201.86</v>
      </c>
      <c r="D2302" s="3">
        <f>ROUND(C2302*(1-Settings!$B$2),2)</f>
        <v>141.3</v>
      </c>
      <c r="E2302" s="2" t="inlineStr">
        <is>
          <t>Pokemon</t>
        </is>
      </c>
      <c r="F2302" s="2" t="inlineStr">
        <is>
          <t>Coffret</t>
        </is>
      </c>
      <c r="G2302" s="2" t="inlineStr">
        <is>
          <t>SV: Paldean Fates</t>
        </is>
      </c>
      <c r="H2302" s="3" t="n"/>
      <c r="I2302" s="3" t="n">
        <v>201.86</v>
      </c>
      <c r="J2302" s="3" t="n">
        <v>219.97</v>
      </c>
      <c r="K2302" s="3" t="n">
        <v>190</v>
      </c>
      <c r="L2302" s="2" t="inlineStr">
        <is>
          <t>TCGplayer</t>
        </is>
      </c>
      <c r="N2302" s="4" t="inlineStr">
        <is>
          <t>https://www.tcgplayer.com/product/528056</t>
        </is>
      </c>
    </row>
    <row r="2303">
      <c r="A2303" s="2" t="inlineStr">
        <is>
          <t>Paldean Fates Tin [Great Tusk ex]</t>
        </is>
      </c>
      <c r="B2303" s="3">
        <f>IF(H2303&lt;&gt;"",H2303,IF(I2303&lt;&gt;"",I2303,IF(J2303&lt;&gt;"",J2303,K2303)))</f>
        <v>128.57</v>
      </c>
      <c r="C2303" s="3">
        <f>MEDIAN(H2303:K2303)</f>
        <v>139.99</v>
      </c>
      <c r="D2303" s="3">
        <f>ROUND(C2303*(1-Settings!$B$2),2)</f>
        <v>97.99</v>
      </c>
      <c r="E2303" s="2" t="inlineStr">
        <is>
          <t>Pokemon</t>
        </is>
      </c>
      <c r="F2303" s="2" t="inlineStr">
        <is>
          <t>Coffret</t>
        </is>
      </c>
      <c r="G2303" s="2" t="inlineStr">
        <is>
          <t>SV: Paldean Fates</t>
        </is>
      </c>
      <c r="H2303" s="3" t="n"/>
      <c r="I2303" s="3" t="n">
        <v>128.57</v>
      </c>
      <c r="J2303" s="3" t="n">
        <v>148.98</v>
      </c>
      <c r="K2303" s="3" t="n">
        <v>139.99</v>
      </c>
      <c r="L2303" s="2" t="inlineStr">
        <is>
          <t>TCGplayer</t>
        </is>
      </c>
      <c r="N2303" s="4" t="inlineStr">
        <is>
          <t>https://www.tcgplayer.com/product/528057</t>
        </is>
      </c>
    </row>
    <row r="2304">
      <c r="A2304" s="2" t="inlineStr">
        <is>
          <t>Paldean Fates Tin [Iron Treads ex]</t>
        </is>
      </c>
      <c r="B2304" s="3">
        <f>IF(H2304&lt;&gt;"",H2304,IF(I2304&lt;&gt;"",I2304,IF(J2304&lt;&gt;"",J2304,K2304)))</f>
        <v>123.61</v>
      </c>
      <c r="C2304" s="3">
        <f>MEDIAN(H2304:K2304)</f>
        <v>134.99</v>
      </c>
      <c r="D2304" s="3">
        <f>ROUND(C2304*(1-Settings!$B$2),2)</f>
        <v>94.49</v>
      </c>
      <c r="E2304" s="2" t="inlineStr">
        <is>
          <t>Pokemon</t>
        </is>
      </c>
      <c r="F2304" s="2" t="inlineStr">
        <is>
          <t>Coffret</t>
        </is>
      </c>
      <c r="G2304" s="2" t="inlineStr">
        <is>
          <t>SV: Paldean Fates</t>
        </is>
      </c>
      <c r="H2304" s="3" t="n"/>
      <c r="I2304" s="3" t="n">
        <v>123.61</v>
      </c>
      <c r="J2304" s="3" t="n">
        <v>138.99</v>
      </c>
      <c r="K2304" s="3" t="n">
        <v>134.99</v>
      </c>
      <c r="L2304" s="2" t="inlineStr">
        <is>
          <t>TCGplayer</t>
        </is>
      </c>
      <c r="N2304" s="4" t="inlineStr">
        <is>
          <t>https://www.tcgplayer.com/product/528058</t>
        </is>
      </c>
    </row>
    <row r="2305">
      <c r="A2305" s="2" t="inlineStr">
        <is>
          <t>Paldean Fates Tins [Set of 3]</t>
        </is>
      </c>
      <c r="B2305" s="3">
        <f>IF(H2305&lt;&gt;"",H2305,IF(I2305&lt;&gt;"",I2305,IF(J2305&lt;&gt;"",J2305,K2305)))</f>
        <v>499.94</v>
      </c>
      <c r="C2305" s="3">
        <f>MEDIAN(H2305:K2305)</f>
        <v>725.0</v>
      </c>
      <c r="D2305" s="3">
        <f>ROUND(C2305*(1-Settings!$B$2),2)</f>
        <v>507.5</v>
      </c>
      <c r="E2305" s="2" t="inlineStr">
        <is>
          <t>Pokemon</t>
        </is>
      </c>
      <c r="F2305" s="2" t="inlineStr">
        <is>
          <t>Coffret</t>
        </is>
      </c>
      <c r="G2305" s="2" t="inlineStr">
        <is>
          <t>SV: Paldean Fates</t>
        </is>
      </c>
      <c r="H2305" s="3" t="n"/>
      <c r="I2305" s="3" t="n">
        <v>499.94</v>
      </c>
      <c r="J2305" s="3" t="n">
        <v>749.95</v>
      </c>
      <c r="K2305" s="3" t="n">
        <v>725</v>
      </c>
      <c r="L2305" s="2" t="inlineStr">
        <is>
          <t>TCGplayer</t>
        </is>
      </c>
      <c r="N2305" s="4" t="inlineStr">
        <is>
          <t>https://www.tcgplayer.com/product/528228</t>
        </is>
      </c>
    </row>
    <row r="2306">
      <c r="A2306" s="2" t="inlineStr">
        <is>
          <t>Premium Trainer Box ex</t>
        </is>
      </c>
      <c r="B2306" s="3">
        <f>IF(H2306&lt;&gt;"",H2306,IF(I2306&lt;&gt;"",I2306,IF(J2306&lt;&gt;"",J2306,K2306)))</f>
        <v>89.71</v>
      </c>
      <c r="C2306" s="3">
        <f>MEDIAN(H2306:K2306)</f>
        <v>102.85</v>
      </c>
      <c r="D2306" s="3">
        <f>ROUND(C2306*(1-Settings!$B$2),2)</f>
        <v>72.0</v>
      </c>
      <c r="E2306" s="2" t="inlineStr">
        <is>
          <t>Pokemon</t>
        </is>
      </c>
      <c r="F2306" s="2" t="inlineStr">
        <is>
          <t>Coffret</t>
        </is>
      </c>
      <c r="G2306" s="2" t="inlineStr">
        <is>
          <t>SV: Premium Trainer Box ex</t>
        </is>
      </c>
      <c r="H2306" s="3" t="n"/>
      <c r="I2306" s="3" t="n">
        <v>89.70999999999999</v>
      </c>
      <c r="J2306" s="3" t="n"/>
      <c r="K2306" s="3" t="n">
        <v>115.99</v>
      </c>
      <c r="L2306" s="2" t="inlineStr">
        <is>
          <t>TCGplayer</t>
        </is>
      </c>
      <c r="N2306" s="4" t="inlineStr">
        <is>
          <t>https://www.tcgplayer.com/product/594110</t>
        </is>
      </c>
    </row>
    <row r="2307">
      <c r="A2307" s="2" t="inlineStr">
        <is>
          <t>Prismatic Evolutions 2-Pack Blister [Eevee]</t>
        </is>
      </c>
      <c r="B2307" s="3">
        <f>IF(H2307&lt;&gt;"",H2307,IF(I2307&lt;&gt;"",I2307,IF(J2307&lt;&gt;"",J2307,K2307)))</f>
        <v>36.64</v>
      </c>
      <c r="C2307" s="3">
        <f>MEDIAN(H2307:K2307)</f>
        <v>36.64</v>
      </c>
      <c r="D2307" s="3">
        <f>ROUND(C2307*(1-Settings!$B$2),2)</f>
        <v>25.65</v>
      </c>
      <c r="E2307" s="2" t="inlineStr">
        <is>
          <t>Pokemon</t>
        </is>
      </c>
      <c r="F2307" s="2" t="inlineStr">
        <is>
          <t>Coffret</t>
        </is>
      </c>
      <c r="G2307" s="2" t="inlineStr">
        <is>
          <t>SV: Prismatic Evolutions</t>
        </is>
      </c>
      <c r="H2307" s="3" t="n"/>
      <c r="I2307" s="3" t="n">
        <v>36.64</v>
      </c>
      <c r="J2307" s="3" t="n">
        <v>44.4</v>
      </c>
      <c r="K2307" s="3" t="n">
        <v>1.5</v>
      </c>
      <c r="L2307" s="2" t="inlineStr">
        <is>
          <t>TCGplayer</t>
        </is>
      </c>
      <c r="N2307" s="4" t="inlineStr">
        <is>
          <t>https://www.tcgplayer.com/product/609716</t>
        </is>
      </c>
    </row>
    <row r="2308">
      <c r="A2308" s="2" t="inlineStr">
        <is>
          <t>Prismatic Evolutions Accessory Pouch Special Collection</t>
        </is>
      </c>
      <c r="B2308" s="3">
        <f>IF(H2308&lt;&gt;"",H2308,IF(I2308&lt;&gt;"",I2308,IF(J2308&lt;&gt;"",J2308,K2308)))</f>
        <v>72.98</v>
      </c>
      <c r="C2308" s="3">
        <f>MEDIAN(H2308:K2308)</f>
        <v>76.12</v>
      </c>
      <c r="D2308" s="3">
        <f>ROUND(C2308*(1-Settings!$B$2),2)</f>
        <v>53.28</v>
      </c>
      <c r="E2308" s="2" t="inlineStr">
        <is>
          <t>Pokemon</t>
        </is>
      </c>
      <c r="F2308" s="2" t="inlineStr">
        <is>
          <t>Coffret</t>
        </is>
      </c>
      <c r="G2308" s="2" t="inlineStr">
        <is>
          <t>SV: Prismatic Evolutions</t>
        </is>
      </c>
      <c r="H2308" s="3" t="n">
        <v>72.98</v>
      </c>
      <c r="I2308" s="3" t="n">
        <v>79.26000000000001</v>
      </c>
      <c r="J2308" s="3" t="n">
        <v>85</v>
      </c>
      <c r="K2308" s="3" t="n">
        <v>11.99</v>
      </c>
      <c r="L2308" s="2" t="inlineStr">
        <is>
          <t>PriceCharting + TCGplayer</t>
        </is>
      </c>
      <c r="M2308" s="4" t="inlineStr">
        <is>
          <t>https://www.pricecharting.com/game/pokemon-prismatic-evolutions/accessory-pouch-special-collection</t>
        </is>
      </c>
      <c r="N2308" s="4" t="inlineStr">
        <is>
          <t>https://www.tcgplayer.com/product/606881</t>
        </is>
      </c>
    </row>
    <row r="2309">
      <c r="A2309" s="2" t="inlineStr">
        <is>
          <t>Prismatic Evolutions Binder Collection</t>
        </is>
      </c>
      <c r="B2309" s="3">
        <f>IF(H2309&lt;&gt;"",H2309,IF(I2309&lt;&gt;"",I2309,IF(J2309&lt;&gt;"",J2309,K2309)))</f>
        <v>111.18</v>
      </c>
      <c r="C2309" s="3">
        <f>MEDIAN(H2309:K2309)</f>
        <v>111.575</v>
      </c>
      <c r="D2309" s="3">
        <f>ROUND(C2309*(1-Settings!$B$2),2)</f>
        <v>78.1</v>
      </c>
      <c r="E2309" s="2" t="inlineStr">
        <is>
          <t>Pokemon</t>
        </is>
      </c>
      <c r="F2309" s="2" t="inlineStr">
        <is>
          <t>Coffret</t>
        </is>
      </c>
      <c r="G2309" s="2" t="inlineStr">
        <is>
          <t>SV: Prismatic Evolutions</t>
        </is>
      </c>
      <c r="H2309" s="3" t="n">
        <v>111.18</v>
      </c>
      <c r="I2309" s="3" t="n">
        <v>111.97</v>
      </c>
      <c r="J2309" s="3" t="n">
        <v>116.99</v>
      </c>
      <c r="K2309" s="3" t="n">
        <v>104</v>
      </c>
      <c r="L2309" s="2" t="inlineStr">
        <is>
          <t>PriceCharting + TCGplayer</t>
        </is>
      </c>
      <c r="M2309" s="4" t="inlineStr">
        <is>
          <t>https://www.pricecharting.com/game/pokemon-prismatic-evolutions/binder-collection</t>
        </is>
      </c>
      <c r="N2309" s="4" t="inlineStr">
        <is>
          <t>https://www.tcgplayer.com/product/593356</t>
        </is>
      </c>
    </row>
    <row r="2310">
      <c r="A2310" s="2" t="inlineStr">
        <is>
          <t>Prismatic Evolutions Booster Bundle</t>
        </is>
      </c>
      <c r="B2310" s="3">
        <f>IF(H2310&lt;&gt;"",H2310,IF(I2310&lt;&gt;"",I2310,IF(J2310&lt;&gt;"",J2310,K2310)))</f>
        <v>86.49</v>
      </c>
      <c r="C2310" s="3">
        <f>MEDIAN(H2310:K2310)</f>
        <v>85.805</v>
      </c>
      <c r="D2310" s="3">
        <f>ROUND(C2310*(1-Settings!$B$2),2)</f>
        <v>60.06</v>
      </c>
      <c r="E2310" s="2" t="inlineStr">
        <is>
          <t>Pokemon</t>
        </is>
      </c>
      <c r="F2310" s="2" t="inlineStr">
        <is>
          <t>Coffret</t>
        </is>
      </c>
      <c r="G2310" s="2" t="inlineStr">
        <is>
          <t>SV: Prismatic Evolutions</t>
        </is>
      </c>
      <c r="H2310" s="3" t="n">
        <v>86.48999999999999</v>
      </c>
      <c r="I2310" s="3" t="n">
        <v>85.12</v>
      </c>
      <c r="J2310" s="3" t="n">
        <v>99.98999999999999</v>
      </c>
      <c r="K2310" s="3" t="n">
        <v>5</v>
      </c>
      <c r="L2310" s="2" t="inlineStr">
        <is>
          <t>PriceCharting + TCGplayer</t>
        </is>
      </c>
      <c r="M2310" s="4" t="inlineStr">
        <is>
          <t>https://www.pricecharting.com/game/pokemon-prismatic-evolutions/booster-bundle</t>
        </is>
      </c>
      <c r="N2310" s="4" t="inlineStr">
        <is>
          <t>https://www.tcgplayer.com/product/600518</t>
        </is>
      </c>
    </row>
    <row r="2311">
      <c r="A2311" s="2" t="inlineStr">
        <is>
          <t>Prismatic Evolutions Booster Bundle + Surprise Box Bundle (Sam's Club)</t>
        </is>
      </c>
      <c r="B2311" s="3">
        <f>IF(H2311&lt;&gt;"",H2311,IF(I2311&lt;&gt;"",I2311,IF(J2311&lt;&gt;"",J2311,K2311)))</f>
        <v>148.5</v>
      </c>
      <c r="C2311" s="3">
        <f>MEDIAN(H2311:K2311)</f>
        <v>148.5</v>
      </c>
      <c r="D2311" s="3">
        <f>ROUND(C2311*(1-Settings!$B$2),2)</f>
        <v>103.95</v>
      </c>
      <c r="E2311" s="2" t="inlineStr">
        <is>
          <t>Pokemon</t>
        </is>
      </c>
      <c r="F2311" s="2" t="inlineStr">
        <is>
          <t>Coffret</t>
        </is>
      </c>
      <c r="G2311" s="2" t="inlineStr">
        <is>
          <t>SV: Prismatic Evolutions</t>
        </is>
      </c>
      <c r="H2311" s="3" t="n"/>
      <c r="I2311" s="3" t="n">
        <v>148.5</v>
      </c>
      <c r="J2311" s="3" t="n">
        <v>160</v>
      </c>
      <c r="K2311" s="3" t="n">
        <v>7</v>
      </c>
      <c r="L2311" s="2" t="inlineStr">
        <is>
          <t>TCGplayer</t>
        </is>
      </c>
      <c r="N2311" s="4" t="inlineStr">
        <is>
          <t>https://www.tcgplayer.com/product/678555</t>
        </is>
      </c>
    </row>
    <row r="2312">
      <c r="A2312" s="2" t="inlineStr">
        <is>
          <t>Prismatic Evolutions Booster Pack Art Bundle [Set of 4]</t>
        </is>
      </c>
      <c r="B2312" s="3">
        <f>IF(H2312&lt;&gt;"",H2312,IF(I2312&lt;&gt;"",I2312,IF(J2312&lt;&gt;"",J2312,K2312)))</f>
        <v>59.51</v>
      </c>
      <c r="C2312" s="3">
        <f>MEDIAN(H2312:K2312)</f>
        <v>59.51</v>
      </c>
      <c r="D2312" s="3">
        <f>ROUND(C2312*(1-Settings!$B$2),2)</f>
        <v>41.66</v>
      </c>
      <c r="E2312" s="2" t="inlineStr">
        <is>
          <t>Pokemon</t>
        </is>
      </c>
      <c r="F2312" s="2" t="inlineStr">
        <is>
          <t>Coffret</t>
        </is>
      </c>
      <c r="G2312" s="2" t="inlineStr">
        <is>
          <t>SV: Prismatic Evolutions</t>
        </is>
      </c>
      <c r="H2312" s="3" t="n"/>
      <c r="I2312" s="3" t="n">
        <v>59.51</v>
      </c>
      <c r="J2312" s="3" t="n">
        <v>59.97</v>
      </c>
      <c r="K2312" s="3" t="n">
        <v>58</v>
      </c>
      <c r="L2312" s="2" t="inlineStr">
        <is>
          <t>TCGplayer</t>
        </is>
      </c>
      <c r="N2312" s="4" t="inlineStr">
        <is>
          <t>https://www.tcgplayer.com/product/617823</t>
        </is>
      </c>
    </row>
    <row r="2313">
      <c r="A2313" s="2" t="inlineStr">
        <is>
          <t>Prismatic Evolutions Elite Trainer Box</t>
        </is>
      </c>
      <c r="B2313" s="3">
        <f>IF(H2313&lt;&gt;"",H2313,IF(I2313&lt;&gt;"",I2313,IF(J2313&lt;&gt;"",J2313,K2313)))</f>
        <v>139.49</v>
      </c>
      <c r="C2313" s="3">
        <f>MEDIAN(H2313:K2313)</f>
        <v>139.885</v>
      </c>
      <c r="D2313" s="3">
        <f>ROUND(C2313*(1-Settings!$B$2),2)</f>
        <v>97.92</v>
      </c>
      <c r="E2313" s="2" t="inlineStr">
        <is>
          <t>Pokemon</t>
        </is>
      </c>
      <c r="F2313" s="2" t="inlineStr">
        <is>
          <t>Coffret</t>
        </is>
      </c>
      <c r="G2313" s="2" t="inlineStr">
        <is>
          <t>SV: Prismatic Evolutions</t>
        </is>
      </c>
      <c r="H2313" s="3" t="n">
        <v>139.49</v>
      </c>
      <c r="I2313" s="3" t="n">
        <v>140.28</v>
      </c>
      <c r="J2313" s="3" t="n">
        <v>186.45</v>
      </c>
      <c r="K2313" s="3" t="n">
        <v>1.99</v>
      </c>
      <c r="L2313" s="2" t="inlineStr">
        <is>
          <t>PriceCharting + TCGplayer</t>
        </is>
      </c>
      <c r="M2313" s="4" t="inlineStr">
        <is>
          <t>https://www.pricecharting.com/game/pokemon-prismatic-evolutions/elite-trainer-box</t>
        </is>
      </c>
      <c r="N2313" s="4" t="inlineStr">
        <is>
          <t>https://www.tcgplayer.com/product/593355</t>
        </is>
      </c>
    </row>
    <row r="2314">
      <c r="A2314" s="2" t="inlineStr">
        <is>
          <t>Prismatic Evolutions Elite Trainer Box (Dollar General Exclusive)</t>
        </is>
      </c>
      <c r="B2314" s="3">
        <f>IF(H2314&lt;&gt;"",H2314,IF(I2314&lt;&gt;"",I2314,IF(J2314&lt;&gt;"",J2314,K2314)))</f>
        <v>199.49</v>
      </c>
      <c r="C2314" s="3">
        <f>MEDIAN(H2314:K2314)</f>
        <v>199.49</v>
      </c>
      <c r="D2314" s="3">
        <f>ROUND(C2314*(1-Settings!$B$2),2)</f>
        <v>139.64</v>
      </c>
      <c r="E2314" s="2" t="inlineStr">
        <is>
          <t>Pokemon</t>
        </is>
      </c>
      <c r="F2314" s="2" t="inlineStr">
        <is>
          <t>Coffret</t>
        </is>
      </c>
      <c r="G2314" s="2" t="inlineStr">
        <is>
          <t>SV: Prismatic Evolutions</t>
        </is>
      </c>
      <c r="H2314" s="3" t="n"/>
      <c r="I2314" s="3" t="n">
        <v>199.49</v>
      </c>
      <c r="J2314" s="3" t="n">
        <v>199.73</v>
      </c>
      <c r="K2314" s="3" t="n">
        <v>85</v>
      </c>
      <c r="L2314" s="2" t="inlineStr">
        <is>
          <t>TCGplayer</t>
        </is>
      </c>
      <c r="N2314" s="4" t="inlineStr">
        <is>
          <t>https://www.tcgplayer.com/product/670607</t>
        </is>
      </c>
    </row>
    <row r="2315">
      <c r="A2315" s="2" t="inlineStr">
        <is>
          <t>Prismatic Evolutions Mini Tin [Espeon]</t>
        </is>
      </c>
      <c r="B2315" s="3">
        <f>IF(H2315&lt;&gt;"",H2315,IF(I2315&lt;&gt;"",I2315,IF(J2315&lt;&gt;"",J2315,K2315)))</f>
        <v>37.49</v>
      </c>
      <c r="C2315" s="3">
        <f>MEDIAN(H2315:K2315)</f>
        <v>38.040000000000006</v>
      </c>
      <c r="D2315" s="3">
        <f>ROUND(C2315*(1-Settings!$B$2),2)</f>
        <v>26.63</v>
      </c>
      <c r="E2315" s="2" t="inlineStr">
        <is>
          <t>Pokemon</t>
        </is>
      </c>
      <c r="F2315" s="2" t="inlineStr">
        <is>
          <t>Coffret</t>
        </is>
      </c>
      <c r="G2315" s="2" t="inlineStr">
        <is>
          <t>SV: Prismatic Evolutions</t>
        </is>
      </c>
      <c r="H2315" s="3" t="n">
        <v>37.49</v>
      </c>
      <c r="I2315" s="3" t="n">
        <v>38.59</v>
      </c>
      <c r="J2315" s="3" t="n">
        <v>38.91</v>
      </c>
      <c r="K2315" s="3" t="n">
        <v>12</v>
      </c>
      <c r="L2315" s="2" t="inlineStr">
        <is>
          <t>PriceCharting + TCGplayer</t>
        </is>
      </c>
      <c r="M2315" s="4" t="inlineStr">
        <is>
          <t>https://www.pricecharting.com/game/pokemon-prismatic-evolutions/mini-tin-espeon</t>
        </is>
      </c>
      <c r="N2315" s="4" t="inlineStr">
        <is>
          <t>https://www.tcgplayer.com/product/593458</t>
        </is>
      </c>
    </row>
    <row r="2316">
      <c r="A2316" s="2" t="inlineStr">
        <is>
          <t>Prismatic Evolutions Mini Tin [Flareon]</t>
        </is>
      </c>
      <c r="B2316" s="3">
        <f>IF(H2316&lt;&gt;"",H2316,IF(I2316&lt;&gt;"",I2316,IF(J2316&lt;&gt;"",J2316,K2316)))</f>
        <v>33.0</v>
      </c>
      <c r="C2316" s="3">
        <f>MEDIAN(H2316:K2316)</f>
        <v>33.08</v>
      </c>
      <c r="D2316" s="3">
        <f>ROUND(C2316*(1-Settings!$B$2),2)</f>
        <v>23.16</v>
      </c>
      <c r="E2316" s="2" t="inlineStr">
        <is>
          <t>Pokemon</t>
        </is>
      </c>
      <c r="F2316" s="2" t="inlineStr">
        <is>
          <t>Coffret</t>
        </is>
      </c>
      <c r="G2316" s="2" t="inlineStr">
        <is>
          <t>SV: Prismatic Evolutions</t>
        </is>
      </c>
      <c r="H2316" s="3" t="n">
        <v>33</v>
      </c>
      <c r="I2316" s="3" t="n">
        <v>33.16</v>
      </c>
      <c r="J2316" s="3" t="n">
        <v>36.98</v>
      </c>
      <c r="K2316" s="3" t="n">
        <v>9.99</v>
      </c>
      <c r="L2316" s="2" t="inlineStr">
        <is>
          <t>PriceCharting + TCGplayer</t>
        </is>
      </c>
      <c r="M2316" s="4" t="inlineStr">
        <is>
          <t>https://www.pricecharting.com/game/pokemon-prismatic-evolutions/mini-tin-flareon</t>
        </is>
      </c>
      <c r="N2316" s="4" t="inlineStr">
        <is>
          <t>https://www.tcgplayer.com/product/593457</t>
        </is>
      </c>
    </row>
    <row r="2317">
      <c r="A2317" s="2" t="inlineStr">
        <is>
          <t>Prismatic Evolutions Mini Tin [Glaceon]</t>
        </is>
      </c>
      <c r="B2317" s="3">
        <f>IF(H2317&lt;&gt;"",H2317,IF(I2317&lt;&gt;"",I2317,IF(J2317&lt;&gt;"",J2317,K2317)))</f>
        <v>36.99</v>
      </c>
      <c r="C2317" s="3">
        <f>MEDIAN(H2317:K2317)</f>
        <v>37.015</v>
      </c>
      <c r="D2317" s="3">
        <f>ROUND(C2317*(1-Settings!$B$2),2)</f>
        <v>25.91</v>
      </c>
      <c r="E2317" s="2" t="inlineStr">
        <is>
          <t>Pokemon</t>
        </is>
      </c>
      <c r="F2317" s="2" t="inlineStr">
        <is>
          <t>Coffret</t>
        </is>
      </c>
      <c r="G2317" s="2" t="inlineStr">
        <is>
          <t>SV: Prismatic Evolutions</t>
        </is>
      </c>
      <c r="H2317" s="3" t="n">
        <v>36.99</v>
      </c>
      <c r="I2317" s="3" t="n">
        <v>37.04</v>
      </c>
      <c r="J2317" s="3" t="n">
        <v>39.98</v>
      </c>
      <c r="K2317" s="3" t="n">
        <v>10.99</v>
      </c>
      <c r="L2317" s="2" t="inlineStr">
        <is>
          <t>PriceCharting + TCGplayer</t>
        </is>
      </c>
      <c r="M2317" s="4" t="inlineStr">
        <is>
          <t>https://www.pricecharting.com/game/pokemon-prismatic-evolutions/mini-tin-glaceon</t>
        </is>
      </c>
      <c r="N2317" s="4" t="inlineStr">
        <is>
          <t>https://www.tcgplayer.com/product/593461</t>
        </is>
      </c>
    </row>
    <row r="2318">
      <c r="A2318" s="2" t="inlineStr">
        <is>
          <t>Prismatic Evolutions Mini Tin [Jolteon]</t>
        </is>
      </c>
      <c r="B2318" s="3">
        <f>IF(H2318&lt;&gt;"",H2318,IF(I2318&lt;&gt;"",I2318,IF(J2318&lt;&gt;"",J2318,K2318)))</f>
        <v>34.0</v>
      </c>
      <c r="C2318" s="3">
        <f>MEDIAN(H2318:K2318)</f>
        <v>34.125</v>
      </c>
      <c r="D2318" s="3">
        <f>ROUND(C2318*(1-Settings!$B$2),2)</f>
        <v>23.89</v>
      </c>
      <c r="E2318" s="2" t="inlineStr">
        <is>
          <t>Pokemon</t>
        </is>
      </c>
      <c r="F2318" s="2" t="inlineStr">
        <is>
          <t>Coffret</t>
        </is>
      </c>
      <c r="G2318" s="2" t="inlineStr">
        <is>
          <t>SV: Prismatic Evolutions</t>
        </is>
      </c>
      <c r="H2318" s="3" t="n">
        <v>34</v>
      </c>
      <c r="I2318" s="3" t="n">
        <v>34.25</v>
      </c>
      <c r="J2318" s="3" t="n">
        <v>36.99</v>
      </c>
      <c r="K2318" s="3" t="n">
        <v>10.99</v>
      </c>
      <c r="L2318" s="2" t="inlineStr">
        <is>
          <t>PriceCharting + TCGplayer</t>
        </is>
      </c>
      <c r="M2318" s="4" t="inlineStr">
        <is>
          <t>https://www.pricecharting.com/game/pokemon-prismatic-evolutions/mini-tin-jolteon</t>
        </is>
      </c>
      <c r="N2318" s="4" t="inlineStr">
        <is>
          <t>https://www.tcgplayer.com/product/593456</t>
        </is>
      </c>
    </row>
    <row r="2319">
      <c r="A2319" s="2" t="inlineStr">
        <is>
          <t>Prismatic Evolutions Mini Tin [Leafeon]</t>
        </is>
      </c>
      <c r="B2319" s="3">
        <f>IF(H2319&lt;&gt;"",H2319,IF(I2319&lt;&gt;"",I2319,IF(J2319&lt;&gt;"",J2319,K2319)))</f>
        <v>35.0</v>
      </c>
      <c r="C2319" s="3">
        <f>MEDIAN(H2319:K2319)</f>
        <v>35.94</v>
      </c>
      <c r="D2319" s="3">
        <f>ROUND(C2319*(1-Settings!$B$2),2)</f>
        <v>25.16</v>
      </c>
      <c r="E2319" s="2" t="inlineStr">
        <is>
          <t>Pokemon</t>
        </is>
      </c>
      <c r="F2319" s="2" t="inlineStr">
        <is>
          <t>Coffret</t>
        </is>
      </c>
      <c r="G2319" s="2" t="inlineStr">
        <is>
          <t>SV: Prismatic Evolutions</t>
        </is>
      </c>
      <c r="H2319" s="3" t="n">
        <v>35</v>
      </c>
      <c r="I2319" s="3" t="n">
        <v>36.88</v>
      </c>
      <c r="J2319" s="3" t="n">
        <v>40.49</v>
      </c>
      <c r="K2319" s="3" t="n">
        <v>7</v>
      </c>
      <c r="L2319" s="2" t="inlineStr">
        <is>
          <t>PriceCharting + TCGplayer</t>
        </is>
      </c>
      <c r="M2319" s="4" t="inlineStr">
        <is>
          <t>https://www.pricecharting.com/game/pokemon-prismatic-evolutions/mini-tin-leafeon</t>
        </is>
      </c>
      <c r="N2319" s="4" t="inlineStr">
        <is>
          <t>https://www.tcgplayer.com/product/593460</t>
        </is>
      </c>
    </row>
    <row r="2320">
      <c r="A2320" s="2" t="inlineStr">
        <is>
          <t>Prismatic Evolutions Mini Tin [Sylveon]</t>
        </is>
      </c>
      <c r="B2320" s="3">
        <f>IF(H2320&lt;&gt;"",H2320,IF(I2320&lt;&gt;"",I2320,IF(J2320&lt;&gt;"",J2320,K2320)))</f>
        <v>41.91</v>
      </c>
      <c r="C2320" s="3">
        <f>MEDIAN(H2320:K2320)</f>
        <v>42.455</v>
      </c>
      <c r="D2320" s="3">
        <f>ROUND(C2320*(1-Settings!$B$2),2)</f>
        <v>29.72</v>
      </c>
      <c r="E2320" s="2" t="inlineStr">
        <is>
          <t>Pokemon</t>
        </is>
      </c>
      <c r="F2320" s="2" t="inlineStr">
        <is>
          <t>Coffret</t>
        </is>
      </c>
      <c r="G2320" s="2" t="inlineStr">
        <is>
          <t>SV: Prismatic Evolutions</t>
        </is>
      </c>
      <c r="H2320" s="3" t="n">
        <v>41.91</v>
      </c>
      <c r="I2320" s="3" t="n">
        <v>43</v>
      </c>
      <c r="J2320" s="3" t="n">
        <v>44</v>
      </c>
      <c r="K2320" s="3" t="n">
        <v>15.99</v>
      </c>
      <c r="L2320" s="2" t="inlineStr">
        <is>
          <t>PriceCharting + TCGplayer</t>
        </is>
      </c>
      <c r="M2320" s="4" t="inlineStr">
        <is>
          <t>https://www.pricecharting.com/game/pokemon-prismatic-evolutions/mini-tin-sylveon</t>
        </is>
      </c>
      <c r="N2320" s="4" t="inlineStr">
        <is>
          <t>https://www.tcgplayer.com/product/593462</t>
        </is>
      </c>
    </row>
    <row r="2321">
      <c r="A2321" s="2" t="inlineStr">
        <is>
          <t>Prismatic Evolutions Mini Tin [Umbreon]</t>
        </is>
      </c>
      <c r="B2321" s="3">
        <f>IF(H2321&lt;&gt;"",H2321,IF(I2321&lt;&gt;"",I2321,IF(J2321&lt;&gt;"",J2321,K2321)))</f>
        <v>40.97</v>
      </c>
      <c r="C2321" s="3">
        <f>MEDIAN(H2321:K2321)</f>
        <v>41.19</v>
      </c>
      <c r="D2321" s="3">
        <f>ROUND(C2321*(1-Settings!$B$2),2)</f>
        <v>28.83</v>
      </c>
      <c r="E2321" s="2" t="inlineStr">
        <is>
          <t>Pokemon</t>
        </is>
      </c>
      <c r="F2321" s="2" t="inlineStr">
        <is>
          <t>Coffret</t>
        </is>
      </c>
      <c r="G2321" s="2" t="inlineStr">
        <is>
          <t>SV: Prismatic Evolutions</t>
        </is>
      </c>
      <c r="H2321" s="3" t="n">
        <v>40.97</v>
      </c>
      <c r="I2321" s="3" t="n">
        <v>41.41</v>
      </c>
      <c r="J2321" s="3" t="n">
        <v>41.7</v>
      </c>
      <c r="K2321" s="3" t="n">
        <v>33.41</v>
      </c>
      <c r="L2321" s="2" t="inlineStr">
        <is>
          <t>PriceCharting + TCGplayer</t>
        </is>
      </c>
      <c r="M2321" s="4" t="inlineStr">
        <is>
          <t>https://www.pricecharting.com/game/pokemon-prismatic-evolutions/mini-tin-umbreon</t>
        </is>
      </c>
      <c r="N2321" s="4" t="inlineStr">
        <is>
          <t>https://www.tcgplayer.com/product/593459</t>
        </is>
      </c>
    </row>
    <row r="2322">
      <c r="A2322" s="2" t="inlineStr">
        <is>
          <t>Prismatic Evolutions Mini Tin [Vaporeon]</t>
        </is>
      </c>
      <c r="B2322" s="3">
        <f>IF(H2322&lt;&gt;"",H2322,IF(I2322&lt;&gt;"",I2322,IF(J2322&lt;&gt;"",J2322,K2322)))</f>
        <v>37.08</v>
      </c>
      <c r="C2322" s="3">
        <f>MEDIAN(H2322:K2322)</f>
        <v>38.31</v>
      </c>
      <c r="D2322" s="3">
        <f>ROUND(C2322*(1-Settings!$B$2),2)</f>
        <v>26.82</v>
      </c>
      <c r="E2322" s="2" t="inlineStr">
        <is>
          <t>Pokemon</t>
        </is>
      </c>
      <c r="F2322" s="2" t="inlineStr">
        <is>
          <t>Coffret</t>
        </is>
      </c>
      <c r="G2322" s="2" t="inlineStr">
        <is>
          <t>SV: Prismatic Evolutions</t>
        </is>
      </c>
      <c r="H2322" s="3" t="n">
        <v>37.08</v>
      </c>
      <c r="I2322" s="3" t="n">
        <v>39.54</v>
      </c>
      <c r="J2322" s="3" t="n">
        <v>40.9</v>
      </c>
      <c r="K2322" s="3" t="n">
        <v>17</v>
      </c>
      <c r="L2322" s="2" t="inlineStr">
        <is>
          <t>PriceCharting + TCGplayer</t>
        </is>
      </c>
      <c r="M2322" s="4" t="inlineStr">
        <is>
          <t>https://www.pricecharting.com/game/pokemon-prismatic-evolutions/mini-tin-vaporeon</t>
        </is>
      </c>
      <c r="N2322" s="4" t="inlineStr">
        <is>
          <t>https://www.tcgplayer.com/product/593455</t>
        </is>
      </c>
    </row>
    <row r="2323">
      <c r="A2323" s="2" t="inlineStr">
        <is>
          <t>Prismatic Evolutions Pokemon Center Elite Trainer Box (Exclusive)</t>
        </is>
      </c>
      <c r="B2323" s="3">
        <f>IF(H2323&lt;&gt;"",H2323,IF(I2323&lt;&gt;"",I2323,IF(J2323&lt;&gt;"",J2323,K2323)))</f>
        <v>410.57</v>
      </c>
      <c r="C2323" s="3">
        <f>MEDIAN(H2323:K2323)</f>
        <v>410.57</v>
      </c>
      <c r="D2323" s="3">
        <f>ROUND(C2323*(1-Settings!$B$2),2)</f>
        <v>287.4</v>
      </c>
      <c r="E2323" s="2" t="inlineStr">
        <is>
          <t>Pokemon</t>
        </is>
      </c>
      <c r="F2323" s="2" t="inlineStr">
        <is>
          <t>Coffret</t>
        </is>
      </c>
      <c r="G2323" s="2" t="inlineStr">
        <is>
          <t>SV: Prismatic Evolutions</t>
        </is>
      </c>
      <c r="H2323" s="3" t="n"/>
      <c r="I2323" s="3" t="n">
        <v>410.57</v>
      </c>
      <c r="J2323" s="3" t="n">
        <v>550</v>
      </c>
      <c r="K2323" s="3" t="n">
        <v>315.01</v>
      </c>
      <c r="L2323" s="2" t="inlineStr">
        <is>
          <t>TCGplayer</t>
        </is>
      </c>
      <c r="N2323" s="4" t="inlineStr">
        <is>
          <t>https://www.tcgplayer.com/product/593324</t>
        </is>
      </c>
    </row>
    <row r="2324">
      <c r="A2324" s="2" t="inlineStr">
        <is>
          <t>Prismatic Evolutions Poster Collection</t>
        </is>
      </c>
      <c r="B2324" s="3">
        <f>IF(H2324&lt;&gt;"",H2324,IF(I2324&lt;&gt;"",I2324,IF(J2324&lt;&gt;"",J2324,K2324)))</f>
        <v>40.51</v>
      </c>
      <c r="C2324" s="3">
        <f>MEDIAN(H2324:K2324)</f>
        <v>40.51</v>
      </c>
      <c r="D2324" s="3">
        <f>ROUND(C2324*(1-Settings!$B$2),2)</f>
        <v>28.36</v>
      </c>
      <c r="E2324" s="2" t="inlineStr">
        <is>
          <t>Pokemon</t>
        </is>
      </c>
      <c r="F2324" s="2" t="inlineStr">
        <is>
          <t>Coffret</t>
        </is>
      </c>
      <c r="G2324" s="2" t="inlineStr">
        <is>
          <t>SV: Prismatic Evolutions</t>
        </is>
      </c>
      <c r="H2324" s="3" t="n"/>
      <c r="I2324" s="3" t="n">
        <v>40.51</v>
      </c>
      <c r="J2324" s="3" t="n">
        <v>44.99</v>
      </c>
      <c r="K2324" s="3" t="n">
        <v>37.01</v>
      </c>
      <c r="L2324" s="2" t="inlineStr">
        <is>
          <t>TCGplayer</t>
        </is>
      </c>
      <c r="N2324" s="4" t="inlineStr">
        <is>
          <t>https://www.tcgplayer.com/product/593359</t>
        </is>
      </c>
    </row>
    <row r="2325">
      <c r="A2325" s="2" t="inlineStr">
        <is>
          <t>Prismatic Evolutions Premium Figure Collection</t>
        </is>
      </c>
      <c r="B2325" s="3">
        <f>IF(H2325&lt;&gt;"",H2325,IF(I2325&lt;&gt;"",I2325,IF(J2325&lt;&gt;"",J2325,K2325)))</f>
        <v>214.91</v>
      </c>
      <c r="C2325" s="3">
        <f>MEDIAN(H2325:K2325)</f>
        <v>217.845</v>
      </c>
      <c r="D2325" s="3">
        <f>ROUND(C2325*(1-Settings!$B$2),2)</f>
        <v>152.49</v>
      </c>
      <c r="E2325" s="2" t="inlineStr">
        <is>
          <t>Pokemon</t>
        </is>
      </c>
      <c r="F2325" s="2" t="inlineStr">
        <is>
          <t>Coffret</t>
        </is>
      </c>
      <c r="G2325" s="2" t="inlineStr">
        <is>
          <t>SV: Prismatic Evolutions</t>
        </is>
      </c>
      <c r="H2325" s="3" t="n">
        <v>214.91</v>
      </c>
      <c r="I2325" s="3" t="n">
        <v>220.78</v>
      </c>
      <c r="J2325" s="3" t="n">
        <v>260.99</v>
      </c>
      <c r="K2325" s="3" t="n">
        <v>23.94</v>
      </c>
      <c r="L2325" s="2" t="inlineStr">
        <is>
          <t>PriceCharting + TCGplayer</t>
        </is>
      </c>
      <c r="M2325" s="4" t="inlineStr">
        <is>
          <t>https://www.pricecharting.com/game/pokemon-prismatic-evolutions/premium-figure-collection</t>
        </is>
      </c>
      <c r="N2325" s="4" t="inlineStr">
        <is>
          <t>https://www.tcgplayer.com/product/650799</t>
        </is>
      </c>
    </row>
    <row r="2326">
      <c r="A2326" s="2" t="inlineStr">
        <is>
          <t>Prismatic Evolutions Sleeved Booster Pack Art Bundle [Set of 4]</t>
        </is>
      </c>
      <c r="B2326" s="3">
        <f>IF(H2326&lt;&gt;"",H2326,IF(I2326&lt;&gt;"",I2326,IF(J2326&lt;&gt;"",J2326,K2326)))</f>
        <v>69.99</v>
      </c>
      <c r="C2326" s="3">
        <f>MEDIAN(H2326:K2326)</f>
        <v>69.99</v>
      </c>
      <c r="D2326" s="3">
        <f>ROUND(C2326*(1-Settings!$B$2),2)</f>
        <v>48.99</v>
      </c>
      <c r="E2326" s="2" t="inlineStr">
        <is>
          <t>Pokemon</t>
        </is>
      </c>
      <c r="F2326" s="2" t="inlineStr">
        <is>
          <t>Coffret</t>
        </is>
      </c>
      <c r="G2326" s="2" t="inlineStr">
        <is>
          <t>SV: Prismatic Evolutions</t>
        </is>
      </c>
      <c r="H2326" s="3" t="n"/>
      <c r="I2326" s="3" t="n"/>
      <c r="J2326" s="3" t="n">
        <v>69.98999999999999</v>
      </c>
      <c r="K2326" s="3" t="n">
        <v>69.98999999999999</v>
      </c>
      <c r="L2326" s="2" t="inlineStr">
        <is>
          <t>TCGplayer</t>
        </is>
      </c>
      <c r="N2326" s="4" t="inlineStr">
        <is>
          <t>https://www.tcgplayer.com/product/617807</t>
        </is>
      </c>
    </row>
    <row r="2327">
      <c r="A2327" s="2" t="inlineStr">
        <is>
          <t>Prismatic Evolutions Super-Premium Collection</t>
        </is>
      </c>
      <c r="B2327" s="3">
        <f>IF(H2327&lt;&gt;"",H2327,IF(I2327&lt;&gt;"",I2327,IF(J2327&lt;&gt;"",J2327,K2327)))</f>
        <v>253.31</v>
      </c>
      <c r="C2327" s="3">
        <f>MEDIAN(H2327:K2327)</f>
        <v>253.31</v>
      </c>
      <c r="D2327" s="3">
        <f>ROUND(C2327*(1-Settings!$B$2),2)</f>
        <v>177.32</v>
      </c>
      <c r="E2327" s="2" t="inlineStr">
        <is>
          <t>Pokemon</t>
        </is>
      </c>
      <c r="F2327" s="2" t="inlineStr">
        <is>
          <t>Coffret</t>
        </is>
      </c>
      <c r="G2327" s="2" t="inlineStr">
        <is>
          <t>SV: Prismatic Evolutions</t>
        </is>
      </c>
      <c r="H2327" s="3" t="n"/>
      <c r="I2327" s="3" t="n">
        <v>253.31</v>
      </c>
      <c r="J2327" s="3" t="n">
        <v>320</v>
      </c>
      <c r="K2327" s="3" t="n">
        <v>35.5</v>
      </c>
      <c r="L2327" s="2" t="inlineStr">
        <is>
          <t>TCGplayer</t>
        </is>
      </c>
      <c r="N2327" s="4" t="inlineStr">
        <is>
          <t>https://www.tcgplayer.com/product/622770</t>
        </is>
      </c>
    </row>
    <row r="2328">
      <c r="A2328" s="2" t="inlineStr">
        <is>
          <t>Prismatic Evolutions Surprise Box</t>
        </is>
      </c>
      <c r="B2328" s="3">
        <f>IF(H2328&lt;&gt;"",H2328,IF(I2328&lt;&gt;"",I2328,IF(J2328&lt;&gt;"",J2328,K2328)))</f>
        <v>68.24</v>
      </c>
      <c r="C2328" s="3">
        <f>MEDIAN(H2328:K2328)</f>
        <v>68.03</v>
      </c>
      <c r="D2328" s="3">
        <f>ROUND(C2328*(1-Settings!$B$2),2)</f>
        <v>47.62</v>
      </c>
      <c r="E2328" s="2" t="inlineStr">
        <is>
          <t>Pokemon</t>
        </is>
      </c>
      <c r="F2328" s="2" t="inlineStr">
        <is>
          <t>Coffret</t>
        </is>
      </c>
      <c r="G2328" s="2" t="inlineStr">
        <is>
          <t>SV: Prismatic Evolutions</t>
        </is>
      </c>
      <c r="H2328" s="3" t="n">
        <v>68.23999999999999</v>
      </c>
      <c r="I2328" s="3" t="n">
        <v>67.81999999999999</v>
      </c>
      <c r="J2328" s="3" t="n">
        <v>74.98999999999999</v>
      </c>
      <c r="K2328" s="3" t="n">
        <v>58.99</v>
      </c>
      <c r="L2328" s="2" t="inlineStr">
        <is>
          <t>PriceCharting + TCGplayer</t>
        </is>
      </c>
      <c r="M2328" s="4" t="inlineStr">
        <is>
          <t>https://www.pricecharting.com/game/pokemon-prismatic-evolutions/surprise-box</t>
        </is>
      </c>
      <c r="N2328" s="4" t="inlineStr">
        <is>
          <t>https://www.tcgplayer.com/product/593466</t>
        </is>
      </c>
    </row>
    <row r="2329">
      <c r="A2329" s="2" t="inlineStr">
        <is>
          <t>Prismatic Evolutions Tech Sticker Collection [Glaceon]</t>
        </is>
      </c>
      <c r="B2329" s="3">
        <f>IF(H2329&lt;&gt;"",H2329,IF(I2329&lt;&gt;"",I2329,IF(J2329&lt;&gt;"",J2329,K2329)))</f>
        <v>43.98</v>
      </c>
      <c r="C2329" s="3">
        <f>MEDIAN(H2329:K2329)</f>
        <v>43.489999999999995</v>
      </c>
      <c r="D2329" s="3">
        <f>ROUND(C2329*(1-Settings!$B$2),2)</f>
        <v>30.44</v>
      </c>
      <c r="E2329" s="2" t="inlineStr">
        <is>
          <t>Pokemon</t>
        </is>
      </c>
      <c r="F2329" s="2" t="inlineStr">
        <is>
          <t>Coffret</t>
        </is>
      </c>
      <c r="G2329" s="2" t="inlineStr">
        <is>
          <t>SV: Prismatic Evolutions</t>
        </is>
      </c>
      <c r="H2329" s="3" t="n">
        <v>43.98</v>
      </c>
      <c r="I2329" s="3" t="n">
        <v>43</v>
      </c>
      <c r="J2329" s="3" t="n">
        <v>46.98</v>
      </c>
      <c r="K2329" s="3" t="n">
        <v>37</v>
      </c>
      <c r="L2329" s="2" t="inlineStr">
        <is>
          <t>PriceCharting + TCGplayer</t>
        </is>
      </c>
      <c r="M2329" s="4" t="inlineStr">
        <is>
          <t>https://www.pricecharting.com/game/pokemon-prismatic-evolutions/tech-sticker-collection-glaceon</t>
        </is>
      </c>
      <c r="N2329" s="4" t="inlineStr">
        <is>
          <t>https://www.tcgplayer.com/product/593451</t>
        </is>
      </c>
    </row>
    <row r="2330">
      <c r="A2330" s="2" t="inlineStr">
        <is>
          <t>Prismatic Evolutions Tech Sticker Collection [Leafeon]</t>
        </is>
      </c>
      <c r="B2330" s="3">
        <f>IF(H2330&lt;&gt;"",H2330,IF(I2330&lt;&gt;"",I2330,IF(J2330&lt;&gt;"",J2330,K2330)))</f>
        <v>45.7</v>
      </c>
      <c r="C2330" s="3">
        <f>MEDIAN(H2330:K2330)</f>
        <v>43.425</v>
      </c>
      <c r="D2330" s="3">
        <f>ROUND(C2330*(1-Settings!$B$2),2)</f>
        <v>30.4</v>
      </c>
      <c r="E2330" s="2" t="inlineStr">
        <is>
          <t>Pokemon</t>
        </is>
      </c>
      <c r="F2330" s="2" t="inlineStr">
        <is>
          <t>Coffret</t>
        </is>
      </c>
      <c r="G2330" s="2" t="inlineStr">
        <is>
          <t>SV: Prismatic Evolutions</t>
        </is>
      </c>
      <c r="H2330" s="3" t="n">
        <v>45.7</v>
      </c>
      <c r="I2330" s="3" t="n">
        <v>41.5</v>
      </c>
      <c r="J2330" s="3" t="n">
        <v>45.35</v>
      </c>
      <c r="K2330" s="3" t="n">
        <v>35.29</v>
      </c>
      <c r="L2330" s="2" t="inlineStr">
        <is>
          <t>PriceCharting + TCGplayer</t>
        </is>
      </c>
      <c r="M2330" s="4" t="inlineStr">
        <is>
          <t>https://www.pricecharting.com/game/pokemon-prismatic-evolutions/tech-sticker-collection-leafeon</t>
        </is>
      </c>
      <c r="N2330" s="4" t="inlineStr">
        <is>
          <t>https://www.tcgplayer.com/product/593453</t>
        </is>
      </c>
    </row>
    <row r="2331">
      <c r="A2331" s="2" t="inlineStr">
        <is>
          <t>Prismatic Evolutions Tech Sticker Collection [Set of 3]</t>
        </is>
      </c>
      <c r="B2331" s="3">
        <f>IF(H2331&lt;&gt;"",H2331,IF(I2331&lt;&gt;"",I2331,IF(J2331&lt;&gt;"",J2331,K2331)))</f>
        <v>126.9</v>
      </c>
      <c r="C2331" s="3">
        <f>MEDIAN(H2331:K2331)</f>
        <v>126.9</v>
      </c>
      <c r="D2331" s="3">
        <f>ROUND(C2331*(1-Settings!$B$2),2)</f>
        <v>88.83</v>
      </c>
      <c r="E2331" s="2" t="inlineStr">
        <is>
          <t>Pokemon</t>
        </is>
      </c>
      <c r="F2331" s="2" t="inlineStr">
        <is>
          <t>Coffret</t>
        </is>
      </c>
      <c r="G2331" s="2" t="inlineStr">
        <is>
          <t>SV: Prismatic Evolutions</t>
        </is>
      </c>
      <c r="H2331" s="3" t="n"/>
      <c r="I2331" s="3" t="n">
        <v>126.9</v>
      </c>
      <c r="J2331" s="3" t="n">
        <v>139.99</v>
      </c>
      <c r="K2331" s="3" t="n">
        <v>115.47</v>
      </c>
      <c r="L2331" s="2" t="inlineStr">
        <is>
          <t>TCGplayer</t>
        </is>
      </c>
      <c r="N2331" s="4" t="inlineStr">
        <is>
          <t>https://www.tcgplayer.com/product/598490</t>
        </is>
      </c>
    </row>
    <row r="2332">
      <c r="A2332" s="2" t="inlineStr">
        <is>
          <t>Prismatic Evolutions Tech Sticker Collection [Sylveon]</t>
        </is>
      </c>
      <c r="B2332" s="3">
        <f>IF(H2332&lt;&gt;"",H2332,IF(I2332&lt;&gt;"",I2332,IF(J2332&lt;&gt;"",J2332,K2332)))</f>
        <v>45.71</v>
      </c>
      <c r="C2332" s="3">
        <f>MEDIAN(H2332:K2332)</f>
        <v>45.405</v>
      </c>
      <c r="D2332" s="3">
        <f>ROUND(C2332*(1-Settings!$B$2),2)</f>
        <v>31.78</v>
      </c>
      <c r="E2332" s="2" t="inlineStr">
        <is>
          <t>Pokemon</t>
        </is>
      </c>
      <c r="F2332" s="2" t="inlineStr">
        <is>
          <t>Coffret</t>
        </is>
      </c>
      <c r="G2332" s="2" t="inlineStr">
        <is>
          <t>SV: Prismatic Evolutions</t>
        </is>
      </c>
      <c r="H2332" s="3" t="n">
        <v>45.71</v>
      </c>
      <c r="I2332" s="3" t="n">
        <v>45.1</v>
      </c>
      <c r="J2332" s="3" t="n">
        <v>49.95</v>
      </c>
      <c r="K2332" s="3" t="n">
        <v>4.99</v>
      </c>
      <c r="L2332" s="2" t="inlineStr">
        <is>
          <t>PriceCharting + TCGplayer</t>
        </is>
      </c>
      <c r="M2332" s="4" t="inlineStr">
        <is>
          <t>https://www.pricecharting.com/game/pokemon-prismatic-evolutions/tech-sticker-collection-sylveon</t>
        </is>
      </c>
      <c r="N2332" s="4" t="inlineStr">
        <is>
          <t>https://www.tcgplayer.com/product/593450</t>
        </is>
      </c>
    </row>
    <row r="2333">
      <c r="A2333" s="2" t="inlineStr">
        <is>
          <t>151 Binder Collection</t>
        </is>
      </c>
      <c r="B2333" s="3">
        <f>IF(H2333&lt;&gt;"",H2333,IF(I2333&lt;&gt;"",I2333,IF(J2333&lt;&gt;"",J2333,K2333)))</f>
        <v>228.52</v>
      </c>
      <c r="C2333" s="3">
        <f>MEDIAN(H2333:K2333)</f>
        <v>228.52</v>
      </c>
      <c r="D2333" s="3">
        <f>ROUND(C2333*(1-Settings!$B$2),2)</f>
        <v>159.96</v>
      </c>
      <c r="E2333" s="2" t="inlineStr">
        <is>
          <t>Pokemon</t>
        </is>
      </c>
      <c r="F2333" s="2" t="inlineStr">
        <is>
          <t>Coffret</t>
        </is>
      </c>
      <c r="G2333" s="2" t="inlineStr">
        <is>
          <t>SV: Scarlet &amp; Violet 151</t>
        </is>
      </c>
      <c r="H2333" s="3" t="n"/>
      <c r="I2333" s="3" t="n">
        <v>228.52</v>
      </c>
      <c r="J2333" s="3" t="n">
        <v>242.29</v>
      </c>
      <c r="K2333" s="3" t="n">
        <v>200</v>
      </c>
      <c r="L2333" s="2" t="inlineStr">
        <is>
          <t>TCGplayer</t>
        </is>
      </c>
      <c r="N2333" s="4" t="inlineStr">
        <is>
          <t>https://www.tcgplayer.com/product/502004</t>
        </is>
      </c>
    </row>
    <row r="2334">
      <c r="A2334" s="2" t="inlineStr">
        <is>
          <t>151 Booster Bundle</t>
        </is>
      </c>
      <c r="B2334" s="3">
        <f>IF(H2334&lt;&gt;"",H2334,IF(I2334&lt;&gt;"",I2334,IF(J2334&lt;&gt;"",J2334,K2334)))</f>
        <v>169.07</v>
      </c>
      <c r="C2334" s="3">
        <f>MEDIAN(H2334:K2334)</f>
        <v>169.07</v>
      </c>
      <c r="D2334" s="3">
        <f>ROUND(C2334*(1-Settings!$B$2),2)</f>
        <v>118.35</v>
      </c>
      <c r="E2334" s="2" t="inlineStr">
        <is>
          <t>Pokemon</t>
        </is>
      </c>
      <c r="F2334" s="2" t="inlineStr">
        <is>
          <t>Coffret</t>
        </is>
      </c>
      <c r="G2334" s="2" t="inlineStr">
        <is>
          <t>SV: Scarlet &amp; Violet 151</t>
        </is>
      </c>
      <c r="H2334" s="3" t="n"/>
      <c r="I2334" s="3" t="n">
        <v>169.07</v>
      </c>
      <c r="J2334" s="3" t="n">
        <v>204.99</v>
      </c>
      <c r="K2334" s="3" t="n">
        <v>164.99</v>
      </c>
      <c r="L2334" s="2" t="inlineStr">
        <is>
          <t>TCGplayer</t>
        </is>
      </c>
      <c r="N2334" s="4" t="inlineStr">
        <is>
          <t>https://www.tcgplayer.com/product/502000</t>
        </is>
      </c>
    </row>
    <row r="2335">
      <c r="A2335" s="2" t="inlineStr">
        <is>
          <t>151 Elite Trainer Box</t>
        </is>
      </c>
      <c r="B2335" s="3">
        <f>IF(H2335&lt;&gt;"",H2335,IF(I2335&lt;&gt;"",I2335,IF(J2335&lt;&gt;"",J2335,K2335)))</f>
        <v>474.76</v>
      </c>
      <c r="C2335" s="3">
        <f>MEDIAN(H2335:K2335)</f>
        <v>523.9</v>
      </c>
      <c r="D2335" s="3">
        <f>ROUND(C2335*(1-Settings!$B$2),2)</f>
        <v>366.73</v>
      </c>
      <c r="E2335" s="2" t="inlineStr">
        <is>
          <t>Pokemon</t>
        </is>
      </c>
      <c r="F2335" s="2" t="inlineStr">
        <is>
          <t>Coffret</t>
        </is>
      </c>
      <c r="G2335" s="2" t="inlineStr">
        <is>
          <t>SV: Scarlet &amp; Violet 151</t>
        </is>
      </c>
      <c r="H2335" s="3" t="n"/>
      <c r="I2335" s="3" t="n">
        <v>474.76</v>
      </c>
      <c r="J2335" s="3" t="n">
        <v>600</v>
      </c>
      <c r="K2335" s="3" t="n">
        <v>523.9</v>
      </c>
      <c r="L2335" s="2" t="inlineStr">
        <is>
          <t>TCGplayer</t>
        </is>
      </c>
      <c r="N2335" s="4" t="inlineStr">
        <is>
          <t>https://www.tcgplayer.com/product/503313</t>
        </is>
      </c>
    </row>
    <row r="2336">
      <c r="A2336" s="2" t="inlineStr">
        <is>
          <t>151 Mini Tin [Arcanine &amp; Omanyte]</t>
        </is>
      </c>
      <c r="B2336" s="3">
        <f>IF(H2336&lt;&gt;"",H2336,IF(I2336&lt;&gt;"",I2336,IF(J2336&lt;&gt;"",J2336,K2336)))</f>
        <v>54.77</v>
      </c>
      <c r="C2336" s="3">
        <f>MEDIAN(H2336:K2336)</f>
        <v>54.77</v>
      </c>
      <c r="D2336" s="3">
        <f>ROUND(C2336*(1-Settings!$B$2),2)</f>
        <v>38.34</v>
      </c>
      <c r="E2336" s="2" t="inlineStr">
        <is>
          <t>Pokemon</t>
        </is>
      </c>
      <c r="F2336" s="2" t="inlineStr">
        <is>
          <t>Coffret</t>
        </is>
      </c>
      <c r="G2336" s="2" t="inlineStr">
        <is>
          <t>SV: Scarlet &amp; Violet 151</t>
        </is>
      </c>
      <c r="H2336" s="3" t="n"/>
      <c r="I2336" s="3" t="n">
        <v>54.77</v>
      </c>
      <c r="J2336" s="3" t="n">
        <v>58</v>
      </c>
      <c r="K2336" s="3" t="n">
        <v>5.98</v>
      </c>
      <c r="L2336" s="2" t="inlineStr">
        <is>
          <t>TCGplayer</t>
        </is>
      </c>
      <c r="N2336" s="4" t="inlineStr">
        <is>
          <t>https://www.tcgplayer.com/product/522699</t>
        </is>
      </c>
    </row>
    <row r="2337">
      <c r="A2337" s="2" t="inlineStr">
        <is>
          <t>151 Mini Tin [Dragonite &amp; Vileplume]</t>
        </is>
      </c>
      <c r="B2337" s="3">
        <f>IF(H2337&lt;&gt;"",H2337,IF(I2337&lt;&gt;"",I2337,IF(J2337&lt;&gt;"",J2337,K2337)))</f>
        <v>57.12</v>
      </c>
      <c r="C2337" s="3">
        <f>MEDIAN(H2337:K2337)</f>
        <v>57.12</v>
      </c>
      <c r="D2337" s="3">
        <f>ROUND(C2337*(1-Settings!$B$2),2)</f>
        <v>39.98</v>
      </c>
      <c r="E2337" s="2" t="inlineStr">
        <is>
          <t>Pokemon</t>
        </is>
      </c>
      <c r="F2337" s="2" t="inlineStr">
        <is>
          <t>Coffret</t>
        </is>
      </c>
      <c r="G2337" s="2" t="inlineStr">
        <is>
          <t>SV: Scarlet &amp; Violet 151</t>
        </is>
      </c>
      <c r="H2337" s="3" t="n"/>
      <c r="I2337" s="3" t="n">
        <v>57.12</v>
      </c>
      <c r="J2337" s="3" t="n">
        <v>58.48</v>
      </c>
      <c r="K2337" s="3" t="n">
        <v>5.98</v>
      </c>
      <c r="L2337" s="2" t="inlineStr">
        <is>
          <t>TCGplayer</t>
        </is>
      </c>
      <c r="N2337" s="4" t="inlineStr">
        <is>
          <t>https://www.tcgplayer.com/product/522700</t>
        </is>
      </c>
    </row>
    <row r="2338">
      <c r="A2338" s="2" t="inlineStr">
        <is>
          <t>151 Mini Tin [Electabuzz &amp; Magnemites]</t>
        </is>
      </c>
      <c r="B2338" s="3">
        <f>IF(H2338&lt;&gt;"",H2338,IF(I2338&lt;&gt;"",I2338,IF(J2338&lt;&gt;"",J2338,K2338)))</f>
        <v>51.4</v>
      </c>
      <c r="C2338" s="3">
        <f>MEDIAN(H2338:K2338)</f>
        <v>51.4</v>
      </c>
      <c r="D2338" s="3">
        <f>ROUND(C2338*(1-Settings!$B$2),2)</f>
        <v>35.98</v>
      </c>
      <c r="E2338" s="2" t="inlineStr">
        <is>
          <t>Pokemon</t>
        </is>
      </c>
      <c r="F2338" s="2" t="inlineStr">
        <is>
          <t>Coffret</t>
        </is>
      </c>
      <c r="G2338" s="2" t="inlineStr">
        <is>
          <t>SV: Scarlet &amp; Violet 151</t>
        </is>
      </c>
      <c r="H2338" s="3" t="n"/>
      <c r="I2338" s="3" t="n">
        <v>51.4</v>
      </c>
      <c r="J2338" s="3" t="n">
        <v>53.45</v>
      </c>
      <c r="K2338" s="3" t="n">
        <v>2.5</v>
      </c>
      <c r="L2338" s="2" t="inlineStr">
        <is>
          <t>TCGplayer</t>
        </is>
      </c>
      <c r="N2338" s="4" t="inlineStr">
        <is>
          <t>https://www.tcgplayer.com/product/522701</t>
        </is>
      </c>
    </row>
    <row r="2339">
      <c r="A2339" s="2" t="inlineStr">
        <is>
          <t>151 Mini Tin [Gengar &amp; Poliwag]</t>
        </is>
      </c>
      <c r="B2339" s="3">
        <f>IF(H2339&lt;&gt;"",H2339,IF(I2339&lt;&gt;"",I2339,IF(J2339&lt;&gt;"",J2339,K2339)))</f>
        <v>59.74</v>
      </c>
      <c r="C2339" s="3">
        <f>MEDIAN(H2339:K2339)</f>
        <v>59.74</v>
      </c>
      <c r="D2339" s="3">
        <f>ROUND(C2339*(1-Settings!$B$2),2)</f>
        <v>41.82</v>
      </c>
      <c r="E2339" s="2" t="inlineStr">
        <is>
          <t>Pokemon</t>
        </is>
      </c>
      <c r="F2339" s="2" t="inlineStr">
        <is>
          <t>Coffret</t>
        </is>
      </c>
      <c r="G2339" s="2" t="inlineStr">
        <is>
          <t>SV: Scarlet &amp; Violet 151</t>
        </is>
      </c>
      <c r="H2339" s="3" t="n"/>
      <c r="I2339" s="3" t="n">
        <v>59.74</v>
      </c>
      <c r="J2339" s="3" t="n">
        <v>64.56999999999999</v>
      </c>
      <c r="K2339" s="3" t="n">
        <v>5.98</v>
      </c>
      <c r="L2339" s="2" t="inlineStr">
        <is>
          <t>TCGplayer</t>
        </is>
      </c>
      <c r="N2339" s="4" t="inlineStr">
        <is>
          <t>https://www.tcgplayer.com/product/522702</t>
        </is>
      </c>
    </row>
    <row r="2340">
      <c r="A2340" s="2" t="inlineStr">
        <is>
          <t>151 Mini Tin [Hitmonchan &amp; Meowth]</t>
        </is>
      </c>
      <c r="B2340" s="3">
        <f>IF(H2340&lt;&gt;"",H2340,IF(I2340&lt;&gt;"",I2340,IF(J2340&lt;&gt;"",J2340,K2340)))</f>
        <v>52.07</v>
      </c>
      <c r="C2340" s="3">
        <f>MEDIAN(H2340:K2340)</f>
        <v>52.07</v>
      </c>
      <c r="D2340" s="3">
        <f>ROUND(C2340*(1-Settings!$B$2),2)</f>
        <v>36.45</v>
      </c>
      <c r="E2340" s="2" t="inlineStr">
        <is>
          <t>Pokemon</t>
        </is>
      </c>
      <c r="F2340" s="2" t="inlineStr">
        <is>
          <t>Coffret</t>
        </is>
      </c>
      <c r="G2340" s="2" t="inlineStr">
        <is>
          <t>SV: Scarlet &amp; Violet 151</t>
        </is>
      </c>
      <c r="H2340" s="3" t="n"/>
      <c r="I2340" s="3" t="n">
        <v>52.07</v>
      </c>
      <c r="J2340" s="3" t="n">
        <v>55</v>
      </c>
      <c r="K2340" s="3" t="n">
        <v>4.99</v>
      </c>
      <c r="L2340" s="2" t="inlineStr">
        <is>
          <t>TCGplayer</t>
        </is>
      </c>
      <c r="N2340" s="4" t="inlineStr">
        <is>
          <t>https://www.tcgplayer.com/product/522706</t>
        </is>
      </c>
    </row>
    <row r="2341">
      <c r="A2341" s="2" t="inlineStr">
        <is>
          <t>151 Mini Tin [Hitmonlee &amp; Kadabra]</t>
        </is>
      </c>
      <c r="B2341" s="3">
        <f>IF(H2341&lt;&gt;"",H2341,IF(I2341&lt;&gt;"",I2341,IF(J2341&lt;&gt;"",J2341,K2341)))</f>
        <v>51.92</v>
      </c>
      <c r="C2341" s="3">
        <f>MEDIAN(H2341:K2341)</f>
        <v>51.92</v>
      </c>
      <c r="D2341" s="3">
        <f>ROUND(C2341*(1-Settings!$B$2),2)</f>
        <v>36.34</v>
      </c>
      <c r="E2341" s="2" t="inlineStr">
        <is>
          <t>Pokemon</t>
        </is>
      </c>
      <c r="F2341" s="2" t="inlineStr">
        <is>
          <t>Coffret</t>
        </is>
      </c>
      <c r="G2341" s="2" t="inlineStr">
        <is>
          <t>SV: Scarlet &amp; Violet 151</t>
        </is>
      </c>
      <c r="H2341" s="3" t="n"/>
      <c r="I2341" s="3" t="n">
        <v>51.92</v>
      </c>
      <c r="J2341" s="3" t="n">
        <v>54</v>
      </c>
      <c r="K2341" s="3" t="n">
        <v>49</v>
      </c>
      <c r="L2341" s="2" t="inlineStr">
        <is>
          <t>TCGplayer</t>
        </is>
      </c>
      <c r="N2341" s="4" t="inlineStr">
        <is>
          <t>https://www.tcgplayer.com/product/522703</t>
        </is>
      </c>
    </row>
    <row r="2342">
      <c r="A2342" s="2" t="inlineStr">
        <is>
          <t>151 Mini Tin [Machamp &amp; Cubone]</t>
        </is>
      </c>
      <c r="B2342" s="3">
        <f>IF(H2342&lt;&gt;"",H2342,IF(I2342&lt;&gt;"",I2342,IF(J2342&lt;&gt;"",J2342,K2342)))</f>
        <v>52.02</v>
      </c>
      <c r="C2342" s="3">
        <f>MEDIAN(H2342:K2342)</f>
        <v>52.02</v>
      </c>
      <c r="D2342" s="3">
        <f>ROUND(C2342*(1-Settings!$B$2),2)</f>
        <v>36.41</v>
      </c>
      <c r="E2342" s="2" t="inlineStr">
        <is>
          <t>Pokemon</t>
        </is>
      </c>
      <c r="F2342" s="2" t="inlineStr">
        <is>
          <t>Coffret</t>
        </is>
      </c>
      <c r="G2342" s="2" t="inlineStr">
        <is>
          <t>SV: Scarlet &amp; Violet 151</t>
        </is>
      </c>
      <c r="H2342" s="3" t="n"/>
      <c r="I2342" s="3" t="n">
        <v>52.02</v>
      </c>
      <c r="J2342" s="3" t="n">
        <v>55</v>
      </c>
      <c r="K2342" s="3" t="n">
        <v>5.99</v>
      </c>
      <c r="L2342" s="2" t="inlineStr">
        <is>
          <t>TCGplayer</t>
        </is>
      </c>
      <c r="N2342" s="4" t="inlineStr">
        <is>
          <t>https://www.tcgplayer.com/product/522704</t>
        </is>
      </c>
    </row>
    <row r="2343">
      <c r="A2343" s="2" t="inlineStr">
        <is>
          <t>151 Mini Tin [Magneton &amp; Ekans]</t>
        </is>
      </c>
      <c r="B2343" s="3">
        <f>IF(H2343&lt;&gt;"",H2343,IF(I2343&lt;&gt;"",I2343,IF(J2343&lt;&gt;"",J2343,K2343)))</f>
        <v>50.73</v>
      </c>
      <c r="C2343" s="3">
        <f>MEDIAN(H2343:K2343)</f>
        <v>50.73</v>
      </c>
      <c r="D2343" s="3">
        <f>ROUND(C2343*(1-Settings!$B$2),2)</f>
        <v>35.51</v>
      </c>
      <c r="E2343" s="2" t="inlineStr">
        <is>
          <t>Pokemon</t>
        </is>
      </c>
      <c r="F2343" s="2" t="inlineStr">
        <is>
          <t>Coffret</t>
        </is>
      </c>
      <c r="G2343" s="2" t="inlineStr">
        <is>
          <t>SV: Scarlet &amp; Violet 151</t>
        </is>
      </c>
      <c r="H2343" s="3" t="n"/>
      <c r="I2343" s="3" t="n">
        <v>50.73</v>
      </c>
      <c r="J2343" s="3" t="n">
        <v>57.22</v>
      </c>
      <c r="K2343" s="3" t="n">
        <v>2.5</v>
      </c>
      <c r="L2343" s="2" t="inlineStr">
        <is>
          <t>TCGplayer</t>
        </is>
      </c>
      <c r="N2343" s="4" t="inlineStr">
        <is>
          <t>https://www.tcgplayer.com/product/522705</t>
        </is>
      </c>
    </row>
    <row r="2344">
      <c r="A2344" s="2" t="inlineStr">
        <is>
          <t>151 Mini Tin [Slowpoke &amp; Sandshrew]</t>
        </is>
      </c>
      <c r="B2344" s="3">
        <f>IF(H2344&lt;&gt;"",H2344,IF(I2344&lt;&gt;"",I2344,IF(J2344&lt;&gt;"",J2344,K2344)))</f>
        <v>51.57</v>
      </c>
      <c r="C2344" s="3">
        <f>MEDIAN(H2344:K2344)</f>
        <v>51.57</v>
      </c>
      <c r="D2344" s="3">
        <f>ROUND(C2344*(1-Settings!$B$2),2)</f>
        <v>36.1</v>
      </c>
      <c r="E2344" s="2" t="inlineStr">
        <is>
          <t>Pokemon</t>
        </is>
      </c>
      <c r="F2344" s="2" t="inlineStr">
        <is>
          <t>Coffret</t>
        </is>
      </c>
      <c r="G2344" s="2" t="inlineStr">
        <is>
          <t>SV: Scarlet &amp; Violet 151</t>
        </is>
      </c>
      <c r="H2344" s="3" t="n"/>
      <c r="I2344" s="3" t="n">
        <v>51.57</v>
      </c>
      <c r="J2344" s="3" t="n">
        <v>56.09</v>
      </c>
      <c r="K2344" s="3" t="n">
        <v>50</v>
      </c>
      <c r="L2344" s="2" t="inlineStr">
        <is>
          <t>TCGplayer</t>
        </is>
      </c>
      <c r="N2344" s="4" t="inlineStr">
        <is>
          <t>https://www.tcgplayer.com/product/522708</t>
        </is>
      </c>
    </row>
    <row r="2345">
      <c r="A2345" s="2" t="inlineStr">
        <is>
          <t>151 Mini Tin [Weezing &amp; Scyther]</t>
        </is>
      </c>
      <c r="B2345" s="3">
        <f>IF(H2345&lt;&gt;"",H2345,IF(I2345&lt;&gt;"",I2345,IF(J2345&lt;&gt;"",J2345,K2345)))</f>
        <v>52.48</v>
      </c>
      <c r="C2345" s="3">
        <f>MEDIAN(H2345:K2345)</f>
        <v>52.48</v>
      </c>
      <c r="D2345" s="3">
        <f>ROUND(C2345*(1-Settings!$B$2),2)</f>
        <v>36.74</v>
      </c>
      <c r="E2345" s="2" t="inlineStr">
        <is>
          <t>Pokemon</t>
        </is>
      </c>
      <c r="F2345" s="2" t="inlineStr">
        <is>
          <t>Coffret</t>
        </is>
      </c>
      <c r="G2345" s="2" t="inlineStr">
        <is>
          <t>SV: Scarlet &amp; Violet 151</t>
        </is>
      </c>
      <c r="H2345" s="3" t="n"/>
      <c r="I2345" s="3" t="n">
        <v>52.48</v>
      </c>
      <c r="J2345" s="3" t="n">
        <v>55</v>
      </c>
      <c r="K2345" s="3" t="n">
        <v>5.98</v>
      </c>
      <c r="L2345" s="2" t="inlineStr">
        <is>
          <t>TCGplayer</t>
        </is>
      </c>
      <c r="N2345" s="4" t="inlineStr">
        <is>
          <t>https://www.tcgplayer.com/product/522707</t>
        </is>
      </c>
    </row>
    <row r="2346">
      <c r="A2346" s="2" t="inlineStr">
        <is>
          <t>151 Pokemon Center Elite Trainer Box (Exclusive)</t>
        </is>
      </c>
      <c r="B2346" s="3">
        <f>IF(H2346&lt;&gt;"",H2346,IF(I2346&lt;&gt;"",I2346,IF(J2346&lt;&gt;"",J2346,K2346)))</f>
        <v>1264.45</v>
      </c>
      <c r="C2346" s="3">
        <f>MEDIAN(H2346:K2346)</f>
        <v>1264.45</v>
      </c>
      <c r="D2346" s="3">
        <f>ROUND(C2346*(1-Settings!$B$2),2)</f>
        <v>885.12</v>
      </c>
      <c r="E2346" s="2" t="inlineStr">
        <is>
          <t>Pokemon</t>
        </is>
      </c>
      <c r="F2346" s="2" t="inlineStr">
        <is>
          <t>Coffret</t>
        </is>
      </c>
      <c r="G2346" s="2" t="inlineStr">
        <is>
          <t>SV: Scarlet &amp; Violet 151</t>
        </is>
      </c>
      <c r="H2346" s="3" t="n"/>
      <c r="I2346" s="3" t="n">
        <v>1264.45</v>
      </c>
      <c r="J2346" s="3" t="n">
        <v>1374.99</v>
      </c>
      <c r="K2346" s="3" t="n">
        <v>1100</v>
      </c>
      <c r="L2346" s="2" t="inlineStr">
        <is>
          <t>TCGplayer</t>
        </is>
      </c>
      <c r="N2346" s="4" t="inlineStr">
        <is>
          <t>https://www.tcgplayer.com/product/501999</t>
        </is>
      </c>
    </row>
    <row r="2347">
      <c r="A2347" s="2" t="inlineStr">
        <is>
          <t>151 Poster Collection</t>
        </is>
      </c>
      <c r="B2347" s="3">
        <f>IF(H2347&lt;&gt;"",H2347,IF(I2347&lt;&gt;"",I2347,IF(J2347&lt;&gt;"",J2347,K2347)))</f>
        <v>86.1</v>
      </c>
      <c r="C2347" s="3">
        <f>MEDIAN(H2347:K2347)</f>
        <v>86.1</v>
      </c>
      <c r="D2347" s="3">
        <f>ROUND(C2347*(1-Settings!$B$2),2)</f>
        <v>60.27</v>
      </c>
      <c r="E2347" s="2" t="inlineStr">
        <is>
          <t>Pokemon</t>
        </is>
      </c>
      <c r="F2347" s="2" t="inlineStr">
        <is>
          <t>Coffret</t>
        </is>
      </c>
      <c r="G2347" s="2" t="inlineStr">
        <is>
          <t>SV: Scarlet &amp; Violet 151</t>
        </is>
      </c>
      <c r="H2347" s="3" t="n"/>
      <c r="I2347" s="3" t="n">
        <v>86.09999999999999</v>
      </c>
      <c r="J2347" s="3" t="n">
        <v>89.98999999999999</v>
      </c>
      <c r="K2347" s="3" t="n">
        <v>80</v>
      </c>
      <c r="L2347" s="2" t="inlineStr">
        <is>
          <t>TCGplayer</t>
        </is>
      </c>
      <c r="N2347" s="4" t="inlineStr">
        <is>
          <t>https://www.tcgplayer.com/product/502001</t>
        </is>
      </c>
    </row>
    <row r="2348">
      <c r="A2348" s="2" t="inlineStr">
        <is>
          <t>151 Ultra-Premium Collection</t>
        </is>
      </c>
      <c r="B2348" s="3">
        <f>IF(H2348&lt;&gt;"",H2348,IF(I2348&lt;&gt;"",I2348,IF(J2348&lt;&gt;"",J2348,K2348)))</f>
        <v>879.45</v>
      </c>
      <c r="C2348" s="3">
        <f>MEDIAN(H2348:K2348)</f>
        <v>880.0</v>
      </c>
      <c r="D2348" s="3">
        <f>ROUND(C2348*(1-Settings!$B$2),2)</f>
        <v>616.0</v>
      </c>
      <c r="E2348" s="2" t="inlineStr">
        <is>
          <t>Pokemon</t>
        </is>
      </c>
      <c r="F2348" s="2" t="inlineStr">
        <is>
          <t>Coffret</t>
        </is>
      </c>
      <c r="G2348" s="2" t="inlineStr">
        <is>
          <t>SV: Scarlet &amp; Violet 151</t>
        </is>
      </c>
      <c r="H2348" s="3" t="n"/>
      <c r="I2348" s="3" t="n">
        <v>879.45</v>
      </c>
      <c r="J2348" s="3" t="n">
        <v>1139.5</v>
      </c>
      <c r="K2348" s="3" t="n">
        <v>880</v>
      </c>
      <c r="L2348" s="2" t="inlineStr">
        <is>
          <t>TCGplayer</t>
        </is>
      </c>
      <c r="N2348" s="4" t="inlineStr">
        <is>
          <t>https://www.tcgplayer.com/product/502005</t>
        </is>
      </c>
    </row>
    <row r="2349">
      <c r="A2349" s="2" t="inlineStr">
        <is>
          <t>151: Alakazam ex Collection</t>
        </is>
      </c>
      <c r="B2349" s="3">
        <f>IF(H2349&lt;&gt;"",H2349,IF(I2349&lt;&gt;"",I2349,IF(J2349&lt;&gt;"",J2349,K2349)))</f>
        <v>118.46</v>
      </c>
      <c r="C2349" s="3">
        <f>MEDIAN(H2349:K2349)</f>
        <v>118.46</v>
      </c>
      <c r="D2349" s="3">
        <f>ROUND(C2349*(1-Settings!$B$2),2)</f>
        <v>82.92</v>
      </c>
      <c r="E2349" s="2" t="inlineStr">
        <is>
          <t>Pokemon</t>
        </is>
      </c>
      <c r="F2349" s="2" t="inlineStr">
        <is>
          <t>Coffret</t>
        </is>
      </c>
      <c r="G2349" s="2" t="inlineStr">
        <is>
          <t>SV: Scarlet &amp; Violet 151</t>
        </is>
      </c>
      <c r="H2349" s="3" t="n"/>
      <c r="I2349" s="3" t="n">
        <v>118.46</v>
      </c>
      <c r="J2349" s="3" t="n">
        <v>120</v>
      </c>
      <c r="K2349" s="3" t="n">
        <v>105</v>
      </c>
      <c r="L2349" s="2" t="inlineStr">
        <is>
          <t>TCGplayer</t>
        </is>
      </c>
      <c r="N2349" s="4" t="inlineStr">
        <is>
          <t>https://www.tcgplayer.com/product/502006</t>
        </is>
      </c>
    </row>
    <row r="2350">
      <c r="A2350" s="2" t="inlineStr">
        <is>
          <t>151: Zapdos ex Collection</t>
        </is>
      </c>
      <c r="B2350" s="3">
        <f>IF(H2350&lt;&gt;"",H2350,IF(I2350&lt;&gt;"",I2350,IF(J2350&lt;&gt;"",J2350,K2350)))</f>
        <v>121.17</v>
      </c>
      <c r="C2350" s="3">
        <f>MEDIAN(H2350:K2350)</f>
        <v>121.17</v>
      </c>
      <c r="D2350" s="3">
        <f>ROUND(C2350*(1-Settings!$B$2),2)</f>
        <v>84.82</v>
      </c>
      <c r="E2350" s="2" t="inlineStr">
        <is>
          <t>Pokemon</t>
        </is>
      </c>
      <c r="F2350" s="2" t="inlineStr">
        <is>
          <t>Coffret</t>
        </is>
      </c>
      <c r="G2350" s="2" t="inlineStr">
        <is>
          <t>SV: Scarlet &amp; Violet 151</t>
        </is>
      </c>
      <c r="H2350" s="3" t="n"/>
      <c r="I2350" s="3" t="n">
        <v>121.17</v>
      </c>
      <c r="J2350" s="3" t="n">
        <v>125</v>
      </c>
      <c r="K2350" s="3" t="n">
        <v>115</v>
      </c>
      <c r="L2350" s="2" t="inlineStr">
        <is>
          <t>TCGplayer</t>
        </is>
      </c>
      <c r="N2350" s="4" t="inlineStr">
        <is>
          <t>https://www.tcgplayer.com/product/502007</t>
        </is>
      </c>
    </row>
    <row r="2351">
      <c r="A2351" s="2" t="inlineStr">
        <is>
          <t>Blooming Waters Premium Collection</t>
        </is>
      </c>
      <c r="B2351" s="3">
        <f>IF(H2351&lt;&gt;"",H2351,IF(I2351&lt;&gt;"",I2351,IF(J2351&lt;&gt;"",J2351,K2351)))</f>
        <v>335.74</v>
      </c>
      <c r="C2351" s="3">
        <f>MEDIAN(H2351:K2351)</f>
        <v>335.74</v>
      </c>
      <c r="D2351" s="3">
        <f>ROUND(C2351*(1-Settings!$B$2),2)</f>
        <v>235.02</v>
      </c>
      <c r="E2351" s="2" t="inlineStr">
        <is>
          <t>Pokemon</t>
        </is>
      </c>
      <c r="F2351" s="2" t="inlineStr">
        <is>
          <t>Coffret</t>
        </is>
      </c>
      <c r="G2351" s="2" t="inlineStr">
        <is>
          <t>SV: Scarlet &amp; Violet 151</t>
        </is>
      </c>
      <c r="H2351" s="3" t="n"/>
      <c r="I2351" s="3" t="n">
        <v>335.74</v>
      </c>
      <c r="J2351" s="3" t="n">
        <v>398.49</v>
      </c>
      <c r="K2351" s="3" t="n">
        <v>322.95</v>
      </c>
      <c r="L2351" s="2" t="inlineStr">
        <is>
          <t>TCGplayer</t>
        </is>
      </c>
      <c r="N2351" s="4" t="inlineStr">
        <is>
          <t>https://www.tcgplayer.com/product/609597</t>
        </is>
      </c>
    </row>
    <row r="2352">
      <c r="A2352" s="2" t="inlineStr">
        <is>
          <t>Costco Scarlet &amp; Violet 151 Zapdos ex &amp; Alakazam ex Bundle</t>
        </is>
      </c>
      <c r="B2352" s="3">
        <f>IF(H2352&lt;&gt;"",H2352,IF(I2352&lt;&gt;"",I2352,IF(J2352&lt;&gt;"",J2352,K2352)))</f>
        <v>424.0</v>
      </c>
      <c r="C2352" s="3">
        <f>MEDIAN(H2352:K2352)</f>
        <v>386.5</v>
      </c>
      <c r="D2352" s="3">
        <f>ROUND(C2352*(1-Settings!$B$2),2)</f>
        <v>270.55</v>
      </c>
      <c r="E2352" s="2" t="inlineStr">
        <is>
          <t>Pokemon</t>
        </is>
      </c>
      <c r="F2352" s="2" t="inlineStr">
        <is>
          <t>Coffret</t>
        </is>
      </c>
      <c r="G2352" s="2" t="inlineStr">
        <is>
          <t>SV: Scarlet &amp; Violet 151</t>
        </is>
      </c>
      <c r="H2352" s="3" t="n"/>
      <c r="I2352" s="3" t="n"/>
      <c r="J2352" s="3" t="n">
        <v>424</v>
      </c>
      <c r="K2352" s="3" t="n">
        <v>349</v>
      </c>
      <c r="L2352" s="2" t="inlineStr">
        <is>
          <t>TCGplayer</t>
        </is>
      </c>
      <c r="N2352" s="4" t="inlineStr">
        <is>
          <t>https://www.tcgplayer.com/product/692583</t>
        </is>
      </c>
    </row>
    <row r="2353">
      <c r="A2353" s="2" t="inlineStr">
        <is>
          <t>Greninja ex Special Illustration Collection</t>
        </is>
      </c>
      <c r="B2353" s="3">
        <f>IF(H2353&lt;&gt;"",H2353,IF(I2353&lt;&gt;"",I2353,IF(J2353&lt;&gt;"",J2353,K2353)))</f>
        <v>180.01</v>
      </c>
      <c r="C2353" s="3">
        <f>MEDIAN(H2353:K2353)</f>
        <v>196.22</v>
      </c>
      <c r="D2353" s="3">
        <f>ROUND(C2353*(1-Settings!$B$2),2)</f>
        <v>137.35</v>
      </c>
      <c r="E2353" s="2" t="inlineStr">
        <is>
          <t>Pokemon</t>
        </is>
      </c>
      <c r="F2353" s="2" t="inlineStr">
        <is>
          <t>Coffret</t>
        </is>
      </c>
      <c r="G2353" s="2" t="inlineStr">
        <is>
          <t>SV: Shrouded Fable</t>
        </is>
      </c>
      <c r="H2353" s="3" t="n">
        <v>180.01</v>
      </c>
      <c r="I2353" s="3" t="n">
        <v>212.43</v>
      </c>
      <c r="J2353" s="3" t="n">
        <v>230</v>
      </c>
      <c r="K2353" s="3" t="n">
        <v>99</v>
      </c>
      <c r="L2353" s="2" t="inlineStr">
        <is>
          <t>PriceCharting + TCGplayer</t>
        </is>
      </c>
      <c r="M2353" s="4" t="inlineStr">
        <is>
          <t>https://www.pricecharting.com/game/pokemon-shrouded-fable/greninja-ex-special-illustration-collection</t>
        </is>
      </c>
      <c r="N2353" s="4" t="inlineStr">
        <is>
          <t>https://www.tcgplayer.com/product/553002</t>
        </is>
      </c>
    </row>
    <row r="2354">
      <c r="A2354" s="2" t="inlineStr">
        <is>
          <t>Kingambit Illustration Collection</t>
        </is>
      </c>
      <c r="B2354" s="3">
        <f>IF(H2354&lt;&gt;"",H2354,IF(I2354&lt;&gt;"",I2354,IF(J2354&lt;&gt;"",J2354,K2354)))</f>
        <v>50.49</v>
      </c>
      <c r="C2354" s="3">
        <f>MEDIAN(H2354:K2354)</f>
        <v>51.82</v>
      </c>
      <c r="D2354" s="3">
        <f>ROUND(C2354*(1-Settings!$B$2),2)</f>
        <v>36.27</v>
      </c>
      <c r="E2354" s="2" t="inlineStr">
        <is>
          <t>Pokemon</t>
        </is>
      </c>
      <c r="F2354" s="2" t="inlineStr">
        <is>
          <t>Coffret</t>
        </is>
      </c>
      <c r="G2354" s="2" t="inlineStr">
        <is>
          <t>SV: Shrouded Fable</t>
        </is>
      </c>
      <c r="H2354" s="3" t="n">
        <v>50.49</v>
      </c>
      <c r="I2354" s="3" t="n">
        <v>53.15</v>
      </c>
      <c r="J2354" s="3" t="n">
        <v>54.95</v>
      </c>
      <c r="K2354" s="3" t="n">
        <v>50</v>
      </c>
      <c r="L2354" s="2" t="inlineStr">
        <is>
          <t>PriceCharting + TCGplayer</t>
        </is>
      </c>
      <c r="M2354" s="4" t="inlineStr">
        <is>
          <t>https://www.pricecharting.com/game/pokemon-shrouded-fable/kingambit-illustration-collection</t>
        </is>
      </c>
      <c r="N2354" s="4" t="inlineStr">
        <is>
          <t>https://www.tcgplayer.com/product/553000</t>
        </is>
      </c>
    </row>
    <row r="2355">
      <c r="A2355" s="2" t="inlineStr">
        <is>
          <t>Kingdra ex Special Illustration Collection</t>
        </is>
      </c>
      <c r="B2355" s="3">
        <f>IF(H2355&lt;&gt;"",H2355,IF(I2355&lt;&gt;"",I2355,IF(J2355&lt;&gt;"",J2355,K2355)))</f>
        <v>183.5</v>
      </c>
      <c r="C2355" s="3">
        <f>MEDIAN(H2355:K2355)</f>
        <v>182.75</v>
      </c>
      <c r="D2355" s="3">
        <f>ROUND(C2355*(1-Settings!$B$2),2)</f>
        <v>127.93</v>
      </c>
      <c r="E2355" s="2" t="inlineStr">
        <is>
          <t>Pokemon</t>
        </is>
      </c>
      <c r="F2355" s="2" t="inlineStr">
        <is>
          <t>Coffret</t>
        </is>
      </c>
      <c r="G2355" s="2" t="inlineStr">
        <is>
          <t>SV: Shrouded Fable</t>
        </is>
      </c>
      <c r="H2355" s="3" t="n">
        <v>183.5</v>
      </c>
      <c r="I2355" s="3" t="n">
        <v>182</v>
      </c>
      <c r="J2355" s="3" t="n">
        <v>200</v>
      </c>
      <c r="K2355" s="3" t="n">
        <v>89</v>
      </c>
      <c r="L2355" s="2" t="inlineStr">
        <is>
          <t>PriceCharting + TCGplayer</t>
        </is>
      </c>
      <c r="M2355" s="4" t="inlineStr">
        <is>
          <t>https://www.pricecharting.com/game/pokemon-shrouded-fable/kingdra-ex-special-illustration-collection</t>
        </is>
      </c>
      <c r="N2355" s="4" t="inlineStr">
        <is>
          <t>https://www.tcgplayer.com/product/553001</t>
        </is>
      </c>
    </row>
    <row r="2356">
      <c r="A2356" s="2" t="inlineStr">
        <is>
          <t>Shrouded Fable Booster Bundle</t>
        </is>
      </c>
      <c r="B2356" s="3">
        <f>IF(H2356&lt;&gt;"",H2356,IF(I2356&lt;&gt;"",I2356,IF(J2356&lt;&gt;"",J2356,K2356)))</f>
        <v>61.22</v>
      </c>
      <c r="C2356" s="3">
        <f>MEDIAN(H2356:K2356)</f>
        <v>60.425</v>
      </c>
      <c r="D2356" s="3">
        <f>ROUND(C2356*(1-Settings!$B$2),2)</f>
        <v>42.3</v>
      </c>
      <c r="E2356" s="2" t="inlineStr">
        <is>
          <t>Pokemon</t>
        </is>
      </c>
      <c r="F2356" s="2" t="inlineStr">
        <is>
          <t>Coffret</t>
        </is>
      </c>
      <c r="G2356" s="2" t="inlineStr">
        <is>
          <t>SV: Shrouded Fable</t>
        </is>
      </c>
      <c r="H2356" s="3" t="n">
        <v>61.22</v>
      </c>
      <c r="I2356" s="3" t="n">
        <v>59.63</v>
      </c>
      <c r="J2356" s="3" t="n">
        <v>65</v>
      </c>
      <c r="K2356" s="3" t="n">
        <v>51.5</v>
      </c>
      <c r="L2356" s="2" t="inlineStr">
        <is>
          <t>PriceCharting + TCGplayer</t>
        </is>
      </c>
      <c r="M2356" s="4" t="inlineStr">
        <is>
          <t>https://www.pricecharting.com/game/pokemon-shrouded-fable/booster-bundle</t>
        </is>
      </c>
      <c r="N2356" s="4" t="inlineStr">
        <is>
          <t>https://www.tcgplayer.com/product/553031</t>
        </is>
      </c>
    </row>
    <row r="2357">
      <c r="A2357" s="2" t="inlineStr">
        <is>
          <t>Shrouded Fable Elite Trainer Box</t>
        </is>
      </c>
      <c r="B2357" s="3">
        <f>IF(H2357&lt;&gt;"",H2357,IF(I2357&lt;&gt;"",I2357,IF(J2357&lt;&gt;"",J2357,K2357)))</f>
        <v>108.44</v>
      </c>
      <c r="C2357" s="3">
        <f>MEDIAN(H2357:K2357)</f>
        <v>110.525</v>
      </c>
      <c r="D2357" s="3">
        <f>ROUND(C2357*(1-Settings!$B$2),2)</f>
        <v>77.37</v>
      </c>
      <c r="E2357" s="2" t="inlineStr">
        <is>
          <t>Pokemon</t>
        </is>
      </c>
      <c r="F2357" s="2" t="inlineStr">
        <is>
          <t>Coffret</t>
        </is>
      </c>
      <c r="G2357" s="2" t="inlineStr">
        <is>
          <t>SV: Shrouded Fable</t>
        </is>
      </c>
      <c r="H2357" s="3" t="n">
        <v>108.44</v>
      </c>
      <c r="I2357" s="3" t="n">
        <v>112.61</v>
      </c>
      <c r="J2357" s="3" t="n">
        <v>129.39</v>
      </c>
      <c r="K2357" s="3" t="n">
        <v>69.98999999999999</v>
      </c>
      <c r="L2357" s="2" t="inlineStr">
        <is>
          <t>PriceCharting + TCGplayer</t>
        </is>
      </c>
      <c r="M2357" s="4" t="inlineStr">
        <is>
          <t>https://www.pricecharting.com/game/pokemon-shrouded-fable/elite-trainer-box</t>
        </is>
      </c>
      <c r="N2357" s="4" t="inlineStr">
        <is>
          <t>https://www.tcgplayer.com/product/552999</t>
        </is>
      </c>
    </row>
    <row r="2358">
      <c r="A2358" s="2" t="inlineStr">
        <is>
          <t>Shrouded Fable Mini Tin (Dusknoir)</t>
        </is>
      </c>
      <c r="B2358" s="3">
        <f>IF(H2358&lt;&gt;"",H2358,IF(I2358&lt;&gt;"",I2358,IF(J2358&lt;&gt;"",J2358,K2358)))</f>
        <v>25.75</v>
      </c>
      <c r="C2358" s="3">
        <f>MEDIAN(H2358:K2358)</f>
        <v>25.66</v>
      </c>
      <c r="D2358" s="3">
        <f>ROUND(C2358*(1-Settings!$B$2),2)</f>
        <v>17.96</v>
      </c>
      <c r="E2358" s="2" t="inlineStr">
        <is>
          <t>Pokemon</t>
        </is>
      </c>
      <c r="F2358" s="2" t="inlineStr">
        <is>
          <t>Coffret</t>
        </is>
      </c>
      <c r="G2358" s="2" t="inlineStr">
        <is>
          <t>SV: Shrouded Fable</t>
        </is>
      </c>
      <c r="H2358" s="3" t="n">
        <v>25.75</v>
      </c>
      <c r="I2358" s="3" t="n">
        <v>25.57</v>
      </c>
      <c r="J2358" s="3" t="n"/>
      <c r="K2358" s="3" t="n"/>
      <c r="L2358" s="2" t="inlineStr">
        <is>
          <t>PriceCharting + TCGplayer</t>
        </is>
      </c>
      <c r="M2358" s="4" t="inlineStr">
        <is>
          <t>https://www.pricecharting.com/game/pokemon-shrouded-fable/mini-tin-dusknoir</t>
        </is>
      </c>
      <c r="N2358" s="4" t="inlineStr">
        <is>
          <t>https://www.tcgplayer.com/product/553023</t>
        </is>
      </c>
    </row>
    <row r="2359">
      <c r="A2359" s="2" t="inlineStr">
        <is>
          <t>Shrouded Fable Mini Tin (Fezandipiti)</t>
        </is>
      </c>
      <c r="B2359" s="3">
        <f>IF(H2359&lt;&gt;"",H2359,IF(I2359&lt;&gt;"",I2359,IF(J2359&lt;&gt;"",J2359,K2359)))</f>
        <v>21.99</v>
      </c>
      <c r="C2359" s="3">
        <f>MEDIAN(H2359:K2359)</f>
        <v>25.77</v>
      </c>
      <c r="D2359" s="3">
        <f>ROUND(C2359*(1-Settings!$B$2),2)</f>
        <v>18.04</v>
      </c>
      <c r="E2359" s="2" t="inlineStr">
        <is>
          <t>Pokemon</t>
        </is>
      </c>
      <c r="F2359" s="2" t="inlineStr">
        <is>
          <t>Coffret</t>
        </is>
      </c>
      <c r="G2359" s="2" t="inlineStr">
        <is>
          <t>SV: Shrouded Fable</t>
        </is>
      </c>
      <c r="H2359" s="3" t="n">
        <v>21.99</v>
      </c>
      <c r="I2359" s="3" t="n">
        <v>23.58</v>
      </c>
      <c r="J2359" s="3" t="n">
        <v>33.98</v>
      </c>
      <c r="K2359" s="3" t="n">
        <v>27.96</v>
      </c>
      <c r="L2359" s="2" t="inlineStr">
        <is>
          <t>PriceCharting + TCGplayer</t>
        </is>
      </c>
      <c r="M2359" s="4" t="inlineStr">
        <is>
          <t>https://www.pricecharting.com/game/pokemon-shrouded-fable/mini-tin-fezandipiti</t>
        </is>
      </c>
      <c r="N2359" s="4" t="inlineStr">
        <is>
          <t>https://www.tcgplayer.com/product/553018</t>
        </is>
      </c>
    </row>
    <row r="2360">
      <c r="A2360" s="2" t="inlineStr">
        <is>
          <t>Shrouded Fable Mini Tin (Okidogi)</t>
        </is>
      </c>
      <c r="B2360" s="3">
        <f>IF(H2360&lt;&gt;"",H2360,IF(I2360&lt;&gt;"",I2360,IF(J2360&lt;&gt;"",J2360,K2360)))</f>
        <v>23.74</v>
      </c>
      <c r="C2360" s="3">
        <f>MEDIAN(H2360:K2360)</f>
        <v>23.7</v>
      </c>
      <c r="D2360" s="3">
        <f>ROUND(C2360*(1-Settings!$B$2),2)</f>
        <v>16.59</v>
      </c>
      <c r="E2360" s="2" t="inlineStr">
        <is>
          <t>Pokemon</t>
        </is>
      </c>
      <c r="F2360" s="2" t="inlineStr">
        <is>
          <t>Coffret</t>
        </is>
      </c>
      <c r="G2360" s="2" t="inlineStr">
        <is>
          <t>SV: Shrouded Fable</t>
        </is>
      </c>
      <c r="H2360" s="3" t="n">
        <v>23.74</v>
      </c>
      <c r="I2360" s="3" t="n">
        <v>23.66</v>
      </c>
      <c r="J2360" s="3" t="n"/>
      <c r="K2360" s="3" t="n"/>
      <c r="L2360" s="2" t="inlineStr">
        <is>
          <t>PriceCharting + TCGplayer</t>
        </is>
      </c>
      <c r="M2360" s="4" t="inlineStr">
        <is>
          <t>https://www.pricecharting.com/game/pokemon-shrouded-fable/mini-tin-okidogi</t>
        </is>
      </c>
      <c r="N2360" s="4" t="inlineStr">
        <is>
          <t>https://www.tcgplayer.com/product/553012</t>
        </is>
      </c>
    </row>
    <row r="2361">
      <c r="A2361" s="2" t="inlineStr">
        <is>
          <t>Shrouded Fable Mini Tin (Zoroark)</t>
        </is>
      </c>
      <c r="B2361" s="3">
        <f>IF(H2361&lt;&gt;"",H2361,IF(I2361&lt;&gt;"",I2361,IF(J2361&lt;&gt;"",J2361,K2361)))</f>
        <v>34.67</v>
      </c>
      <c r="C2361" s="3">
        <f>MEDIAN(H2361:K2361)</f>
        <v>33.47</v>
      </c>
      <c r="D2361" s="3">
        <f>ROUND(C2361*(1-Settings!$B$2),2)</f>
        <v>23.43</v>
      </c>
      <c r="E2361" s="2" t="inlineStr">
        <is>
          <t>Pokemon</t>
        </is>
      </c>
      <c r="F2361" s="2" t="inlineStr">
        <is>
          <t>Coffret</t>
        </is>
      </c>
      <c r="G2361" s="2" t="inlineStr">
        <is>
          <t>SV: Shrouded Fable</t>
        </is>
      </c>
      <c r="H2361" s="3" t="n">
        <v>34.67</v>
      </c>
      <c r="I2361" s="3" t="n">
        <v>32.27</v>
      </c>
      <c r="J2361" s="3" t="n"/>
      <c r="K2361" s="3" t="n"/>
      <c r="L2361" s="2" t="inlineStr">
        <is>
          <t>PriceCharting + TCGplayer</t>
        </is>
      </c>
      <c r="M2361" s="4" t="inlineStr">
        <is>
          <t>https://www.pricecharting.com/game/pokemon-shrouded-fable/mini-tin-zoroark</t>
        </is>
      </c>
      <c r="N2361" s="4" t="inlineStr">
        <is>
          <t>https://www.tcgplayer.com/product/553010</t>
        </is>
      </c>
    </row>
    <row r="2362">
      <c r="A2362" s="2" t="inlineStr">
        <is>
          <t>Shrouded Fable Mini Tin [Set of 5]</t>
        </is>
      </c>
      <c r="B2362" s="3">
        <f>IF(H2362&lt;&gt;"",H2362,IF(I2362&lt;&gt;"",I2362,IF(J2362&lt;&gt;"",J2362,K2362)))</f>
        <v>127.35</v>
      </c>
      <c r="C2362" s="3">
        <f>MEDIAN(H2362:K2362)</f>
        <v>129.69</v>
      </c>
      <c r="D2362" s="3">
        <f>ROUND(C2362*(1-Settings!$B$2),2)</f>
        <v>90.78</v>
      </c>
      <c r="E2362" s="2" t="inlineStr">
        <is>
          <t>Pokemon</t>
        </is>
      </c>
      <c r="F2362" s="2" t="inlineStr">
        <is>
          <t>Coffret</t>
        </is>
      </c>
      <c r="G2362" s="2" t="inlineStr">
        <is>
          <t>SV: Shrouded Fable</t>
        </is>
      </c>
      <c r="H2362" s="3" t="n"/>
      <c r="I2362" s="3" t="n">
        <v>127.35</v>
      </c>
      <c r="J2362" s="3" t="n">
        <v>129.69</v>
      </c>
      <c r="K2362" s="3" t="n">
        <v>129.69</v>
      </c>
      <c r="L2362" s="2" t="inlineStr">
        <is>
          <t>TCGplayer</t>
        </is>
      </c>
      <c r="N2362" s="4" t="inlineStr">
        <is>
          <t>https://www.tcgplayer.com/product/553009</t>
        </is>
      </c>
    </row>
    <row r="2363">
      <c r="A2363" s="2" t="inlineStr">
        <is>
          <t>Shrouded Fable Pokemon Center Elite Trainer Box (Exclusive)</t>
        </is>
      </c>
      <c r="B2363" s="3">
        <f>IF(H2363&lt;&gt;"",H2363,IF(I2363&lt;&gt;"",I2363,IF(J2363&lt;&gt;"",J2363,K2363)))</f>
        <v>166.35</v>
      </c>
      <c r="C2363" s="3">
        <f>MEDIAN(H2363:K2363)</f>
        <v>166.35</v>
      </c>
      <c r="D2363" s="3">
        <f>ROUND(C2363*(1-Settings!$B$2),2)</f>
        <v>116.45</v>
      </c>
      <c r="E2363" s="2" t="inlineStr">
        <is>
          <t>Pokemon</t>
        </is>
      </c>
      <c r="F2363" s="2" t="inlineStr">
        <is>
          <t>Coffret</t>
        </is>
      </c>
      <c r="G2363" s="2" t="inlineStr">
        <is>
          <t>SV: Shrouded Fable</t>
        </is>
      </c>
      <c r="H2363" s="3" t="n"/>
      <c r="I2363" s="3" t="n">
        <v>166.35</v>
      </c>
      <c r="J2363" s="3" t="n">
        <v>199.98</v>
      </c>
      <c r="K2363" s="3" t="n">
        <v>158.01</v>
      </c>
      <c r="L2363" s="2" t="inlineStr">
        <is>
          <t>TCGplayer</t>
        </is>
      </c>
      <c r="N2363" s="4" t="inlineStr">
        <is>
          <t>https://www.tcgplayer.com/product/552998</t>
        </is>
      </c>
    </row>
    <row r="2364">
      <c r="A2364" s="2" t="inlineStr">
        <is>
          <t>White Flare Binder &amp; Unova Poster Collection (Sam's Club)</t>
        </is>
      </c>
      <c r="B2364" s="3">
        <f>IF(H2364&lt;&gt;"",H2364,IF(I2364&lt;&gt;"",I2364,IF(J2364&lt;&gt;"",J2364,K2364)))</f>
        <v>122.47</v>
      </c>
      <c r="C2364" s="3">
        <f>MEDIAN(H2364:K2364)</f>
        <v>122.47</v>
      </c>
      <c r="D2364" s="3">
        <f>ROUND(C2364*(1-Settings!$B$2),2)</f>
        <v>85.73</v>
      </c>
      <c r="E2364" s="2" t="inlineStr">
        <is>
          <t>Pokemon</t>
        </is>
      </c>
      <c r="F2364" s="2" t="inlineStr">
        <is>
          <t>Coffret</t>
        </is>
      </c>
      <c r="G2364" s="2" t="inlineStr">
        <is>
          <t>SV: White Flare</t>
        </is>
      </c>
      <c r="H2364" s="3" t="n"/>
      <c r="I2364" s="3" t="n">
        <v>122.47</v>
      </c>
      <c r="J2364" s="3" t="n">
        <v>137.5</v>
      </c>
      <c r="K2364" s="3" t="n">
        <v>122.47</v>
      </c>
      <c r="L2364" s="2" t="inlineStr">
        <is>
          <t>TCGplayer</t>
        </is>
      </c>
      <c r="N2364" s="4" t="inlineStr">
        <is>
          <t>https://www.tcgplayer.com/product/685927</t>
        </is>
      </c>
    </row>
    <row r="2365">
      <c r="A2365" s="2" t="inlineStr">
        <is>
          <t>White Flare Binder Collection</t>
        </is>
      </c>
      <c r="B2365" s="3">
        <f>IF(H2365&lt;&gt;"",H2365,IF(I2365&lt;&gt;"",I2365,IF(J2365&lt;&gt;"",J2365,K2365)))</f>
        <v>73.49</v>
      </c>
      <c r="C2365" s="3">
        <f>MEDIAN(H2365:K2365)</f>
        <v>73.54499999999999</v>
      </c>
      <c r="D2365" s="3">
        <f>ROUND(C2365*(1-Settings!$B$2),2)</f>
        <v>51.48</v>
      </c>
      <c r="E2365" s="2" t="inlineStr">
        <is>
          <t>Pokemon</t>
        </is>
      </c>
      <c r="F2365" s="2" t="inlineStr">
        <is>
          <t>Coffret</t>
        </is>
      </c>
      <c r="G2365" s="2" t="inlineStr">
        <is>
          <t>SV: White Flare</t>
        </is>
      </c>
      <c r="H2365" s="3" t="n">
        <v>73.48999999999999</v>
      </c>
      <c r="I2365" s="3" t="n">
        <v>73.59999999999999</v>
      </c>
      <c r="J2365" s="3" t="n">
        <v>79.98999999999999</v>
      </c>
      <c r="K2365" s="3" t="n">
        <v>9.99</v>
      </c>
      <c r="L2365" s="2" t="inlineStr">
        <is>
          <t>PriceCharting + TCGplayer</t>
        </is>
      </c>
      <c r="M2365" s="4" t="inlineStr">
        <is>
          <t>https://www.pricecharting.com/game/pokemon-white-flare/binder-collection</t>
        </is>
      </c>
      <c r="N2365" s="4" t="inlineStr">
        <is>
          <t>https://www.tcgplayer.com/product/630695</t>
        </is>
      </c>
    </row>
    <row r="2366">
      <c r="A2366" s="2" t="inlineStr">
        <is>
          <t>White Flare Booster Bundle</t>
        </is>
      </c>
      <c r="B2366" s="3">
        <f>IF(H2366&lt;&gt;"",H2366,IF(I2366&lt;&gt;"",I2366,IF(J2366&lt;&gt;"",J2366,K2366)))</f>
        <v>90.47</v>
      </c>
      <c r="C2366" s="3">
        <f>MEDIAN(H2366:K2366)</f>
        <v>91.505</v>
      </c>
      <c r="D2366" s="3">
        <f>ROUND(C2366*(1-Settings!$B$2),2)</f>
        <v>64.05</v>
      </c>
      <c r="E2366" s="2" t="inlineStr">
        <is>
          <t>Pokemon</t>
        </is>
      </c>
      <c r="F2366" s="2" t="inlineStr">
        <is>
          <t>Coffret</t>
        </is>
      </c>
      <c r="G2366" s="2" t="inlineStr">
        <is>
          <t>SV: White Flare</t>
        </is>
      </c>
      <c r="H2366" s="3" t="n">
        <v>90.47</v>
      </c>
      <c r="I2366" s="3" t="n">
        <v>92.54000000000001</v>
      </c>
      <c r="J2366" s="3" t="n">
        <v>93.42</v>
      </c>
      <c r="K2366" s="3" t="n">
        <v>69.97</v>
      </c>
      <c r="L2366" s="2" t="inlineStr">
        <is>
          <t>PriceCharting + TCGplayer</t>
        </is>
      </c>
      <c r="M2366" s="4" t="inlineStr">
        <is>
          <t>https://www.pricecharting.com/game/pokemon-white-flare/booster-bundle</t>
        </is>
      </c>
      <c r="N2366" s="4" t="inlineStr">
        <is>
          <t>https://www.tcgplayer.com/product/630696</t>
        </is>
      </c>
    </row>
    <row r="2367">
      <c r="A2367" s="2" t="inlineStr">
        <is>
          <t>White Flare Elite Trainer Box</t>
        </is>
      </c>
      <c r="B2367" s="3">
        <f>IF(H2367&lt;&gt;"",H2367,IF(I2367&lt;&gt;"",I2367,IF(J2367&lt;&gt;"",J2367,K2367)))</f>
        <v>148.17</v>
      </c>
      <c r="C2367" s="3">
        <f>MEDIAN(H2367:K2367)</f>
        <v>147.015</v>
      </c>
      <c r="D2367" s="3">
        <f>ROUND(C2367*(1-Settings!$B$2),2)</f>
        <v>102.91</v>
      </c>
      <c r="E2367" s="2" t="inlineStr">
        <is>
          <t>Pokemon</t>
        </is>
      </c>
      <c r="F2367" s="2" t="inlineStr">
        <is>
          <t>Coffret</t>
        </is>
      </c>
      <c r="G2367" s="2" t="inlineStr">
        <is>
          <t>SV: White Flare</t>
        </is>
      </c>
      <c r="H2367" s="3" t="n">
        <v>148.17</v>
      </c>
      <c r="I2367" s="3" t="n">
        <v>145.86</v>
      </c>
      <c r="J2367" s="3" t="n">
        <v>158.49</v>
      </c>
      <c r="K2367" s="3" t="n">
        <v>20</v>
      </c>
      <c r="L2367" s="2" t="inlineStr">
        <is>
          <t>PriceCharting + TCGplayer</t>
        </is>
      </c>
      <c r="M2367" s="4" t="inlineStr">
        <is>
          <t>https://www.pricecharting.com/game/pokemon-white-flare/elite-trainer-box</t>
        </is>
      </c>
      <c r="N2367" s="4" t="inlineStr">
        <is>
          <t>https://www.tcgplayer.com/product/630689</t>
        </is>
      </c>
    </row>
    <row r="2368">
      <c r="A2368" s="2" t="inlineStr">
        <is>
          <t>White Flare Pokemon Center Elite Trainer Box (Exclusive)</t>
        </is>
      </c>
      <c r="B2368" s="3">
        <f>IF(H2368&lt;&gt;"",H2368,IF(I2368&lt;&gt;"",I2368,IF(J2368&lt;&gt;"",J2368,K2368)))</f>
        <v>238.09</v>
      </c>
      <c r="C2368" s="3">
        <f>MEDIAN(H2368:K2368)</f>
        <v>238.09</v>
      </c>
      <c r="D2368" s="3">
        <f>ROUND(C2368*(1-Settings!$B$2),2)</f>
        <v>166.66</v>
      </c>
      <c r="E2368" s="2" t="inlineStr">
        <is>
          <t>Pokemon</t>
        </is>
      </c>
      <c r="F2368" s="2" t="inlineStr">
        <is>
          <t>Coffret</t>
        </is>
      </c>
      <c r="G2368" s="2" t="inlineStr">
        <is>
          <t>SV: White Flare</t>
        </is>
      </c>
      <c r="H2368" s="3" t="n"/>
      <c r="I2368" s="3" t="n">
        <v>238.09</v>
      </c>
      <c r="J2368" s="3" t="n">
        <v>275.5</v>
      </c>
      <c r="K2368" s="3" t="n">
        <v>194</v>
      </c>
      <c r="L2368" s="2" t="inlineStr">
        <is>
          <t>TCGplayer</t>
        </is>
      </c>
      <c r="N2368" s="4" t="inlineStr">
        <is>
          <t>https://www.tcgplayer.com/product/630688</t>
        </is>
      </c>
    </row>
    <row r="2369">
      <c r="A2369" s="2" t="inlineStr">
        <is>
          <t>White Flare Tech Sticker Collection</t>
        </is>
      </c>
      <c r="B2369" s="3">
        <f>IF(H2369&lt;&gt;"",H2369,IF(I2369&lt;&gt;"",I2369,IF(J2369&lt;&gt;"",J2369,K2369)))</f>
        <v>45.99</v>
      </c>
      <c r="C2369" s="3">
        <f>MEDIAN(H2369:K2369)</f>
        <v>47.275000000000006</v>
      </c>
      <c r="D2369" s="3">
        <f>ROUND(C2369*(1-Settings!$B$2),2)</f>
        <v>33.09</v>
      </c>
      <c r="E2369" s="2" t="inlineStr">
        <is>
          <t>Pokemon</t>
        </is>
      </c>
      <c r="F2369" s="2" t="inlineStr">
        <is>
          <t>Coffret</t>
        </is>
      </c>
      <c r="G2369" s="2" t="inlineStr">
        <is>
          <t>SV: White Flare</t>
        </is>
      </c>
      <c r="H2369" s="3" t="n">
        <v>45.99</v>
      </c>
      <c r="I2369" s="3" t="n">
        <v>48.56</v>
      </c>
      <c r="J2369" s="3" t="n">
        <v>52.23</v>
      </c>
      <c r="K2369" s="3" t="n">
        <v>40</v>
      </c>
      <c r="L2369" s="2" t="inlineStr">
        <is>
          <t>PriceCharting + TCGplayer</t>
        </is>
      </c>
      <c r="M2369" s="4" t="inlineStr">
        <is>
          <t>https://www.pricecharting.com/game/pokemon-white-flare/tech-sticker-collection</t>
        </is>
      </c>
      <c r="N2369" s="4" t="inlineStr">
        <is>
          <t>https://www.tcgplayer.com/product/630700</t>
        </is>
      </c>
    </row>
    <row r="2370">
      <c r="A2370" s="2" t="inlineStr">
        <is>
          <t>Galar Partners Box [Cinderace V]</t>
        </is>
      </c>
      <c r="B2370" s="3">
        <f>IF(H2370&lt;&gt;"",H2370,IF(I2370&lt;&gt;"",I2370,IF(J2370&lt;&gt;"",J2370,K2370)))</f>
        <v>162.73</v>
      </c>
      <c r="C2370" s="3">
        <f>MEDIAN(H2370:K2370)</f>
        <v>199.0</v>
      </c>
      <c r="D2370" s="3">
        <f>ROUND(C2370*(1-Settings!$B$2),2)</f>
        <v>139.3</v>
      </c>
      <c r="E2370" s="2" t="inlineStr">
        <is>
          <t>Pokemon</t>
        </is>
      </c>
      <c r="F2370" s="2" t="inlineStr">
        <is>
          <t>Coffret</t>
        </is>
      </c>
      <c r="G2370" s="2" t="inlineStr">
        <is>
          <t>SWSH01: Sword &amp; Shield Base Set</t>
        </is>
      </c>
      <c r="H2370" s="3" t="n"/>
      <c r="I2370" s="3" t="n">
        <v>162.73</v>
      </c>
      <c r="J2370" s="3" t="n">
        <v>199</v>
      </c>
      <c r="K2370" s="3" t="n">
        <v>199</v>
      </c>
      <c r="L2370" s="2" t="inlineStr">
        <is>
          <t>TCGplayer</t>
        </is>
      </c>
      <c r="N2370" s="4" t="inlineStr">
        <is>
          <t>https://www.tcgplayer.com/product/220750</t>
        </is>
      </c>
    </row>
    <row r="2371">
      <c r="A2371" s="2" t="inlineStr">
        <is>
          <t>Galar Partners Box [Inteleon V]</t>
        </is>
      </c>
      <c r="B2371" s="3">
        <f>IF(H2371&lt;&gt;"",H2371,IF(I2371&lt;&gt;"",I2371,IF(J2371&lt;&gt;"",J2371,K2371)))</f>
        <v>166.5</v>
      </c>
      <c r="C2371" s="3">
        <f>MEDIAN(H2371:K2371)</f>
        <v>183.0</v>
      </c>
      <c r="D2371" s="3">
        <f>ROUND(C2371*(1-Settings!$B$2),2)</f>
        <v>128.1</v>
      </c>
      <c r="E2371" s="2" t="inlineStr">
        <is>
          <t>Pokemon</t>
        </is>
      </c>
      <c r="F2371" s="2" t="inlineStr">
        <is>
          <t>Coffret</t>
        </is>
      </c>
      <c r="G2371" s="2" t="inlineStr">
        <is>
          <t>SWSH01: Sword &amp; Shield Base Set</t>
        </is>
      </c>
      <c r="H2371" s="3" t="n"/>
      <c r="I2371" s="3" t="n">
        <v>166.5</v>
      </c>
      <c r="J2371" s="3" t="n">
        <v>189.99</v>
      </c>
      <c r="K2371" s="3" t="n">
        <v>183</v>
      </c>
      <c r="L2371" s="2" t="inlineStr">
        <is>
          <t>TCGplayer</t>
        </is>
      </c>
      <c r="N2371" s="4" t="inlineStr">
        <is>
          <t>https://www.tcgplayer.com/product/220752</t>
        </is>
      </c>
    </row>
    <row r="2372">
      <c r="A2372" s="2" t="inlineStr">
        <is>
          <t>Galar Partners Box [Rillaboom V]</t>
        </is>
      </c>
      <c r="B2372" s="3">
        <f>IF(H2372&lt;&gt;"",H2372,IF(I2372&lt;&gt;"",I2372,IF(J2372&lt;&gt;"",J2372,K2372)))</f>
        <v>193.99</v>
      </c>
      <c r="C2372" s="3">
        <f>MEDIAN(H2372:K2372)</f>
        <v>193.99</v>
      </c>
      <c r="D2372" s="3">
        <f>ROUND(C2372*(1-Settings!$B$2),2)</f>
        <v>135.79</v>
      </c>
      <c r="E2372" s="2" t="inlineStr">
        <is>
          <t>Pokemon</t>
        </is>
      </c>
      <c r="F2372" s="2" t="inlineStr">
        <is>
          <t>Coffret</t>
        </is>
      </c>
      <c r="G2372" s="2" t="inlineStr">
        <is>
          <t>SWSH01: Sword &amp; Shield Base Set</t>
        </is>
      </c>
      <c r="H2372" s="3" t="n"/>
      <c r="I2372" s="3" t="n">
        <v>193.99</v>
      </c>
      <c r="J2372" s="3" t="n"/>
      <c r="K2372" s="3" t="n"/>
      <c r="L2372" s="2" t="inlineStr">
        <is>
          <t>TCGplayer</t>
        </is>
      </c>
      <c r="N2372" s="4" t="inlineStr">
        <is>
          <t>https://www.tcgplayer.com/product/220751</t>
        </is>
      </c>
    </row>
    <row r="2373">
      <c r="A2373" s="2" t="inlineStr">
        <is>
          <t>Galar Partners International Tin [Cinderace V]</t>
        </is>
      </c>
      <c r="B2373" s="3">
        <f>IF(H2373&lt;&gt;"",H2373,IF(I2373&lt;&gt;"",I2373,IF(J2373&lt;&gt;"",J2373,K2373)))</f>
        <v>150.0</v>
      </c>
      <c r="C2373" s="3">
        <f>MEDIAN(H2373:K2373)</f>
        <v>130.0</v>
      </c>
      <c r="D2373" s="3">
        <f>ROUND(C2373*(1-Settings!$B$2),2)</f>
        <v>91.0</v>
      </c>
      <c r="E2373" s="2" t="inlineStr">
        <is>
          <t>Pokemon</t>
        </is>
      </c>
      <c r="F2373" s="2" t="inlineStr">
        <is>
          <t>Coffret</t>
        </is>
      </c>
      <c r="G2373" s="2" t="inlineStr">
        <is>
          <t>SWSH01: Sword &amp; Shield Base Set</t>
        </is>
      </c>
      <c r="H2373" s="3" t="n"/>
      <c r="I2373" s="3" t="n"/>
      <c r="J2373" s="3" t="n">
        <v>150</v>
      </c>
      <c r="K2373" s="3" t="n">
        <v>110</v>
      </c>
      <c r="L2373" s="2" t="inlineStr">
        <is>
          <t>TCGplayer</t>
        </is>
      </c>
      <c r="N2373" s="4" t="inlineStr">
        <is>
          <t>https://www.tcgplayer.com/product/282886</t>
        </is>
      </c>
    </row>
    <row r="2374">
      <c r="A2374" s="2" t="inlineStr">
        <is>
          <t>Galar Partners International Tin [Inteleon V]</t>
        </is>
      </c>
      <c r="B2374" s="3">
        <f>IF(H2374&lt;&gt;"",H2374,IF(I2374&lt;&gt;"",I2374,IF(J2374&lt;&gt;"",J2374,K2374)))</f>
        <v>147.5</v>
      </c>
      <c r="C2374" s="3">
        <f>MEDIAN(H2374:K2374)</f>
        <v>128.75</v>
      </c>
      <c r="D2374" s="3">
        <f>ROUND(C2374*(1-Settings!$B$2),2)</f>
        <v>90.13</v>
      </c>
      <c r="E2374" s="2" t="inlineStr">
        <is>
          <t>Pokemon</t>
        </is>
      </c>
      <c r="F2374" s="2" t="inlineStr">
        <is>
          <t>Coffret</t>
        </is>
      </c>
      <c r="G2374" s="2" t="inlineStr">
        <is>
          <t>SWSH01: Sword &amp; Shield Base Set</t>
        </is>
      </c>
      <c r="H2374" s="3" t="n"/>
      <c r="I2374" s="3" t="n"/>
      <c r="J2374" s="3" t="n">
        <v>147.5</v>
      </c>
      <c r="K2374" s="3" t="n">
        <v>110</v>
      </c>
      <c r="L2374" s="2" t="inlineStr">
        <is>
          <t>TCGplayer</t>
        </is>
      </c>
      <c r="N2374" s="4" t="inlineStr">
        <is>
          <t>https://www.tcgplayer.com/product/282885</t>
        </is>
      </c>
    </row>
    <row r="2375">
      <c r="A2375" s="2" t="inlineStr">
        <is>
          <t>Galar Partners International Tin [Rillaboom V]</t>
        </is>
      </c>
      <c r="B2375" s="3">
        <f>IF(H2375&lt;&gt;"",H2375,IF(I2375&lt;&gt;"",I2375,IF(J2375&lt;&gt;"",J2375,K2375)))</f>
        <v>110.0</v>
      </c>
      <c r="C2375" s="3">
        <f>MEDIAN(H2375:K2375)</f>
        <v>110.0</v>
      </c>
      <c r="D2375" s="3">
        <f>ROUND(C2375*(1-Settings!$B$2),2)</f>
        <v>77.0</v>
      </c>
      <c r="E2375" s="2" t="inlineStr">
        <is>
          <t>Pokemon</t>
        </is>
      </c>
      <c r="F2375" s="2" t="inlineStr">
        <is>
          <t>Coffret</t>
        </is>
      </c>
      <c r="G2375" s="2" t="inlineStr">
        <is>
          <t>SWSH01: Sword &amp; Shield Base Set</t>
        </is>
      </c>
      <c r="H2375" s="3" t="n"/>
      <c r="I2375" s="3" t="n"/>
      <c r="J2375" s="3" t="n">
        <v>110</v>
      </c>
      <c r="K2375" s="3" t="n">
        <v>110</v>
      </c>
      <c r="L2375" s="2" t="inlineStr">
        <is>
          <t>TCGplayer</t>
        </is>
      </c>
      <c r="N2375" s="4" t="inlineStr">
        <is>
          <t>https://www.tcgplayer.com/product/282887</t>
        </is>
      </c>
    </row>
    <row r="2376">
      <c r="A2376" s="2" t="inlineStr">
        <is>
          <t>Galar Partners Tin [Cinderace V]</t>
        </is>
      </c>
      <c r="B2376" s="3">
        <f>IF(H2376&lt;&gt;"",H2376,IF(I2376&lt;&gt;"",I2376,IF(J2376&lt;&gt;"",J2376,K2376)))</f>
        <v>300.0</v>
      </c>
      <c r="C2376" s="3">
        <f>MEDIAN(H2376:K2376)</f>
        <v>300.0</v>
      </c>
      <c r="D2376" s="3">
        <f>ROUND(C2376*(1-Settings!$B$2),2)</f>
        <v>210.0</v>
      </c>
      <c r="E2376" s="2" t="inlineStr">
        <is>
          <t>Pokemon</t>
        </is>
      </c>
      <c r="F2376" s="2" t="inlineStr">
        <is>
          <t>Coffret</t>
        </is>
      </c>
      <c r="G2376" s="2" t="inlineStr">
        <is>
          <t>SWSH01: Sword &amp; Shield Base Set</t>
        </is>
      </c>
      <c r="H2376" s="3" t="n"/>
      <c r="I2376" s="3" t="n"/>
      <c r="J2376" s="3" t="n">
        <v>300</v>
      </c>
      <c r="K2376" s="3" t="n">
        <v>300</v>
      </c>
      <c r="L2376" s="2" t="inlineStr">
        <is>
          <t>TCGplayer</t>
        </is>
      </c>
      <c r="N2376" s="4" t="inlineStr">
        <is>
          <t>https://www.tcgplayer.com/product/206420</t>
        </is>
      </c>
    </row>
    <row r="2377">
      <c r="A2377" s="2" t="inlineStr">
        <is>
          <t>Galar Partners Tin [Inteleon V]</t>
        </is>
      </c>
      <c r="B2377" s="3">
        <f>IF(H2377&lt;&gt;"",H2377,IF(I2377&lt;&gt;"",I2377,IF(J2377&lt;&gt;"",J2377,K2377)))</f>
        <v>249.97</v>
      </c>
      <c r="C2377" s="3">
        <f>MEDIAN(H2377:K2377)</f>
        <v>224.95999999999998</v>
      </c>
      <c r="D2377" s="3">
        <f>ROUND(C2377*(1-Settings!$B$2),2)</f>
        <v>157.47</v>
      </c>
      <c r="E2377" s="2" t="inlineStr">
        <is>
          <t>Pokemon</t>
        </is>
      </c>
      <c r="F2377" s="2" t="inlineStr">
        <is>
          <t>Coffret</t>
        </is>
      </c>
      <c r="G2377" s="2" t="inlineStr">
        <is>
          <t>SWSH01: Sword &amp; Shield Base Set</t>
        </is>
      </c>
      <c r="H2377" s="3" t="n"/>
      <c r="I2377" s="3" t="n"/>
      <c r="J2377" s="3" t="n">
        <v>249.97</v>
      </c>
      <c r="K2377" s="3" t="n">
        <v>199.95</v>
      </c>
      <c r="L2377" s="2" t="inlineStr">
        <is>
          <t>TCGplayer</t>
        </is>
      </c>
      <c r="N2377" s="4" t="inlineStr">
        <is>
          <t>https://www.tcgplayer.com/product/206417</t>
        </is>
      </c>
    </row>
    <row r="2378">
      <c r="A2378" s="2" t="inlineStr">
        <is>
          <t>Galar Partners Tin [Set of 3]</t>
        </is>
      </c>
      <c r="B2378" s="3">
        <f>IF(H2378&lt;&gt;"",H2378,IF(I2378&lt;&gt;"",I2378,IF(J2378&lt;&gt;"",J2378,K2378)))</f>
        <v>674.98</v>
      </c>
      <c r="C2378" s="3">
        <f>MEDIAN(H2378:K2378)</f>
        <v>637.49</v>
      </c>
      <c r="D2378" s="3">
        <f>ROUND(C2378*(1-Settings!$B$2),2)</f>
        <v>446.24</v>
      </c>
      <c r="E2378" s="2" t="inlineStr">
        <is>
          <t>Pokemon</t>
        </is>
      </c>
      <c r="F2378" s="2" t="inlineStr">
        <is>
          <t>Coffret</t>
        </is>
      </c>
      <c r="G2378" s="2" t="inlineStr">
        <is>
          <t>SWSH01: Sword &amp; Shield Base Set</t>
        </is>
      </c>
      <c r="H2378" s="3" t="n"/>
      <c r="I2378" s="3" t="n"/>
      <c r="J2378" s="3" t="n">
        <v>674.98</v>
      </c>
      <c r="K2378" s="3" t="n">
        <v>600</v>
      </c>
      <c r="L2378" s="2" t="inlineStr">
        <is>
          <t>TCGplayer</t>
        </is>
      </c>
      <c r="N2378" s="4" t="inlineStr">
        <is>
          <t>https://www.tcgplayer.com/product/206423</t>
        </is>
      </c>
    </row>
    <row r="2379">
      <c r="A2379" s="2" t="inlineStr">
        <is>
          <t>Legends of Galar Tin + Galar Partners Tin 2-pack [Zacian V/Cinderace V] (Retail Exclusive)</t>
        </is>
      </c>
      <c r="B2379" s="3">
        <f>IF(H2379&lt;&gt;"",H2379,IF(I2379&lt;&gt;"",I2379,IF(J2379&lt;&gt;"",J2379,K2379)))</f>
        <v>179.99</v>
      </c>
      <c r="C2379" s="3">
        <f>MEDIAN(H2379:K2379)</f>
        <v>179.99</v>
      </c>
      <c r="D2379" s="3">
        <f>ROUND(C2379*(1-Settings!$B$2),2)</f>
        <v>125.99</v>
      </c>
      <c r="E2379" s="2" t="inlineStr">
        <is>
          <t>Pokemon</t>
        </is>
      </c>
      <c r="F2379" s="2" t="inlineStr">
        <is>
          <t>Coffret</t>
        </is>
      </c>
      <c r="G2379" s="2" t="inlineStr">
        <is>
          <t>SWSH01: Sword &amp; Shield Base Set</t>
        </is>
      </c>
      <c r="H2379" s="3" t="n"/>
      <c r="I2379" s="3" t="n"/>
      <c r="J2379" s="3" t="n">
        <v>179.99</v>
      </c>
      <c r="K2379" s="3" t="n">
        <v>179.99</v>
      </c>
      <c r="L2379" s="2" t="inlineStr">
        <is>
          <t>TCGplayer</t>
        </is>
      </c>
      <c r="N2379" s="4" t="inlineStr">
        <is>
          <t>https://www.tcgplayer.com/product/287503</t>
        </is>
      </c>
    </row>
    <row r="2380">
      <c r="A2380" s="2" t="inlineStr">
        <is>
          <t>Legends of Galar Tin + Galar Partners Tin 2-pack [Zacian V/Rillaboom V] (Retail Exclusive)</t>
        </is>
      </c>
      <c r="B2380" s="3">
        <f>IF(H2380&lt;&gt;"",H2380,IF(I2380&lt;&gt;"",I2380,IF(J2380&lt;&gt;"",J2380,K2380)))</f>
        <v>179.99</v>
      </c>
      <c r="C2380" s="3">
        <f>MEDIAN(H2380:K2380)</f>
        <v>200.0</v>
      </c>
      <c r="D2380" s="3">
        <f>ROUND(C2380*(1-Settings!$B$2),2)</f>
        <v>140.0</v>
      </c>
      <c r="E2380" s="2" t="inlineStr">
        <is>
          <t>Pokemon</t>
        </is>
      </c>
      <c r="F2380" s="2" t="inlineStr">
        <is>
          <t>Coffret</t>
        </is>
      </c>
      <c r="G2380" s="2" t="inlineStr">
        <is>
          <t>SWSH01: Sword &amp; Shield Base Set</t>
        </is>
      </c>
      <c r="H2380" s="3" t="n"/>
      <c r="I2380" s="3" t="n">
        <v>179.99</v>
      </c>
      <c r="J2380" s="3" t="n">
        <v>300</v>
      </c>
      <c r="K2380" s="3" t="n">
        <v>200</v>
      </c>
      <c r="L2380" s="2" t="inlineStr">
        <is>
          <t>TCGplayer</t>
        </is>
      </c>
      <c r="N2380" s="4" t="inlineStr">
        <is>
          <t>https://www.tcgplayer.com/product/287500</t>
        </is>
      </c>
    </row>
    <row r="2381">
      <c r="A2381" s="2" t="inlineStr">
        <is>
          <t>Legends of Galar Tin + Galar Partners Tin 2-pack [Zamazenta V/Cinderace V] (Retail Exclusive)</t>
        </is>
      </c>
      <c r="B2381" s="3">
        <f>IF(H2381&lt;&gt;"",H2381,IF(I2381&lt;&gt;"",I2381,IF(J2381&lt;&gt;"",J2381,K2381)))</f>
        <v>250.0</v>
      </c>
      <c r="C2381" s="3">
        <f>MEDIAN(H2381:K2381)</f>
        <v>250.0</v>
      </c>
      <c r="D2381" s="3">
        <f>ROUND(C2381*(1-Settings!$B$2),2)</f>
        <v>175.0</v>
      </c>
      <c r="E2381" s="2" t="inlineStr">
        <is>
          <t>Pokemon</t>
        </is>
      </c>
      <c r="F2381" s="2" t="inlineStr">
        <is>
          <t>Coffret</t>
        </is>
      </c>
      <c r="G2381" s="2" t="inlineStr">
        <is>
          <t>SWSH01: Sword &amp; Shield Base Set</t>
        </is>
      </c>
      <c r="H2381" s="3" t="n"/>
      <c r="I2381" s="3" t="n"/>
      <c r="J2381" s="3" t="n">
        <v>250</v>
      </c>
      <c r="K2381" s="3" t="n">
        <v>250</v>
      </c>
      <c r="L2381" s="2" t="inlineStr">
        <is>
          <t>TCGplayer</t>
        </is>
      </c>
      <c r="N2381" s="4" t="inlineStr">
        <is>
          <t>https://www.tcgplayer.com/product/287504</t>
        </is>
      </c>
    </row>
    <row r="2382">
      <c r="A2382" s="2" t="inlineStr">
        <is>
          <t>Legends of Galar Tin + Galar Partners Tin 2-pack [Zamazenta V/Inteleon V] (Retail Exclusive)</t>
        </is>
      </c>
      <c r="B2382" s="3">
        <f>IF(H2382&lt;&gt;"",H2382,IF(I2382&lt;&gt;"",I2382,IF(J2382&lt;&gt;"",J2382,K2382)))</f>
        <v>179.99</v>
      </c>
      <c r="C2382" s="3">
        <f>MEDIAN(H2382:K2382)</f>
        <v>349.99</v>
      </c>
      <c r="D2382" s="3">
        <f>ROUND(C2382*(1-Settings!$B$2),2)</f>
        <v>244.99</v>
      </c>
      <c r="E2382" s="2" t="inlineStr">
        <is>
          <t>Pokemon</t>
        </is>
      </c>
      <c r="F2382" s="2" t="inlineStr">
        <is>
          <t>Coffret</t>
        </is>
      </c>
      <c r="G2382" s="2" t="inlineStr">
        <is>
          <t>SWSH01: Sword &amp; Shield Base Set</t>
        </is>
      </c>
      <c r="H2382" s="3" t="n"/>
      <c r="I2382" s="3" t="n">
        <v>179.99</v>
      </c>
      <c r="J2382" s="3" t="n">
        <v>349.99</v>
      </c>
      <c r="K2382" s="3" t="n">
        <v>349.99</v>
      </c>
      <c r="L2382" s="2" t="inlineStr">
        <is>
          <t>TCGplayer</t>
        </is>
      </c>
      <c r="N2382" s="4" t="inlineStr">
        <is>
          <t>https://www.tcgplayer.com/product/287505</t>
        </is>
      </c>
    </row>
    <row r="2383">
      <c r="A2383" s="2" t="inlineStr">
        <is>
          <t>Legends of Galar Tin + Galar Partners Tin 2-pack [Zamazenta V/Rillaboom V] (Retail Exclusive)</t>
        </is>
      </c>
      <c r="B2383" s="3">
        <f>IF(H2383&lt;&gt;"",H2383,IF(I2383&lt;&gt;"",I2383,IF(J2383&lt;&gt;"",J2383,K2383)))</f>
        <v>300.0</v>
      </c>
      <c r="C2383" s="3">
        <f>MEDIAN(H2383:K2383)</f>
        <v>275.0</v>
      </c>
      <c r="D2383" s="3">
        <f>ROUND(C2383*(1-Settings!$B$2),2)</f>
        <v>192.5</v>
      </c>
      <c r="E2383" s="2" t="inlineStr">
        <is>
          <t>Pokemon</t>
        </is>
      </c>
      <c r="F2383" s="2" t="inlineStr">
        <is>
          <t>Coffret</t>
        </is>
      </c>
      <c r="G2383" s="2" t="inlineStr">
        <is>
          <t>SWSH01: Sword &amp; Shield Base Set</t>
        </is>
      </c>
      <c r="H2383" s="3" t="n"/>
      <c r="I2383" s="3" t="n"/>
      <c r="J2383" s="3" t="n">
        <v>300</v>
      </c>
      <c r="K2383" s="3" t="n">
        <v>250</v>
      </c>
      <c r="L2383" s="2" t="inlineStr">
        <is>
          <t>TCGplayer</t>
        </is>
      </c>
      <c r="N2383" s="4" t="inlineStr">
        <is>
          <t>https://www.tcgplayer.com/product/287507</t>
        </is>
      </c>
    </row>
    <row r="2384">
      <c r="A2384" s="2" t="inlineStr">
        <is>
          <t>Morpeko Pin Collection</t>
        </is>
      </c>
      <c r="B2384" s="3">
        <f>IF(H2384&lt;&gt;"",H2384,IF(I2384&lt;&gt;"",I2384,IF(J2384&lt;&gt;"",J2384,K2384)))</f>
        <v>60.16</v>
      </c>
      <c r="C2384" s="3">
        <f>MEDIAN(H2384:K2384)</f>
        <v>76.99</v>
      </c>
      <c r="D2384" s="3">
        <f>ROUND(C2384*(1-Settings!$B$2),2)</f>
        <v>53.89</v>
      </c>
      <c r="E2384" s="2" t="inlineStr">
        <is>
          <t>Pokemon</t>
        </is>
      </c>
      <c r="F2384" s="2" t="inlineStr">
        <is>
          <t>Coffret</t>
        </is>
      </c>
      <c r="G2384" s="2" t="inlineStr">
        <is>
          <t>SWSH01: Sword &amp; Shield Base Set</t>
        </is>
      </c>
      <c r="H2384" s="3" t="n"/>
      <c r="I2384" s="3" t="n">
        <v>60.16</v>
      </c>
      <c r="J2384" s="3" t="n">
        <v>89.45</v>
      </c>
      <c r="K2384" s="3" t="n">
        <v>76.98999999999999</v>
      </c>
      <c r="L2384" s="2" t="inlineStr">
        <is>
          <t>TCGplayer</t>
        </is>
      </c>
      <c r="N2384" s="4" t="inlineStr">
        <is>
          <t>https://www.tcgplayer.com/product/210577</t>
        </is>
      </c>
    </row>
    <row r="2385">
      <c r="A2385" s="2" t="inlineStr">
        <is>
          <t>Snorlax Pin Collection</t>
        </is>
      </c>
      <c r="B2385" s="3">
        <f>IF(H2385&lt;&gt;"",H2385,IF(I2385&lt;&gt;"",I2385,IF(J2385&lt;&gt;"",J2385,K2385)))</f>
        <v>160.0</v>
      </c>
      <c r="C2385" s="3">
        <f>MEDIAN(H2385:K2385)</f>
        <v>319.95</v>
      </c>
      <c r="D2385" s="3">
        <f>ROUND(C2385*(1-Settings!$B$2),2)</f>
        <v>223.97</v>
      </c>
      <c r="E2385" s="2" t="inlineStr">
        <is>
          <t>Pokemon</t>
        </is>
      </c>
      <c r="F2385" s="2" t="inlineStr">
        <is>
          <t>Coffret</t>
        </is>
      </c>
      <c r="G2385" s="2" t="inlineStr">
        <is>
          <t>SWSH01: Sword &amp; Shield Base Set</t>
        </is>
      </c>
      <c r="H2385" s="3" t="n"/>
      <c r="I2385" s="3" t="n">
        <v>160</v>
      </c>
      <c r="J2385" s="3" t="n">
        <v>319.95</v>
      </c>
      <c r="K2385" s="3" t="n">
        <v>319.95</v>
      </c>
      <c r="L2385" s="2" t="inlineStr">
        <is>
          <t>TCGplayer</t>
        </is>
      </c>
      <c r="N2385" s="4" t="inlineStr">
        <is>
          <t>https://www.tcgplayer.com/product/210576</t>
        </is>
      </c>
    </row>
    <row r="2386">
      <c r="A2386" s="2" t="inlineStr">
        <is>
          <t>Spring 2020 Collector's Chest Tin</t>
        </is>
      </c>
      <c r="B2386" s="3">
        <f>IF(H2386&lt;&gt;"",H2386,IF(I2386&lt;&gt;"",I2386,IF(J2386&lt;&gt;"",J2386,K2386)))</f>
        <v>148.97</v>
      </c>
      <c r="C2386" s="3">
        <f>MEDIAN(H2386:K2386)</f>
        <v>189.99</v>
      </c>
      <c r="D2386" s="3">
        <f>ROUND(C2386*(1-Settings!$B$2),2)</f>
        <v>132.99</v>
      </c>
      <c r="E2386" s="2" t="inlineStr">
        <is>
          <t>Pokemon</t>
        </is>
      </c>
      <c r="F2386" s="2" t="inlineStr">
        <is>
          <t>Coffret</t>
        </is>
      </c>
      <c r="G2386" s="2" t="inlineStr">
        <is>
          <t>SWSH01: Sword &amp; Shield Base Set</t>
        </is>
      </c>
      <c r="H2386" s="3" t="n"/>
      <c r="I2386" s="3" t="n">
        <v>148.97</v>
      </c>
      <c r="J2386" s="3" t="n">
        <v>255</v>
      </c>
      <c r="K2386" s="3" t="n">
        <v>189.99</v>
      </c>
      <c r="L2386" s="2" t="inlineStr">
        <is>
          <t>TCGplayer</t>
        </is>
      </c>
      <c r="N2386" s="4" t="inlineStr">
        <is>
          <t>https://www.tcgplayer.com/product/209531</t>
        </is>
      </c>
    </row>
    <row r="2387">
      <c r="A2387" s="2" t="inlineStr">
        <is>
          <t>Sword &amp; Shield Build &amp; Battle Box</t>
        </is>
      </c>
      <c r="B2387" s="3">
        <f>IF(H2387&lt;&gt;"",H2387,IF(I2387&lt;&gt;"",I2387,IF(J2387&lt;&gt;"",J2387,K2387)))</f>
        <v>103.17</v>
      </c>
      <c r="C2387" s="3">
        <f>MEDIAN(H2387:K2387)</f>
        <v>124.99</v>
      </c>
      <c r="D2387" s="3">
        <f>ROUND(C2387*(1-Settings!$B$2),2)</f>
        <v>87.49</v>
      </c>
      <c r="E2387" s="2" t="inlineStr">
        <is>
          <t>Pokemon</t>
        </is>
      </c>
      <c r="F2387" s="2" t="inlineStr">
        <is>
          <t>Coffret</t>
        </is>
      </c>
      <c r="G2387" s="2" t="inlineStr">
        <is>
          <t>SWSH01: Sword &amp; Shield Base Set</t>
        </is>
      </c>
      <c r="H2387" s="3" t="n"/>
      <c r="I2387" s="3" t="n">
        <v>103.17</v>
      </c>
      <c r="J2387" s="3" t="n">
        <v>124.99</v>
      </c>
      <c r="K2387" s="3" t="n">
        <v>124.99</v>
      </c>
      <c r="L2387" s="2" t="inlineStr">
        <is>
          <t>TCGplayer</t>
        </is>
      </c>
      <c r="N2387" s="4" t="inlineStr">
        <is>
          <t>https://www.tcgplayer.com/product/206040</t>
        </is>
      </c>
    </row>
    <row r="2388">
      <c r="A2388" s="2" t="inlineStr">
        <is>
          <t>Sword &amp; Shield Elite Trainer Box [Set of 2]</t>
        </is>
      </c>
      <c r="B2388" s="3">
        <f>IF(H2388&lt;&gt;"",H2388,IF(I2388&lt;&gt;"",I2388,IF(J2388&lt;&gt;"",J2388,K2388)))</f>
        <v>365.39</v>
      </c>
      <c r="C2388" s="3">
        <f>MEDIAN(H2388:K2388)</f>
        <v>365.39</v>
      </c>
      <c r="D2388" s="3">
        <f>ROUND(C2388*(1-Settings!$B$2),2)</f>
        <v>255.77</v>
      </c>
      <c r="E2388" s="2" t="inlineStr">
        <is>
          <t>Pokemon</t>
        </is>
      </c>
      <c r="F2388" s="2" t="inlineStr">
        <is>
          <t>Coffret</t>
        </is>
      </c>
      <c r="G2388" s="2" t="inlineStr">
        <is>
          <t>SWSH01: Sword &amp; Shield Base Set</t>
        </is>
      </c>
      <c r="H2388" s="3" t="n"/>
      <c r="I2388" s="3" t="n">
        <v>365.39</v>
      </c>
      <c r="J2388" s="3" t="n">
        <v>385.49</v>
      </c>
      <c r="K2388" s="3" t="n">
        <v>314.99</v>
      </c>
      <c r="L2388" s="2" t="inlineStr">
        <is>
          <t>TCGplayer</t>
        </is>
      </c>
      <c r="N2388" s="4" t="inlineStr">
        <is>
          <t>https://www.tcgplayer.com/product/244411</t>
        </is>
      </c>
    </row>
    <row r="2389">
      <c r="A2389" s="2" t="inlineStr">
        <is>
          <t>Sword &amp; Shield Elite Trainer Box [Zacian]</t>
        </is>
      </c>
      <c r="B2389" s="3">
        <f>IF(H2389&lt;&gt;"",H2389,IF(I2389&lt;&gt;"",I2389,IF(J2389&lt;&gt;"",J2389,K2389)))</f>
        <v>169.65</v>
      </c>
      <c r="C2389" s="3">
        <f>MEDIAN(H2389:K2389)</f>
        <v>169.65</v>
      </c>
      <c r="D2389" s="3">
        <f>ROUND(C2389*(1-Settings!$B$2),2)</f>
        <v>118.76</v>
      </c>
      <c r="E2389" s="2" t="inlineStr">
        <is>
          <t>Pokemon</t>
        </is>
      </c>
      <c r="F2389" s="2" t="inlineStr">
        <is>
          <t>Coffret</t>
        </is>
      </c>
      <c r="G2389" s="2" t="inlineStr">
        <is>
          <t>SWSH01: Sword &amp; Shield Base Set</t>
        </is>
      </c>
      <c r="H2389" s="3" t="n"/>
      <c r="I2389" s="3" t="n">
        <v>169.65</v>
      </c>
      <c r="J2389" s="3" t="n">
        <v>196.52</v>
      </c>
      <c r="K2389" s="3" t="n">
        <v>145</v>
      </c>
      <c r="L2389" s="2" t="inlineStr">
        <is>
          <t>TCGplayer</t>
        </is>
      </c>
      <c r="N2389" s="4" t="inlineStr">
        <is>
          <t>https://www.tcgplayer.com/product/206038</t>
        </is>
      </c>
    </row>
    <row r="2390">
      <c r="A2390" s="2" t="inlineStr">
        <is>
          <t>Sword &amp; Shield Elite Trainer Box [Zamazenta]</t>
        </is>
      </c>
      <c r="B2390" s="3">
        <f>IF(H2390&lt;&gt;"",H2390,IF(I2390&lt;&gt;"",I2390,IF(J2390&lt;&gt;"",J2390,K2390)))</f>
        <v>169.04</v>
      </c>
      <c r="C2390" s="3">
        <f>MEDIAN(H2390:K2390)</f>
        <v>169.04</v>
      </c>
      <c r="D2390" s="3">
        <f>ROUND(C2390*(1-Settings!$B$2),2)</f>
        <v>118.33</v>
      </c>
      <c r="E2390" s="2" t="inlineStr">
        <is>
          <t>Pokemon</t>
        </is>
      </c>
      <c r="F2390" s="2" t="inlineStr">
        <is>
          <t>Coffret</t>
        </is>
      </c>
      <c r="G2390" s="2" t="inlineStr">
        <is>
          <t>SWSH01: Sword &amp; Shield Base Set</t>
        </is>
      </c>
      <c r="H2390" s="3" t="n"/>
      <c r="I2390" s="3" t="n">
        <v>169.04</v>
      </c>
      <c r="J2390" s="3" t="n">
        <v>186.94</v>
      </c>
      <c r="K2390" s="3" t="n">
        <v>150</v>
      </c>
      <c r="L2390" s="2" t="inlineStr">
        <is>
          <t>TCGplayer</t>
        </is>
      </c>
      <c r="N2390" s="4" t="inlineStr">
        <is>
          <t>https://www.tcgplayer.com/product/206039</t>
        </is>
      </c>
    </row>
    <row r="2391">
      <c r="A2391" s="2" t="inlineStr">
        <is>
          <t>Sword and Shield Base Set Booster Pack Art Bundle [Set of 4]</t>
        </is>
      </c>
      <c r="B2391" s="3">
        <f>IF(H2391&lt;&gt;"",H2391,IF(I2391&lt;&gt;"",I2391,IF(J2391&lt;&gt;"",J2391,K2391)))</f>
        <v>50.78</v>
      </c>
      <c r="C2391" s="3">
        <f>MEDIAN(H2391:K2391)</f>
        <v>50.78</v>
      </c>
      <c r="D2391" s="3">
        <f>ROUND(C2391*(1-Settings!$B$2),2)</f>
        <v>35.55</v>
      </c>
      <c r="E2391" s="2" t="inlineStr">
        <is>
          <t>Pokemon</t>
        </is>
      </c>
      <c r="F2391" s="2" t="inlineStr">
        <is>
          <t>Coffret</t>
        </is>
      </c>
      <c r="G2391" s="2" t="inlineStr">
        <is>
          <t>SWSH01: Sword &amp; Shield Base Set</t>
        </is>
      </c>
      <c r="H2391" s="3" t="n"/>
      <c r="I2391" s="3" t="n">
        <v>50.78</v>
      </c>
      <c r="J2391" s="3" t="n">
        <v>52.95</v>
      </c>
      <c r="K2391" s="3" t="n">
        <v>48.95</v>
      </c>
      <c r="L2391" s="2" t="inlineStr">
        <is>
          <t>TCGplayer</t>
        </is>
      </c>
      <c r="N2391" s="4" t="inlineStr">
        <is>
          <t>https://www.tcgplayer.com/product/265314</t>
        </is>
      </c>
    </row>
    <row r="2392">
      <c r="A2392" s="2" t="inlineStr">
        <is>
          <t>Sword And Shield Base Set Sleeved Booster Pack Art Bundle [Set of 4]</t>
        </is>
      </c>
      <c r="B2392" s="3">
        <f>IF(H2392&lt;&gt;"",H2392,IF(I2392&lt;&gt;"",I2392,IF(J2392&lt;&gt;"",J2392,K2392)))</f>
        <v>53.74</v>
      </c>
      <c r="C2392" s="3">
        <f>MEDIAN(H2392:K2392)</f>
        <v>55.99</v>
      </c>
      <c r="D2392" s="3">
        <f>ROUND(C2392*(1-Settings!$B$2),2)</f>
        <v>39.19</v>
      </c>
      <c r="E2392" s="2" t="inlineStr">
        <is>
          <t>Pokemon</t>
        </is>
      </c>
      <c r="F2392" s="2" t="inlineStr">
        <is>
          <t>Coffret</t>
        </is>
      </c>
      <c r="G2392" s="2" t="inlineStr">
        <is>
          <t>SWSH01: Sword &amp; Shield Base Set</t>
        </is>
      </c>
      <c r="H2392" s="3" t="n"/>
      <c r="I2392" s="3" t="n">
        <v>53.74</v>
      </c>
      <c r="J2392" s="3" t="n">
        <v>57</v>
      </c>
      <c r="K2392" s="3" t="n">
        <v>55.99</v>
      </c>
      <c r="L2392" s="2" t="inlineStr">
        <is>
          <t>TCGplayer</t>
        </is>
      </c>
      <c r="N2392" s="4" t="inlineStr">
        <is>
          <t>https://www.tcgplayer.com/product/487795</t>
        </is>
      </c>
    </row>
    <row r="2393">
      <c r="A2393" s="2" t="inlineStr">
        <is>
          <t>Toxtricity V Box</t>
        </is>
      </c>
      <c r="B2393" s="3">
        <f>IF(H2393&lt;&gt;"",H2393,IF(I2393&lt;&gt;"",I2393,IF(J2393&lt;&gt;"",J2393,K2393)))</f>
        <v>145.0</v>
      </c>
      <c r="C2393" s="3">
        <f>MEDIAN(H2393:K2393)</f>
        <v>145.0</v>
      </c>
      <c r="D2393" s="3">
        <f>ROUND(C2393*(1-Settings!$B$2),2)</f>
        <v>101.5</v>
      </c>
      <c r="E2393" s="2" t="inlineStr">
        <is>
          <t>Pokemon</t>
        </is>
      </c>
      <c r="F2393" s="2" t="inlineStr">
        <is>
          <t>Coffret</t>
        </is>
      </c>
      <c r="G2393" s="2" t="inlineStr">
        <is>
          <t>SWSH01: Sword &amp; Shield Base Set</t>
        </is>
      </c>
      <c r="H2393" s="3" t="n"/>
      <c r="I2393" s="3" t="n">
        <v>145</v>
      </c>
      <c r="J2393" s="3" t="n"/>
      <c r="K2393" s="3" t="n"/>
      <c r="L2393" s="2" t="inlineStr">
        <is>
          <t>TCGplayer</t>
        </is>
      </c>
      <c r="N2393" s="4" t="inlineStr">
        <is>
          <t>https://www.tcgplayer.com/product/206424</t>
        </is>
      </c>
    </row>
    <row r="2394">
      <c r="A2394" s="2" t="inlineStr">
        <is>
          <t>Copperajah V Box</t>
        </is>
      </c>
      <c r="B2394" s="3">
        <f>IF(H2394&lt;&gt;"",H2394,IF(I2394&lt;&gt;"",I2394,IF(J2394&lt;&gt;"",J2394,K2394)))</f>
        <v>102.95</v>
      </c>
      <c r="C2394" s="3">
        <f>MEDIAN(H2394:K2394)</f>
        <v>199.99</v>
      </c>
      <c r="D2394" s="3">
        <f>ROUND(C2394*(1-Settings!$B$2),2)</f>
        <v>139.99</v>
      </c>
      <c r="E2394" s="2" t="inlineStr">
        <is>
          <t>Pokemon</t>
        </is>
      </c>
      <c r="F2394" s="2" t="inlineStr">
        <is>
          <t>Coffret</t>
        </is>
      </c>
      <c r="G2394" s="2" t="inlineStr">
        <is>
          <t>SWSH02: Rebel Clash</t>
        </is>
      </c>
      <c r="H2394" s="3" t="n"/>
      <c r="I2394" s="3" t="n">
        <v>102.95</v>
      </c>
      <c r="J2394" s="3" t="n">
        <v>220</v>
      </c>
      <c r="K2394" s="3" t="n">
        <v>199.99</v>
      </c>
      <c r="L2394" s="2" t="inlineStr">
        <is>
          <t>TCGplayer</t>
        </is>
      </c>
      <c r="N2394" s="4" t="inlineStr">
        <is>
          <t>https://www.tcgplayer.com/product/214227</t>
        </is>
      </c>
    </row>
    <row r="2395">
      <c r="A2395" s="2" t="inlineStr">
        <is>
          <t>Legends of Galar Tin [Set of 2]</t>
        </is>
      </c>
      <c r="B2395" s="3">
        <f>IF(H2395&lt;&gt;"",H2395,IF(I2395&lt;&gt;"",I2395,IF(J2395&lt;&gt;"",J2395,K2395)))</f>
        <v>240.46</v>
      </c>
      <c r="C2395" s="3">
        <f>MEDIAN(H2395:K2395)</f>
        <v>210.71</v>
      </c>
      <c r="D2395" s="3">
        <f>ROUND(C2395*(1-Settings!$B$2),2)</f>
        <v>147.5</v>
      </c>
      <c r="E2395" s="2" t="inlineStr">
        <is>
          <t>Pokemon</t>
        </is>
      </c>
      <c r="F2395" s="2" t="inlineStr">
        <is>
          <t>Coffret</t>
        </is>
      </c>
      <c r="G2395" s="2" t="inlineStr">
        <is>
          <t>SWSH02: Rebel Clash</t>
        </is>
      </c>
      <c r="H2395" s="3" t="n"/>
      <c r="I2395" s="3" t="n"/>
      <c r="J2395" s="3" t="n">
        <v>240.46</v>
      </c>
      <c r="K2395" s="3" t="n">
        <v>180.96</v>
      </c>
      <c r="L2395" s="2" t="inlineStr">
        <is>
          <t>TCGplayer</t>
        </is>
      </c>
      <c r="N2395" s="4" t="inlineStr">
        <is>
          <t>https://www.tcgplayer.com/product/214232</t>
        </is>
      </c>
    </row>
    <row r="2396">
      <c r="A2396" s="2" t="inlineStr">
        <is>
          <t>Legends of Galar Tin [Zacian V]</t>
        </is>
      </c>
      <c r="B2396" s="3">
        <f>IF(H2396&lt;&gt;"",H2396,IF(I2396&lt;&gt;"",I2396,IF(J2396&lt;&gt;"",J2396,K2396)))</f>
        <v>59.65</v>
      </c>
      <c r="C2396" s="3">
        <f>MEDIAN(H2396:K2396)</f>
        <v>131.815</v>
      </c>
      <c r="D2396" s="3">
        <f>ROUND(C2396*(1-Settings!$B$2),2)</f>
        <v>92.27</v>
      </c>
      <c r="E2396" s="2" t="inlineStr">
        <is>
          <t>Pokemon</t>
        </is>
      </c>
      <c r="F2396" s="2" t="inlineStr">
        <is>
          <t>Coffret</t>
        </is>
      </c>
      <c r="G2396" s="2" t="inlineStr">
        <is>
          <t>SWSH02: Rebel Clash</t>
        </is>
      </c>
      <c r="H2396" s="3" t="n">
        <v>59.65</v>
      </c>
      <c r="I2396" s="3" t="n">
        <v>63.63</v>
      </c>
      <c r="J2396" s="3" t="n">
        <v>275</v>
      </c>
      <c r="K2396" s="3" t="n">
        <v>200</v>
      </c>
      <c r="L2396" s="2" t="inlineStr">
        <is>
          <t>PriceCharting + TCGplayer</t>
        </is>
      </c>
      <c r="M2396" s="4" t="inlineStr">
        <is>
          <t>https://www.pricecharting.com/game/pokemon-rebel-clash/legends-of-galar-tin-zacian-v</t>
        </is>
      </c>
      <c r="N2396" s="4" t="inlineStr">
        <is>
          <t>https://www.tcgplayer.com/product/214230</t>
        </is>
      </c>
    </row>
    <row r="2397">
      <c r="A2397" s="2" t="inlineStr">
        <is>
          <t>Legends of Galar Tin [Zacian V] (International Version)</t>
        </is>
      </c>
      <c r="B2397" s="3">
        <f>IF(H2397&lt;&gt;"",H2397,IF(I2397&lt;&gt;"",I2397,IF(J2397&lt;&gt;"",J2397,K2397)))</f>
        <v>89.98</v>
      </c>
      <c r="C2397" s="3">
        <f>MEDIAN(H2397:K2397)</f>
        <v>89.975</v>
      </c>
      <c r="D2397" s="3">
        <f>ROUND(C2397*(1-Settings!$B$2),2)</f>
        <v>62.98</v>
      </c>
      <c r="E2397" s="2" t="inlineStr">
        <is>
          <t>Pokemon</t>
        </is>
      </c>
      <c r="F2397" s="2" t="inlineStr">
        <is>
          <t>Coffret</t>
        </is>
      </c>
      <c r="G2397" s="2" t="inlineStr">
        <is>
          <t>SWSH02: Rebel Clash</t>
        </is>
      </c>
      <c r="H2397" s="3" t="n"/>
      <c r="I2397" s="3" t="n"/>
      <c r="J2397" s="3" t="n">
        <v>89.98</v>
      </c>
      <c r="K2397" s="3" t="n">
        <v>89.97</v>
      </c>
      <c r="L2397" s="2" t="inlineStr">
        <is>
          <t>TCGplayer</t>
        </is>
      </c>
      <c r="N2397" s="4" t="inlineStr">
        <is>
          <t>https://www.tcgplayer.com/product/279257</t>
        </is>
      </c>
    </row>
    <row r="2398">
      <c r="A2398" s="2" t="inlineStr">
        <is>
          <t>Legends of Galar Tin [Zamazenta V]</t>
        </is>
      </c>
      <c r="B2398" s="3">
        <f>IF(H2398&lt;&gt;"",H2398,IF(I2398&lt;&gt;"",I2398,IF(J2398&lt;&gt;"",J2398,K2398)))</f>
        <v>68.72</v>
      </c>
      <c r="C2398" s="3">
        <f>MEDIAN(H2398:K2398)</f>
        <v>90.0</v>
      </c>
      <c r="D2398" s="3">
        <f>ROUND(C2398*(1-Settings!$B$2),2)</f>
        <v>63.0</v>
      </c>
      <c r="E2398" s="2" t="inlineStr">
        <is>
          <t>Pokemon</t>
        </is>
      </c>
      <c r="F2398" s="2" t="inlineStr">
        <is>
          <t>Coffret</t>
        </is>
      </c>
      <c r="G2398" s="2" t="inlineStr">
        <is>
          <t>SWSH02: Rebel Clash</t>
        </is>
      </c>
      <c r="H2398" s="3" t="n"/>
      <c r="I2398" s="3" t="n">
        <v>68.72</v>
      </c>
      <c r="J2398" s="3" t="n">
        <v>90.47</v>
      </c>
      <c r="K2398" s="3" t="n">
        <v>90</v>
      </c>
      <c r="L2398" s="2" t="inlineStr">
        <is>
          <t>TCGplayer</t>
        </is>
      </c>
      <c r="N2398" s="4" t="inlineStr">
        <is>
          <t>https://www.tcgplayer.com/product/214231</t>
        </is>
      </c>
    </row>
    <row r="2399">
      <c r="A2399" s="2" t="inlineStr">
        <is>
          <t>Legends of Galar Tin [Zamazenta V] (International Version)</t>
        </is>
      </c>
      <c r="B2399" s="3">
        <f>IF(H2399&lt;&gt;"",H2399,IF(I2399&lt;&gt;"",I2399,IF(J2399&lt;&gt;"",J2399,K2399)))</f>
        <v>84.0</v>
      </c>
      <c r="C2399" s="3">
        <f>MEDIAN(H2399:K2399)</f>
        <v>84.0</v>
      </c>
      <c r="D2399" s="3">
        <f>ROUND(C2399*(1-Settings!$B$2),2)</f>
        <v>58.8</v>
      </c>
      <c r="E2399" s="2" t="inlineStr">
        <is>
          <t>Pokemon</t>
        </is>
      </c>
      <c r="F2399" s="2" t="inlineStr">
        <is>
          <t>Coffret</t>
        </is>
      </c>
      <c r="G2399" s="2" t="inlineStr">
        <is>
          <t>SWSH02: Rebel Clash</t>
        </is>
      </c>
      <c r="H2399" s="3" t="n"/>
      <c r="I2399" s="3" t="n"/>
      <c r="J2399" s="3" t="n">
        <v>84</v>
      </c>
      <c r="K2399" s="3" t="n">
        <v>84</v>
      </c>
      <c r="L2399" s="2" t="inlineStr">
        <is>
          <t>TCGplayer</t>
        </is>
      </c>
      <c r="N2399" s="4" t="inlineStr">
        <is>
          <t>https://www.tcgplayer.com/product/279258</t>
        </is>
      </c>
    </row>
    <row r="2400">
      <c r="A2400" s="2" t="inlineStr">
        <is>
          <t>Rebel Clash Booster Pack Art Bundle [Set of 4]</t>
        </is>
      </c>
      <c r="B2400" s="3">
        <f>IF(H2400&lt;&gt;"",H2400,IF(I2400&lt;&gt;"",I2400,IF(J2400&lt;&gt;"",J2400,K2400)))</f>
        <v>38.25</v>
      </c>
      <c r="C2400" s="3">
        <f>MEDIAN(H2400:K2400)</f>
        <v>59.95</v>
      </c>
      <c r="D2400" s="3">
        <f>ROUND(C2400*(1-Settings!$B$2),2)</f>
        <v>41.97</v>
      </c>
      <c r="E2400" s="2" t="inlineStr">
        <is>
          <t>Pokemon</t>
        </is>
      </c>
      <c r="F2400" s="2" t="inlineStr">
        <is>
          <t>Coffret</t>
        </is>
      </c>
      <c r="G2400" s="2" t="inlineStr">
        <is>
          <t>SWSH02: Rebel Clash</t>
        </is>
      </c>
      <c r="H2400" s="3" t="n"/>
      <c r="I2400" s="3" t="n">
        <v>38.25</v>
      </c>
      <c r="J2400" s="3" t="n">
        <v>59.95</v>
      </c>
      <c r="K2400" s="3" t="n">
        <v>59.95</v>
      </c>
      <c r="L2400" s="2" t="inlineStr">
        <is>
          <t>TCGplayer</t>
        </is>
      </c>
      <c r="N2400" s="4" t="inlineStr">
        <is>
          <t>https://www.tcgplayer.com/product/265316</t>
        </is>
      </c>
    </row>
    <row r="2401">
      <c r="A2401" s="2" t="inlineStr">
        <is>
          <t>Rebel Clash Build &amp; Battle Box</t>
        </is>
      </c>
      <c r="B2401" s="3">
        <f>IF(H2401&lt;&gt;"",H2401,IF(I2401&lt;&gt;"",I2401,IF(J2401&lt;&gt;"",J2401,K2401)))</f>
        <v>62.0</v>
      </c>
      <c r="C2401" s="3">
        <f>MEDIAN(H2401:K2401)</f>
        <v>77.485</v>
      </c>
      <c r="D2401" s="3">
        <f>ROUND(C2401*(1-Settings!$B$2),2)</f>
        <v>54.24</v>
      </c>
      <c r="E2401" s="2" t="inlineStr">
        <is>
          <t>Pokemon</t>
        </is>
      </c>
      <c r="F2401" s="2" t="inlineStr">
        <is>
          <t>Coffret</t>
        </is>
      </c>
      <c r="G2401" s="2" t="inlineStr">
        <is>
          <t>SWSH02: Rebel Clash</t>
        </is>
      </c>
      <c r="H2401" s="3" t="n">
        <v>62</v>
      </c>
      <c r="I2401" s="3" t="n">
        <v>74.97</v>
      </c>
      <c r="J2401" s="3" t="n">
        <v>82.38</v>
      </c>
      <c r="K2401" s="3" t="n">
        <v>80</v>
      </c>
      <c r="L2401" s="2" t="inlineStr">
        <is>
          <t>PriceCharting + TCGplayer</t>
        </is>
      </c>
      <c r="M2401" s="4" t="inlineStr">
        <is>
          <t>https://www.pricecharting.com/game/pokemon-rebel-clash/build-&amp;-battle-box</t>
        </is>
      </c>
      <c r="N2401" s="4" t="inlineStr">
        <is>
          <t>https://www.tcgplayer.com/product/212821</t>
        </is>
      </c>
    </row>
    <row r="2402">
      <c r="A2402" s="2" t="inlineStr">
        <is>
          <t>Rebel Clash Elite Trainer Box</t>
        </is>
      </c>
      <c r="B2402" s="3">
        <f>IF(H2402&lt;&gt;"",H2402,IF(I2402&lt;&gt;"",I2402,IF(J2402&lt;&gt;"",J2402,K2402)))</f>
        <v>275.48</v>
      </c>
      <c r="C2402" s="3">
        <f>MEDIAN(H2402:K2402)</f>
        <v>315.405</v>
      </c>
      <c r="D2402" s="3">
        <f>ROUND(C2402*(1-Settings!$B$2),2)</f>
        <v>220.78</v>
      </c>
      <c r="E2402" s="2" t="inlineStr">
        <is>
          <t>Pokemon</t>
        </is>
      </c>
      <c r="F2402" s="2" t="inlineStr">
        <is>
          <t>Coffret</t>
        </is>
      </c>
      <c r="G2402" s="2" t="inlineStr">
        <is>
          <t>SWSH02: Rebel Clash</t>
        </is>
      </c>
      <c r="H2402" s="3" t="n">
        <v>275.48</v>
      </c>
      <c r="I2402" s="3" t="n">
        <v>328.81</v>
      </c>
      <c r="J2402" s="3" t="n">
        <v>376.48</v>
      </c>
      <c r="K2402" s="3" t="n">
        <v>302</v>
      </c>
      <c r="L2402" s="2" t="inlineStr">
        <is>
          <t>PriceCharting + TCGplayer</t>
        </is>
      </c>
      <c r="M2402" s="4" t="inlineStr">
        <is>
          <t>https://www.pricecharting.com/game/pokemon-rebel-clash/elite-trainer-box</t>
        </is>
      </c>
      <c r="N2402" s="4" t="inlineStr">
        <is>
          <t>https://www.tcgplayer.com/product/210572</t>
        </is>
      </c>
    </row>
    <row r="2403">
      <c r="A2403" s="2" t="inlineStr">
        <is>
          <t>Rebel Clash Sleeved Booster Pack Art Bundle [Set of 4]</t>
        </is>
      </c>
      <c r="B2403" s="3">
        <f>IF(H2403&lt;&gt;"",H2403,IF(I2403&lt;&gt;"",I2403,IF(J2403&lt;&gt;"",J2403,K2403)))</f>
        <v>58.99</v>
      </c>
      <c r="C2403" s="3">
        <f>MEDIAN(H2403:K2403)</f>
        <v>76.01</v>
      </c>
      <c r="D2403" s="3">
        <f>ROUND(C2403*(1-Settings!$B$2),2)</f>
        <v>53.21</v>
      </c>
      <c r="E2403" s="2" t="inlineStr">
        <is>
          <t>Pokemon</t>
        </is>
      </c>
      <c r="F2403" s="2" t="inlineStr">
        <is>
          <t>Coffret</t>
        </is>
      </c>
      <c r="G2403" s="2" t="inlineStr">
        <is>
          <t>SWSH02: Rebel Clash</t>
        </is>
      </c>
      <c r="H2403" s="3" t="n"/>
      <c r="I2403" s="3" t="n">
        <v>58.99</v>
      </c>
      <c r="J2403" s="3" t="n">
        <v>89.5</v>
      </c>
      <c r="K2403" s="3" t="n">
        <v>76.01000000000001</v>
      </c>
      <c r="L2403" s="2" t="inlineStr">
        <is>
          <t>TCGplayer</t>
        </is>
      </c>
      <c r="N2403" s="4" t="inlineStr">
        <is>
          <t>https://www.tcgplayer.com/product/487796</t>
        </is>
      </c>
    </row>
    <row r="2404">
      <c r="A2404" s="2" t="inlineStr">
        <is>
          <t>Sword &amp; Shield Figure Collection</t>
        </is>
      </c>
      <c r="B2404" s="3">
        <f>IF(H2404&lt;&gt;"",H2404,IF(I2404&lt;&gt;"",I2404,IF(J2404&lt;&gt;"",J2404,K2404)))</f>
        <v>241.63</v>
      </c>
      <c r="C2404" s="3">
        <f>MEDIAN(H2404:K2404)</f>
        <v>289.0</v>
      </c>
      <c r="D2404" s="3">
        <f>ROUND(C2404*(1-Settings!$B$2),2)</f>
        <v>202.3</v>
      </c>
      <c r="E2404" s="2" t="inlineStr">
        <is>
          <t>Pokemon</t>
        </is>
      </c>
      <c r="F2404" s="2" t="inlineStr">
        <is>
          <t>Coffret</t>
        </is>
      </c>
      <c r="G2404" s="2" t="inlineStr">
        <is>
          <t>SWSH02: Rebel Clash</t>
        </is>
      </c>
      <c r="H2404" s="3" t="n"/>
      <c r="I2404" s="3" t="n">
        <v>241.63</v>
      </c>
      <c r="J2404" s="3" t="n">
        <v>299.97</v>
      </c>
      <c r="K2404" s="3" t="n">
        <v>289</v>
      </c>
      <c r="L2404" s="2" t="inlineStr">
        <is>
          <t>TCGplayer</t>
        </is>
      </c>
      <c r="N2404" s="4" t="inlineStr">
        <is>
          <t>https://www.tcgplayer.com/product/210566</t>
        </is>
      </c>
    </row>
    <row r="2405">
      <c r="A2405" s="2" t="inlineStr">
        <is>
          <t>Darkness Ablaze Booster Pack Art Bundle [Set of 4]</t>
        </is>
      </c>
      <c r="B2405" s="3">
        <f>IF(H2405&lt;&gt;"",H2405,IF(I2405&lt;&gt;"",I2405,IF(J2405&lt;&gt;"",J2405,K2405)))</f>
        <v>43.87</v>
      </c>
      <c r="C2405" s="3">
        <f>MEDIAN(H2405:K2405)</f>
        <v>43.87</v>
      </c>
      <c r="D2405" s="3">
        <f>ROUND(C2405*(1-Settings!$B$2),2)</f>
        <v>30.71</v>
      </c>
      <c r="E2405" s="2" t="inlineStr">
        <is>
          <t>Pokemon</t>
        </is>
      </c>
      <c r="F2405" s="2" t="inlineStr">
        <is>
          <t>Coffret</t>
        </is>
      </c>
      <c r="G2405" s="2" t="inlineStr">
        <is>
          <t>SWSH03: Darkness Ablaze</t>
        </is>
      </c>
      <c r="H2405" s="3" t="n"/>
      <c r="I2405" s="3" t="n">
        <v>43.87</v>
      </c>
      <c r="J2405" s="3" t="n">
        <v>44.92</v>
      </c>
      <c r="K2405" s="3" t="n">
        <v>40</v>
      </c>
      <c r="L2405" s="2" t="inlineStr">
        <is>
          <t>TCGplayer</t>
        </is>
      </c>
      <c r="N2405" s="4" t="inlineStr">
        <is>
          <t>https://www.tcgplayer.com/product/265317</t>
        </is>
      </c>
    </row>
    <row r="2406">
      <c r="A2406" s="2" t="inlineStr">
        <is>
          <t>Darkness Ablaze Build &amp; Battle Box</t>
        </is>
      </c>
      <c r="B2406" s="3">
        <f>IF(H2406&lt;&gt;"",H2406,IF(I2406&lt;&gt;"",I2406,IF(J2406&lt;&gt;"",J2406,K2406)))</f>
        <v>57.0</v>
      </c>
      <c r="C2406" s="3">
        <f>MEDIAN(H2406:K2406)</f>
        <v>58.58</v>
      </c>
      <c r="D2406" s="3">
        <f>ROUND(C2406*(1-Settings!$B$2),2)</f>
        <v>41.01</v>
      </c>
      <c r="E2406" s="2" t="inlineStr">
        <is>
          <t>Pokemon</t>
        </is>
      </c>
      <c r="F2406" s="2" t="inlineStr">
        <is>
          <t>Coffret</t>
        </is>
      </c>
      <c r="G2406" s="2" t="inlineStr">
        <is>
          <t>SWSH03: Darkness Ablaze</t>
        </is>
      </c>
      <c r="H2406" s="3" t="n">
        <v>57</v>
      </c>
      <c r="I2406" s="3" t="n">
        <v>58.21</v>
      </c>
      <c r="J2406" s="3" t="n">
        <v>74.48</v>
      </c>
      <c r="K2406" s="3" t="n">
        <v>58.95</v>
      </c>
      <c r="L2406" s="2" t="inlineStr">
        <is>
          <t>PriceCharting + TCGplayer</t>
        </is>
      </c>
      <c r="M2406" s="4" t="inlineStr">
        <is>
          <t>https://www.pricecharting.com/game/pokemon-darkness-ablaze/build-&amp;-battle-box</t>
        </is>
      </c>
      <c r="N2406" s="4" t="inlineStr">
        <is>
          <t>https://www.tcgplayer.com/product/216861</t>
        </is>
      </c>
    </row>
    <row r="2407">
      <c r="A2407" s="2" t="inlineStr">
        <is>
          <t>Darkness Ablaze Elite Trainer Box</t>
        </is>
      </c>
      <c r="B2407" s="3">
        <f>IF(H2407&lt;&gt;"",H2407,IF(I2407&lt;&gt;"",I2407,IF(J2407&lt;&gt;"",J2407,K2407)))</f>
        <v>112.97</v>
      </c>
      <c r="C2407" s="3">
        <f>MEDIAN(H2407:K2407)</f>
        <v>123.035</v>
      </c>
      <c r="D2407" s="3">
        <f>ROUND(C2407*(1-Settings!$B$2),2)</f>
        <v>86.12</v>
      </c>
      <c r="E2407" s="2" t="inlineStr">
        <is>
          <t>Pokemon</t>
        </is>
      </c>
      <c r="F2407" s="2" t="inlineStr">
        <is>
          <t>Coffret</t>
        </is>
      </c>
      <c r="G2407" s="2" t="inlineStr">
        <is>
          <t>SWSH03: Darkness Ablaze</t>
        </is>
      </c>
      <c r="H2407" s="3" t="n">
        <v>112.97</v>
      </c>
      <c r="I2407" s="3" t="n">
        <v>116.12</v>
      </c>
      <c r="J2407" s="3" t="n">
        <v>150</v>
      </c>
      <c r="K2407" s="3" t="n">
        <v>129.95</v>
      </c>
      <c r="L2407" s="2" t="inlineStr">
        <is>
          <t>PriceCharting + TCGplayer</t>
        </is>
      </c>
      <c r="M2407" s="4" t="inlineStr">
        <is>
          <t>https://www.pricecharting.com/game/pokemon-darkness-ablaze/elite-trainer-box</t>
        </is>
      </c>
      <c r="N2407" s="4" t="inlineStr">
        <is>
          <t>https://www.tcgplayer.com/product/216856</t>
        </is>
      </c>
    </row>
    <row r="2408">
      <c r="A2408" s="2" t="inlineStr">
        <is>
          <t>Darkness Ablaze Sleeved Booster Pack Art Bundle [Set of 4]</t>
        </is>
      </c>
      <c r="B2408" s="3">
        <f>IF(H2408&lt;&gt;"",H2408,IF(I2408&lt;&gt;"",I2408,IF(J2408&lt;&gt;"",J2408,K2408)))</f>
        <v>43.71</v>
      </c>
      <c r="C2408" s="3">
        <f>MEDIAN(H2408:K2408)</f>
        <v>49.4</v>
      </c>
      <c r="D2408" s="3">
        <f>ROUND(C2408*(1-Settings!$B$2),2)</f>
        <v>34.58</v>
      </c>
      <c r="E2408" s="2" t="inlineStr">
        <is>
          <t>Pokemon</t>
        </is>
      </c>
      <c r="F2408" s="2" t="inlineStr">
        <is>
          <t>Coffret</t>
        </is>
      </c>
      <c r="G2408" s="2" t="inlineStr">
        <is>
          <t>SWSH03: Darkness Ablaze</t>
        </is>
      </c>
      <c r="H2408" s="3" t="n"/>
      <c r="I2408" s="3" t="n">
        <v>43.71</v>
      </c>
      <c r="J2408" s="3" t="n">
        <v>50</v>
      </c>
      <c r="K2408" s="3" t="n">
        <v>49.4</v>
      </c>
      <c r="L2408" s="2" t="inlineStr">
        <is>
          <t>TCGplayer</t>
        </is>
      </c>
      <c r="N2408" s="4" t="inlineStr">
        <is>
          <t>https://www.tcgplayer.com/product/487797</t>
        </is>
      </c>
    </row>
    <row r="2409">
      <c r="A2409" s="2" t="inlineStr">
        <is>
          <t>Eternatus VMAX Premium Collection</t>
        </is>
      </c>
      <c r="B2409" s="3">
        <f>IF(H2409&lt;&gt;"",H2409,IF(I2409&lt;&gt;"",I2409,IF(J2409&lt;&gt;"",J2409,K2409)))</f>
        <v>205.2</v>
      </c>
      <c r="C2409" s="3">
        <f>MEDIAN(H2409:K2409)</f>
        <v>205.2</v>
      </c>
      <c r="D2409" s="3">
        <f>ROUND(C2409*(1-Settings!$B$2),2)</f>
        <v>143.64</v>
      </c>
      <c r="E2409" s="2" t="inlineStr">
        <is>
          <t>Pokemon</t>
        </is>
      </c>
      <c r="F2409" s="2" t="inlineStr">
        <is>
          <t>Coffret</t>
        </is>
      </c>
      <c r="G2409" s="2" t="inlineStr">
        <is>
          <t>SWSH03: Darkness Ablaze</t>
        </is>
      </c>
      <c r="H2409" s="3" t="n"/>
      <c r="I2409" s="3" t="n">
        <v>205.2</v>
      </c>
      <c r="J2409" s="3" t="n">
        <v>218.97</v>
      </c>
      <c r="K2409" s="3" t="n">
        <v>179.99</v>
      </c>
      <c r="L2409" s="2" t="inlineStr">
        <is>
          <t>TCGplayer</t>
        </is>
      </c>
      <c r="N2409" s="4" t="inlineStr">
        <is>
          <t>https://www.tcgplayer.com/product/220277</t>
        </is>
      </c>
    </row>
    <row r="2410">
      <c r="A2410" s="2" t="inlineStr">
        <is>
          <t>Galarian Sirfetch'd V Box</t>
        </is>
      </c>
      <c r="B2410" s="3">
        <f>IF(H2410&lt;&gt;"",H2410,IF(I2410&lt;&gt;"",I2410,IF(J2410&lt;&gt;"",J2410,K2410)))</f>
        <v>90.41</v>
      </c>
      <c r="C2410" s="3">
        <f>MEDIAN(H2410:K2410)</f>
        <v>118.99</v>
      </c>
      <c r="D2410" s="3">
        <f>ROUND(C2410*(1-Settings!$B$2),2)</f>
        <v>83.29</v>
      </c>
      <c r="E2410" s="2" t="inlineStr">
        <is>
          <t>Pokemon</t>
        </is>
      </c>
      <c r="F2410" s="2" t="inlineStr">
        <is>
          <t>Coffret</t>
        </is>
      </c>
      <c r="G2410" s="2" t="inlineStr">
        <is>
          <t>SWSH03: Darkness Ablaze</t>
        </is>
      </c>
      <c r="H2410" s="3" t="n"/>
      <c r="I2410" s="3" t="n">
        <v>90.41</v>
      </c>
      <c r="J2410" s="3" t="n">
        <v>127</v>
      </c>
      <c r="K2410" s="3" t="n">
        <v>118.99</v>
      </c>
      <c r="L2410" s="2" t="inlineStr">
        <is>
          <t>TCGplayer</t>
        </is>
      </c>
      <c r="N2410" s="4" t="inlineStr">
        <is>
          <t>https://www.tcgplayer.com/product/220272</t>
        </is>
      </c>
    </row>
    <row r="2411">
      <c r="A2411" s="2" t="inlineStr">
        <is>
          <t>True Steel Premium Collection [Zacian]</t>
        </is>
      </c>
      <c r="B2411" s="3">
        <f>IF(H2411&lt;&gt;"",H2411,IF(I2411&lt;&gt;"",I2411,IF(J2411&lt;&gt;"",J2411,K2411)))</f>
        <v>323.32</v>
      </c>
      <c r="C2411" s="3">
        <f>MEDIAN(H2411:K2411)</f>
        <v>373.99</v>
      </c>
      <c r="D2411" s="3">
        <f>ROUND(C2411*(1-Settings!$B$2),2)</f>
        <v>261.79</v>
      </c>
      <c r="E2411" s="2" t="inlineStr">
        <is>
          <t>Pokemon</t>
        </is>
      </c>
      <c r="F2411" s="2" t="inlineStr">
        <is>
          <t>Coffret</t>
        </is>
      </c>
      <c r="G2411" s="2" t="inlineStr">
        <is>
          <t>SWSH03: Darkness Ablaze</t>
        </is>
      </c>
      <c r="H2411" s="3" t="n"/>
      <c r="I2411" s="3" t="n">
        <v>323.32</v>
      </c>
      <c r="J2411" s="3" t="n">
        <v>398.99</v>
      </c>
      <c r="K2411" s="3" t="n">
        <v>373.99</v>
      </c>
      <c r="L2411" s="2" t="inlineStr">
        <is>
          <t>TCGplayer</t>
        </is>
      </c>
      <c r="N2411" s="4" t="inlineStr">
        <is>
          <t>https://www.tcgplayer.com/product/218839</t>
        </is>
      </c>
    </row>
    <row r="2412">
      <c r="A2412" s="2" t="inlineStr">
        <is>
          <t>Alakazam V Box</t>
        </is>
      </c>
      <c r="B2412" s="3">
        <f>IF(H2412&lt;&gt;"",H2412,IF(I2412&lt;&gt;"",I2412,IF(J2412&lt;&gt;"",J2412,K2412)))</f>
        <v>43.99</v>
      </c>
      <c r="C2412" s="3">
        <f>MEDIAN(H2412:K2412)</f>
        <v>67.855</v>
      </c>
      <c r="D2412" s="3">
        <f>ROUND(C2412*(1-Settings!$B$2),2)</f>
        <v>47.5</v>
      </c>
      <c r="E2412" s="2" t="inlineStr">
        <is>
          <t>Pokemon</t>
        </is>
      </c>
      <c r="F2412" s="2" t="inlineStr">
        <is>
          <t>Coffret</t>
        </is>
      </c>
      <c r="G2412" s="2" t="inlineStr">
        <is>
          <t>SWSH04: Vivid Voltage</t>
        </is>
      </c>
      <c r="H2412" s="3" t="n">
        <v>43.99</v>
      </c>
      <c r="I2412" s="3" t="n">
        <v>60.71</v>
      </c>
      <c r="J2412" s="3" t="n">
        <v>97.47</v>
      </c>
      <c r="K2412" s="3" t="n">
        <v>75</v>
      </c>
      <c r="L2412" s="2" t="inlineStr">
        <is>
          <t>PriceCharting + TCGplayer</t>
        </is>
      </c>
      <c r="M2412" s="4" t="inlineStr">
        <is>
          <t>https://www.pricecharting.com/game/pokemon-vivid-voltage/alakazam-v-box</t>
        </is>
      </c>
      <c r="N2412" s="4" t="inlineStr">
        <is>
          <t>https://www.tcgplayer.com/product/228979</t>
        </is>
      </c>
    </row>
    <row r="2413">
      <c r="A2413" s="2" t="inlineStr">
        <is>
          <t>Fall 2020 Collector's Chest Tin</t>
        </is>
      </c>
      <c r="B2413" s="3">
        <f>IF(H2413&lt;&gt;"",H2413,IF(I2413&lt;&gt;"",I2413,IF(J2413&lt;&gt;"",J2413,K2413)))</f>
        <v>86.57</v>
      </c>
      <c r="C2413" s="3">
        <f>MEDIAN(H2413:K2413)</f>
        <v>104.99</v>
      </c>
      <c r="D2413" s="3">
        <f>ROUND(C2413*(1-Settings!$B$2),2)</f>
        <v>73.49</v>
      </c>
      <c r="E2413" s="2" t="inlineStr">
        <is>
          <t>Pokemon</t>
        </is>
      </c>
      <c r="F2413" s="2" t="inlineStr">
        <is>
          <t>Coffret</t>
        </is>
      </c>
      <c r="G2413" s="2" t="inlineStr">
        <is>
          <t>SWSH04: Vivid Voltage</t>
        </is>
      </c>
      <c r="H2413" s="3" t="n"/>
      <c r="I2413" s="3" t="n">
        <v>86.56999999999999</v>
      </c>
      <c r="J2413" s="3" t="n">
        <v>132</v>
      </c>
      <c r="K2413" s="3" t="n">
        <v>104.99</v>
      </c>
      <c r="L2413" s="2" t="inlineStr">
        <is>
          <t>TCGplayer</t>
        </is>
      </c>
      <c r="N2413" s="4" t="inlineStr">
        <is>
          <t>https://www.tcgplayer.com/product/222985</t>
        </is>
      </c>
    </row>
    <row r="2414">
      <c r="A2414" s="2" t="inlineStr">
        <is>
          <t>Orbeetle V Box</t>
        </is>
      </c>
      <c r="B2414" s="3">
        <f>IF(H2414&lt;&gt;"",H2414,IF(I2414&lt;&gt;"",I2414,IF(J2414&lt;&gt;"",J2414,K2414)))</f>
        <v>68.34</v>
      </c>
      <c r="C2414" s="3">
        <f>MEDIAN(H2414:K2414)</f>
        <v>75.0</v>
      </c>
      <c r="D2414" s="3">
        <f>ROUND(C2414*(1-Settings!$B$2),2)</f>
        <v>52.5</v>
      </c>
      <c r="E2414" s="2" t="inlineStr">
        <is>
          <t>Pokemon</t>
        </is>
      </c>
      <c r="F2414" s="2" t="inlineStr">
        <is>
          <t>Coffret</t>
        </is>
      </c>
      <c r="G2414" s="2" t="inlineStr">
        <is>
          <t>SWSH04: Vivid Voltage</t>
        </is>
      </c>
      <c r="H2414" s="3" t="n"/>
      <c r="I2414" s="3" t="n">
        <v>68.34</v>
      </c>
      <c r="J2414" s="3" t="n">
        <v>99.98999999999999</v>
      </c>
      <c r="K2414" s="3" t="n">
        <v>75</v>
      </c>
      <c r="L2414" s="2" t="inlineStr">
        <is>
          <t>TCGplayer</t>
        </is>
      </c>
      <c r="N2414" s="4" t="inlineStr">
        <is>
          <t>https://www.tcgplayer.com/product/226137</t>
        </is>
      </c>
    </row>
    <row r="2415">
      <c r="A2415" s="2" t="inlineStr">
        <is>
          <t>Sword &amp; Shield Elite Trainer Box Plus [Zacian]</t>
        </is>
      </c>
      <c r="B2415" s="3">
        <f>IF(H2415&lt;&gt;"",H2415,IF(I2415&lt;&gt;"",I2415,IF(J2415&lt;&gt;"",J2415,K2415)))</f>
        <v>243.37</v>
      </c>
      <c r="C2415" s="3">
        <f>MEDIAN(H2415:K2415)</f>
        <v>243.37</v>
      </c>
      <c r="D2415" s="3">
        <f>ROUND(C2415*(1-Settings!$B$2),2)</f>
        <v>170.36</v>
      </c>
      <c r="E2415" s="2" t="inlineStr">
        <is>
          <t>Pokemon</t>
        </is>
      </c>
      <c r="F2415" s="2" t="inlineStr">
        <is>
          <t>Coffret</t>
        </is>
      </c>
      <c r="G2415" s="2" t="inlineStr">
        <is>
          <t>SWSH04: Vivid Voltage</t>
        </is>
      </c>
      <c r="H2415" s="3" t="n"/>
      <c r="I2415" s="3" t="n">
        <v>243.37</v>
      </c>
      <c r="J2415" s="3" t="n">
        <v>263</v>
      </c>
      <c r="K2415" s="3" t="n">
        <v>2.99</v>
      </c>
      <c r="L2415" s="2" t="inlineStr">
        <is>
          <t>TCGplayer</t>
        </is>
      </c>
      <c r="N2415" s="4" t="inlineStr">
        <is>
          <t>https://www.tcgplayer.com/product/222987</t>
        </is>
      </c>
    </row>
    <row r="2416">
      <c r="A2416" s="2" t="inlineStr">
        <is>
          <t>Sword &amp; Shield Elite Trainer Box Plus [Zamazenta]</t>
        </is>
      </c>
      <c r="B2416" s="3">
        <f>IF(H2416&lt;&gt;"",H2416,IF(I2416&lt;&gt;"",I2416,IF(J2416&lt;&gt;"",J2416,K2416)))</f>
        <v>232.52</v>
      </c>
      <c r="C2416" s="3">
        <f>MEDIAN(H2416:K2416)</f>
        <v>232.52</v>
      </c>
      <c r="D2416" s="3">
        <f>ROUND(C2416*(1-Settings!$B$2),2)</f>
        <v>162.76</v>
      </c>
      <c r="E2416" s="2" t="inlineStr">
        <is>
          <t>Pokemon</t>
        </is>
      </c>
      <c r="F2416" s="2" t="inlineStr">
        <is>
          <t>Coffret</t>
        </is>
      </c>
      <c r="G2416" s="2" t="inlineStr">
        <is>
          <t>SWSH04: Vivid Voltage</t>
        </is>
      </c>
      <c r="H2416" s="3" t="n"/>
      <c r="I2416" s="3" t="n">
        <v>232.52</v>
      </c>
      <c r="J2416" s="3" t="n">
        <v>265.99</v>
      </c>
      <c r="K2416" s="3" t="n">
        <v>229.83</v>
      </c>
      <c r="L2416" s="2" t="inlineStr">
        <is>
          <t>TCGplayer</t>
        </is>
      </c>
      <c r="N2416" s="4" t="inlineStr">
        <is>
          <t>https://www.tcgplayer.com/product/222986</t>
        </is>
      </c>
    </row>
    <row r="2417">
      <c r="A2417" s="2" t="inlineStr">
        <is>
          <t>Vivid Voltage Booster Pack Art Bundle [Set of 4]</t>
        </is>
      </c>
      <c r="B2417" s="3">
        <f>IF(H2417&lt;&gt;"",H2417,IF(I2417&lt;&gt;"",I2417,IF(J2417&lt;&gt;"",J2417,K2417)))</f>
        <v>38.82</v>
      </c>
      <c r="C2417" s="3">
        <f>MEDIAN(H2417:K2417)</f>
        <v>40.0</v>
      </c>
      <c r="D2417" s="3">
        <f>ROUND(C2417*(1-Settings!$B$2),2)</f>
        <v>28.0</v>
      </c>
      <c r="E2417" s="2" t="inlineStr">
        <is>
          <t>Pokemon</t>
        </is>
      </c>
      <c r="F2417" s="2" t="inlineStr">
        <is>
          <t>Coffret</t>
        </is>
      </c>
      <c r="G2417" s="2" t="inlineStr">
        <is>
          <t>SWSH04: Vivid Voltage</t>
        </is>
      </c>
      <c r="H2417" s="3" t="n"/>
      <c r="I2417" s="3" t="n">
        <v>38.82</v>
      </c>
      <c r="J2417" s="3" t="n">
        <v>47.97</v>
      </c>
      <c r="K2417" s="3" t="n">
        <v>40</v>
      </c>
      <c r="L2417" s="2" t="inlineStr">
        <is>
          <t>TCGplayer</t>
        </is>
      </c>
      <c r="N2417" s="4" t="inlineStr">
        <is>
          <t>https://www.tcgplayer.com/product/265319</t>
        </is>
      </c>
    </row>
    <row r="2418">
      <c r="A2418" s="2" t="inlineStr">
        <is>
          <t>Vivid Voltage Build &amp; Battle Box</t>
        </is>
      </c>
      <c r="B2418" s="3">
        <f>IF(H2418&lt;&gt;"",H2418,IF(I2418&lt;&gt;"",I2418,IF(J2418&lt;&gt;"",J2418,K2418)))</f>
        <v>58.0</v>
      </c>
      <c r="C2418" s="3">
        <f>MEDIAN(H2418:K2418)</f>
        <v>64.07</v>
      </c>
      <c r="D2418" s="3">
        <f>ROUND(C2418*(1-Settings!$B$2),2)</f>
        <v>44.85</v>
      </c>
      <c r="E2418" s="2" t="inlineStr">
        <is>
          <t>Pokemon</t>
        </is>
      </c>
      <c r="F2418" s="2" t="inlineStr">
        <is>
          <t>Coffret</t>
        </is>
      </c>
      <c r="G2418" s="2" t="inlineStr">
        <is>
          <t>SWSH04: Vivid Voltage</t>
        </is>
      </c>
      <c r="H2418" s="3" t="n">
        <v>58</v>
      </c>
      <c r="I2418" s="3" t="n">
        <v>58.15</v>
      </c>
      <c r="J2418" s="3" t="n">
        <v>75.97</v>
      </c>
      <c r="K2418" s="3" t="n">
        <v>69.98999999999999</v>
      </c>
      <c r="L2418" s="2" t="inlineStr">
        <is>
          <t>PriceCharting + TCGplayer</t>
        </is>
      </c>
      <c r="M2418" s="4" t="inlineStr">
        <is>
          <t>https://www.pricecharting.com/game/pokemon-vivid-voltage/build-&amp;-battle-box</t>
        </is>
      </c>
      <c r="N2418" s="4" t="inlineStr">
        <is>
          <t>https://www.tcgplayer.com/product/221748</t>
        </is>
      </c>
    </row>
    <row r="2419">
      <c r="A2419" s="2" t="inlineStr">
        <is>
          <t>Vivid Voltage Elite Trainer Box</t>
        </is>
      </c>
      <c r="B2419" s="3">
        <f>IF(H2419&lt;&gt;"",H2419,IF(I2419&lt;&gt;"",I2419,IF(J2419&lt;&gt;"",J2419,K2419)))</f>
        <v>135.87</v>
      </c>
      <c r="C2419" s="3">
        <f>MEDIAN(H2419:K2419)</f>
        <v>135.43</v>
      </c>
      <c r="D2419" s="3">
        <f>ROUND(C2419*(1-Settings!$B$2),2)</f>
        <v>94.8</v>
      </c>
      <c r="E2419" s="2" t="inlineStr">
        <is>
          <t>Pokemon</t>
        </is>
      </c>
      <c r="F2419" s="2" t="inlineStr">
        <is>
          <t>Coffret</t>
        </is>
      </c>
      <c r="G2419" s="2" t="inlineStr">
        <is>
          <t>SWSH04: Vivid Voltage</t>
        </is>
      </c>
      <c r="H2419" s="3" t="n">
        <v>135.87</v>
      </c>
      <c r="I2419" s="3" t="n">
        <v>134.16</v>
      </c>
      <c r="J2419" s="3" t="n">
        <v>163.2</v>
      </c>
      <c r="K2419" s="3" t="n">
        <v>134.99</v>
      </c>
      <c r="L2419" s="2" t="inlineStr">
        <is>
          <t>PriceCharting + TCGplayer</t>
        </is>
      </c>
      <c r="M2419" s="4" t="inlineStr">
        <is>
          <t>https://www.pricecharting.com/game/pokemon-vivid-voltage/elite-trainer-box</t>
        </is>
      </c>
      <c r="N2419" s="4" t="inlineStr">
        <is>
          <t>https://www.tcgplayer.com/product/221752</t>
        </is>
      </c>
    </row>
    <row r="2420">
      <c r="A2420" s="2" t="inlineStr">
        <is>
          <t>Vivid Voltage Sleeved Booster Pack Art Bundle [Set of 4]</t>
        </is>
      </c>
      <c r="B2420" s="3">
        <f>IF(H2420&lt;&gt;"",H2420,IF(I2420&lt;&gt;"",I2420,IF(J2420&lt;&gt;"",J2420,K2420)))</f>
        <v>40.65</v>
      </c>
      <c r="C2420" s="3">
        <f>MEDIAN(H2420:K2420)</f>
        <v>42.98</v>
      </c>
      <c r="D2420" s="3">
        <f>ROUND(C2420*(1-Settings!$B$2),2)</f>
        <v>30.09</v>
      </c>
      <c r="E2420" s="2" t="inlineStr">
        <is>
          <t>Pokemon</t>
        </is>
      </c>
      <c r="F2420" s="2" t="inlineStr">
        <is>
          <t>Coffret</t>
        </is>
      </c>
      <c r="G2420" s="2" t="inlineStr">
        <is>
          <t>SWSH04: Vivid Voltage</t>
        </is>
      </c>
      <c r="H2420" s="3" t="n"/>
      <c r="I2420" s="3" t="n">
        <v>40.65</v>
      </c>
      <c r="J2420" s="3" t="n">
        <v>47</v>
      </c>
      <c r="K2420" s="3" t="n">
        <v>42.98</v>
      </c>
      <c r="L2420" s="2" t="inlineStr">
        <is>
          <t>TCGplayer</t>
        </is>
      </c>
      <c r="N2420" s="4" t="inlineStr">
        <is>
          <t>https://www.tcgplayer.com/product/487798</t>
        </is>
      </c>
    </row>
    <row r="2421">
      <c r="A2421" s="2" t="inlineStr">
        <is>
          <t>Battle Styles Build &amp; Battle Box</t>
        </is>
      </c>
      <c r="B2421" s="3">
        <f>IF(H2421&lt;&gt;"",H2421,IF(I2421&lt;&gt;"",I2421,IF(J2421&lt;&gt;"",J2421,K2421)))</f>
        <v>47.26</v>
      </c>
      <c r="C2421" s="3">
        <f>MEDIAN(H2421:K2421)</f>
        <v>49.614999999999995</v>
      </c>
      <c r="D2421" s="3">
        <f>ROUND(C2421*(1-Settings!$B$2),2)</f>
        <v>34.73</v>
      </c>
      <c r="E2421" s="2" t="inlineStr">
        <is>
          <t>Pokemon</t>
        </is>
      </c>
      <c r="F2421" s="2" t="inlineStr">
        <is>
          <t>Coffret</t>
        </is>
      </c>
      <c r="G2421" s="2" t="inlineStr">
        <is>
          <t>SWSH05: Battle Styles</t>
        </is>
      </c>
      <c r="H2421" s="3" t="n">
        <v>47.26</v>
      </c>
      <c r="I2421" s="3" t="n">
        <v>49.23</v>
      </c>
      <c r="J2421" s="3" t="n">
        <v>55</v>
      </c>
      <c r="K2421" s="3" t="n">
        <v>50</v>
      </c>
      <c r="L2421" s="2" t="inlineStr">
        <is>
          <t>PriceCharting + TCGplayer</t>
        </is>
      </c>
      <c r="M2421" s="4" t="inlineStr">
        <is>
          <t>https://www.pricecharting.com/game/pokemon-battle-styles/build-&amp;-battle-box</t>
        </is>
      </c>
      <c r="N2421" s="4" t="inlineStr">
        <is>
          <t>https://www.tcgplayer.com/product/229278</t>
        </is>
      </c>
    </row>
    <row r="2422">
      <c r="A2422" s="2" t="inlineStr">
        <is>
          <t>Battle Styles Elite Trainer Box [Single Strike Urshifu] (Red)</t>
        </is>
      </c>
      <c r="B2422" s="3">
        <f>IF(H2422&lt;&gt;"",H2422,IF(I2422&lt;&gt;"",I2422,IF(J2422&lt;&gt;"",J2422,K2422)))</f>
        <v>129.54</v>
      </c>
      <c r="C2422" s="3">
        <f>MEDIAN(H2422:K2422)</f>
        <v>129.54</v>
      </c>
      <c r="D2422" s="3">
        <f>ROUND(C2422*(1-Settings!$B$2),2)</f>
        <v>90.68</v>
      </c>
      <c r="E2422" s="2" t="inlineStr">
        <is>
          <t>Pokemon</t>
        </is>
      </c>
      <c r="F2422" s="2" t="inlineStr">
        <is>
          <t>Coffret</t>
        </is>
      </c>
      <c r="G2422" s="2" t="inlineStr">
        <is>
          <t>SWSH05: Battle Styles</t>
        </is>
      </c>
      <c r="H2422" s="3" t="n"/>
      <c r="I2422" s="3" t="n">
        <v>129.54</v>
      </c>
      <c r="J2422" s="3" t="n">
        <v>148.99</v>
      </c>
      <c r="K2422" s="3" t="n">
        <v>109.99</v>
      </c>
      <c r="L2422" s="2" t="inlineStr">
        <is>
          <t>TCGplayer</t>
        </is>
      </c>
      <c r="N2422" s="4" t="inlineStr">
        <is>
          <t>https://www.tcgplayer.com/product/229284</t>
        </is>
      </c>
    </row>
    <row r="2423">
      <c r="A2423" s="2" t="inlineStr">
        <is>
          <t>Battle Styles Sleeved Booster Pack Art Bundle [Set of 4]</t>
        </is>
      </c>
      <c r="B2423" s="3">
        <f>IF(H2423&lt;&gt;"",H2423,IF(I2423&lt;&gt;"",I2423,IF(J2423&lt;&gt;"",J2423,K2423)))</f>
        <v>42.23</v>
      </c>
      <c r="C2423" s="3">
        <f>MEDIAN(H2423:K2423)</f>
        <v>47.39</v>
      </c>
      <c r="D2423" s="3">
        <f>ROUND(C2423*(1-Settings!$B$2),2)</f>
        <v>33.17</v>
      </c>
      <c r="E2423" s="2" t="inlineStr">
        <is>
          <t>Pokemon</t>
        </is>
      </c>
      <c r="F2423" s="2" t="inlineStr">
        <is>
          <t>Coffret</t>
        </is>
      </c>
      <c r="G2423" s="2" t="inlineStr">
        <is>
          <t>SWSH05: Battle Styles</t>
        </is>
      </c>
      <c r="H2423" s="3" t="n"/>
      <c r="I2423" s="3" t="n">
        <v>42.23</v>
      </c>
      <c r="J2423" s="3" t="n">
        <v>47.74</v>
      </c>
      <c r="K2423" s="3" t="n">
        <v>47.39</v>
      </c>
      <c r="L2423" s="2" t="inlineStr">
        <is>
          <t>TCGplayer</t>
        </is>
      </c>
      <c r="N2423" s="4" t="inlineStr">
        <is>
          <t>https://www.tcgplayer.com/product/487794</t>
        </is>
      </c>
    </row>
    <row r="2424">
      <c r="A2424" s="2" t="inlineStr">
        <is>
          <t>Galarian Rapidash V Box</t>
        </is>
      </c>
      <c r="B2424" s="3">
        <f>IF(H2424&lt;&gt;"",H2424,IF(I2424&lt;&gt;"",I2424,IF(J2424&lt;&gt;"",J2424,K2424)))</f>
        <v>92.69</v>
      </c>
      <c r="C2424" s="3">
        <f>MEDIAN(H2424:K2424)</f>
        <v>122.0</v>
      </c>
      <c r="D2424" s="3">
        <f>ROUND(C2424*(1-Settings!$B$2),2)</f>
        <v>85.4</v>
      </c>
      <c r="E2424" s="2" t="inlineStr">
        <is>
          <t>Pokemon</t>
        </is>
      </c>
      <c r="F2424" s="2" t="inlineStr">
        <is>
          <t>Coffret</t>
        </is>
      </c>
      <c r="G2424" s="2" t="inlineStr">
        <is>
          <t>SWSH05: Battle Styles</t>
        </is>
      </c>
      <c r="H2424" s="3" t="n"/>
      <c r="I2424" s="3" t="n">
        <v>92.69</v>
      </c>
      <c r="J2424" s="3" t="n">
        <v>138.5</v>
      </c>
      <c r="K2424" s="3" t="n">
        <v>122</v>
      </c>
      <c r="L2424" s="2" t="inlineStr">
        <is>
          <t>TCGplayer</t>
        </is>
      </c>
      <c r="N2424" s="4" t="inlineStr">
        <is>
          <t>https://www.tcgplayer.com/product/233359</t>
        </is>
      </c>
    </row>
    <row r="2425">
      <c r="A2425" s="2" t="inlineStr">
        <is>
          <t>Rapid Strike Urshifu V Box</t>
        </is>
      </c>
      <c r="B2425" s="3">
        <f>IF(H2425&lt;&gt;"",H2425,IF(I2425&lt;&gt;"",I2425,IF(J2425&lt;&gt;"",J2425,K2425)))</f>
        <v>43.08</v>
      </c>
      <c r="C2425" s="3">
        <f>MEDIAN(H2425:K2425)</f>
        <v>54.99</v>
      </c>
      <c r="D2425" s="3">
        <f>ROUND(C2425*(1-Settings!$B$2),2)</f>
        <v>38.49</v>
      </c>
      <c r="E2425" s="2" t="inlineStr">
        <is>
          <t>Pokemon</t>
        </is>
      </c>
      <c r="F2425" s="2" t="inlineStr">
        <is>
          <t>Coffret</t>
        </is>
      </c>
      <c r="G2425" s="2" t="inlineStr">
        <is>
          <t>SWSH05: Battle Styles</t>
        </is>
      </c>
      <c r="H2425" s="3" t="n"/>
      <c r="I2425" s="3" t="n">
        <v>43.08</v>
      </c>
      <c r="J2425" s="3" t="n">
        <v>66.97</v>
      </c>
      <c r="K2425" s="3" t="n">
        <v>54.99</v>
      </c>
      <c r="L2425" s="2" t="inlineStr">
        <is>
          <t>TCGplayer</t>
        </is>
      </c>
      <c r="N2425" s="4" t="inlineStr">
        <is>
          <t>https://www.tcgplayer.com/product/231296</t>
        </is>
      </c>
    </row>
    <row r="2426">
      <c r="A2426" s="2" t="inlineStr">
        <is>
          <t>Single Strike Urshifu V Box</t>
        </is>
      </c>
      <c r="B2426" s="3">
        <f>IF(H2426&lt;&gt;"",H2426,IF(I2426&lt;&gt;"",I2426,IF(J2426&lt;&gt;"",J2426,K2426)))</f>
        <v>39.77</v>
      </c>
      <c r="C2426" s="3">
        <f>MEDIAN(H2426:K2426)</f>
        <v>50.0</v>
      </c>
      <c r="D2426" s="3">
        <f>ROUND(C2426*(1-Settings!$B$2),2)</f>
        <v>35.0</v>
      </c>
      <c r="E2426" s="2" t="inlineStr">
        <is>
          <t>Pokemon</t>
        </is>
      </c>
      <c r="F2426" s="2" t="inlineStr">
        <is>
          <t>Coffret</t>
        </is>
      </c>
      <c r="G2426" s="2" t="inlineStr">
        <is>
          <t>SWSH05: Battle Styles</t>
        </is>
      </c>
      <c r="H2426" s="3" t="n"/>
      <c r="I2426" s="3" t="n">
        <v>39.77</v>
      </c>
      <c r="J2426" s="3" t="n">
        <v>64.89</v>
      </c>
      <c r="K2426" s="3" t="n">
        <v>50</v>
      </c>
      <c r="L2426" s="2" t="inlineStr">
        <is>
          <t>TCGplayer</t>
        </is>
      </c>
      <c r="N2426" s="4" t="inlineStr">
        <is>
          <t>https://www.tcgplayer.com/product/231297</t>
        </is>
      </c>
    </row>
    <row r="2427">
      <c r="A2427" s="2" t="inlineStr">
        <is>
          <t>Spring 2021 Collector's Chest Tin</t>
        </is>
      </c>
      <c r="B2427" s="3">
        <f>IF(H2427&lt;&gt;"",H2427,IF(I2427&lt;&gt;"",I2427,IF(J2427&lt;&gt;"",J2427,K2427)))</f>
        <v>58.22</v>
      </c>
      <c r="C2427" s="3">
        <f>MEDIAN(H2427:K2427)</f>
        <v>69.49</v>
      </c>
      <c r="D2427" s="3">
        <f>ROUND(C2427*(1-Settings!$B$2),2)</f>
        <v>48.64</v>
      </c>
      <c r="E2427" s="2" t="inlineStr">
        <is>
          <t>Pokemon</t>
        </is>
      </c>
      <c r="F2427" s="2" t="inlineStr">
        <is>
          <t>Coffret</t>
        </is>
      </c>
      <c r="G2427" s="2" t="inlineStr">
        <is>
          <t>SWSH05: Battle Styles</t>
        </is>
      </c>
      <c r="H2427" s="3" t="n"/>
      <c r="I2427" s="3" t="n">
        <v>58.22</v>
      </c>
      <c r="J2427" s="3" t="n">
        <v>74.98999999999999</v>
      </c>
      <c r="K2427" s="3" t="n">
        <v>69.48999999999999</v>
      </c>
      <c r="L2427" s="2" t="inlineStr">
        <is>
          <t>TCGplayer</t>
        </is>
      </c>
      <c r="N2427" s="4" t="inlineStr">
        <is>
          <t>https://www.tcgplayer.com/product/231293</t>
        </is>
      </c>
    </row>
    <row r="2428">
      <c r="A2428" s="2" t="inlineStr">
        <is>
          <t>V Strikers Tin [Empoleon V]</t>
        </is>
      </c>
      <c r="B2428" s="3">
        <f>IF(H2428&lt;&gt;"",H2428,IF(I2428&lt;&gt;"",I2428,IF(J2428&lt;&gt;"",J2428,K2428)))</f>
        <v>88.98</v>
      </c>
      <c r="C2428" s="3">
        <f>MEDIAN(H2428:K2428)</f>
        <v>88.98</v>
      </c>
      <c r="D2428" s="3">
        <f>ROUND(C2428*(1-Settings!$B$2),2)</f>
        <v>62.29</v>
      </c>
      <c r="E2428" s="2" t="inlineStr">
        <is>
          <t>Pokemon</t>
        </is>
      </c>
      <c r="F2428" s="2" t="inlineStr">
        <is>
          <t>Coffret</t>
        </is>
      </c>
      <c r="G2428" s="2" t="inlineStr">
        <is>
          <t>SWSH05: Battle Styles</t>
        </is>
      </c>
      <c r="H2428" s="3" t="n"/>
      <c r="I2428" s="3" t="n">
        <v>88.98</v>
      </c>
      <c r="J2428" s="3" t="n">
        <v>129.99</v>
      </c>
      <c r="K2428" s="3" t="n">
        <v>7</v>
      </c>
      <c r="L2428" s="2" t="inlineStr">
        <is>
          <t>TCGplayer</t>
        </is>
      </c>
      <c r="N2428" s="4" t="inlineStr">
        <is>
          <t>https://www.tcgplayer.com/product/236378</t>
        </is>
      </c>
    </row>
    <row r="2429">
      <c r="A2429" s="2" t="inlineStr">
        <is>
          <t>V Strikers Tin [Set of 2]</t>
        </is>
      </c>
      <c r="B2429" s="3">
        <f>IF(H2429&lt;&gt;"",H2429,IF(I2429&lt;&gt;"",I2429,IF(J2429&lt;&gt;"",J2429,K2429)))</f>
        <v>144.64</v>
      </c>
      <c r="C2429" s="3">
        <f>MEDIAN(H2429:K2429)</f>
        <v>144.64</v>
      </c>
      <c r="D2429" s="3">
        <f>ROUND(C2429*(1-Settings!$B$2),2)</f>
        <v>101.25</v>
      </c>
      <c r="E2429" s="2" t="inlineStr">
        <is>
          <t>Pokemon</t>
        </is>
      </c>
      <c r="F2429" s="2" t="inlineStr">
        <is>
          <t>Coffret</t>
        </is>
      </c>
      <c r="G2429" s="2" t="inlineStr">
        <is>
          <t>SWSH05: Battle Styles</t>
        </is>
      </c>
      <c r="H2429" s="3" t="n"/>
      <c r="I2429" s="3" t="n">
        <v>144.64</v>
      </c>
      <c r="J2429" s="3" t="n">
        <v>175</v>
      </c>
      <c r="K2429" s="3" t="n">
        <v>144.64</v>
      </c>
      <c r="L2429" s="2" t="inlineStr">
        <is>
          <t>TCGplayer</t>
        </is>
      </c>
      <c r="N2429" s="4" t="inlineStr">
        <is>
          <t>https://www.tcgplayer.com/product/257189</t>
        </is>
      </c>
    </row>
    <row r="2430">
      <c r="A2430" s="2" t="inlineStr">
        <is>
          <t>V Strikers Tin [Tyranitar V]</t>
        </is>
      </c>
      <c r="B2430" s="3">
        <f>IF(H2430&lt;&gt;"",H2430,IF(I2430&lt;&gt;"",I2430,IF(J2430&lt;&gt;"",J2430,K2430)))</f>
        <v>101.32</v>
      </c>
      <c r="C2430" s="3">
        <f>MEDIAN(H2430:K2430)</f>
        <v>101.32</v>
      </c>
      <c r="D2430" s="3">
        <f>ROUND(C2430*(1-Settings!$B$2),2)</f>
        <v>70.92</v>
      </c>
      <c r="E2430" s="2" t="inlineStr">
        <is>
          <t>Pokemon</t>
        </is>
      </c>
      <c r="F2430" s="2" t="inlineStr">
        <is>
          <t>Coffret</t>
        </is>
      </c>
      <c r="G2430" s="2" t="inlineStr">
        <is>
          <t>SWSH05: Battle Styles</t>
        </is>
      </c>
      <c r="H2430" s="3" t="n"/>
      <c r="I2430" s="3" t="n">
        <v>101.32</v>
      </c>
      <c r="J2430" s="3" t="n">
        <v>107.49</v>
      </c>
      <c r="K2430" s="3" t="n">
        <v>7</v>
      </c>
      <c r="L2430" s="2" t="inlineStr">
        <is>
          <t>TCGplayer</t>
        </is>
      </c>
      <c r="N2430" s="4" t="inlineStr">
        <is>
          <t>https://www.tcgplayer.com/product/236377</t>
        </is>
      </c>
    </row>
    <row r="2431">
      <c r="A2431" s="2" t="inlineStr">
        <is>
          <t>V Strikers Tin [Tyranitar V] (International Version)</t>
        </is>
      </c>
      <c r="B2431" s="3">
        <f>IF(H2431&lt;&gt;"",H2431,IF(I2431&lt;&gt;"",I2431,IF(J2431&lt;&gt;"",J2431,K2431)))</f>
        <v>52.0</v>
      </c>
      <c r="C2431" s="3">
        <f>MEDIAN(H2431:K2431)</f>
        <v>52.0</v>
      </c>
      <c r="D2431" s="3">
        <f>ROUND(C2431*(1-Settings!$B$2),2)</f>
        <v>36.4</v>
      </c>
      <c r="E2431" s="2" t="inlineStr">
        <is>
          <t>Pokemon</t>
        </is>
      </c>
      <c r="F2431" s="2" t="inlineStr">
        <is>
          <t>Coffret</t>
        </is>
      </c>
      <c r="G2431" s="2" t="inlineStr">
        <is>
          <t>SWSH05: Battle Styles</t>
        </is>
      </c>
      <c r="H2431" s="3" t="n"/>
      <c r="I2431" s="3" t="n">
        <v>52</v>
      </c>
      <c r="J2431" s="3" t="n"/>
      <c r="K2431" s="3" t="n"/>
      <c r="L2431" s="2" t="inlineStr">
        <is>
          <t>TCGplayer</t>
        </is>
      </c>
      <c r="N2431" s="4" t="inlineStr">
        <is>
          <t>https://www.tcgplayer.com/product/238638</t>
        </is>
      </c>
    </row>
    <row r="2432">
      <c r="A2432" s="2" t="inlineStr">
        <is>
          <t>Chilling Reign Booster Pack Art Bundle [Set of 5]</t>
        </is>
      </c>
      <c r="B2432" s="3">
        <f>IF(H2432&lt;&gt;"",H2432,IF(I2432&lt;&gt;"",I2432,IF(J2432&lt;&gt;"",J2432,K2432)))</f>
        <v>61.68</v>
      </c>
      <c r="C2432" s="3">
        <f>MEDIAN(H2432:K2432)</f>
        <v>63.0</v>
      </c>
      <c r="D2432" s="3">
        <f>ROUND(C2432*(1-Settings!$B$2),2)</f>
        <v>44.1</v>
      </c>
      <c r="E2432" s="2" t="inlineStr">
        <is>
          <t>Pokemon</t>
        </is>
      </c>
      <c r="F2432" s="2" t="inlineStr">
        <is>
          <t>Coffret</t>
        </is>
      </c>
      <c r="G2432" s="2" t="inlineStr">
        <is>
          <t>SWSH06: Chilling Reign</t>
        </is>
      </c>
      <c r="H2432" s="3" t="n"/>
      <c r="I2432" s="3" t="n">
        <v>61.68</v>
      </c>
      <c r="J2432" s="3" t="n">
        <v>68.48</v>
      </c>
      <c r="K2432" s="3" t="n">
        <v>63</v>
      </c>
      <c r="L2432" s="2" t="inlineStr">
        <is>
          <t>TCGplayer</t>
        </is>
      </c>
      <c r="N2432" s="4" t="inlineStr">
        <is>
          <t>https://www.tcgplayer.com/product/492290</t>
        </is>
      </c>
    </row>
    <row r="2433">
      <c r="A2433" s="2" t="inlineStr">
        <is>
          <t>Chilling Reign Build &amp; Battle Box</t>
        </is>
      </c>
      <c r="B2433" s="3">
        <f>IF(H2433&lt;&gt;"",H2433,IF(I2433&lt;&gt;"",I2433,IF(J2433&lt;&gt;"",J2433,K2433)))</f>
        <v>61.17</v>
      </c>
      <c r="C2433" s="3">
        <f>MEDIAN(H2433:K2433)</f>
        <v>59.975</v>
      </c>
      <c r="D2433" s="3">
        <f>ROUND(C2433*(1-Settings!$B$2),2)</f>
        <v>41.98</v>
      </c>
      <c r="E2433" s="2" t="inlineStr">
        <is>
          <t>Pokemon</t>
        </is>
      </c>
      <c r="F2433" s="2" t="inlineStr">
        <is>
          <t>Coffret</t>
        </is>
      </c>
      <c r="G2433" s="2" t="inlineStr">
        <is>
          <t>SWSH06: Chilling Reign</t>
        </is>
      </c>
      <c r="H2433" s="3" t="n">
        <v>61.17</v>
      </c>
      <c r="I2433" s="3" t="n">
        <v>58.78</v>
      </c>
      <c r="J2433" s="3" t="n">
        <v>64.11</v>
      </c>
      <c r="K2433" s="3" t="n">
        <v>57.61</v>
      </c>
      <c r="L2433" s="2" t="inlineStr">
        <is>
          <t>PriceCharting + TCGplayer</t>
        </is>
      </c>
      <c r="M2433" s="4" t="inlineStr">
        <is>
          <t>https://www.pricecharting.com/game/pokemon-chilling-reign/build-and-battle-box</t>
        </is>
      </c>
      <c r="N2433" s="4" t="inlineStr">
        <is>
          <t>https://www.tcgplayer.com/product/236265</t>
        </is>
      </c>
    </row>
    <row r="2434">
      <c r="A2434" s="2" t="inlineStr">
        <is>
          <t>Chilling Reign Elite Trainer Box [Ice Rider Calyrex]</t>
        </is>
      </c>
      <c r="B2434" s="3">
        <f>IF(H2434&lt;&gt;"",H2434,IF(I2434&lt;&gt;"",I2434,IF(J2434&lt;&gt;"",J2434,K2434)))</f>
        <v>140.99</v>
      </c>
      <c r="C2434" s="3">
        <f>MEDIAN(H2434:K2434)</f>
        <v>140.99</v>
      </c>
      <c r="D2434" s="3">
        <f>ROUND(C2434*(1-Settings!$B$2),2)</f>
        <v>98.69</v>
      </c>
      <c r="E2434" s="2" t="inlineStr">
        <is>
          <t>Pokemon</t>
        </is>
      </c>
      <c r="F2434" s="2" t="inlineStr">
        <is>
          <t>Coffret</t>
        </is>
      </c>
      <c r="G2434" s="2" t="inlineStr">
        <is>
          <t>SWSH06: Chilling Reign</t>
        </is>
      </c>
      <c r="H2434" s="3" t="n"/>
      <c r="I2434" s="3" t="n">
        <v>140.99</v>
      </c>
      <c r="J2434" s="3" t="n">
        <v>165</v>
      </c>
      <c r="K2434" s="3" t="n">
        <v>130</v>
      </c>
      <c r="L2434" s="2" t="inlineStr">
        <is>
          <t>TCGplayer</t>
        </is>
      </c>
      <c r="N2434" s="4" t="inlineStr">
        <is>
          <t>https://www.tcgplayer.com/product/236260</t>
        </is>
      </c>
    </row>
    <row r="2435">
      <c r="A2435" s="2" t="inlineStr">
        <is>
          <t>Chilling Reign Elite Trainer Box [Set of 2]</t>
        </is>
      </c>
      <c r="B2435" s="3">
        <f>IF(H2435&lt;&gt;"",H2435,IF(I2435&lt;&gt;"",I2435,IF(J2435&lt;&gt;"",J2435,K2435)))</f>
        <v>299.01</v>
      </c>
      <c r="C2435" s="3">
        <f>MEDIAN(H2435:K2435)</f>
        <v>299.01</v>
      </c>
      <c r="D2435" s="3">
        <f>ROUND(C2435*(1-Settings!$B$2),2)</f>
        <v>209.31</v>
      </c>
      <c r="E2435" s="2" t="inlineStr">
        <is>
          <t>Pokemon</t>
        </is>
      </c>
      <c r="F2435" s="2" t="inlineStr">
        <is>
          <t>Coffret</t>
        </is>
      </c>
      <c r="G2435" s="2" t="inlineStr">
        <is>
          <t>SWSH06: Chilling Reign</t>
        </is>
      </c>
      <c r="H2435" s="3" t="n"/>
      <c r="I2435" s="3" t="n">
        <v>299.01</v>
      </c>
      <c r="J2435" s="3" t="n">
        <v>325</v>
      </c>
      <c r="K2435" s="3" t="n">
        <v>275</v>
      </c>
      <c r="L2435" s="2" t="inlineStr">
        <is>
          <t>TCGplayer</t>
        </is>
      </c>
      <c r="N2435" s="4" t="inlineStr">
        <is>
          <t>https://www.tcgplayer.com/product/244410</t>
        </is>
      </c>
    </row>
    <row r="2436">
      <c r="A2436" s="2" t="inlineStr">
        <is>
          <t>Chilling Reign Elite Trainer Box [Shadow Rider Calyrex]</t>
        </is>
      </c>
      <c r="B2436" s="3">
        <f>IF(H2436&lt;&gt;"",H2436,IF(I2436&lt;&gt;"",I2436,IF(J2436&lt;&gt;"",J2436,K2436)))</f>
        <v>152.04</v>
      </c>
      <c r="C2436" s="3">
        <f>MEDIAN(H2436:K2436)</f>
        <v>152.04</v>
      </c>
      <c r="D2436" s="3">
        <f>ROUND(C2436*(1-Settings!$B$2),2)</f>
        <v>106.43</v>
      </c>
      <c r="E2436" s="2" t="inlineStr">
        <is>
          <t>Pokemon</t>
        </is>
      </c>
      <c r="F2436" s="2" t="inlineStr">
        <is>
          <t>Coffret</t>
        </is>
      </c>
      <c r="G2436" s="2" t="inlineStr">
        <is>
          <t>SWSH06: Chilling Reign</t>
        </is>
      </c>
      <c r="H2436" s="3" t="n"/>
      <c r="I2436" s="3" t="n">
        <v>152.04</v>
      </c>
      <c r="J2436" s="3" t="n">
        <v>159.9</v>
      </c>
      <c r="K2436" s="3" t="n">
        <v>136.99</v>
      </c>
      <c r="L2436" s="2" t="inlineStr">
        <is>
          <t>TCGplayer</t>
        </is>
      </c>
      <c r="N2436" s="4" t="inlineStr">
        <is>
          <t>https://www.tcgplayer.com/product/236261</t>
        </is>
      </c>
    </row>
    <row r="2437">
      <c r="A2437" s="2" t="inlineStr">
        <is>
          <t>Chilling Reign Pokemon Center Elite Trainer Box [Ice Rider Calyrex] (Exclusive)</t>
        </is>
      </c>
      <c r="B2437" s="3">
        <f>IF(H2437&lt;&gt;"",H2437,IF(I2437&lt;&gt;"",I2437,IF(J2437&lt;&gt;"",J2437,K2437)))</f>
        <v>203.55</v>
      </c>
      <c r="C2437" s="3">
        <f>MEDIAN(H2437:K2437)</f>
        <v>203.55</v>
      </c>
      <c r="D2437" s="3">
        <f>ROUND(C2437*(1-Settings!$B$2),2)</f>
        <v>142.49</v>
      </c>
      <c r="E2437" s="2" t="inlineStr">
        <is>
          <t>Pokemon</t>
        </is>
      </c>
      <c r="F2437" s="2" t="inlineStr">
        <is>
          <t>Coffret</t>
        </is>
      </c>
      <c r="G2437" s="2" t="inlineStr">
        <is>
          <t>SWSH06: Chilling Reign</t>
        </is>
      </c>
      <c r="H2437" s="3" t="n"/>
      <c r="I2437" s="3" t="n">
        <v>203.55</v>
      </c>
      <c r="J2437" s="3" t="n">
        <v>247.75</v>
      </c>
      <c r="K2437" s="3" t="n">
        <v>179.99</v>
      </c>
      <c r="L2437" s="2" t="inlineStr">
        <is>
          <t>TCGplayer</t>
        </is>
      </c>
      <c r="N2437" s="4" t="inlineStr">
        <is>
          <t>https://www.tcgplayer.com/product/247281</t>
        </is>
      </c>
    </row>
    <row r="2438">
      <c r="A2438" s="2" t="inlineStr">
        <is>
          <t>Chilling Reign Pokemon Center Elite Trainer Box [Shadow Rider Calyrex] (Exclusive)</t>
        </is>
      </c>
      <c r="B2438" s="3">
        <f>IF(H2438&lt;&gt;"",H2438,IF(I2438&lt;&gt;"",I2438,IF(J2438&lt;&gt;"",J2438,K2438)))</f>
        <v>191.57</v>
      </c>
      <c r="C2438" s="3">
        <f>MEDIAN(H2438:K2438)</f>
        <v>191.57</v>
      </c>
      <c r="D2438" s="3">
        <f>ROUND(C2438*(1-Settings!$B$2),2)</f>
        <v>134.1</v>
      </c>
      <c r="E2438" s="2" t="inlineStr">
        <is>
          <t>Pokemon</t>
        </is>
      </c>
      <c r="F2438" s="2" t="inlineStr">
        <is>
          <t>Coffret</t>
        </is>
      </c>
      <c r="G2438" s="2" t="inlineStr">
        <is>
          <t>SWSH06: Chilling Reign</t>
        </is>
      </c>
      <c r="H2438" s="3" t="n"/>
      <c r="I2438" s="3" t="n">
        <v>191.57</v>
      </c>
      <c r="J2438" s="3" t="n">
        <v>234.99</v>
      </c>
      <c r="K2438" s="3" t="n">
        <v>169.99</v>
      </c>
      <c r="L2438" s="2" t="inlineStr">
        <is>
          <t>TCGplayer</t>
        </is>
      </c>
      <c r="N2438" s="4" t="inlineStr">
        <is>
          <t>https://www.tcgplayer.com/product/247282</t>
        </is>
      </c>
    </row>
    <row r="2439">
      <c r="A2439" s="2" t="inlineStr">
        <is>
          <t>Chilling Reign Sleeved Booster Pack Art Bundle [Set of 5]</t>
        </is>
      </c>
      <c r="B2439" s="3">
        <f>IF(H2439&lt;&gt;"",H2439,IF(I2439&lt;&gt;"",I2439,IF(J2439&lt;&gt;"",J2439,K2439)))</f>
        <v>99.99</v>
      </c>
      <c r="C2439" s="3">
        <f>MEDIAN(H2439:K2439)</f>
        <v>99.99</v>
      </c>
      <c r="D2439" s="3">
        <f>ROUND(C2439*(1-Settings!$B$2),2)</f>
        <v>69.99</v>
      </c>
      <c r="E2439" s="2" t="inlineStr">
        <is>
          <t>Pokemon</t>
        </is>
      </c>
      <c r="F2439" s="2" t="inlineStr">
        <is>
          <t>Coffret</t>
        </is>
      </c>
      <c r="G2439" s="2" t="inlineStr">
        <is>
          <t>SWSH06: Chilling Reign</t>
        </is>
      </c>
      <c r="H2439" s="3" t="n"/>
      <c r="I2439" s="3" t="n">
        <v>99.98999999999999</v>
      </c>
      <c r="J2439" s="3" t="n">
        <v>100</v>
      </c>
      <c r="K2439" s="3" t="n">
        <v>99</v>
      </c>
      <c r="L2439" s="2" t="inlineStr">
        <is>
          <t>TCGplayer</t>
        </is>
      </c>
      <c r="N2439" s="4" t="inlineStr">
        <is>
          <t>https://www.tcgplayer.com/product/256274</t>
        </is>
      </c>
    </row>
    <row r="2440">
      <c r="A2440" s="2" t="inlineStr">
        <is>
          <t>Chilling Reign Sleeved Booster Pack Bundle [Set of 10]</t>
        </is>
      </c>
      <c r="B2440" s="3">
        <f>IF(H2440&lt;&gt;"",H2440,IF(I2440&lt;&gt;"",I2440,IF(J2440&lt;&gt;"",J2440,K2440)))</f>
        <v>215.0</v>
      </c>
      <c r="C2440" s="3">
        <f>MEDIAN(H2440:K2440)</f>
        <v>215.0</v>
      </c>
      <c r="D2440" s="3">
        <f>ROUND(C2440*(1-Settings!$B$2),2)</f>
        <v>150.5</v>
      </c>
      <c r="E2440" s="2" t="inlineStr">
        <is>
          <t>Pokemon</t>
        </is>
      </c>
      <c r="F2440" s="2" t="inlineStr">
        <is>
          <t>Coffret</t>
        </is>
      </c>
      <c r="G2440" s="2" t="inlineStr">
        <is>
          <t>SWSH06: Chilling Reign</t>
        </is>
      </c>
      <c r="H2440" s="3" t="n"/>
      <c r="I2440" s="3" t="n"/>
      <c r="J2440" s="3" t="n">
        <v>215</v>
      </c>
      <c r="K2440" s="3" t="n">
        <v>215</v>
      </c>
      <c r="L2440" s="2" t="inlineStr">
        <is>
          <t>TCGplayer</t>
        </is>
      </c>
      <c r="N2440" s="4" t="inlineStr">
        <is>
          <t>https://www.tcgplayer.com/product/256275</t>
        </is>
      </c>
    </row>
    <row r="2441">
      <c r="A2441" s="2" t="inlineStr">
        <is>
          <t>Ice Rider Calyrex V Box</t>
        </is>
      </c>
      <c r="B2441" s="3">
        <f>IF(H2441&lt;&gt;"",H2441,IF(I2441&lt;&gt;"",I2441,IF(J2441&lt;&gt;"",J2441,K2441)))</f>
        <v>51.14</v>
      </c>
      <c r="C2441" s="3">
        <f>MEDIAN(H2441:K2441)</f>
        <v>65.0</v>
      </c>
      <c r="D2441" s="3">
        <f>ROUND(C2441*(1-Settings!$B$2),2)</f>
        <v>45.5</v>
      </c>
      <c r="E2441" s="2" t="inlineStr">
        <is>
          <t>Pokemon</t>
        </is>
      </c>
      <c r="F2441" s="2" t="inlineStr">
        <is>
          <t>Coffret</t>
        </is>
      </c>
      <c r="G2441" s="2" t="inlineStr">
        <is>
          <t>SWSH06: Chilling Reign</t>
        </is>
      </c>
      <c r="H2441" s="3" t="n"/>
      <c r="I2441" s="3" t="n">
        <v>51.14</v>
      </c>
      <c r="J2441" s="3" t="n">
        <v>80</v>
      </c>
      <c r="K2441" s="3" t="n">
        <v>65</v>
      </c>
      <c r="L2441" s="2" t="inlineStr">
        <is>
          <t>TCGplayer</t>
        </is>
      </c>
      <c r="N2441" s="4" t="inlineStr">
        <is>
          <t>https://www.tcgplayer.com/product/240975</t>
        </is>
      </c>
    </row>
    <row r="2442">
      <c r="A2442" s="2" t="inlineStr">
        <is>
          <t>Shadow Rider Calyrex V Box</t>
        </is>
      </c>
      <c r="B2442" s="3">
        <f>IF(H2442&lt;&gt;"",H2442,IF(I2442&lt;&gt;"",I2442,IF(J2442&lt;&gt;"",J2442,K2442)))</f>
        <v>50.0</v>
      </c>
      <c r="C2442" s="3">
        <f>MEDIAN(H2442:K2442)</f>
        <v>50.0</v>
      </c>
      <c r="D2442" s="3">
        <f>ROUND(C2442*(1-Settings!$B$2),2)</f>
        <v>35.0</v>
      </c>
      <c r="E2442" s="2" t="inlineStr">
        <is>
          <t>Pokemon</t>
        </is>
      </c>
      <c r="F2442" s="2" t="inlineStr">
        <is>
          <t>Coffret</t>
        </is>
      </c>
      <c r="G2442" s="2" t="inlineStr">
        <is>
          <t>SWSH06: Chilling Reign</t>
        </is>
      </c>
      <c r="H2442" s="3" t="n"/>
      <c r="I2442" s="3" t="n">
        <v>50</v>
      </c>
      <c r="J2442" s="3" t="n">
        <v>61.97</v>
      </c>
      <c r="K2442" s="3" t="n">
        <v>46.99</v>
      </c>
      <c r="L2442" s="2" t="inlineStr">
        <is>
          <t>TCGplayer</t>
        </is>
      </c>
      <c r="N2442" s="4" t="inlineStr">
        <is>
          <t>https://www.tcgplayer.com/product/240977</t>
        </is>
      </c>
    </row>
    <row r="2443">
      <c r="A2443" s="2" t="inlineStr">
        <is>
          <t>Evolving Skies 3 Pack Hanger Box</t>
        </is>
      </c>
      <c r="B2443" s="3">
        <f>IF(H2443&lt;&gt;"",H2443,IF(I2443&lt;&gt;"",I2443,IF(J2443&lt;&gt;"",J2443,K2443)))</f>
        <v>166.22</v>
      </c>
      <c r="C2443" s="3">
        <f>MEDIAN(H2443:K2443)</f>
        <v>199.99</v>
      </c>
      <c r="D2443" s="3">
        <f>ROUND(C2443*(1-Settings!$B$2),2)</f>
        <v>139.99</v>
      </c>
      <c r="E2443" s="2" t="inlineStr">
        <is>
          <t>Pokemon</t>
        </is>
      </c>
      <c r="F2443" s="2" t="inlineStr">
        <is>
          <t>Coffret</t>
        </is>
      </c>
      <c r="G2443" s="2" t="inlineStr">
        <is>
          <t>SWSH07: Evolving Skies</t>
        </is>
      </c>
      <c r="H2443" s="3" t="n"/>
      <c r="I2443" s="3" t="n">
        <v>166.22</v>
      </c>
      <c r="J2443" s="3" t="n">
        <v>446.81</v>
      </c>
      <c r="K2443" s="3" t="n">
        <v>199.99</v>
      </c>
      <c r="L2443" s="2" t="inlineStr">
        <is>
          <t>TCGplayer</t>
        </is>
      </c>
      <c r="N2443" s="4" t="inlineStr">
        <is>
          <t>https://www.tcgplayer.com/product/650863</t>
        </is>
      </c>
    </row>
    <row r="2444">
      <c r="A2444" s="2" t="inlineStr">
        <is>
          <t>Evolving Skies Booster Pack Art Bundle [Set of 4]</t>
        </is>
      </c>
      <c r="B2444" s="3">
        <f>IF(H2444&lt;&gt;"",H2444,IF(I2444&lt;&gt;"",I2444,IF(J2444&lt;&gt;"",J2444,K2444)))</f>
        <v>169.74</v>
      </c>
      <c r="C2444" s="3">
        <f>MEDIAN(H2444:K2444)</f>
        <v>170.44</v>
      </c>
      <c r="D2444" s="3">
        <f>ROUND(C2444*(1-Settings!$B$2),2)</f>
        <v>119.31</v>
      </c>
      <c r="E2444" s="2" t="inlineStr">
        <is>
          <t>Pokemon</t>
        </is>
      </c>
      <c r="F2444" s="2" t="inlineStr">
        <is>
          <t>Coffret</t>
        </is>
      </c>
      <c r="G2444" s="2" t="inlineStr">
        <is>
          <t>SWSH07: Evolving Skies</t>
        </is>
      </c>
      <c r="H2444" s="3" t="n"/>
      <c r="I2444" s="3" t="n">
        <v>169.74</v>
      </c>
      <c r="J2444" s="3" t="n">
        <v>194.95</v>
      </c>
      <c r="K2444" s="3" t="n">
        <v>170.44</v>
      </c>
      <c r="L2444" s="2" t="inlineStr">
        <is>
          <t>TCGplayer</t>
        </is>
      </c>
      <c r="N2444" s="4" t="inlineStr">
        <is>
          <t>https://www.tcgplayer.com/product/247497</t>
        </is>
      </c>
    </row>
    <row r="2445">
      <c r="A2445" s="2" t="inlineStr">
        <is>
          <t>Evolving Skies Build &amp; Battle Box</t>
        </is>
      </c>
      <c r="B2445" s="3">
        <f>IF(H2445&lt;&gt;"",H2445,IF(I2445&lt;&gt;"",I2445,IF(J2445&lt;&gt;"",J2445,K2445)))</f>
        <v>272.35</v>
      </c>
      <c r="C2445" s="3">
        <f>MEDIAN(H2445:K2445)</f>
        <v>341.5</v>
      </c>
      <c r="D2445" s="3">
        <f>ROUND(C2445*(1-Settings!$B$2),2)</f>
        <v>239.05</v>
      </c>
      <c r="E2445" s="2" t="inlineStr">
        <is>
          <t>Pokemon</t>
        </is>
      </c>
      <c r="F2445" s="2" t="inlineStr">
        <is>
          <t>Coffret</t>
        </is>
      </c>
      <c r="G2445" s="2" t="inlineStr">
        <is>
          <t>SWSH07: Evolving Skies</t>
        </is>
      </c>
      <c r="H2445" s="3" t="n">
        <v>272.35</v>
      </c>
      <c r="I2445" s="3" t="n">
        <v>333</v>
      </c>
      <c r="J2445" s="3" t="n">
        <v>403.26</v>
      </c>
      <c r="K2445" s="3" t="n">
        <v>350</v>
      </c>
      <c r="L2445" s="2" t="inlineStr">
        <is>
          <t>PriceCharting + TCGplayer</t>
        </is>
      </c>
      <c r="M2445" s="4" t="inlineStr">
        <is>
          <t>https://www.pricecharting.com/game/pokemon-evolving-skies/build-and-battle-box</t>
        </is>
      </c>
      <c r="N2445" s="4" t="inlineStr">
        <is>
          <t>https://www.tcgplayer.com/product/242449</t>
        </is>
      </c>
    </row>
    <row r="2446">
      <c r="A2446" s="2" t="inlineStr">
        <is>
          <t>Evolving Skies Elite Trainer Box [Flareon/Jolteon/Umbreon/Leafeon]</t>
        </is>
      </c>
      <c r="B2446" s="3">
        <f>IF(H2446&lt;&gt;"",H2446,IF(I2446&lt;&gt;"",I2446,IF(J2446&lt;&gt;"",J2446,K2446)))</f>
        <v>569.9</v>
      </c>
      <c r="C2446" s="3">
        <f>MEDIAN(H2446:K2446)</f>
        <v>569.9</v>
      </c>
      <c r="D2446" s="3">
        <f>ROUND(C2446*(1-Settings!$B$2),2)</f>
        <v>398.93</v>
      </c>
      <c r="E2446" s="2" t="inlineStr">
        <is>
          <t>Pokemon</t>
        </is>
      </c>
      <c r="F2446" s="2" t="inlineStr">
        <is>
          <t>Coffret</t>
        </is>
      </c>
      <c r="G2446" s="2" t="inlineStr">
        <is>
          <t>SWSH07: Evolving Skies</t>
        </is>
      </c>
      <c r="H2446" s="3" t="n"/>
      <c r="I2446" s="3" t="n">
        <v>569.9</v>
      </c>
      <c r="J2446" s="3" t="n">
        <v>612.5</v>
      </c>
      <c r="K2446" s="3" t="n">
        <v>524.98</v>
      </c>
      <c r="L2446" s="2" t="inlineStr">
        <is>
          <t>TCGplayer</t>
        </is>
      </c>
      <c r="N2446" s="4" t="inlineStr">
        <is>
          <t>https://www.tcgplayer.com/product/242434</t>
        </is>
      </c>
    </row>
    <row r="2447">
      <c r="A2447" s="2" t="inlineStr">
        <is>
          <t>Evolving Skies Elite Trainer Box [Glaceon/Vaporeon/Sylveon/Espeon]</t>
        </is>
      </c>
      <c r="B2447" s="3">
        <f>IF(H2447&lt;&gt;"",H2447,IF(I2447&lt;&gt;"",I2447,IF(J2447&lt;&gt;"",J2447,K2447)))</f>
        <v>499.5</v>
      </c>
      <c r="C2447" s="3">
        <f>MEDIAN(H2447:K2447)</f>
        <v>499.5</v>
      </c>
      <c r="D2447" s="3">
        <f>ROUND(C2447*(1-Settings!$B$2),2)</f>
        <v>349.65</v>
      </c>
      <c r="E2447" s="2" t="inlineStr">
        <is>
          <t>Pokemon</t>
        </is>
      </c>
      <c r="F2447" s="2" t="inlineStr">
        <is>
          <t>Coffret</t>
        </is>
      </c>
      <c r="G2447" s="2" t="inlineStr">
        <is>
          <t>SWSH07: Evolving Skies</t>
        </is>
      </c>
      <c r="H2447" s="3" t="n"/>
      <c r="I2447" s="3" t="n">
        <v>499.5</v>
      </c>
      <c r="J2447" s="3" t="n">
        <v>541.99</v>
      </c>
      <c r="K2447" s="3" t="n">
        <v>444</v>
      </c>
      <c r="L2447" s="2" t="inlineStr">
        <is>
          <t>TCGplayer</t>
        </is>
      </c>
      <c r="N2447" s="4" t="inlineStr">
        <is>
          <t>https://www.tcgplayer.com/product/242443</t>
        </is>
      </c>
    </row>
    <row r="2448">
      <c r="A2448" s="2" t="inlineStr">
        <is>
          <t>Evolving Skies Elite Trainer Box [Set of 2]</t>
        </is>
      </c>
      <c r="B2448" s="3">
        <f>IF(H2448&lt;&gt;"",H2448,IF(I2448&lt;&gt;"",I2448,IF(J2448&lt;&gt;"",J2448,K2448)))</f>
        <v>1089.62</v>
      </c>
      <c r="C2448" s="3">
        <f>MEDIAN(H2448:K2448)</f>
        <v>1089.62</v>
      </c>
      <c r="D2448" s="3">
        <f>ROUND(C2448*(1-Settings!$B$2),2)</f>
        <v>762.73</v>
      </c>
      <c r="E2448" s="2" t="inlineStr">
        <is>
          <t>Pokemon</t>
        </is>
      </c>
      <c r="F2448" s="2" t="inlineStr">
        <is>
          <t>Coffret</t>
        </is>
      </c>
      <c r="G2448" s="2" t="inlineStr">
        <is>
          <t>SWSH07: Evolving Skies</t>
        </is>
      </c>
      <c r="H2448" s="3" t="n"/>
      <c r="I2448" s="3" t="n">
        <v>1089.62</v>
      </c>
      <c r="J2448" s="3" t="n">
        <v>1100</v>
      </c>
      <c r="K2448" s="3" t="n">
        <v>1057</v>
      </c>
      <c r="L2448" s="2" t="inlineStr">
        <is>
          <t>TCGplayer</t>
        </is>
      </c>
      <c r="N2448" s="4" t="inlineStr">
        <is>
          <t>https://www.tcgplayer.com/product/243721</t>
        </is>
      </c>
    </row>
    <row r="2449">
      <c r="A2449" s="2" t="inlineStr">
        <is>
          <t>Evolving Skies Pokemon Center Elite Trainer Box [Glaceon/Vaporeon/Sylveon/Espeon] (Exclusive)</t>
        </is>
      </c>
      <c r="B2449" s="3">
        <f>IF(H2449&lt;&gt;"",H2449,IF(I2449&lt;&gt;"",I2449,IF(J2449&lt;&gt;"",J2449,K2449)))</f>
        <v>1045.99</v>
      </c>
      <c r="C2449" s="3">
        <f>MEDIAN(H2449:K2449)</f>
        <v>1045.99</v>
      </c>
      <c r="D2449" s="3">
        <f>ROUND(C2449*(1-Settings!$B$2),2)</f>
        <v>732.19</v>
      </c>
      <c r="E2449" s="2" t="inlineStr">
        <is>
          <t>Pokemon</t>
        </is>
      </c>
      <c r="F2449" s="2" t="inlineStr">
        <is>
          <t>Coffret</t>
        </is>
      </c>
      <c r="G2449" s="2" t="inlineStr">
        <is>
          <t>SWSH07: Evolving Skies</t>
        </is>
      </c>
      <c r="H2449" s="3" t="n"/>
      <c r="I2449" s="3" t="n">
        <v>1045.99</v>
      </c>
      <c r="J2449" s="3" t="n">
        <v>1487.5</v>
      </c>
      <c r="K2449" s="3" t="n">
        <v>950</v>
      </c>
      <c r="L2449" s="2" t="inlineStr">
        <is>
          <t>TCGplayer</t>
        </is>
      </c>
      <c r="N2449" s="4" t="inlineStr">
        <is>
          <t>https://www.tcgplayer.com/product/245352</t>
        </is>
      </c>
    </row>
    <row r="2450">
      <c r="A2450" s="2" t="inlineStr">
        <is>
          <t>Evolving Skies Pokemon Center Elite Trainer Box [Jolteon/Flareon/Umbreon/Leafeon] (Exclusive)</t>
        </is>
      </c>
      <c r="B2450" s="3">
        <f>IF(H2450&lt;&gt;"",H2450,IF(I2450&lt;&gt;"",I2450,IF(J2450&lt;&gt;"",J2450,K2450)))</f>
        <v>1060.06</v>
      </c>
      <c r="C2450" s="3">
        <f>MEDIAN(H2450:K2450)</f>
        <v>1060.06</v>
      </c>
      <c r="D2450" s="3">
        <f>ROUND(C2450*(1-Settings!$B$2),2)</f>
        <v>742.04</v>
      </c>
      <c r="E2450" s="2" t="inlineStr">
        <is>
          <t>Pokemon</t>
        </is>
      </c>
      <c r="F2450" s="2" t="inlineStr">
        <is>
          <t>Coffret</t>
        </is>
      </c>
      <c r="G2450" s="2" t="inlineStr">
        <is>
          <t>SWSH07: Evolving Skies</t>
        </is>
      </c>
      <c r="H2450" s="3" t="n"/>
      <c r="I2450" s="3" t="n">
        <v>1060.06</v>
      </c>
      <c r="J2450" s="3" t="n">
        <v>1450</v>
      </c>
      <c r="K2450" s="3" t="n">
        <v>1000</v>
      </c>
      <c r="L2450" s="2" t="inlineStr">
        <is>
          <t>TCGplayer</t>
        </is>
      </c>
      <c r="N2450" s="4" t="inlineStr">
        <is>
          <t>https://www.tcgplayer.com/product/245376</t>
        </is>
      </c>
    </row>
    <row r="2451">
      <c r="A2451" s="2" t="inlineStr">
        <is>
          <t>Evolving Skies Pokemon Center Elite Trainer Box [Set of 2] (Exclusive)</t>
        </is>
      </c>
      <c r="B2451" s="3">
        <f>IF(H2451&lt;&gt;"",H2451,IF(I2451&lt;&gt;"",I2451,IF(J2451&lt;&gt;"",J2451,K2451)))</f>
        <v>2316.39</v>
      </c>
      <c r="C2451" s="3">
        <f>MEDIAN(H2451:K2451)</f>
        <v>2316.39</v>
      </c>
      <c r="D2451" s="3">
        <f>ROUND(C2451*(1-Settings!$B$2),2)</f>
        <v>1621.47</v>
      </c>
      <c r="E2451" s="2" t="inlineStr">
        <is>
          <t>Pokemon</t>
        </is>
      </c>
      <c r="F2451" s="2" t="inlineStr">
        <is>
          <t>Coffret</t>
        </is>
      </c>
      <c r="G2451" s="2" t="inlineStr">
        <is>
          <t>SWSH07: Evolving Skies</t>
        </is>
      </c>
      <c r="H2451" s="3" t="n"/>
      <c r="I2451" s="3" t="n">
        <v>2316.39</v>
      </c>
      <c r="J2451" s="3" t="n">
        <v>2727.49</v>
      </c>
      <c r="K2451" s="3" t="n">
        <v>2220</v>
      </c>
      <c r="L2451" s="2" t="inlineStr">
        <is>
          <t>TCGplayer</t>
        </is>
      </c>
      <c r="N2451" s="4" t="inlineStr">
        <is>
          <t>https://www.tcgplayer.com/product/245855</t>
        </is>
      </c>
    </row>
    <row r="2452">
      <c r="A2452" s="2" t="inlineStr">
        <is>
          <t>Evolving Skies Sleeved Booster Pack Art Bundle [Set of 4]</t>
        </is>
      </c>
      <c r="B2452" s="3">
        <f>IF(H2452&lt;&gt;"",H2452,IF(I2452&lt;&gt;"",I2452,IF(J2452&lt;&gt;"",J2452,K2452)))</f>
        <v>248.18</v>
      </c>
      <c r="C2452" s="3">
        <f>MEDIAN(H2452:K2452)</f>
        <v>249.0</v>
      </c>
      <c r="D2452" s="3">
        <f>ROUND(C2452*(1-Settings!$B$2),2)</f>
        <v>174.3</v>
      </c>
      <c r="E2452" s="2" t="inlineStr">
        <is>
          <t>Pokemon</t>
        </is>
      </c>
      <c r="F2452" s="2" t="inlineStr">
        <is>
          <t>Coffret</t>
        </is>
      </c>
      <c r="G2452" s="2" t="inlineStr">
        <is>
          <t>SWSH07: Evolving Skies</t>
        </is>
      </c>
      <c r="H2452" s="3" t="n"/>
      <c r="I2452" s="3" t="n">
        <v>248.18</v>
      </c>
      <c r="J2452" s="3" t="n">
        <v>296.94</v>
      </c>
      <c r="K2452" s="3" t="n">
        <v>249</v>
      </c>
      <c r="L2452" s="2" t="inlineStr">
        <is>
          <t>TCGplayer</t>
        </is>
      </c>
      <c r="N2452" s="4" t="inlineStr">
        <is>
          <t>https://www.tcgplayer.com/product/247498</t>
        </is>
      </c>
    </row>
    <row r="2453">
      <c r="A2453" s="2" t="inlineStr">
        <is>
          <t>Evolving Skies Sleeved Booster Pack Bundle [Set of 8]</t>
        </is>
      </c>
      <c r="B2453" s="3">
        <f>IF(H2453&lt;&gt;"",H2453,IF(I2453&lt;&gt;"",I2453,IF(J2453&lt;&gt;"",J2453,K2453)))</f>
        <v>551.92</v>
      </c>
      <c r="C2453" s="3">
        <f>MEDIAN(H2453:K2453)</f>
        <v>551.92</v>
      </c>
      <c r="D2453" s="3">
        <f>ROUND(C2453*(1-Settings!$B$2),2)</f>
        <v>386.34</v>
      </c>
      <c r="E2453" s="2" t="inlineStr">
        <is>
          <t>Pokemon</t>
        </is>
      </c>
      <c r="F2453" s="2" t="inlineStr">
        <is>
          <t>Coffret</t>
        </is>
      </c>
      <c r="G2453" s="2" t="inlineStr">
        <is>
          <t>SWSH07: Evolving Skies</t>
        </is>
      </c>
      <c r="H2453" s="3" t="n"/>
      <c r="I2453" s="3" t="n">
        <v>551.92</v>
      </c>
      <c r="J2453" s="3" t="n">
        <v>570</v>
      </c>
      <c r="K2453" s="3" t="n">
        <v>533</v>
      </c>
      <c r="L2453" s="2" t="inlineStr">
        <is>
          <t>TCGplayer</t>
        </is>
      </c>
      <c r="N2453" s="4" t="inlineStr">
        <is>
          <t>https://www.tcgplayer.com/product/246274</t>
        </is>
      </c>
    </row>
    <row r="2454">
      <c r="A2454" s="2" t="inlineStr">
        <is>
          <t>Greninja V-UNION Special Collection</t>
        </is>
      </c>
      <c r="B2454" s="3">
        <f>IF(H2454&lt;&gt;"",H2454,IF(I2454&lt;&gt;"",I2454,IF(J2454&lt;&gt;"",J2454,K2454)))</f>
        <v>132.38</v>
      </c>
      <c r="C2454" s="3">
        <f>MEDIAN(H2454:K2454)</f>
        <v>147.5</v>
      </c>
      <c r="D2454" s="3">
        <f>ROUND(C2454*(1-Settings!$B$2),2)</f>
        <v>103.25</v>
      </c>
      <c r="E2454" s="2" t="inlineStr">
        <is>
          <t>Pokemon</t>
        </is>
      </c>
      <c r="F2454" s="2" t="inlineStr">
        <is>
          <t>Coffret</t>
        </is>
      </c>
      <c r="G2454" s="2" t="inlineStr">
        <is>
          <t>SWSH07: Evolving Skies</t>
        </is>
      </c>
      <c r="H2454" s="3" t="n"/>
      <c r="I2454" s="3" t="n">
        <v>132.38</v>
      </c>
      <c r="J2454" s="3" t="n">
        <v>199.69</v>
      </c>
      <c r="K2454" s="3" t="n">
        <v>147.5</v>
      </c>
      <c r="L2454" s="2" t="inlineStr">
        <is>
          <t>TCGplayer</t>
        </is>
      </c>
      <c r="N2454" s="4" t="inlineStr">
        <is>
          <t>https://www.tcgplayer.com/product/245878</t>
        </is>
      </c>
    </row>
    <row r="2455">
      <c r="A2455" s="2" t="inlineStr">
        <is>
          <t>Mewtwo V-UNION Special Collection</t>
        </is>
      </c>
      <c r="B2455" s="3">
        <f>IF(H2455&lt;&gt;"",H2455,IF(I2455&lt;&gt;"",I2455,IF(J2455&lt;&gt;"",J2455,K2455)))</f>
        <v>183.61</v>
      </c>
      <c r="C2455" s="3">
        <f>MEDIAN(H2455:K2455)</f>
        <v>183.61</v>
      </c>
      <c r="D2455" s="3">
        <f>ROUND(C2455*(1-Settings!$B$2),2)</f>
        <v>128.53</v>
      </c>
      <c r="E2455" s="2" t="inlineStr">
        <is>
          <t>Pokemon</t>
        </is>
      </c>
      <c r="F2455" s="2" t="inlineStr">
        <is>
          <t>Coffret</t>
        </is>
      </c>
      <c r="G2455" s="2" t="inlineStr">
        <is>
          <t>SWSH07: Evolving Skies</t>
        </is>
      </c>
      <c r="H2455" s="3" t="n"/>
      <c r="I2455" s="3" t="n">
        <v>183.61</v>
      </c>
      <c r="J2455" s="3" t="n">
        <v>244.99</v>
      </c>
      <c r="K2455" s="3" t="n">
        <v>149.99</v>
      </c>
      <c r="L2455" s="2" t="inlineStr">
        <is>
          <t>TCGplayer</t>
        </is>
      </c>
      <c r="N2455" s="4" t="inlineStr">
        <is>
          <t>https://www.tcgplayer.com/product/245877</t>
        </is>
      </c>
    </row>
    <row r="2456">
      <c r="A2456" s="2" t="inlineStr">
        <is>
          <t>V-UNION Special Collection [Set of 3]</t>
        </is>
      </c>
      <c r="B2456" s="3">
        <f>IF(H2456&lt;&gt;"",H2456,IF(I2456&lt;&gt;"",I2456,IF(J2456&lt;&gt;"",J2456,K2456)))</f>
        <v>369.1</v>
      </c>
      <c r="C2456" s="3">
        <f>MEDIAN(H2456:K2456)</f>
        <v>484.55</v>
      </c>
      <c r="D2456" s="3">
        <f>ROUND(C2456*(1-Settings!$B$2),2)</f>
        <v>339.19</v>
      </c>
      <c r="E2456" s="2" t="inlineStr">
        <is>
          <t>Pokemon</t>
        </is>
      </c>
      <c r="F2456" s="2" t="inlineStr">
        <is>
          <t>Coffret</t>
        </is>
      </c>
      <c r="G2456" s="2" t="inlineStr">
        <is>
          <t>SWSH07: Evolving Skies</t>
        </is>
      </c>
      <c r="H2456" s="3" t="n"/>
      <c r="I2456" s="3" t="n">
        <v>369.1</v>
      </c>
      <c r="J2456" s="3" t="n"/>
      <c r="K2456" s="3" t="n">
        <v>600</v>
      </c>
      <c r="L2456" s="2" t="inlineStr">
        <is>
          <t>TCGplayer</t>
        </is>
      </c>
      <c r="N2456" s="4" t="inlineStr">
        <is>
          <t>https://www.tcgplayer.com/product/245880</t>
        </is>
      </c>
    </row>
    <row r="2457">
      <c r="A2457" s="2" t="inlineStr">
        <is>
          <t>Zacian V-UNION Special Collection</t>
        </is>
      </c>
      <c r="B2457" s="3">
        <f>IF(H2457&lt;&gt;"",H2457,IF(I2457&lt;&gt;"",I2457,IF(J2457&lt;&gt;"",J2457,K2457)))</f>
        <v>118.02</v>
      </c>
      <c r="C2457" s="3">
        <f>MEDIAN(H2457:K2457)</f>
        <v>167.97</v>
      </c>
      <c r="D2457" s="3">
        <f>ROUND(C2457*(1-Settings!$B$2),2)</f>
        <v>117.58</v>
      </c>
      <c r="E2457" s="2" t="inlineStr">
        <is>
          <t>Pokemon</t>
        </is>
      </c>
      <c r="F2457" s="2" t="inlineStr">
        <is>
          <t>Coffret</t>
        </is>
      </c>
      <c r="G2457" s="2" t="inlineStr">
        <is>
          <t>SWSH07: Evolving Skies</t>
        </is>
      </c>
      <c r="H2457" s="3" t="n"/>
      <c r="I2457" s="3" t="n">
        <v>118.02</v>
      </c>
      <c r="J2457" s="3" t="n">
        <v>169.99</v>
      </c>
      <c r="K2457" s="3" t="n">
        <v>167.97</v>
      </c>
      <c r="L2457" s="2" t="inlineStr">
        <is>
          <t>TCGplayer</t>
        </is>
      </c>
      <c r="N2457" s="4" t="inlineStr">
        <is>
          <t>https://www.tcgplayer.com/product/245879</t>
        </is>
      </c>
    </row>
    <row r="2458">
      <c r="A2458" s="2" t="inlineStr">
        <is>
          <t>Dragonite V Box</t>
        </is>
      </c>
      <c r="B2458" s="3">
        <f>IF(H2458&lt;&gt;"",H2458,IF(I2458&lt;&gt;"",I2458,IF(J2458&lt;&gt;"",J2458,K2458)))</f>
        <v>162.82</v>
      </c>
      <c r="C2458" s="3">
        <f>MEDIAN(H2458:K2458)</f>
        <v>175.0</v>
      </c>
      <c r="D2458" s="3">
        <f>ROUND(C2458*(1-Settings!$B$2),2)</f>
        <v>122.5</v>
      </c>
      <c r="E2458" s="2" t="inlineStr">
        <is>
          <t>Pokemon</t>
        </is>
      </c>
      <c r="F2458" s="2" t="inlineStr">
        <is>
          <t>Coffret</t>
        </is>
      </c>
      <c r="G2458" s="2" t="inlineStr">
        <is>
          <t>SWSH08: Fusion Strike</t>
        </is>
      </c>
      <c r="H2458" s="3" t="n"/>
      <c r="I2458" s="3" t="n">
        <v>162.82</v>
      </c>
      <c r="J2458" s="3" t="n">
        <v>200</v>
      </c>
      <c r="K2458" s="3" t="n">
        <v>175</v>
      </c>
      <c r="L2458" s="2" t="inlineStr">
        <is>
          <t>TCGplayer</t>
        </is>
      </c>
      <c r="N2458" s="4" t="inlineStr">
        <is>
          <t>https://www.tcgplayer.com/product/245876</t>
        </is>
      </c>
    </row>
    <row r="2459">
      <c r="A2459" s="2" t="inlineStr">
        <is>
          <t>Fusion Strike Booster Pack Art Bundle [Set of 4]</t>
        </is>
      </c>
      <c r="B2459" s="3">
        <f>IF(H2459&lt;&gt;"",H2459,IF(I2459&lt;&gt;"",I2459,IF(J2459&lt;&gt;"",J2459,K2459)))</f>
        <v>74.39</v>
      </c>
      <c r="C2459" s="3">
        <f>MEDIAN(H2459:K2459)</f>
        <v>74.39</v>
      </c>
      <c r="D2459" s="3">
        <f>ROUND(C2459*(1-Settings!$B$2),2)</f>
        <v>52.07</v>
      </c>
      <c r="E2459" s="2" t="inlineStr">
        <is>
          <t>Pokemon</t>
        </is>
      </c>
      <c r="F2459" s="2" t="inlineStr">
        <is>
          <t>Coffret</t>
        </is>
      </c>
      <c r="G2459" s="2" t="inlineStr">
        <is>
          <t>SWSH08: Fusion Strike</t>
        </is>
      </c>
      <c r="H2459" s="3" t="n"/>
      <c r="I2459" s="3" t="n">
        <v>74.39</v>
      </c>
      <c r="J2459" s="3" t="n">
        <v>77.5</v>
      </c>
      <c r="K2459" s="3" t="n">
        <v>71.95</v>
      </c>
      <c r="L2459" s="2" t="inlineStr">
        <is>
          <t>TCGplayer</t>
        </is>
      </c>
      <c r="N2459" s="4" t="inlineStr">
        <is>
          <t>https://www.tcgplayer.com/product/247651</t>
        </is>
      </c>
    </row>
    <row r="2460">
      <c r="A2460" s="2" t="inlineStr">
        <is>
          <t>Fusion Strike Build &amp; Battle Box</t>
        </is>
      </c>
      <c r="B2460" s="3">
        <f>IF(H2460&lt;&gt;"",H2460,IF(I2460&lt;&gt;"",I2460,IF(J2460&lt;&gt;"",J2460,K2460)))</f>
        <v>97.5</v>
      </c>
      <c r="C2460" s="3">
        <f>MEDIAN(H2460:K2460)</f>
        <v>100.77000000000001</v>
      </c>
      <c r="D2460" s="3">
        <f>ROUND(C2460*(1-Settings!$B$2),2)</f>
        <v>70.54</v>
      </c>
      <c r="E2460" s="2" t="inlineStr">
        <is>
          <t>Pokemon</t>
        </is>
      </c>
      <c r="F2460" s="2" t="inlineStr">
        <is>
          <t>Coffret</t>
        </is>
      </c>
      <c r="G2460" s="2" t="inlineStr">
        <is>
          <t>SWSH08: Fusion Strike</t>
        </is>
      </c>
      <c r="H2460" s="3" t="n">
        <v>97.5</v>
      </c>
      <c r="I2460" s="3" t="n">
        <v>104.04</v>
      </c>
      <c r="J2460" s="3" t="n">
        <v>119.47</v>
      </c>
      <c r="K2460" s="3" t="n">
        <v>94.87</v>
      </c>
      <c r="L2460" s="2" t="inlineStr">
        <is>
          <t>PriceCharting + TCGplayer</t>
        </is>
      </c>
      <c r="M2460" s="4" t="inlineStr">
        <is>
          <t>https://www.pricecharting.com/game/pokemon-fusion-strike/build-&amp;-battle-box</t>
        </is>
      </c>
      <c r="N2460" s="4" t="inlineStr">
        <is>
          <t>https://www.tcgplayer.com/product/247659</t>
        </is>
      </c>
    </row>
    <row r="2461">
      <c r="A2461" s="2" t="inlineStr">
        <is>
          <t>Fusion Strike Build &amp; Battle Stadium</t>
        </is>
      </c>
      <c r="B2461" s="3">
        <f>IF(H2461&lt;&gt;"",H2461,IF(I2461&lt;&gt;"",I2461,IF(J2461&lt;&gt;"",J2461,K2461)))</f>
        <v>263.16</v>
      </c>
      <c r="C2461" s="3">
        <f>MEDIAN(H2461:K2461)</f>
        <v>287.635</v>
      </c>
      <c r="D2461" s="3">
        <f>ROUND(C2461*(1-Settings!$B$2),2)</f>
        <v>201.34</v>
      </c>
      <c r="E2461" s="2" t="inlineStr">
        <is>
          <t>Pokemon</t>
        </is>
      </c>
      <c r="F2461" s="2" t="inlineStr">
        <is>
          <t>Coffret</t>
        </is>
      </c>
      <c r="G2461" s="2" t="inlineStr">
        <is>
          <t>SWSH08: Fusion Strike</t>
        </is>
      </c>
      <c r="H2461" s="3" t="n">
        <v>263.16</v>
      </c>
      <c r="I2461" s="3" t="n">
        <v>283.32</v>
      </c>
      <c r="J2461" s="3" t="n">
        <v>329.99</v>
      </c>
      <c r="K2461" s="3" t="n">
        <v>291.95</v>
      </c>
      <c r="L2461" s="2" t="inlineStr">
        <is>
          <t>PriceCharting + TCGplayer</t>
        </is>
      </c>
      <c r="M2461" s="4" t="inlineStr">
        <is>
          <t>https://www.pricecharting.com/game/pokemon-fusion-strike/build-&amp;-battle-stadium</t>
        </is>
      </c>
      <c r="N2461" s="4" t="inlineStr">
        <is>
          <t>https://www.tcgplayer.com/product/247666</t>
        </is>
      </c>
    </row>
    <row r="2462">
      <c r="A2462" s="2" t="inlineStr">
        <is>
          <t>Fusion Strike Elite Trainer Box</t>
        </is>
      </c>
      <c r="B2462" s="3">
        <f>IF(H2462&lt;&gt;"",H2462,IF(I2462&lt;&gt;"",I2462,IF(J2462&lt;&gt;"",J2462,K2462)))</f>
        <v>302.5</v>
      </c>
      <c r="C2462" s="3">
        <f>MEDIAN(H2462:K2462)</f>
        <v>328.96500000000003</v>
      </c>
      <c r="D2462" s="3">
        <f>ROUND(C2462*(1-Settings!$B$2),2)</f>
        <v>230.28</v>
      </c>
      <c r="E2462" s="2" t="inlineStr">
        <is>
          <t>Pokemon</t>
        </is>
      </c>
      <c r="F2462" s="2" t="inlineStr">
        <is>
          <t>Coffret</t>
        </is>
      </c>
      <c r="G2462" s="2" t="inlineStr">
        <is>
          <t>SWSH08: Fusion Strike</t>
        </is>
      </c>
      <c r="H2462" s="3" t="n">
        <v>302.5</v>
      </c>
      <c r="I2462" s="3" t="n">
        <v>327.93</v>
      </c>
      <c r="J2462" s="3" t="n">
        <v>415</v>
      </c>
      <c r="K2462" s="3" t="n">
        <v>330</v>
      </c>
      <c r="L2462" s="2" t="inlineStr">
        <is>
          <t>PriceCharting + TCGplayer</t>
        </is>
      </c>
      <c r="M2462" s="4" t="inlineStr">
        <is>
          <t>https://www.pricecharting.com/game/pokemon-fusion-strike/elite-trainer-box</t>
        </is>
      </c>
      <c r="N2462" s="4" t="inlineStr">
        <is>
          <t>https://www.tcgplayer.com/product/247671</t>
        </is>
      </c>
    </row>
    <row r="2463">
      <c r="A2463" s="2" t="inlineStr">
        <is>
          <t>Fusion Strike Pokemon Center Elite Trainer Box (Exclusive)</t>
        </is>
      </c>
      <c r="B2463" s="3">
        <f>IF(H2463&lt;&gt;"",H2463,IF(I2463&lt;&gt;"",I2463,IF(J2463&lt;&gt;"",J2463,K2463)))</f>
        <v>476.75</v>
      </c>
      <c r="C2463" s="3">
        <f>MEDIAN(H2463:K2463)</f>
        <v>476.75</v>
      </c>
      <c r="D2463" s="3">
        <f>ROUND(C2463*(1-Settings!$B$2),2)</f>
        <v>333.73</v>
      </c>
      <c r="E2463" s="2" t="inlineStr">
        <is>
          <t>Pokemon</t>
        </is>
      </c>
      <c r="F2463" s="2" t="inlineStr">
        <is>
          <t>Coffret</t>
        </is>
      </c>
      <c r="G2463" s="2" t="inlineStr">
        <is>
          <t>SWSH08: Fusion Strike</t>
        </is>
      </c>
      <c r="H2463" s="3" t="n"/>
      <c r="I2463" s="3" t="n">
        <v>476.75</v>
      </c>
      <c r="J2463" s="3" t="n">
        <v>525</v>
      </c>
      <c r="K2463" s="3" t="n">
        <v>399.98</v>
      </c>
      <c r="L2463" s="2" t="inlineStr">
        <is>
          <t>TCGplayer</t>
        </is>
      </c>
      <c r="N2463" s="4" t="inlineStr">
        <is>
          <t>https://www.tcgplayer.com/product/247673</t>
        </is>
      </c>
    </row>
    <row r="2464">
      <c r="A2464" s="2" t="inlineStr">
        <is>
          <t>Fusion Strike Sleeved Booster Pack Art Bundle [Set of 4]</t>
        </is>
      </c>
      <c r="B2464" s="3">
        <f>IF(H2464&lt;&gt;"",H2464,IF(I2464&lt;&gt;"",I2464,IF(J2464&lt;&gt;"",J2464,K2464)))</f>
        <v>83.28</v>
      </c>
      <c r="C2464" s="3">
        <f>MEDIAN(H2464:K2464)</f>
        <v>123.99</v>
      </c>
      <c r="D2464" s="3">
        <f>ROUND(C2464*(1-Settings!$B$2),2)</f>
        <v>86.79</v>
      </c>
      <c r="E2464" s="2" t="inlineStr">
        <is>
          <t>Pokemon</t>
        </is>
      </c>
      <c r="F2464" s="2" t="inlineStr">
        <is>
          <t>Coffret</t>
        </is>
      </c>
      <c r="G2464" s="2" t="inlineStr">
        <is>
          <t>SWSH08: Fusion Strike</t>
        </is>
      </c>
      <c r="H2464" s="3" t="n"/>
      <c r="I2464" s="3" t="n">
        <v>83.28</v>
      </c>
      <c r="J2464" s="3" t="n">
        <v>128</v>
      </c>
      <c r="K2464" s="3" t="n">
        <v>123.99</v>
      </c>
      <c r="L2464" s="2" t="inlineStr">
        <is>
          <t>TCGplayer</t>
        </is>
      </c>
      <c r="N2464" s="4" t="inlineStr">
        <is>
          <t>https://www.tcgplayer.com/product/247657</t>
        </is>
      </c>
    </row>
    <row r="2465">
      <c r="A2465" s="2" t="inlineStr">
        <is>
          <t>Fusion Strike Sleeved Booster Pack Bundle [Set of 8]</t>
        </is>
      </c>
      <c r="B2465" s="3">
        <f>IF(H2465&lt;&gt;"",H2465,IF(I2465&lt;&gt;"",I2465,IF(J2465&lt;&gt;"",J2465,K2465)))</f>
        <v>234.89</v>
      </c>
      <c r="C2465" s="3">
        <f>MEDIAN(H2465:K2465)</f>
        <v>234.89</v>
      </c>
      <c r="D2465" s="3">
        <f>ROUND(C2465*(1-Settings!$B$2),2)</f>
        <v>164.42</v>
      </c>
      <c r="E2465" s="2" t="inlineStr">
        <is>
          <t>Pokemon</t>
        </is>
      </c>
      <c r="F2465" s="2" t="inlineStr">
        <is>
          <t>Coffret</t>
        </is>
      </c>
      <c r="G2465" s="2" t="inlineStr">
        <is>
          <t>SWSH08: Fusion Strike</t>
        </is>
      </c>
      <c r="H2465" s="3" t="n"/>
      <c r="I2465" s="3" t="n">
        <v>234.89</v>
      </c>
      <c r="J2465" s="3" t="n">
        <v>234.89</v>
      </c>
      <c r="K2465" s="3" t="n">
        <v>226.91</v>
      </c>
      <c r="L2465" s="2" t="inlineStr">
        <is>
          <t>TCGplayer</t>
        </is>
      </c>
      <c r="N2465" s="4" t="inlineStr">
        <is>
          <t>https://www.tcgplayer.com/product/247658</t>
        </is>
      </c>
    </row>
    <row r="2466">
      <c r="A2466" s="2" t="inlineStr">
        <is>
          <t>Hisuian Electrode V Box</t>
        </is>
      </c>
      <c r="B2466" s="3">
        <f>IF(H2466&lt;&gt;"",H2466,IF(I2466&lt;&gt;"",I2466,IF(J2466&lt;&gt;"",J2466,K2466)))</f>
        <v>51.78</v>
      </c>
      <c r="C2466" s="3">
        <f>MEDIAN(H2466:K2466)</f>
        <v>73.14</v>
      </c>
      <c r="D2466" s="3">
        <f>ROUND(C2466*(1-Settings!$B$2),2)</f>
        <v>51.2</v>
      </c>
      <c r="E2466" s="2" t="inlineStr">
        <is>
          <t>Pokemon</t>
        </is>
      </c>
      <c r="F2466" s="2" t="inlineStr">
        <is>
          <t>Coffret</t>
        </is>
      </c>
      <c r="G2466" s="2" t="inlineStr">
        <is>
          <t>SWSH08: Fusion Strike</t>
        </is>
      </c>
      <c r="H2466" s="3" t="n"/>
      <c r="I2466" s="3" t="n">
        <v>51.78</v>
      </c>
      <c r="J2466" s="3" t="n">
        <v>95</v>
      </c>
      <c r="K2466" s="3" t="n">
        <v>73.14</v>
      </c>
      <c r="L2466" s="2" t="inlineStr">
        <is>
          <t>TCGplayer</t>
        </is>
      </c>
      <c r="N2466" s="4" t="inlineStr">
        <is>
          <t>https://www.tcgplayer.com/product/282721</t>
        </is>
      </c>
    </row>
    <row r="2467">
      <c r="A2467" s="2" t="inlineStr">
        <is>
          <t>Hoopa V Box</t>
        </is>
      </c>
      <c r="B2467" s="3">
        <f>IF(H2467&lt;&gt;"",H2467,IF(I2467&lt;&gt;"",I2467,IF(J2467&lt;&gt;"",J2467,K2467)))</f>
        <v>96.07</v>
      </c>
      <c r="C2467" s="3">
        <f>MEDIAN(H2467:K2467)</f>
        <v>95.035</v>
      </c>
      <c r="D2467" s="3">
        <f>ROUND(C2467*(1-Settings!$B$2),2)</f>
        <v>66.52</v>
      </c>
      <c r="E2467" s="2" t="inlineStr">
        <is>
          <t>Pokemon</t>
        </is>
      </c>
      <c r="F2467" s="2" t="inlineStr">
        <is>
          <t>Coffret</t>
        </is>
      </c>
      <c r="G2467" s="2" t="inlineStr">
        <is>
          <t>SWSH08: Fusion Strike</t>
        </is>
      </c>
      <c r="H2467" s="3" t="n">
        <v>96.06999999999999</v>
      </c>
      <c r="I2467" s="3" t="n">
        <v>91.36</v>
      </c>
      <c r="J2467" s="3" t="n">
        <v>105.99</v>
      </c>
      <c r="K2467" s="3" t="n">
        <v>94</v>
      </c>
      <c r="L2467" s="2" t="inlineStr">
        <is>
          <t>PriceCharting + TCGplayer</t>
        </is>
      </c>
      <c r="M2467" s="4" t="inlineStr">
        <is>
          <t>https://www.pricecharting.com/game/pokemon-fusion-strike/hoopa-v-box</t>
        </is>
      </c>
      <c r="N2467" s="4" t="inlineStr">
        <is>
          <t>https://www.tcgplayer.com/product/247817</t>
        </is>
      </c>
    </row>
    <row r="2468">
      <c r="A2468" s="2" t="inlineStr">
        <is>
          <t>Hoopa V Box / Dragonite V Box [Set of 2]</t>
        </is>
      </c>
      <c r="B2468" s="3">
        <f>IF(H2468&lt;&gt;"",H2468,IF(I2468&lt;&gt;"",I2468,IF(J2468&lt;&gt;"",J2468,K2468)))</f>
        <v>222.72</v>
      </c>
      <c r="C2468" s="3">
        <f>MEDIAN(H2468:K2468)</f>
        <v>224.9</v>
      </c>
      <c r="D2468" s="3">
        <f>ROUND(C2468*(1-Settings!$B$2),2)</f>
        <v>157.43</v>
      </c>
      <c r="E2468" s="2" t="inlineStr">
        <is>
          <t>Pokemon</t>
        </is>
      </c>
      <c r="F2468" s="2" t="inlineStr">
        <is>
          <t>Coffret</t>
        </is>
      </c>
      <c r="G2468" s="2" t="inlineStr">
        <is>
          <t>SWSH08: Fusion Strike</t>
        </is>
      </c>
      <c r="H2468" s="3" t="n"/>
      <c r="I2468" s="3" t="n">
        <v>222.72</v>
      </c>
      <c r="J2468" s="3" t="n">
        <v>236.99</v>
      </c>
      <c r="K2468" s="3" t="n">
        <v>224.9</v>
      </c>
      <c r="L2468" s="2" t="inlineStr">
        <is>
          <t>TCGplayer</t>
        </is>
      </c>
      <c r="N2468" s="4" t="inlineStr">
        <is>
          <t>https://www.tcgplayer.com/product/249619</t>
        </is>
      </c>
    </row>
    <row r="2469">
      <c r="A2469" s="2" t="inlineStr">
        <is>
          <t>Single Strike Urshifu VMAX Premium Collection</t>
        </is>
      </c>
      <c r="B2469" s="3">
        <f>IF(H2469&lt;&gt;"",H2469,IF(I2469&lt;&gt;"",I2469,IF(J2469&lt;&gt;"",J2469,K2469)))</f>
        <v>137.64</v>
      </c>
      <c r="C2469" s="3">
        <f>MEDIAN(H2469:K2469)</f>
        <v>137.64</v>
      </c>
      <c r="D2469" s="3">
        <f>ROUND(C2469*(1-Settings!$B$2),2)</f>
        <v>96.35</v>
      </c>
      <c r="E2469" s="2" t="inlineStr">
        <is>
          <t>Pokemon</t>
        </is>
      </c>
      <c r="F2469" s="2" t="inlineStr">
        <is>
          <t>Coffret</t>
        </is>
      </c>
      <c r="G2469" s="2" t="inlineStr">
        <is>
          <t>SWSH08: Fusion Strike</t>
        </is>
      </c>
      <c r="H2469" s="3" t="n"/>
      <c r="I2469" s="3" t="n">
        <v>137.64</v>
      </c>
      <c r="J2469" s="3" t="n">
        <v>148.49</v>
      </c>
      <c r="K2469" s="3" t="n">
        <v>135.01</v>
      </c>
      <c r="L2469" s="2" t="inlineStr">
        <is>
          <t>TCGplayer</t>
        </is>
      </c>
      <c r="N2469" s="4" t="inlineStr">
        <is>
          <t>https://www.tcgplayer.com/product/253455</t>
        </is>
      </c>
    </row>
    <row r="2470">
      <c r="A2470" s="2" t="inlineStr">
        <is>
          <t>Urshifu VMAX Premium Collection [Set of 2]</t>
        </is>
      </c>
      <c r="B2470" s="3">
        <f>IF(H2470&lt;&gt;"",H2470,IF(I2470&lt;&gt;"",I2470,IF(J2470&lt;&gt;"",J2470,K2470)))</f>
        <v>175.0</v>
      </c>
      <c r="C2470" s="3">
        <f>MEDIAN(H2470:K2470)</f>
        <v>243.0</v>
      </c>
      <c r="D2470" s="3">
        <f>ROUND(C2470*(1-Settings!$B$2),2)</f>
        <v>170.1</v>
      </c>
      <c r="E2470" s="2" t="inlineStr">
        <is>
          <t>Pokemon</t>
        </is>
      </c>
      <c r="F2470" s="2" t="inlineStr">
        <is>
          <t>Coffret</t>
        </is>
      </c>
      <c r="G2470" s="2" t="inlineStr">
        <is>
          <t>SWSH08: Fusion Strike</t>
        </is>
      </c>
      <c r="H2470" s="3" t="n"/>
      <c r="I2470" s="3" t="n">
        <v>175</v>
      </c>
      <c r="J2470" s="3" t="n">
        <v>280</v>
      </c>
      <c r="K2470" s="3" t="n">
        <v>243</v>
      </c>
      <c r="L2470" s="2" t="inlineStr">
        <is>
          <t>TCGplayer</t>
        </is>
      </c>
      <c r="N2470" s="4" t="inlineStr">
        <is>
          <t>https://www.tcgplayer.com/product/283851</t>
        </is>
      </c>
    </row>
    <row r="2471">
      <c r="A2471" s="2" t="inlineStr">
        <is>
          <t>Arceus V Figure Collection</t>
        </is>
      </c>
      <c r="B2471" s="3">
        <f>IF(H2471&lt;&gt;"",H2471,IF(I2471&lt;&gt;"",I2471,IF(J2471&lt;&gt;"",J2471,K2471)))</f>
        <v>142.5</v>
      </c>
      <c r="C2471" s="3">
        <f>MEDIAN(H2471:K2471)</f>
        <v>146.305</v>
      </c>
      <c r="D2471" s="3">
        <f>ROUND(C2471*(1-Settings!$B$2),2)</f>
        <v>102.41</v>
      </c>
      <c r="E2471" s="2" t="inlineStr">
        <is>
          <t>Pokemon</t>
        </is>
      </c>
      <c r="F2471" s="2" t="inlineStr">
        <is>
          <t>Coffret</t>
        </is>
      </c>
      <c r="G2471" s="2" t="inlineStr">
        <is>
          <t>SWSH09: Brilliant Stars</t>
        </is>
      </c>
      <c r="H2471" s="3" t="n">
        <v>142.5</v>
      </c>
      <c r="I2471" s="3" t="n">
        <v>149.61</v>
      </c>
      <c r="J2471" s="3" t="n">
        <v>152.94</v>
      </c>
      <c r="K2471" s="3" t="n">
        <v>143</v>
      </c>
      <c r="L2471" s="2" t="inlineStr">
        <is>
          <t>PriceCharting + TCGplayer</t>
        </is>
      </c>
      <c r="M2471" s="4" t="inlineStr">
        <is>
          <t>https://www.pricecharting.com/game/pokemon-brilliant-stars/arceus-v-figure-collection</t>
        </is>
      </c>
      <c r="N2471" s="4" t="inlineStr">
        <is>
          <t>https://www.tcgplayer.com/product/265251</t>
        </is>
      </c>
    </row>
    <row r="2472">
      <c r="A2472" s="2" t="inlineStr">
        <is>
          <t>Brilliant Stars Booster Pack Art Bundle [Set of 4]</t>
        </is>
      </c>
      <c r="B2472" s="3">
        <f>IF(H2472&lt;&gt;"",H2472,IF(I2472&lt;&gt;"",I2472,IF(J2472&lt;&gt;"",J2472,K2472)))</f>
        <v>59.92</v>
      </c>
      <c r="C2472" s="3">
        <f>MEDIAN(H2472:K2472)</f>
        <v>59.92</v>
      </c>
      <c r="D2472" s="3">
        <f>ROUND(C2472*(1-Settings!$B$2),2)</f>
        <v>41.94</v>
      </c>
      <c r="E2472" s="2" t="inlineStr">
        <is>
          <t>Pokemon</t>
        </is>
      </c>
      <c r="F2472" s="2" t="inlineStr">
        <is>
          <t>Coffret</t>
        </is>
      </c>
      <c r="G2472" s="2" t="inlineStr">
        <is>
          <t>SWSH09: Brilliant Stars</t>
        </is>
      </c>
      <c r="H2472" s="3" t="n"/>
      <c r="I2472" s="3" t="n">
        <v>59.92</v>
      </c>
      <c r="J2472" s="3" t="n">
        <v>67.48999999999999</v>
      </c>
      <c r="K2472" s="3" t="n">
        <v>58.69</v>
      </c>
      <c r="L2472" s="2" t="inlineStr">
        <is>
          <t>TCGplayer</t>
        </is>
      </c>
      <c r="N2472" s="4" t="inlineStr">
        <is>
          <t>https://www.tcgplayer.com/product/256134</t>
        </is>
      </c>
    </row>
    <row r="2473">
      <c r="A2473" s="2" t="inlineStr">
        <is>
          <t>Brilliant Stars Build &amp; Battle Box</t>
        </is>
      </c>
      <c r="B2473" s="3">
        <f>IF(H2473&lt;&gt;"",H2473,IF(I2473&lt;&gt;"",I2473,IF(J2473&lt;&gt;"",J2473,K2473)))</f>
        <v>63.0</v>
      </c>
      <c r="C2473" s="3">
        <f>MEDIAN(H2473:K2473)</f>
        <v>63.53</v>
      </c>
      <c r="D2473" s="3">
        <f>ROUND(C2473*(1-Settings!$B$2),2)</f>
        <v>44.47</v>
      </c>
      <c r="E2473" s="2" t="inlineStr">
        <is>
          <t>Pokemon</t>
        </is>
      </c>
      <c r="F2473" s="2" t="inlineStr">
        <is>
          <t>Coffret</t>
        </is>
      </c>
      <c r="G2473" s="2" t="inlineStr">
        <is>
          <t>SWSH09: Brilliant Stars</t>
        </is>
      </c>
      <c r="H2473" s="3" t="n">
        <v>63</v>
      </c>
      <c r="I2473" s="3" t="n">
        <v>64.06</v>
      </c>
      <c r="J2473" s="3" t="n">
        <v>67.84999999999999</v>
      </c>
      <c r="K2473" s="3" t="n">
        <v>16.99</v>
      </c>
      <c r="L2473" s="2" t="inlineStr">
        <is>
          <t>PriceCharting + TCGplayer</t>
        </is>
      </c>
      <c r="M2473" s="4" t="inlineStr">
        <is>
          <t>https://www.pricecharting.com/game/pokemon-brilliant-stars/build-&amp;-battle-box</t>
        </is>
      </c>
      <c r="N2473" s="4" t="inlineStr">
        <is>
          <t>https://www.tcgplayer.com/product/256137</t>
        </is>
      </c>
    </row>
    <row r="2474">
      <c r="A2474" s="2" t="inlineStr">
        <is>
          <t>Brilliant Stars Build &amp; Battle Stadium</t>
        </is>
      </c>
      <c r="B2474" s="3">
        <f>IF(H2474&lt;&gt;"",H2474,IF(I2474&lt;&gt;"",I2474,IF(J2474&lt;&gt;"",J2474,K2474)))</f>
        <v>172.98</v>
      </c>
      <c r="C2474" s="3">
        <f>MEDIAN(H2474:K2474)</f>
        <v>171.265</v>
      </c>
      <c r="D2474" s="3">
        <f>ROUND(C2474*(1-Settings!$B$2),2)</f>
        <v>119.89</v>
      </c>
      <c r="E2474" s="2" t="inlineStr">
        <is>
          <t>Pokemon</t>
        </is>
      </c>
      <c r="F2474" s="2" t="inlineStr">
        <is>
          <t>Coffret</t>
        </is>
      </c>
      <c r="G2474" s="2" t="inlineStr">
        <is>
          <t>SWSH09: Brilliant Stars</t>
        </is>
      </c>
      <c r="H2474" s="3" t="n">
        <v>172.98</v>
      </c>
      <c r="I2474" s="3" t="n">
        <v>169.55</v>
      </c>
      <c r="J2474" s="3" t="n">
        <v>187.99</v>
      </c>
      <c r="K2474" s="3" t="n">
        <v>154.5</v>
      </c>
      <c r="L2474" s="2" t="inlineStr">
        <is>
          <t>PriceCharting + TCGplayer</t>
        </is>
      </c>
      <c r="M2474" s="4" t="inlineStr">
        <is>
          <t>https://www.pricecharting.com/game/pokemon-brilliant-stars/build-&amp;-battle-stadium</t>
        </is>
      </c>
      <c r="N2474" s="4" t="inlineStr">
        <is>
          <t>https://www.tcgplayer.com/product/256139</t>
        </is>
      </c>
    </row>
    <row r="2475">
      <c r="A2475" s="2" t="inlineStr">
        <is>
          <t>Brilliant Stars Elite Trainer Box</t>
        </is>
      </c>
      <c r="B2475" s="3">
        <f>IF(H2475&lt;&gt;"",H2475,IF(I2475&lt;&gt;"",I2475,IF(J2475&lt;&gt;"",J2475,K2475)))</f>
        <v>153.81</v>
      </c>
      <c r="C2475" s="3">
        <f>MEDIAN(H2475:K2475)</f>
        <v>157.69</v>
      </c>
      <c r="D2475" s="3">
        <f>ROUND(C2475*(1-Settings!$B$2),2)</f>
        <v>110.38</v>
      </c>
      <c r="E2475" s="2" t="inlineStr">
        <is>
          <t>Pokemon</t>
        </is>
      </c>
      <c r="F2475" s="2" t="inlineStr">
        <is>
          <t>Coffret</t>
        </is>
      </c>
      <c r="G2475" s="2" t="inlineStr">
        <is>
          <t>SWSH09: Brilliant Stars</t>
        </is>
      </c>
      <c r="H2475" s="3" t="n">
        <v>153.81</v>
      </c>
      <c r="I2475" s="3" t="n">
        <v>157.38</v>
      </c>
      <c r="J2475" s="3" t="n">
        <v>188</v>
      </c>
      <c r="K2475" s="3" t="n">
        <v>158</v>
      </c>
      <c r="L2475" s="2" t="inlineStr">
        <is>
          <t>PriceCharting + TCGplayer</t>
        </is>
      </c>
      <c r="M2475" s="4" t="inlineStr">
        <is>
          <t>https://www.pricecharting.com/game/pokemon-brilliant-stars/elite-trainer-box</t>
        </is>
      </c>
      <c r="N2475" s="4" t="inlineStr">
        <is>
          <t>https://www.tcgplayer.com/product/256138</t>
        </is>
      </c>
    </row>
    <row r="2476">
      <c r="A2476" s="2" t="inlineStr">
        <is>
          <t>Brilliant Stars Pokemon Center Elite Trainer Box (Exclusive)</t>
        </is>
      </c>
      <c r="B2476" s="3">
        <f>IF(H2476&lt;&gt;"",H2476,IF(I2476&lt;&gt;"",I2476,IF(J2476&lt;&gt;"",J2476,K2476)))</f>
        <v>227.68</v>
      </c>
      <c r="C2476" s="3">
        <f>MEDIAN(H2476:K2476)</f>
        <v>227.99</v>
      </c>
      <c r="D2476" s="3">
        <f>ROUND(C2476*(1-Settings!$B$2),2)</f>
        <v>159.59</v>
      </c>
      <c r="E2476" s="2" t="inlineStr">
        <is>
          <t>Pokemon</t>
        </is>
      </c>
      <c r="F2476" s="2" t="inlineStr">
        <is>
          <t>Coffret</t>
        </is>
      </c>
      <c r="G2476" s="2" t="inlineStr">
        <is>
          <t>SWSH09: Brilliant Stars</t>
        </is>
      </c>
      <c r="H2476" s="3" t="n"/>
      <c r="I2476" s="3" t="n">
        <v>227.68</v>
      </c>
      <c r="J2476" s="3" t="n">
        <v>299</v>
      </c>
      <c r="K2476" s="3" t="n">
        <v>227.99</v>
      </c>
      <c r="L2476" s="2" t="inlineStr">
        <is>
          <t>TCGplayer</t>
        </is>
      </c>
      <c r="N2476" s="4" t="inlineStr">
        <is>
          <t>https://www.tcgplayer.com/product/256140</t>
        </is>
      </c>
    </row>
    <row r="2477">
      <c r="A2477" s="2" t="inlineStr">
        <is>
          <t>Brilliant Stars Sleeved Booster Pack Art Bundle [Set of 4]</t>
        </is>
      </c>
      <c r="B2477" s="3">
        <f>IF(H2477&lt;&gt;"",H2477,IF(I2477&lt;&gt;"",I2477,IF(J2477&lt;&gt;"",J2477,K2477)))</f>
        <v>73.54</v>
      </c>
      <c r="C2477" s="3">
        <f>MEDIAN(H2477:K2477)</f>
        <v>73.07</v>
      </c>
      <c r="D2477" s="3">
        <f>ROUND(C2477*(1-Settings!$B$2),2)</f>
        <v>51.15</v>
      </c>
      <c r="E2477" s="2" t="inlineStr">
        <is>
          <t>Pokemon</t>
        </is>
      </c>
      <c r="F2477" s="2" t="inlineStr">
        <is>
          <t>Coffret</t>
        </is>
      </c>
      <c r="G2477" s="2" t="inlineStr">
        <is>
          <t>SWSH09: Brilliant Stars</t>
        </is>
      </c>
      <c r="H2477" s="3" t="n"/>
      <c r="I2477" s="3" t="n">
        <v>73.54000000000001</v>
      </c>
      <c r="J2477" s="3" t="n">
        <v>73.06999999999999</v>
      </c>
      <c r="K2477" s="3" t="n">
        <v>70</v>
      </c>
      <c r="L2477" s="2" t="inlineStr">
        <is>
          <t>TCGplayer</t>
        </is>
      </c>
      <c r="N2477" s="4" t="inlineStr">
        <is>
          <t>https://www.tcgplayer.com/product/256135</t>
        </is>
      </c>
    </row>
    <row r="2478">
      <c r="A2478" s="2" t="inlineStr">
        <is>
          <t>Brilliant Stars Sleeved Booster Pack Bundle [Set of 8]</t>
        </is>
      </c>
      <c r="B2478" s="3">
        <f>IF(H2478&lt;&gt;"",H2478,IF(I2478&lt;&gt;"",I2478,IF(J2478&lt;&gt;"",J2478,K2478)))</f>
        <v>145.59</v>
      </c>
      <c r="C2478" s="3">
        <f>MEDIAN(H2478:K2478)</f>
        <v>156.89</v>
      </c>
      <c r="D2478" s="3">
        <f>ROUND(C2478*(1-Settings!$B$2),2)</f>
        <v>109.82</v>
      </c>
      <c r="E2478" s="2" t="inlineStr">
        <is>
          <t>Pokemon</t>
        </is>
      </c>
      <c r="F2478" s="2" t="inlineStr">
        <is>
          <t>Coffret</t>
        </is>
      </c>
      <c r="G2478" s="2" t="inlineStr">
        <is>
          <t>SWSH09: Brilliant Stars</t>
        </is>
      </c>
      <c r="H2478" s="3" t="n"/>
      <c r="I2478" s="3" t="n">
        <v>145.59</v>
      </c>
      <c r="J2478" s="3" t="n">
        <v>156.94</v>
      </c>
      <c r="K2478" s="3" t="n">
        <v>156.89</v>
      </c>
      <c r="L2478" s="2" t="inlineStr">
        <is>
          <t>TCGplayer</t>
        </is>
      </c>
      <c r="N2478" s="4" t="inlineStr">
        <is>
          <t>https://www.tcgplayer.com/product/256136</t>
        </is>
      </c>
    </row>
    <row r="2479">
      <c r="A2479" s="2" t="inlineStr">
        <is>
          <t>Glaceon / Leafeon VSTAR Special Collection [Set of 2]</t>
        </is>
      </c>
      <c r="B2479" s="3">
        <f>IF(H2479&lt;&gt;"",H2479,IF(I2479&lt;&gt;"",I2479,IF(J2479&lt;&gt;"",J2479,K2479)))</f>
        <v>240.97</v>
      </c>
      <c r="C2479" s="3">
        <f>MEDIAN(H2479:K2479)</f>
        <v>251.9</v>
      </c>
      <c r="D2479" s="3">
        <f>ROUND(C2479*(1-Settings!$B$2),2)</f>
        <v>176.33</v>
      </c>
      <c r="E2479" s="2" t="inlineStr">
        <is>
          <t>Pokemon</t>
        </is>
      </c>
      <c r="F2479" s="2" t="inlineStr">
        <is>
          <t>Coffret</t>
        </is>
      </c>
      <c r="G2479" s="2" t="inlineStr">
        <is>
          <t>SWSH09: Brilliant Stars</t>
        </is>
      </c>
      <c r="H2479" s="3" t="n"/>
      <c r="I2479" s="3" t="n">
        <v>240.97</v>
      </c>
      <c r="J2479" s="3" t="n">
        <v>299.97</v>
      </c>
      <c r="K2479" s="3" t="n">
        <v>251.9</v>
      </c>
      <c r="L2479" s="2" t="inlineStr">
        <is>
          <t>TCGplayer</t>
        </is>
      </c>
      <c r="N2479" s="4" t="inlineStr">
        <is>
          <t>https://www.tcgplayer.com/product/257375</t>
        </is>
      </c>
    </row>
    <row r="2480">
      <c r="A2480" s="2" t="inlineStr">
        <is>
          <t>Glaceon VSTAR Special Collection</t>
        </is>
      </c>
      <c r="B2480" s="3">
        <f>IF(H2480&lt;&gt;"",H2480,IF(I2480&lt;&gt;"",I2480,IF(J2480&lt;&gt;"",J2480,K2480)))</f>
        <v>156.05</v>
      </c>
      <c r="C2480" s="3">
        <f>MEDIAN(H2480:K2480)</f>
        <v>150.395</v>
      </c>
      <c r="D2480" s="3">
        <f>ROUND(C2480*(1-Settings!$B$2),2)</f>
        <v>105.28</v>
      </c>
      <c r="E2480" s="2" t="inlineStr">
        <is>
          <t>Pokemon</t>
        </is>
      </c>
      <c r="F2480" s="2" t="inlineStr">
        <is>
          <t>Coffret</t>
        </is>
      </c>
      <c r="G2480" s="2" t="inlineStr">
        <is>
          <t>SWSH09: Brilliant Stars</t>
        </is>
      </c>
      <c r="H2480" s="3" t="n">
        <v>156.05</v>
      </c>
      <c r="I2480" s="3" t="n">
        <v>136.39</v>
      </c>
      <c r="J2480" s="3" t="n">
        <v>159.7</v>
      </c>
      <c r="K2480" s="3" t="n">
        <v>144.74</v>
      </c>
      <c r="L2480" s="2" t="inlineStr">
        <is>
          <t>PriceCharting + TCGplayer</t>
        </is>
      </c>
      <c r="M2480" s="4" t="inlineStr">
        <is>
          <t>https://www.pricecharting.com/game/pokemon-brilliant-stars/glaceon-vstar-special-collection</t>
        </is>
      </c>
      <c r="N2480" s="4" t="inlineStr">
        <is>
          <t>https://www.tcgplayer.com/product/256146</t>
        </is>
      </c>
    </row>
    <row r="2481">
      <c r="A2481" s="2" t="inlineStr">
        <is>
          <t>Astral Radiance 3 Pack Hanger Box</t>
        </is>
      </c>
      <c r="B2481" s="3">
        <f>IF(H2481&lt;&gt;"",H2481,IF(I2481&lt;&gt;"",I2481,IF(J2481&lt;&gt;"",J2481,K2481)))</f>
        <v>42.5</v>
      </c>
      <c r="C2481" s="3">
        <f>MEDIAN(H2481:K2481)</f>
        <v>420.69</v>
      </c>
      <c r="D2481" s="3">
        <f>ROUND(C2481*(1-Settings!$B$2),2)</f>
        <v>294.48</v>
      </c>
      <c r="E2481" s="2" t="inlineStr">
        <is>
          <t>Pokemon</t>
        </is>
      </c>
      <c r="F2481" s="2" t="inlineStr">
        <is>
          <t>Coffret</t>
        </is>
      </c>
      <c r="G2481" s="2" t="inlineStr">
        <is>
          <t>SWSH10: Astral Radiance</t>
        </is>
      </c>
      <c r="H2481" s="3" t="n"/>
      <c r="I2481" s="3" t="n">
        <v>42.5</v>
      </c>
      <c r="J2481" s="3" t="n">
        <v>420.69</v>
      </c>
      <c r="K2481" s="3" t="n">
        <v>420.69</v>
      </c>
      <c r="L2481" s="2" t="inlineStr">
        <is>
          <t>TCGplayer</t>
        </is>
      </c>
      <c r="N2481" s="4" t="inlineStr">
        <is>
          <t>https://www.tcgplayer.com/product/523959</t>
        </is>
      </c>
    </row>
    <row r="2482">
      <c r="A2482" s="2" t="inlineStr">
        <is>
          <t>Astral Radiance Booster Pack Art Bundle [Set of 5]</t>
        </is>
      </c>
      <c r="B2482" s="3">
        <f>IF(H2482&lt;&gt;"",H2482,IF(I2482&lt;&gt;"",I2482,IF(J2482&lt;&gt;"",J2482,K2482)))</f>
        <v>52.7</v>
      </c>
      <c r="C2482" s="3">
        <f>MEDIAN(H2482:K2482)</f>
        <v>52.99</v>
      </c>
      <c r="D2482" s="3">
        <f>ROUND(C2482*(1-Settings!$B$2),2)</f>
        <v>37.09</v>
      </c>
      <c r="E2482" s="2" t="inlineStr">
        <is>
          <t>Pokemon</t>
        </is>
      </c>
      <c r="F2482" s="2" t="inlineStr">
        <is>
          <t>Coffret</t>
        </is>
      </c>
      <c r="G2482" s="2" t="inlineStr">
        <is>
          <t>SWSH10: Astral Radiance</t>
        </is>
      </c>
      <c r="H2482" s="3" t="n"/>
      <c r="I2482" s="3" t="n">
        <v>52.7</v>
      </c>
      <c r="J2482" s="3" t="n">
        <v>54.99</v>
      </c>
      <c r="K2482" s="3" t="n">
        <v>52.99</v>
      </c>
      <c r="L2482" s="2" t="inlineStr">
        <is>
          <t>TCGplayer</t>
        </is>
      </c>
      <c r="N2482" s="4" t="inlineStr">
        <is>
          <t>https://www.tcgplayer.com/product/265542</t>
        </is>
      </c>
    </row>
    <row r="2483">
      <c r="A2483" s="2" t="inlineStr">
        <is>
          <t>Astral Radiance Build &amp; Battle Box</t>
        </is>
      </c>
      <c r="B2483" s="3">
        <f>IF(H2483&lt;&gt;"",H2483,IF(I2483&lt;&gt;"",I2483,IF(J2483&lt;&gt;"",J2483,K2483)))</f>
        <v>40.75</v>
      </c>
      <c r="C2483" s="3">
        <f>MEDIAN(H2483:K2483)</f>
        <v>46.010000000000005</v>
      </c>
      <c r="D2483" s="3">
        <f>ROUND(C2483*(1-Settings!$B$2),2)</f>
        <v>32.21</v>
      </c>
      <c r="E2483" s="2" t="inlineStr">
        <is>
          <t>Pokemon</t>
        </is>
      </c>
      <c r="F2483" s="2" t="inlineStr">
        <is>
          <t>Coffret</t>
        </is>
      </c>
      <c r="G2483" s="2" t="inlineStr">
        <is>
          <t>SWSH10: Astral Radiance</t>
        </is>
      </c>
      <c r="H2483" s="3" t="n">
        <v>40.75</v>
      </c>
      <c r="I2483" s="3" t="n">
        <v>46.52</v>
      </c>
      <c r="J2483" s="3" t="n">
        <v>50</v>
      </c>
      <c r="K2483" s="3" t="n">
        <v>45.5</v>
      </c>
      <c r="L2483" s="2" t="inlineStr">
        <is>
          <t>PriceCharting + TCGplayer</t>
        </is>
      </c>
      <c r="M2483" s="4" t="inlineStr">
        <is>
          <t>https://www.pricecharting.com/game/pokemon-astral-radiance/build-&amp;-battle-box</t>
        </is>
      </c>
      <c r="N2483" s="4" t="inlineStr">
        <is>
          <t>https://www.tcgplayer.com/product/265529</t>
        </is>
      </c>
    </row>
    <row r="2484">
      <c r="A2484" s="2" t="inlineStr">
        <is>
          <t>Astral Radiance Build &amp; Battle Stadium</t>
        </is>
      </c>
      <c r="B2484" s="3">
        <f>IF(H2484&lt;&gt;"",H2484,IF(I2484&lt;&gt;"",I2484,IF(J2484&lt;&gt;"",J2484,K2484)))</f>
        <v>122.97</v>
      </c>
      <c r="C2484" s="3">
        <f>MEDIAN(H2484:K2484)</f>
        <v>123.45</v>
      </c>
      <c r="D2484" s="3">
        <f>ROUND(C2484*(1-Settings!$B$2),2)</f>
        <v>86.42</v>
      </c>
      <c r="E2484" s="2" t="inlineStr">
        <is>
          <t>Pokemon</t>
        </is>
      </c>
      <c r="F2484" s="2" t="inlineStr">
        <is>
          <t>Coffret</t>
        </is>
      </c>
      <c r="G2484" s="2" t="inlineStr">
        <is>
          <t>SWSH10: Astral Radiance</t>
        </is>
      </c>
      <c r="H2484" s="3" t="n">
        <v>122.97</v>
      </c>
      <c r="I2484" s="3" t="n">
        <v>123.93</v>
      </c>
      <c r="J2484" s="3" t="n">
        <v>143.5</v>
      </c>
      <c r="K2484" s="3" t="n">
        <v>119.93</v>
      </c>
      <c r="L2484" s="2" t="inlineStr">
        <is>
          <t>PriceCharting + TCGplayer</t>
        </is>
      </c>
      <c r="M2484" s="4" t="inlineStr">
        <is>
          <t>https://www.pricecharting.com/game/pokemon-astral-radiance/build-&amp;-battle-stadium</t>
        </is>
      </c>
      <c r="N2484" s="4" t="inlineStr">
        <is>
          <t>https://www.tcgplayer.com/product/265515</t>
        </is>
      </c>
    </row>
    <row r="2485">
      <c r="A2485" s="2" t="inlineStr">
        <is>
          <t>Astral Radiance Elite Trainer Box</t>
        </is>
      </c>
      <c r="B2485" s="3">
        <f>IF(H2485&lt;&gt;"",H2485,IF(I2485&lt;&gt;"",I2485,IF(J2485&lt;&gt;"",J2485,K2485)))</f>
        <v>130.4</v>
      </c>
      <c r="C2485" s="3">
        <f>MEDIAN(H2485:K2485)</f>
        <v>134.905</v>
      </c>
      <c r="D2485" s="3">
        <f>ROUND(C2485*(1-Settings!$B$2),2)</f>
        <v>94.43</v>
      </c>
      <c r="E2485" s="2" t="inlineStr">
        <is>
          <t>Pokemon</t>
        </is>
      </c>
      <c r="F2485" s="2" t="inlineStr">
        <is>
          <t>Coffret</t>
        </is>
      </c>
      <c r="G2485" s="2" t="inlineStr">
        <is>
          <t>SWSH10: Astral Radiance</t>
        </is>
      </c>
      <c r="H2485" s="3" t="n">
        <v>130.4</v>
      </c>
      <c r="I2485" s="3" t="n">
        <v>139.41</v>
      </c>
      <c r="J2485" s="3" t="n">
        <v>155.5</v>
      </c>
      <c r="K2485" s="3" t="n">
        <v>129</v>
      </c>
      <c r="L2485" s="2" t="inlineStr">
        <is>
          <t>PriceCharting + TCGplayer</t>
        </is>
      </c>
      <c r="M2485" s="4" t="inlineStr">
        <is>
          <t>https://www.pricecharting.com/game/pokemon-astral-radiance/elite-trainer-box</t>
        </is>
      </c>
      <c r="N2485" s="4" t="inlineStr">
        <is>
          <t>https://www.tcgplayer.com/product/265527</t>
        </is>
      </c>
    </row>
    <row r="2486">
      <c r="A2486" s="2" t="inlineStr">
        <is>
          <t>Astral Radiance Pokemon Center Elite Trainer Box (Exclusive)</t>
        </is>
      </c>
      <c r="B2486" s="3">
        <f>IF(H2486&lt;&gt;"",H2486,IF(I2486&lt;&gt;"",I2486,IF(J2486&lt;&gt;"",J2486,K2486)))</f>
        <v>197.06</v>
      </c>
      <c r="C2486" s="3">
        <f>MEDIAN(H2486:K2486)</f>
        <v>197.06</v>
      </c>
      <c r="D2486" s="3">
        <f>ROUND(C2486*(1-Settings!$B$2),2)</f>
        <v>137.94</v>
      </c>
      <c r="E2486" s="2" t="inlineStr">
        <is>
          <t>Pokemon</t>
        </is>
      </c>
      <c r="F2486" s="2" t="inlineStr">
        <is>
          <t>Coffret</t>
        </is>
      </c>
      <c r="G2486" s="2" t="inlineStr">
        <is>
          <t>SWSH10: Astral Radiance</t>
        </is>
      </c>
      <c r="H2486" s="3" t="n"/>
      <c r="I2486" s="3" t="n">
        <v>197.06</v>
      </c>
      <c r="J2486" s="3" t="n">
        <v>230</v>
      </c>
      <c r="K2486" s="3" t="n">
        <v>164.75</v>
      </c>
      <c r="L2486" s="2" t="inlineStr">
        <is>
          <t>TCGplayer</t>
        </is>
      </c>
      <c r="N2486" s="4" t="inlineStr">
        <is>
          <t>https://www.tcgplayer.com/product/265528</t>
        </is>
      </c>
    </row>
    <row r="2487">
      <c r="A2487" s="2" t="inlineStr">
        <is>
          <t>Astral Radiance Sleeved Booster Pack Art Bundle [Set of 5]</t>
        </is>
      </c>
      <c r="B2487" s="3">
        <f>IF(H2487&lt;&gt;"",H2487,IF(I2487&lt;&gt;"",I2487,IF(J2487&lt;&gt;"",J2487,K2487)))</f>
        <v>57.38</v>
      </c>
      <c r="C2487" s="3">
        <f>MEDIAN(H2487:K2487)</f>
        <v>71.89</v>
      </c>
      <c r="D2487" s="3">
        <f>ROUND(C2487*(1-Settings!$B$2),2)</f>
        <v>50.32</v>
      </c>
      <c r="E2487" s="2" t="inlineStr">
        <is>
          <t>Pokemon</t>
        </is>
      </c>
      <c r="F2487" s="2" t="inlineStr">
        <is>
          <t>Coffret</t>
        </is>
      </c>
      <c r="G2487" s="2" t="inlineStr">
        <is>
          <t>SWSH10: Astral Radiance</t>
        </is>
      </c>
      <c r="H2487" s="3" t="n"/>
      <c r="I2487" s="3" t="n">
        <v>57.38</v>
      </c>
      <c r="J2487" s="3" t="n">
        <v>72</v>
      </c>
      <c r="K2487" s="3" t="n">
        <v>71.89</v>
      </c>
      <c r="L2487" s="2" t="inlineStr">
        <is>
          <t>TCGplayer</t>
        </is>
      </c>
      <c r="N2487" s="4" t="inlineStr">
        <is>
          <t>https://www.tcgplayer.com/product/265543</t>
        </is>
      </c>
    </row>
    <row r="2488">
      <c r="A2488" s="2" t="inlineStr">
        <is>
          <t>Heavy Hitters Premium Collection</t>
        </is>
      </c>
      <c r="B2488" s="3">
        <f>IF(H2488&lt;&gt;"",H2488,IF(I2488&lt;&gt;"",I2488,IF(J2488&lt;&gt;"",J2488,K2488)))</f>
        <v>292.14</v>
      </c>
      <c r="C2488" s="3">
        <f>MEDIAN(H2488:K2488)</f>
        <v>320.0</v>
      </c>
      <c r="D2488" s="3">
        <f>ROUND(C2488*(1-Settings!$B$2),2)</f>
        <v>224.0</v>
      </c>
      <c r="E2488" s="2" t="inlineStr">
        <is>
          <t>Pokemon</t>
        </is>
      </c>
      <c r="F2488" s="2" t="inlineStr">
        <is>
          <t>Coffret</t>
        </is>
      </c>
      <c r="G2488" s="2" t="inlineStr">
        <is>
          <t>SWSH10: Astral Radiance</t>
        </is>
      </c>
      <c r="H2488" s="3" t="n"/>
      <c r="I2488" s="3" t="n">
        <v>292.14</v>
      </c>
      <c r="J2488" s="3" t="n">
        <v>387.5</v>
      </c>
      <c r="K2488" s="3" t="n">
        <v>320</v>
      </c>
      <c r="L2488" s="2" t="inlineStr">
        <is>
          <t>TCGplayer</t>
        </is>
      </c>
      <c r="N2488" s="4" t="inlineStr">
        <is>
          <t>https://www.tcgplayer.com/product/279598</t>
        </is>
      </c>
    </row>
    <row r="2489">
      <c r="A2489" s="2" t="inlineStr">
        <is>
          <t>Arceus VSTAR Premium Collection</t>
        </is>
      </c>
      <c r="B2489" s="3">
        <f>IF(H2489&lt;&gt;"",H2489,IF(I2489&lt;&gt;"",I2489,IF(J2489&lt;&gt;"",J2489,K2489)))</f>
        <v>304.19</v>
      </c>
      <c r="C2489" s="3">
        <f>MEDIAN(H2489:K2489)</f>
        <v>304.19</v>
      </c>
      <c r="D2489" s="3">
        <f>ROUND(C2489*(1-Settings!$B$2),2)</f>
        <v>212.93</v>
      </c>
      <c r="E2489" s="2" t="inlineStr">
        <is>
          <t>Pokemon</t>
        </is>
      </c>
      <c r="F2489" s="2" t="inlineStr">
        <is>
          <t>Coffret</t>
        </is>
      </c>
      <c r="G2489" s="2" t="inlineStr">
        <is>
          <t>SWSH11: Lost Origin</t>
        </is>
      </c>
      <c r="H2489" s="3" t="n"/>
      <c r="I2489" s="3" t="n">
        <v>304.19</v>
      </c>
      <c r="J2489" s="3" t="n">
        <v>329.99</v>
      </c>
      <c r="K2489" s="3" t="n">
        <v>249.99</v>
      </c>
      <c r="L2489" s="2" t="inlineStr">
        <is>
          <t>TCGplayer</t>
        </is>
      </c>
      <c r="N2489" s="4" t="inlineStr">
        <is>
          <t>https://www.tcgplayer.com/product/283325</t>
        </is>
      </c>
    </row>
    <row r="2490">
      <c r="A2490" s="2" t="inlineStr">
        <is>
          <t>Arceus VSTAR Ultra-Premium Collection</t>
        </is>
      </c>
      <c r="B2490" s="3">
        <f>IF(H2490&lt;&gt;"",H2490,IF(I2490&lt;&gt;"",I2490,IF(J2490&lt;&gt;"",J2490,K2490)))</f>
        <v>380.32</v>
      </c>
      <c r="C2490" s="3">
        <f>MEDIAN(H2490:K2490)</f>
        <v>380.32</v>
      </c>
      <c r="D2490" s="3">
        <f>ROUND(C2490*(1-Settings!$B$2),2)</f>
        <v>266.22</v>
      </c>
      <c r="E2490" s="2" t="inlineStr">
        <is>
          <t>Pokemon</t>
        </is>
      </c>
      <c r="F2490" s="2" t="inlineStr">
        <is>
          <t>Coffret</t>
        </is>
      </c>
      <c r="G2490" s="2" t="inlineStr">
        <is>
          <t>SWSH11: Lost Origin</t>
        </is>
      </c>
      <c r="H2490" s="3" t="n"/>
      <c r="I2490" s="3" t="n">
        <v>380.32</v>
      </c>
      <c r="J2490" s="3" t="n">
        <v>420</v>
      </c>
      <c r="K2490" s="3" t="n">
        <v>29.99</v>
      </c>
      <c r="L2490" s="2" t="inlineStr">
        <is>
          <t>TCGplayer</t>
        </is>
      </c>
      <c r="N2490" s="4" t="inlineStr">
        <is>
          <t>https://www.tcgplayer.com/product/285674</t>
        </is>
      </c>
    </row>
    <row r="2491">
      <c r="A2491" s="2" t="inlineStr">
        <is>
          <t>Hisuian Zoroark VSTAR Premium Collection</t>
        </is>
      </c>
      <c r="B2491" s="3">
        <f>IF(H2491&lt;&gt;"",H2491,IF(I2491&lt;&gt;"",I2491,IF(J2491&lt;&gt;"",J2491,K2491)))</f>
        <v>179.07</v>
      </c>
      <c r="C2491" s="3">
        <f>MEDIAN(H2491:K2491)</f>
        <v>179.07</v>
      </c>
      <c r="D2491" s="3">
        <f>ROUND(C2491*(1-Settings!$B$2),2)</f>
        <v>125.35</v>
      </c>
      <c r="E2491" s="2" t="inlineStr">
        <is>
          <t>Pokemon</t>
        </is>
      </c>
      <c r="F2491" s="2" t="inlineStr">
        <is>
          <t>Coffret</t>
        </is>
      </c>
      <c r="G2491" s="2" t="inlineStr">
        <is>
          <t>SWSH11: Lost Origin</t>
        </is>
      </c>
      <c r="H2491" s="3" t="n"/>
      <c r="I2491" s="3" t="n">
        <v>179.07</v>
      </c>
      <c r="J2491" s="3" t="n">
        <v>231.47</v>
      </c>
      <c r="K2491" s="3" t="n">
        <v>2</v>
      </c>
      <c r="L2491" s="2" t="inlineStr">
        <is>
          <t>TCGplayer</t>
        </is>
      </c>
      <c r="N2491" s="4" t="inlineStr">
        <is>
          <t>https://www.tcgplayer.com/product/282402</t>
        </is>
      </c>
    </row>
    <row r="2492">
      <c r="A2492" s="2" t="inlineStr">
        <is>
          <t>Hisuian Zoroark VSTAR Premium Collection (International Version)</t>
        </is>
      </c>
      <c r="B2492" s="3">
        <f>IF(H2492&lt;&gt;"",H2492,IF(I2492&lt;&gt;"",I2492,IF(J2492&lt;&gt;"",J2492,K2492)))</f>
        <v>99.99</v>
      </c>
      <c r="C2492" s="3">
        <f>MEDIAN(H2492:K2492)</f>
        <v>139.01</v>
      </c>
      <c r="D2492" s="3">
        <f>ROUND(C2492*(1-Settings!$B$2),2)</f>
        <v>97.31</v>
      </c>
      <c r="E2492" s="2" t="inlineStr">
        <is>
          <t>Pokemon</t>
        </is>
      </c>
      <c r="F2492" s="2" t="inlineStr">
        <is>
          <t>Coffret</t>
        </is>
      </c>
      <c r="G2492" s="2" t="inlineStr">
        <is>
          <t>SWSH11: Lost Origin</t>
        </is>
      </c>
      <c r="H2492" s="3" t="n"/>
      <c r="I2492" s="3" t="n">
        <v>99.98999999999999</v>
      </c>
      <c r="J2492" s="3" t="n">
        <v>154.99</v>
      </c>
      <c r="K2492" s="3" t="n">
        <v>139.01</v>
      </c>
      <c r="L2492" s="2" t="inlineStr">
        <is>
          <t>TCGplayer</t>
        </is>
      </c>
      <c r="N2492" s="4" t="inlineStr">
        <is>
          <t>https://www.tcgplayer.com/product/637417</t>
        </is>
      </c>
    </row>
    <row r="2493">
      <c r="A2493" s="2" t="inlineStr">
        <is>
          <t>Lost Origin Booster Pack Art Bundle [Set of 4]</t>
        </is>
      </c>
      <c r="B2493" s="3">
        <f>IF(H2493&lt;&gt;"",H2493,IF(I2493&lt;&gt;"",I2493,IF(J2493&lt;&gt;"",J2493,K2493)))</f>
        <v>77.54</v>
      </c>
      <c r="C2493" s="3">
        <f>MEDIAN(H2493:K2493)</f>
        <v>77.54</v>
      </c>
      <c r="D2493" s="3">
        <f>ROUND(C2493*(1-Settings!$B$2),2)</f>
        <v>54.28</v>
      </c>
      <c r="E2493" s="2" t="inlineStr">
        <is>
          <t>Pokemon</t>
        </is>
      </c>
      <c r="F2493" s="2" t="inlineStr">
        <is>
          <t>Coffret</t>
        </is>
      </c>
      <c r="G2493" s="2" t="inlineStr">
        <is>
          <t>SWSH11: Lost Origin</t>
        </is>
      </c>
      <c r="H2493" s="3" t="n"/>
      <c r="I2493" s="3" t="n">
        <v>77.54000000000001</v>
      </c>
      <c r="J2493" s="3" t="n">
        <v>78</v>
      </c>
      <c r="K2493" s="3" t="n">
        <v>69.98999999999999</v>
      </c>
      <c r="L2493" s="2" t="inlineStr">
        <is>
          <t>TCGplayer</t>
        </is>
      </c>
      <c r="N2493" s="4" t="inlineStr">
        <is>
          <t>https://www.tcgplayer.com/product/278794</t>
        </is>
      </c>
    </row>
    <row r="2494">
      <c r="A2494" s="2" t="inlineStr">
        <is>
          <t>Lost Origin Build &amp; Battle Box</t>
        </is>
      </c>
      <c r="B2494" s="3">
        <f>IF(H2494&lt;&gt;"",H2494,IF(I2494&lt;&gt;"",I2494,IF(J2494&lt;&gt;"",J2494,K2494)))</f>
        <v>84.85</v>
      </c>
      <c r="C2494" s="3">
        <f>MEDIAN(H2494:K2494)</f>
        <v>88.675</v>
      </c>
      <c r="D2494" s="3">
        <f>ROUND(C2494*(1-Settings!$B$2),2)</f>
        <v>62.07</v>
      </c>
      <c r="E2494" s="2" t="inlineStr">
        <is>
          <t>Pokemon</t>
        </is>
      </c>
      <c r="F2494" s="2" t="inlineStr">
        <is>
          <t>Coffret</t>
        </is>
      </c>
      <c r="G2494" s="2" t="inlineStr">
        <is>
          <t>SWSH11: Lost Origin</t>
        </is>
      </c>
      <c r="H2494" s="3" t="n">
        <v>84.84999999999999</v>
      </c>
      <c r="I2494" s="3" t="n">
        <v>80.31999999999999</v>
      </c>
      <c r="J2494" s="3" t="n">
        <v>98</v>
      </c>
      <c r="K2494" s="3" t="n">
        <v>92.5</v>
      </c>
      <c r="L2494" s="2" t="inlineStr">
        <is>
          <t>PriceCharting + TCGplayer</t>
        </is>
      </c>
      <c r="M2494" s="4" t="inlineStr">
        <is>
          <t>https://www.pricecharting.com/game/pokemon-lost-origin/build-&amp;-battle-box</t>
        </is>
      </c>
      <c r="N2494" s="4" t="inlineStr">
        <is>
          <t>https://www.tcgplayer.com/product/277345</t>
        </is>
      </c>
    </row>
    <row r="2495">
      <c r="A2495" s="2" t="inlineStr">
        <is>
          <t>Lost Origin Build &amp; Battle Stadium</t>
        </is>
      </c>
      <c r="B2495" s="3">
        <f>IF(H2495&lt;&gt;"",H2495,IF(I2495&lt;&gt;"",I2495,IF(J2495&lt;&gt;"",J2495,K2495)))</f>
        <v>223.46</v>
      </c>
      <c r="C2495" s="3">
        <f>MEDIAN(H2495:K2495)</f>
        <v>224.52</v>
      </c>
      <c r="D2495" s="3">
        <f>ROUND(C2495*(1-Settings!$B$2),2)</f>
        <v>157.16</v>
      </c>
      <c r="E2495" s="2" t="inlineStr">
        <is>
          <t>Pokemon</t>
        </is>
      </c>
      <c r="F2495" s="2" t="inlineStr">
        <is>
          <t>Coffret</t>
        </is>
      </c>
      <c r="G2495" s="2" t="inlineStr">
        <is>
          <t>SWSH11: Lost Origin</t>
        </is>
      </c>
      <c r="H2495" s="3" t="n">
        <v>223.46</v>
      </c>
      <c r="I2495" s="3" t="n">
        <v>225.58</v>
      </c>
      <c r="J2495" s="3" t="n">
        <v>234.98</v>
      </c>
      <c r="K2495" s="3" t="n">
        <v>220.49</v>
      </c>
      <c r="L2495" s="2" t="inlineStr">
        <is>
          <t>PriceCharting + TCGplayer</t>
        </is>
      </c>
      <c r="M2495" s="4" t="inlineStr">
        <is>
          <t>https://www.pricecharting.com/game/pokemon-lost-origin/build-&amp;-battle-stadium</t>
        </is>
      </c>
      <c r="N2495" s="4" t="inlineStr">
        <is>
          <t>https://www.tcgplayer.com/product/277346</t>
        </is>
      </c>
    </row>
    <row r="2496">
      <c r="A2496" s="2" t="inlineStr">
        <is>
          <t>Lost Origin Elite Trainer Box</t>
        </is>
      </c>
      <c r="B2496" s="3">
        <f>IF(H2496&lt;&gt;"",H2496,IF(I2496&lt;&gt;"",I2496,IF(J2496&lt;&gt;"",J2496,K2496)))</f>
        <v>196.39</v>
      </c>
      <c r="C2496" s="3">
        <f>MEDIAN(H2496:K2496)</f>
        <v>195.89</v>
      </c>
      <c r="D2496" s="3">
        <f>ROUND(C2496*(1-Settings!$B$2),2)</f>
        <v>137.12</v>
      </c>
      <c r="E2496" s="2" t="inlineStr">
        <is>
          <t>Pokemon</t>
        </is>
      </c>
      <c r="F2496" s="2" t="inlineStr">
        <is>
          <t>Coffret</t>
        </is>
      </c>
      <c r="G2496" s="2" t="inlineStr">
        <is>
          <t>SWSH11: Lost Origin</t>
        </is>
      </c>
      <c r="H2496" s="3" t="n">
        <v>196.39</v>
      </c>
      <c r="I2496" s="3" t="n">
        <v>195.39</v>
      </c>
      <c r="J2496" s="3" t="n">
        <v>227.49</v>
      </c>
      <c r="K2496" s="3" t="n">
        <v>193.99</v>
      </c>
      <c r="L2496" s="2" t="inlineStr">
        <is>
          <t>PriceCharting + TCGplayer</t>
        </is>
      </c>
      <c r="M2496" s="4" t="inlineStr">
        <is>
          <t>https://www.pricecharting.com/game/pokemon-lost-origin/elite-trainer-box</t>
        </is>
      </c>
      <c r="N2496" s="4" t="inlineStr">
        <is>
          <t>https://www.tcgplayer.com/product/277335</t>
        </is>
      </c>
    </row>
    <row r="2497">
      <c r="A2497" s="2" t="inlineStr">
        <is>
          <t>Lost Origin Pokemon Center Elite Trainer Box (Exclusive)</t>
        </is>
      </c>
      <c r="B2497" s="3">
        <f>IF(H2497&lt;&gt;"",H2497,IF(I2497&lt;&gt;"",I2497,IF(J2497&lt;&gt;"",J2497,K2497)))</f>
        <v>380.0</v>
      </c>
      <c r="C2497" s="3">
        <f>MEDIAN(H2497:K2497)</f>
        <v>380.0</v>
      </c>
      <c r="D2497" s="3">
        <f>ROUND(C2497*(1-Settings!$B$2),2)</f>
        <v>266.0</v>
      </c>
      <c r="E2497" s="2" t="inlineStr">
        <is>
          <t>Pokemon</t>
        </is>
      </c>
      <c r="F2497" s="2" t="inlineStr">
        <is>
          <t>Coffret</t>
        </is>
      </c>
      <c r="G2497" s="2" t="inlineStr">
        <is>
          <t>SWSH11: Lost Origin</t>
        </is>
      </c>
      <c r="H2497" s="3" t="n"/>
      <c r="I2497" s="3" t="n">
        <v>380</v>
      </c>
      <c r="J2497" s="3" t="n">
        <v>419</v>
      </c>
      <c r="K2497" s="3" t="n">
        <v>355</v>
      </c>
      <c r="L2497" s="2" t="inlineStr">
        <is>
          <t>TCGplayer</t>
        </is>
      </c>
      <c r="N2497" s="4" t="inlineStr">
        <is>
          <t>https://www.tcgplayer.com/product/277336</t>
        </is>
      </c>
    </row>
    <row r="2498">
      <c r="A2498" s="2" t="inlineStr">
        <is>
          <t>Lost Origin Sleeved Booster Pack Art Bundle [Set of 4]</t>
        </is>
      </c>
      <c r="B2498" s="3">
        <f>IF(H2498&lt;&gt;"",H2498,IF(I2498&lt;&gt;"",I2498,IF(J2498&lt;&gt;"",J2498,K2498)))</f>
        <v>85.37</v>
      </c>
      <c r="C2498" s="3">
        <f>MEDIAN(H2498:K2498)</f>
        <v>85.37</v>
      </c>
      <c r="D2498" s="3">
        <f>ROUND(C2498*(1-Settings!$B$2),2)</f>
        <v>59.76</v>
      </c>
      <c r="E2498" s="2" t="inlineStr">
        <is>
          <t>Pokemon</t>
        </is>
      </c>
      <c r="F2498" s="2" t="inlineStr">
        <is>
          <t>Coffret</t>
        </is>
      </c>
      <c r="G2498" s="2" t="inlineStr">
        <is>
          <t>SWSH11: Lost Origin</t>
        </is>
      </c>
      <c r="H2498" s="3" t="n"/>
      <c r="I2498" s="3" t="n">
        <v>85.37</v>
      </c>
      <c r="J2498" s="3" t="n">
        <v>97.47</v>
      </c>
      <c r="K2498" s="3" t="n">
        <v>84.56</v>
      </c>
      <c r="L2498" s="2" t="inlineStr">
        <is>
          <t>TCGplayer</t>
        </is>
      </c>
      <c r="N2498" s="4" t="inlineStr">
        <is>
          <t>https://www.tcgplayer.com/product/278801</t>
        </is>
      </c>
    </row>
    <row r="2499">
      <c r="A2499" s="2" t="inlineStr">
        <is>
          <t>Origin Forme Dialga VSTAR Premium Collection</t>
        </is>
      </c>
      <c r="B2499" s="3">
        <f>IF(H2499&lt;&gt;"",H2499,IF(I2499&lt;&gt;"",I2499,IF(J2499&lt;&gt;"",J2499,K2499)))</f>
        <v>119.26</v>
      </c>
      <c r="C2499" s="3">
        <f>MEDIAN(H2499:K2499)</f>
        <v>169.95</v>
      </c>
      <c r="D2499" s="3">
        <f>ROUND(C2499*(1-Settings!$B$2),2)</f>
        <v>118.97</v>
      </c>
      <c r="E2499" s="2" t="inlineStr">
        <is>
          <t>Pokemon</t>
        </is>
      </c>
      <c r="F2499" s="2" t="inlineStr">
        <is>
          <t>Coffret</t>
        </is>
      </c>
      <c r="G2499" s="2" t="inlineStr">
        <is>
          <t>SWSH11: Lost Origin</t>
        </is>
      </c>
      <c r="H2499" s="3" t="n"/>
      <c r="I2499" s="3" t="n">
        <v>119.26</v>
      </c>
      <c r="J2499" s="3" t="n">
        <v>195</v>
      </c>
      <c r="K2499" s="3" t="n">
        <v>169.95</v>
      </c>
      <c r="L2499" s="2" t="inlineStr">
        <is>
          <t>TCGplayer</t>
        </is>
      </c>
      <c r="N2499" s="4" t="inlineStr">
        <is>
          <t>https://www.tcgplayer.com/product/282000</t>
        </is>
      </c>
    </row>
    <row r="2500">
      <c r="A2500" s="2" t="inlineStr">
        <is>
          <t>Origin Forme Dialga/Palkia VSTAR Premium Collection [Set of 2]</t>
        </is>
      </c>
      <c r="B2500" s="3">
        <f>IF(H2500&lt;&gt;"",H2500,IF(I2500&lt;&gt;"",I2500,IF(J2500&lt;&gt;"",J2500,K2500)))</f>
        <v>218.33</v>
      </c>
      <c r="C2500" s="3">
        <f>MEDIAN(H2500:K2500)</f>
        <v>237.07</v>
      </c>
      <c r="D2500" s="3">
        <f>ROUND(C2500*(1-Settings!$B$2),2)</f>
        <v>165.95</v>
      </c>
      <c r="E2500" s="2" t="inlineStr">
        <is>
          <t>Pokemon</t>
        </is>
      </c>
      <c r="F2500" s="2" t="inlineStr">
        <is>
          <t>Coffret</t>
        </is>
      </c>
      <c r="G2500" s="2" t="inlineStr">
        <is>
          <t>SWSH11: Lost Origin</t>
        </is>
      </c>
      <c r="H2500" s="3" t="n"/>
      <c r="I2500" s="3" t="n">
        <v>218.33</v>
      </c>
      <c r="J2500" s="3" t="n">
        <v>237.07</v>
      </c>
      <c r="K2500" s="3" t="n">
        <v>237.07</v>
      </c>
      <c r="L2500" s="2" t="inlineStr">
        <is>
          <t>TCGplayer</t>
        </is>
      </c>
      <c r="N2500" s="4" t="inlineStr">
        <is>
          <t>https://www.tcgplayer.com/product/282005</t>
        </is>
      </c>
    </row>
    <row r="2501">
      <c r="A2501" s="2" t="inlineStr">
        <is>
          <t>Origin Forme Palkia VSTAR Premium Collection</t>
        </is>
      </c>
      <c r="B2501" s="3">
        <f>IF(H2501&lt;&gt;"",H2501,IF(I2501&lt;&gt;"",I2501,IF(J2501&lt;&gt;"",J2501,K2501)))</f>
        <v>117.81</v>
      </c>
      <c r="C2501" s="3">
        <f>MEDIAN(H2501:K2501)</f>
        <v>117.81</v>
      </c>
      <c r="D2501" s="3">
        <f>ROUND(C2501*(1-Settings!$B$2),2)</f>
        <v>82.47</v>
      </c>
      <c r="E2501" s="2" t="inlineStr">
        <is>
          <t>Pokemon</t>
        </is>
      </c>
      <c r="F2501" s="2" t="inlineStr">
        <is>
          <t>Coffret</t>
        </is>
      </c>
      <c r="G2501" s="2" t="inlineStr">
        <is>
          <t>SWSH11: Lost Origin</t>
        </is>
      </c>
      <c r="H2501" s="3" t="n"/>
      <c r="I2501" s="3" t="n">
        <v>117.81</v>
      </c>
      <c r="J2501" s="3" t="n">
        <v>156.98</v>
      </c>
      <c r="K2501" s="3" t="n">
        <v>117.81</v>
      </c>
      <c r="L2501" s="2" t="inlineStr">
        <is>
          <t>TCGplayer</t>
        </is>
      </c>
      <c r="N2501" s="4" t="inlineStr">
        <is>
          <t>https://www.tcgplayer.com/product/282001</t>
        </is>
      </c>
    </row>
    <row r="2502">
      <c r="A2502" s="2" t="inlineStr">
        <is>
          <t>Pokemon Stacking Tin: Darkness</t>
        </is>
      </c>
      <c r="B2502" s="3">
        <f>IF(H2502&lt;&gt;"",H2502,IF(I2502&lt;&gt;"",I2502,IF(J2502&lt;&gt;"",J2502,K2502)))</f>
        <v>51.25</v>
      </c>
      <c r="C2502" s="3">
        <f>MEDIAN(H2502:K2502)</f>
        <v>50.58</v>
      </c>
      <c r="D2502" s="3">
        <f>ROUND(C2502*(1-Settings!$B$2),2)</f>
        <v>35.41</v>
      </c>
      <c r="E2502" s="2" t="inlineStr">
        <is>
          <t>Pokemon</t>
        </is>
      </c>
      <c r="F2502" s="2" t="inlineStr">
        <is>
          <t>Coffret</t>
        </is>
      </c>
      <c r="G2502" s="2" t="inlineStr">
        <is>
          <t>SWSH11: Lost Origin</t>
        </is>
      </c>
      <c r="H2502" s="3" t="n"/>
      <c r="I2502" s="3" t="n">
        <v>51.25</v>
      </c>
      <c r="J2502" s="3" t="n">
        <v>50.58</v>
      </c>
      <c r="K2502" s="3" t="n">
        <v>49.9</v>
      </c>
      <c r="L2502" s="2" t="inlineStr">
        <is>
          <t>TCGplayer</t>
        </is>
      </c>
      <c r="N2502" s="4" t="inlineStr">
        <is>
          <t>https://www.tcgplayer.com/product/282405</t>
        </is>
      </c>
    </row>
    <row r="2503">
      <c r="A2503" s="2" t="inlineStr">
        <is>
          <t>Pokemon Stacking Tin: Fighting</t>
        </is>
      </c>
      <c r="B2503" s="3">
        <f>IF(H2503&lt;&gt;"",H2503,IF(I2503&lt;&gt;"",I2503,IF(J2503&lt;&gt;"",J2503,K2503)))</f>
        <v>57.97</v>
      </c>
      <c r="C2503" s="3">
        <f>MEDIAN(H2503:K2503)</f>
        <v>57.97</v>
      </c>
      <c r="D2503" s="3">
        <f>ROUND(C2503*(1-Settings!$B$2),2)</f>
        <v>40.58</v>
      </c>
      <c r="E2503" s="2" t="inlineStr">
        <is>
          <t>Pokemon</t>
        </is>
      </c>
      <c r="F2503" s="2" t="inlineStr">
        <is>
          <t>Coffret</t>
        </is>
      </c>
      <c r="G2503" s="2" t="inlineStr">
        <is>
          <t>SWSH11: Lost Origin</t>
        </is>
      </c>
      <c r="H2503" s="3" t="n"/>
      <c r="I2503" s="3" t="n">
        <v>57.97</v>
      </c>
      <c r="J2503" s="3" t="n">
        <v>59.98</v>
      </c>
      <c r="K2503" s="3" t="n">
        <v>49.9</v>
      </c>
      <c r="L2503" s="2" t="inlineStr">
        <is>
          <t>TCGplayer</t>
        </is>
      </c>
      <c r="N2503" s="4" t="inlineStr">
        <is>
          <t>https://www.tcgplayer.com/product/282403</t>
        </is>
      </c>
    </row>
    <row r="2504">
      <c r="A2504" s="2" t="inlineStr">
        <is>
          <t>Pokemon Stacking Tins: Fighting-Fire-Darkness [Set of 3]</t>
        </is>
      </c>
      <c r="B2504" s="3">
        <f>IF(H2504&lt;&gt;"",H2504,IF(I2504&lt;&gt;"",I2504,IF(J2504&lt;&gt;"",J2504,K2504)))</f>
        <v>110.0</v>
      </c>
      <c r="C2504" s="3">
        <f>MEDIAN(H2504:K2504)</f>
        <v>110.0</v>
      </c>
      <c r="D2504" s="3">
        <f>ROUND(C2504*(1-Settings!$B$2),2)</f>
        <v>77.0</v>
      </c>
      <c r="E2504" s="2" t="inlineStr">
        <is>
          <t>Pokemon</t>
        </is>
      </c>
      <c r="F2504" s="2" t="inlineStr">
        <is>
          <t>Coffret</t>
        </is>
      </c>
      <c r="G2504" s="2" t="inlineStr">
        <is>
          <t>SWSH11: Lost Origin</t>
        </is>
      </c>
      <c r="H2504" s="3" t="n"/>
      <c r="I2504" s="3" t="n">
        <v>110</v>
      </c>
      <c r="J2504" s="3" t="n"/>
      <c r="K2504" s="3" t="n"/>
      <c r="L2504" s="2" t="inlineStr">
        <is>
          <t>TCGplayer</t>
        </is>
      </c>
      <c r="N2504" s="4" t="inlineStr">
        <is>
          <t>https://www.tcgplayer.com/product/282406</t>
        </is>
      </c>
    </row>
    <row r="2505">
      <c r="A2505" s="2" t="inlineStr">
        <is>
          <t>Sword &amp; Shield Ultra-Premium Collection: Charizard</t>
        </is>
      </c>
      <c r="B2505" s="3">
        <f>IF(H2505&lt;&gt;"",H2505,IF(I2505&lt;&gt;"",I2505,IF(J2505&lt;&gt;"",J2505,K2505)))</f>
        <v>562.87</v>
      </c>
      <c r="C2505" s="3">
        <f>MEDIAN(H2505:K2505)</f>
        <v>562.87</v>
      </c>
      <c r="D2505" s="3">
        <f>ROUND(C2505*(1-Settings!$B$2),2)</f>
        <v>394.01</v>
      </c>
      <c r="E2505" s="2" t="inlineStr">
        <is>
          <t>Pokemon</t>
        </is>
      </c>
      <c r="F2505" s="2" t="inlineStr">
        <is>
          <t>Coffret</t>
        </is>
      </c>
      <c r="G2505" s="2" t="inlineStr">
        <is>
          <t>SWSH11: Lost Origin</t>
        </is>
      </c>
      <c r="H2505" s="3" t="n"/>
      <c r="I2505" s="3" t="n">
        <v>562.87</v>
      </c>
      <c r="J2505" s="3" t="n">
        <v>625</v>
      </c>
      <c r="K2505" s="3" t="n">
        <v>25</v>
      </c>
      <c r="L2505" s="2" t="inlineStr">
        <is>
          <t>TCGplayer</t>
        </is>
      </c>
      <c r="N2505" s="4" t="inlineStr">
        <is>
          <t>https://www.tcgplayer.com/product/282401</t>
        </is>
      </c>
    </row>
    <row r="2506">
      <c r="A2506" s="2" t="inlineStr">
        <is>
          <t>Fall 2022 Collector Chest</t>
        </is>
      </c>
      <c r="B2506" s="3">
        <f>IF(H2506&lt;&gt;"",H2506,IF(I2506&lt;&gt;"",I2506,IF(J2506&lt;&gt;"",J2506,K2506)))</f>
        <v>72.21</v>
      </c>
      <c r="C2506" s="3">
        <f>MEDIAN(H2506:K2506)</f>
        <v>79.9</v>
      </c>
      <c r="D2506" s="3">
        <f>ROUND(C2506*(1-Settings!$B$2),2)</f>
        <v>55.93</v>
      </c>
      <c r="E2506" s="2" t="inlineStr">
        <is>
          <t>Pokemon</t>
        </is>
      </c>
      <c r="F2506" s="2" t="inlineStr">
        <is>
          <t>Coffret</t>
        </is>
      </c>
      <c r="G2506" s="2" t="inlineStr">
        <is>
          <t>SWSH12: Silver Tempest</t>
        </is>
      </c>
      <c r="H2506" s="3" t="n"/>
      <c r="I2506" s="3" t="n">
        <v>72.20999999999999</v>
      </c>
      <c r="J2506" s="3" t="n">
        <v>97</v>
      </c>
      <c r="K2506" s="3" t="n">
        <v>79.90000000000001</v>
      </c>
      <c r="L2506" s="2" t="inlineStr">
        <is>
          <t>TCGplayer</t>
        </is>
      </c>
      <c r="N2506" s="4" t="inlineStr">
        <is>
          <t>https://www.tcgplayer.com/product/284930</t>
        </is>
      </c>
    </row>
    <row r="2507">
      <c r="A2507" s="2" t="inlineStr">
        <is>
          <t>Silver Tempest Booster Bundle</t>
        </is>
      </c>
      <c r="B2507" s="3">
        <f>IF(H2507&lt;&gt;"",H2507,IF(I2507&lt;&gt;"",I2507,IF(J2507&lt;&gt;"",J2507,K2507)))</f>
        <v>119.23</v>
      </c>
      <c r="C2507" s="3">
        <f>MEDIAN(H2507:K2507)</f>
        <v>114.67500000000001</v>
      </c>
      <c r="D2507" s="3">
        <f>ROUND(C2507*(1-Settings!$B$2),2)</f>
        <v>80.27</v>
      </c>
      <c r="E2507" s="2" t="inlineStr">
        <is>
          <t>Pokemon</t>
        </is>
      </c>
      <c r="F2507" s="2" t="inlineStr">
        <is>
          <t>Coffret</t>
        </is>
      </c>
      <c r="G2507" s="2" t="inlineStr">
        <is>
          <t>SWSH12: Silver Tempest</t>
        </is>
      </c>
      <c r="H2507" s="3" t="n">
        <v>119.23</v>
      </c>
      <c r="I2507" s="3" t="n">
        <v>113.59</v>
      </c>
      <c r="J2507" s="3" t="n">
        <v>115.76</v>
      </c>
      <c r="K2507" s="3" t="n">
        <v>95</v>
      </c>
      <c r="L2507" s="2" t="inlineStr">
        <is>
          <t>PriceCharting + TCGplayer</t>
        </is>
      </c>
      <c r="M2507" s="4" t="inlineStr">
        <is>
          <t>https://www.pricecharting.com/game/pokemon-silver-tempest/booster-bundle</t>
        </is>
      </c>
      <c r="N2507" s="4" t="inlineStr">
        <is>
          <t>https://www.tcgplayer.com/product/283396</t>
        </is>
      </c>
    </row>
    <row r="2508">
      <c r="A2508" s="2" t="inlineStr">
        <is>
          <t>Silver Tempest Booster Pack Art Bundle [Set of 4]</t>
        </is>
      </c>
      <c r="B2508" s="3">
        <f>IF(H2508&lt;&gt;"",H2508,IF(I2508&lt;&gt;"",I2508,IF(J2508&lt;&gt;"",J2508,K2508)))</f>
        <v>56.31</v>
      </c>
      <c r="C2508" s="3">
        <f>MEDIAN(H2508:K2508)</f>
        <v>55.99</v>
      </c>
      <c r="D2508" s="3">
        <f>ROUND(C2508*(1-Settings!$B$2),2)</f>
        <v>39.19</v>
      </c>
      <c r="E2508" s="2" t="inlineStr">
        <is>
          <t>Pokemon</t>
        </is>
      </c>
      <c r="F2508" s="2" t="inlineStr">
        <is>
          <t>Coffret</t>
        </is>
      </c>
      <c r="G2508" s="2" t="inlineStr">
        <is>
          <t>SWSH12: Silver Tempest</t>
        </is>
      </c>
      <c r="H2508" s="3" t="n"/>
      <c r="I2508" s="3" t="n">
        <v>56.31</v>
      </c>
      <c r="J2508" s="3" t="n">
        <v>55.99</v>
      </c>
      <c r="K2508" s="3" t="n">
        <v>53.98</v>
      </c>
      <c r="L2508" s="2" t="inlineStr">
        <is>
          <t>TCGplayer</t>
        </is>
      </c>
      <c r="N2508" s="4" t="inlineStr">
        <is>
          <t>https://www.tcgplayer.com/product/285778</t>
        </is>
      </c>
    </row>
    <row r="2509">
      <c r="A2509" s="2" t="inlineStr">
        <is>
          <t>Silver Tempest Build &amp; Battle Box</t>
        </is>
      </c>
      <c r="B2509" s="3">
        <f>IF(H2509&lt;&gt;"",H2509,IF(I2509&lt;&gt;"",I2509,IF(J2509&lt;&gt;"",J2509,K2509)))</f>
        <v>68.04</v>
      </c>
      <c r="C2509" s="3">
        <f>MEDIAN(H2509:K2509)</f>
        <v>71.02000000000001</v>
      </c>
      <c r="D2509" s="3">
        <f>ROUND(C2509*(1-Settings!$B$2),2)</f>
        <v>49.71</v>
      </c>
      <c r="E2509" s="2" t="inlineStr">
        <is>
          <t>Pokemon</t>
        </is>
      </c>
      <c r="F2509" s="2" t="inlineStr">
        <is>
          <t>Coffret</t>
        </is>
      </c>
      <c r="G2509" s="2" t="inlineStr">
        <is>
          <t>SWSH12: Silver Tempest</t>
        </is>
      </c>
      <c r="H2509" s="3" t="n">
        <v>68.04000000000001</v>
      </c>
      <c r="I2509" s="3" t="n">
        <v>58.52</v>
      </c>
      <c r="J2509" s="3" t="n">
        <v>79.47</v>
      </c>
      <c r="K2509" s="3" t="n">
        <v>74</v>
      </c>
      <c r="L2509" s="2" t="inlineStr">
        <is>
          <t>PriceCharting + TCGplayer</t>
        </is>
      </c>
      <c r="M2509" s="4" t="inlineStr">
        <is>
          <t>https://www.pricecharting.com/game/pokemon-silver-tempest/build-&amp;-battle-box</t>
        </is>
      </c>
      <c r="N2509" s="4" t="inlineStr">
        <is>
          <t>https://www.tcgplayer.com/product/285776</t>
        </is>
      </c>
    </row>
    <row r="2510">
      <c r="A2510" s="2" t="inlineStr">
        <is>
          <t>Silver Tempest Build &amp; Battle Stadium</t>
        </is>
      </c>
      <c r="B2510" s="3">
        <f>IF(H2510&lt;&gt;"",H2510,IF(I2510&lt;&gt;"",I2510,IF(J2510&lt;&gt;"",J2510,K2510)))</f>
        <v>194.61</v>
      </c>
      <c r="C2510" s="3">
        <f>MEDIAN(H2510:K2510)</f>
        <v>172.3</v>
      </c>
      <c r="D2510" s="3">
        <f>ROUND(C2510*(1-Settings!$B$2),2)</f>
        <v>120.61</v>
      </c>
      <c r="E2510" s="2" t="inlineStr">
        <is>
          <t>Pokemon</t>
        </is>
      </c>
      <c r="F2510" s="2" t="inlineStr">
        <is>
          <t>Coffret</t>
        </is>
      </c>
      <c r="G2510" s="2" t="inlineStr">
        <is>
          <t>SWSH12: Silver Tempest</t>
        </is>
      </c>
      <c r="H2510" s="3" t="n">
        <v>194.61</v>
      </c>
      <c r="I2510" s="3" t="n">
        <v>147.39</v>
      </c>
      <c r="J2510" s="3" t="n">
        <v>200</v>
      </c>
      <c r="K2510" s="3" t="n">
        <v>149.99</v>
      </c>
      <c r="L2510" s="2" t="inlineStr">
        <is>
          <t>PriceCharting + TCGplayer</t>
        </is>
      </c>
      <c r="M2510" s="4" t="inlineStr">
        <is>
          <t>https://www.pricecharting.com/game/pokemon-silver-tempest/build-&amp;-battle-stadium</t>
        </is>
      </c>
      <c r="N2510" s="4" t="inlineStr">
        <is>
          <t>https://www.tcgplayer.com/product/285042</t>
        </is>
      </c>
    </row>
    <row r="2511">
      <c r="A2511" s="2" t="inlineStr">
        <is>
          <t>Silver Tempest Elite Trainer Box</t>
        </is>
      </c>
      <c r="B2511" s="3">
        <f>IF(H2511&lt;&gt;"",H2511,IF(I2511&lt;&gt;"",I2511,IF(J2511&lt;&gt;"",J2511,K2511)))</f>
        <v>160.51</v>
      </c>
      <c r="C2511" s="3">
        <f>MEDIAN(H2511:K2511)</f>
        <v>162.185</v>
      </c>
      <c r="D2511" s="3">
        <f>ROUND(C2511*(1-Settings!$B$2),2)</f>
        <v>113.53</v>
      </c>
      <c r="E2511" s="2" t="inlineStr">
        <is>
          <t>Pokemon</t>
        </is>
      </c>
      <c r="F2511" s="2" t="inlineStr">
        <is>
          <t>Coffret</t>
        </is>
      </c>
      <c r="G2511" s="2" t="inlineStr">
        <is>
          <t>SWSH12: Silver Tempest</t>
        </is>
      </c>
      <c r="H2511" s="3" t="n">
        <v>160.51</v>
      </c>
      <c r="I2511" s="3" t="n">
        <v>163.86</v>
      </c>
      <c r="J2511" s="3" t="n">
        <v>176.93</v>
      </c>
      <c r="K2511" s="3" t="n">
        <v>157</v>
      </c>
      <c r="L2511" s="2" t="inlineStr">
        <is>
          <t>PriceCharting + TCGplayer</t>
        </is>
      </c>
      <c r="M2511" s="4" t="inlineStr">
        <is>
          <t>https://www.pricecharting.com/game/pokemon-silver-tempest/elite-trainer-box</t>
        </is>
      </c>
      <c r="N2511" s="4" t="inlineStr">
        <is>
          <t>https://www.tcgplayer.com/product/283401</t>
        </is>
      </c>
    </row>
    <row r="2512">
      <c r="A2512" s="2" t="inlineStr">
        <is>
          <t>Silver Tempest Pokemon Center Elite Trainer Box (Exclusive)</t>
        </is>
      </c>
      <c r="B2512" s="3">
        <f>IF(H2512&lt;&gt;"",H2512,IF(I2512&lt;&gt;"",I2512,IF(J2512&lt;&gt;"",J2512,K2512)))</f>
        <v>394.1</v>
      </c>
      <c r="C2512" s="3">
        <f>MEDIAN(H2512:K2512)</f>
        <v>394.1</v>
      </c>
      <c r="D2512" s="3">
        <f>ROUND(C2512*(1-Settings!$B$2),2)</f>
        <v>275.87</v>
      </c>
      <c r="E2512" s="2" t="inlineStr">
        <is>
          <t>Pokemon</t>
        </is>
      </c>
      <c r="F2512" s="2" t="inlineStr">
        <is>
          <t>Coffret</t>
        </is>
      </c>
      <c r="G2512" s="2" t="inlineStr">
        <is>
          <t>SWSH12: Silver Tempest</t>
        </is>
      </c>
      <c r="H2512" s="3" t="n"/>
      <c r="I2512" s="3" t="n">
        <v>394.1</v>
      </c>
      <c r="J2512" s="3" t="n">
        <v>423.49</v>
      </c>
      <c r="K2512" s="3" t="n">
        <v>359.99</v>
      </c>
      <c r="L2512" s="2" t="inlineStr">
        <is>
          <t>TCGplayer</t>
        </is>
      </c>
      <c r="N2512" s="4" t="inlineStr">
        <is>
          <t>https://www.tcgplayer.com/product/285860</t>
        </is>
      </c>
    </row>
    <row r="2513">
      <c r="A2513" s="2" t="inlineStr">
        <is>
          <t>Silver Tempest Sleeved Booster Pack Art Bundle [Set of 4]</t>
        </is>
      </c>
      <c r="B2513" s="3">
        <f>IF(H2513&lt;&gt;"",H2513,IF(I2513&lt;&gt;"",I2513,IF(J2513&lt;&gt;"",J2513,K2513)))</f>
        <v>60.05</v>
      </c>
      <c r="C2513" s="3">
        <f>MEDIAN(H2513:K2513)</f>
        <v>64.89</v>
      </c>
      <c r="D2513" s="3">
        <f>ROUND(C2513*(1-Settings!$B$2),2)</f>
        <v>45.42</v>
      </c>
      <c r="E2513" s="2" t="inlineStr">
        <is>
          <t>Pokemon</t>
        </is>
      </c>
      <c r="F2513" s="2" t="inlineStr">
        <is>
          <t>Coffret</t>
        </is>
      </c>
      <c r="G2513" s="2" t="inlineStr">
        <is>
          <t>SWSH12: Silver Tempest</t>
        </is>
      </c>
      <c r="H2513" s="3" t="n"/>
      <c r="I2513" s="3" t="n">
        <v>60.05</v>
      </c>
      <c r="J2513" s="3" t="n">
        <v>64.90000000000001</v>
      </c>
      <c r="K2513" s="3" t="n">
        <v>64.89</v>
      </c>
      <c r="L2513" s="2" t="inlineStr">
        <is>
          <t>TCGplayer</t>
        </is>
      </c>
      <c r="N2513" s="4" t="inlineStr">
        <is>
          <t>https://www.tcgplayer.com/product/283400</t>
        </is>
      </c>
    </row>
    <row r="2514">
      <c r="A2514" s="2" t="inlineStr">
        <is>
          <t>Silver Tempest Sleeved Booster Pack Bundle [Set of 8]</t>
        </is>
      </c>
      <c r="B2514" s="3">
        <f>IF(H2514&lt;&gt;"",H2514,IF(I2514&lt;&gt;"",I2514,IF(J2514&lt;&gt;"",J2514,K2514)))</f>
        <v>127.22</v>
      </c>
      <c r="C2514" s="3">
        <f>MEDIAN(H2514:K2514)</f>
        <v>139.95</v>
      </c>
      <c r="D2514" s="3">
        <f>ROUND(C2514*(1-Settings!$B$2),2)</f>
        <v>97.97</v>
      </c>
      <c r="E2514" s="2" t="inlineStr">
        <is>
          <t>Pokemon</t>
        </is>
      </c>
      <c r="F2514" s="2" t="inlineStr">
        <is>
          <t>Coffret</t>
        </is>
      </c>
      <c r="G2514" s="2" t="inlineStr">
        <is>
          <t>SWSH12: Silver Tempest</t>
        </is>
      </c>
      <c r="H2514" s="3" t="n"/>
      <c r="I2514" s="3" t="n">
        <v>127.22</v>
      </c>
      <c r="J2514" s="3" t="n">
        <v>162.42</v>
      </c>
      <c r="K2514" s="3" t="n">
        <v>139.95</v>
      </c>
      <c r="L2514" s="2" t="inlineStr">
        <is>
          <t>TCGplayer</t>
        </is>
      </c>
      <c r="N2514" s="4" t="inlineStr">
        <is>
          <t>https://www.tcgplayer.com/product/454484</t>
        </is>
      </c>
    </row>
    <row r="2515">
      <c r="A2515" s="2" t="inlineStr">
        <is>
          <t>Crown Zenith Booster Bundle</t>
        </is>
      </c>
      <c r="B2515" s="3">
        <f>IF(H2515&lt;&gt;"",H2515,IF(I2515&lt;&gt;"",I2515,IF(J2515&lt;&gt;"",J2515,K2515)))</f>
        <v>218.0</v>
      </c>
      <c r="C2515" s="3">
        <f>MEDIAN(H2515:K2515)</f>
        <v>218.515</v>
      </c>
      <c r="D2515" s="3">
        <f>ROUND(C2515*(1-Settings!$B$2),2)</f>
        <v>152.96</v>
      </c>
      <c r="E2515" s="2" t="inlineStr">
        <is>
          <t>Pokemon</t>
        </is>
      </c>
      <c r="F2515" s="2" t="inlineStr">
        <is>
          <t>Coffret</t>
        </is>
      </c>
      <c r="G2515" s="2" t="inlineStr">
        <is>
          <t>SWSH: Crown Zenith</t>
        </is>
      </c>
      <c r="H2515" s="3" t="n">
        <v>218</v>
      </c>
      <c r="I2515" s="3" t="n">
        <v>219.03</v>
      </c>
      <c r="J2515" s="3" t="n">
        <v>249.99</v>
      </c>
      <c r="K2515" s="3" t="n">
        <v>100</v>
      </c>
      <c r="L2515" s="2" t="inlineStr">
        <is>
          <t>PriceCharting + TCGplayer</t>
        </is>
      </c>
      <c r="M2515" s="4" t="inlineStr">
        <is>
          <t>https://www.pricecharting.com/game/pokemon-crown-zenith/booster-bundle</t>
        </is>
      </c>
      <c r="N2515" s="4" t="inlineStr">
        <is>
          <t>https://www.tcgplayer.com/product/527562</t>
        </is>
      </c>
    </row>
    <row r="2516">
      <c r="A2516" s="2" t="inlineStr">
        <is>
          <t>Crown Zenith Collection [Regieleki V]</t>
        </is>
      </c>
      <c r="B2516" s="3">
        <f>IF(H2516&lt;&gt;"",H2516,IF(I2516&lt;&gt;"",I2516,IF(J2516&lt;&gt;"",J2516,K2516)))</f>
        <v>109.03</v>
      </c>
      <c r="C2516" s="3">
        <f>MEDIAN(H2516:K2516)</f>
        <v>109.03</v>
      </c>
      <c r="D2516" s="3">
        <f>ROUND(C2516*(1-Settings!$B$2),2)</f>
        <v>76.32</v>
      </c>
      <c r="E2516" s="2" t="inlineStr">
        <is>
          <t>Pokemon</t>
        </is>
      </c>
      <c r="F2516" s="2" t="inlineStr">
        <is>
          <t>Coffret</t>
        </is>
      </c>
      <c r="G2516" s="2" t="inlineStr">
        <is>
          <t>SWSH: Crown Zenith</t>
        </is>
      </c>
      <c r="H2516" s="3" t="n"/>
      <c r="I2516" s="3" t="n">
        <v>109.03</v>
      </c>
      <c r="J2516" s="3" t="n">
        <v>119.99</v>
      </c>
      <c r="K2516" s="3" t="n">
        <v>105</v>
      </c>
      <c r="L2516" s="2" t="inlineStr">
        <is>
          <t>TCGplayer</t>
        </is>
      </c>
      <c r="N2516" s="4" t="inlineStr">
        <is>
          <t>https://www.tcgplayer.com/product/453467</t>
        </is>
      </c>
    </row>
    <row r="2517">
      <c r="A2517" s="2" t="inlineStr">
        <is>
          <t>Crown Zenith Collection [Set of 2]</t>
        </is>
      </c>
      <c r="B2517" s="3">
        <f>IF(H2517&lt;&gt;"",H2517,IF(I2517&lt;&gt;"",I2517,IF(J2517&lt;&gt;"",J2517,K2517)))</f>
        <v>223.08</v>
      </c>
      <c r="C2517" s="3">
        <f>MEDIAN(H2517:K2517)</f>
        <v>260.0</v>
      </c>
      <c r="D2517" s="3">
        <f>ROUND(C2517*(1-Settings!$B$2),2)</f>
        <v>182.0</v>
      </c>
      <c r="E2517" s="2" t="inlineStr">
        <is>
          <t>Pokemon</t>
        </is>
      </c>
      <c r="F2517" s="2" t="inlineStr">
        <is>
          <t>Coffret</t>
        </is>
      </c>
      <c r="G2517" s="2" t="inlineStr">
        <is>
          <t>SWSH: Crown Zenith</t>
        </is>
      </c>
      <c r="H2517" s="3" t="n"/>
      <c r="I2517" s="3" t="n">
        <v>223.08</v>
      </c>
      <c r="J2517" s="3" t="n">
        <v>285</v>
      </c>
      <c r="K2517" s="3" t="n">
        <v>260</v>
      </c>
      <c r="L2517" s="2" t="inlineStr">
        <is>
          <t>TCGplayer</t>
        </is>
      </c>
      <c r="N2517" s="4" t="inlineStr">
        <is>
          <t>https://www.tcgplayer.com/product/453474</t>
        </is>
      </c>
    </row>
    <row r="2518">
      <c r="A2518" s="2" t="inlineStr">
        <is>
          <t>Crown Zenith Elite Trainer Box</t>
        </is>
      </c>
      <c r="B2518" s="3">
        <f>IF(H2518&lt;&gt;"",H2518,IF(I2518&lt;&gt;"",I2518,IF(J2518&lt;&gt;"",J2518,K2518)))</f>
        <v>308.5</v>
      </c>
      <c r="C2518" s="3">
        <f>MEDIAN(H2518:K2518)</f>
        <v>306.775</v>
      </c>
      <c r="D2518" s="3">
        <f>ROUND(C2518*(1-Settings!$B$2),2)</f>
        <v>214.74</v>
      </c>
      <c r="E2518" s="2" t="inlineStr">
        <is>
          <t>Pokemon</t>
        </is>
      </c>
      <c r="F2518" s="2" t="inlineStr">
        <is>
          <t>Coffret</t>
        </is>
      </c>
      <c r="G2518" s="2" t="inlineStr">
        <is>
          <t>SWSH: Crown Zenith</t>
        </is>
      </c>
      <c r="H2518" s="3" t="n">
        <v>308.5</v>
      </c>
      <c r="I2518" s="3" t="n">
        <v>305.05</v>
      </c>
      <c r="J2518" s="3" t="n">
        <v>357.5</v>
      </c>
      <c r="K2518" s="3" t="n">
        <v>293</v>
      </c>
      <c r="L2518" s="2" t="inlineStr">
        <is>
          <t>PriceCharting + TCGplayer</t>
        </is>
      </c>
      <c r="M2518" s="4" t="inlineStr">
        <is>
          <t>https://www.pricecharting.com/game/pokemon-crown-zenith/elite-trainer-box</t>
        </is>
      </c>
      <c r="N2518" s="4" t="inlineStr">
        <is>
          <t>https://www.tcgplayer.com/product/453470</t>
        </is>
      </c>
    </row>
    <row r="2519">
      <c r="A2519" s="2" t="inlineStr">
        <is>
          <t>Crown Zenith Mini Tin [Bede &amp; Hatenna]</t>
        </is>
      </c>
      <c r="B2519" s="3">
        <f>IF(H2519&lt;&gt;"",H2519,IF(I2519&lt;&gt;"",I2519,IF(J2519&lt;&gt;"",J2519,K2519)))</f>
        <v>58.53</v>
      </c>
      <c r="C2519" s="3">
        <f>MEDIAN(H2519:K2519)</f>
        <v>65.53</v>
      </c>
      <c r="D2519" s="3">
        <f>ROUND(C2519*(1-Settings!$B$2),2)</f>
        <v>45.87</v>
      </c>
      <c r="E2519" s="2" t="inlineStr">
        <is>
          <t>Pokemon</t>
        </is>
      </c>
      <c r="F2519" s="2" t="inlineStr">
        <is>
          <t>Coffret</t>
        </is>
      </c>
      <c r="G2519" s="2" t="inlineStr">
        <is>
          <t>SWSH: Crown Zenith</t>
        </is>
      </c>
      <c r="H2519" s="3" t="n"/>
      <c r="I2519" s="3" t="n">
        <v>58.53</v>
      </c>
      <c r="J2519" s="3" t="n">
        <v>85</v>
      </c>
      <c r="K2519" s="3" t="n">
        <v>65.53</v>
      </c>
      <c r="L2519" s="2" t="inlineStr">
        <is>
          <t>TCGplayer</t>
        </is>
      </c>
      <c r="N2519" s="4" t="inlineStr">
        <is>
          <t>https://www.tcgplayer.com/product/453491</t>
        </is>
      </c>
    </row>
    <row r="2520">
      <c r="A2520" s="2" t="inlineStr">
        <is>
          <t>Crown Zenith Mini Tin [Hop &amp; Wooloo]</t>
        </is>
      </c>
      <c r="B2520" s="3">
        <f>IF(H2520&lt;&gt;"",H2520,IF(I2520&lt;&gt;"",I2520,IF(J2520&lt;&gt;"",J2520,K2520)))</f>
        <v>52.5</v>
      </c>
      <c r="C2520" s="3">
        <f>MEDIAN(H2520:K2520)</f>
        <v>90.0</v>
      </c>
      <c r="D2520" s="3">
        <f>ROUND(C2520*(1-Settings!$B$2),2)</f>
        <v>63.0</v>
      </c>
      <c r="E2520" s="2" t="inlineStr">
        <is>
          <t>Pokemon</t>
        </is>
      </c>
      <c r="F2520" s="2" t="inlineStr">
        <is>
          <t>Coffret</t>
        </is>
      </c>
      <c r="G2520" s="2" t="inlineStr">
        <is>
          <t>SWSH: Crown Zenith</t>
        </is>
      </c>
      <c r="H2520" s="3" t="n"/>
      <c r="I2520" s="3" t="n">
        <v>52.5</v>
      </c>
      <c r="J2520" s="3" t="n">
        <v>99</v>
      </c>
      <c r="K2520" s="3" t="n">
        <v>90</v>
      </c>
      <c r="L2520" s="2" t="inlineStr">
        <is>
          <t>TCGplayer</t>
        </is>
      </c>
      <c r="N2520" s="4" t="inlineStr">
        <is>
          <t>https://www.tcgplayer.com/product/453490</t>
        </is>
      </c>
    </row>
    <row r="2521">
      <c r="A2521" s="2" t="inlineStr">
        <is>
          <t>Crown Zenith Mini Tin [Leon &amp; Charizard]</t>
        </is>
      </c>
      <c r="B2521" s="3">
        <f>IF(H2521&lt;&gt;"",H2521,IF(I2521&lt;&gt;"",I2521,IF(J2521&lt;&gt;"",J2521,K2521)))</f>
        <v>56.47</v>
      </c>
      <c r="C2521" s="3">
        <f>MEDIAN(H2521:K2521)</f>
        <v>64.01</v>
      </c>
      <c r="D2521" s="3">
        <f>ROUND(C2521*(1-Settings!$B$2),2)</f>
        <v>44.81</v>
      </c>
      <c r="E2521" s="2" t="inlineStr">
        <is>
          <t>Pokemon</t>
        </is>
      </c>
      <c r="F2521" s="2" t="inlineStr">
        <is>
          <t>Coffret</t>
        </is>
      </c>
      <c r="G2521" s="2" t="inlineStr">
        <is>
          <t>SWSH: Crown Zenith</t>
        </is>
      </c>
      <c r="H2521" s="3" t="n"/>
      <c r="I2521" s="3" t="n">
        <v>56.47</v>
      </c>
      <c r="J2521" s="3" t="n">
        <v>90</v>
      </c>
      <c r="K2521" s="3" t="n">
        <v>64.01000000000001</v>
      </c>
      <c r="L2521" s="2" t="inlineStr">
        <is>
          <t>TCGplayer</t>
        </is>
      </c>
      <c r="N2521" s="4" t="inlineStr">
        <is>
          <t>https://www.tcgplayer.com/product/453489</t>
        </is>
      </c>
    </row>
    <row r="2522">
      <c r="A2522" s="2" t="inlineStr">
        <is>
          <t>Crown Zenith Mini Tin [Marnie &amp; Morpeko]</t>
        </is>
      </c>
      <c r="B2522" s="3">
        <f>IF(H2522&lt;&gt;"",H2522,IF(I2522&lt;&gt;"",I2522,IF(J2522&lt;&gt;"",J2522,K2522)))</f>
        <v>60.35</v>
      </c>
      <c r="C2522" s="3">
        <f>MEDIAN(H2522:K2522)</f>
        <v>70.0</v>
      </c>
      <c r="D2522" s="3">
        <f>ROUND(C2522*(1-Settings!$B$2),2)</f>
        <v>49.0</v>
      </c>
      <c r="E2522" s="2" t="inlineStr">
        <is>
          <t>Pokemon</t>
        </is>
      </c>
      <c r="F2522" s="2" t="inlineStr">
        <is>
          <t>Coffret</t>
        </is>
      </c>
      <c r="G2522" s="2" t="inlineStr">
        <is>
          <t>SWSH: Crown Zenith</t>
        </is>
      </c>
      <c r="H2522" s="3" t="n"/>
      <c r="I2522" s="3" t="n">
        <v>60.35</v>
      </c>
      <c r="J2522" s="3" t="n">
        <v>86.34</v>
      </c>
      <c r="K2522" s="3" t="n">
        <v>70</v>
      </c>
      <c r="L2522" s="2" t="inlineStr">
        <is>
          <t>TCGplayer</t>
        </is>
      </c>
      <c r="N2522" s="4" t="inlineStr">
        <is>
          <t>https://www.tcgplayer.com/product/453488</t>
        </is>
      </c>
    </row>
    <row r="2523">
      <c r="A2523" s="2" t="inlineStr">
        <is>
          <t>Crown Zenith Mini Tin [Set of 5]</t>
        </is>
      </c>
      <c r="B2523" s="3">
        <f>IF(H2523&lt;&gt;"",H2523,IF(I2523&lt;&gt;"",I2523,IF(J2523&lt;&gt;"",J2523,K2523)))</f>
        <v>234.77</v>
      </c>
      <c r="C2523" s="3">
        <f>MEDIAN(H2523:K2523)</f>
        <v>297.98</v>
      </c>
      <c r="D2523" s="3">
        <f>ROUND(C2523*(1-Settings!$B$2),2)</f>
        <v>208.59</v>
      </c>
      <c r="E2523" s="2" t="inlineStr">
        <is>
          <t>Pokemon</t>
        </is>
      </c>
      <c r="F2523" s="2" t="inlineStr">
        <is>
          <t>Coffret</t>
        </is>
      </c>
      <c r="G2523" s="2" t="inlineStr">
        <is>
          <t>SWSH: Crown Zenith</t>
        </is>
      </c>
      <c r="H2523" s="3" t="n"/>
      <c r="I2523" s="3" t="n">
        <v>234.77</v>
      </c>
      <c r="J2523" s="3" t="n">
        <v>307.5</v>
      </c>
      <c r="K2523" s="3" t="n">
        <v>297.98</v>
      </c>
      <c r="L2523" s="2" t="inlineStr">
        <is>
          <t>TCGplayer</t>
        </is>
      </c>
      <c r="N2523" s="4" t="inlineStr">
        <is>
          <t>https://www.tcgplayer.com/product/453494</t>
        </is>
      </c>
    </row>
    <row r="2524">
      <c r="A2524" s="2" t="inlineStr">
        <is>
          <t>Crown Zenith Mini Tin [Sonia &amp; Yamper]</t>
        </is>
      </c>
      <c r="B2524" s="3">
        <f>IF(H2524&lt;&gt;"",H2524,IF(I2524&lt;&gt;"",I2524,IF(J2524&lt;&gt;"",J2524,K2524)))</f>
        <v>60.42</v>
      </c>
      <c r="C2524" s="3">
        <f>MEDIAN(H2524:K2524)</f>
        <v>72.48</v>
      </c>
      <c r="D2524" s="3">
        <f>ROUND(C2524*(1-Settings!$B$2),2)</f>
        <v>50.74</v>
      </c>
      <c r="E2524" s="2" t="inlineStr">
        <is>
          <t>Pokemon</t>
        </is>
      </c>
      <c r="F2524" s="2" t="inlineStr">
        <is>
          <t>Coffret</t>
        </is>
      </c>
      <c r="G2524" s="2" t="inlineStr">
        <is>
          <t>SWSH: Crown Zenith</t>
        </is>
      </c>
      <c r="H2524" s="3" t="n"/>
      <c r="I2524" s="3" t="n">
        <v>60.42</v>
      </c>
      <c r="J2524" s="3" t="n">
        <v>89.5</v>
      </c>
      <c r="K2524" s="3" t="n">
        <v>72.48</v>
      </c>
      <c r="L2524" s="2" t="inlineStr">
        <is>
          <t>TCGplayer</t>
        </is>
      </c>
      <c r="N2524" s="4" t="inlineStr">
        <is>
          <t>https://www.tcgplayer.com/product/453492</t>
        </is>
      </c>
    </row>
    <row r="2525">
      <c r="A2525" s="2" t="inlineStr">
        <is>
          <t>Crown Zenith Pin Collection [Cinderace]</t>
        </is>
      </c>
      <c r="B2525" s="3">
        <f>IF(H2525&lt;&gt;"",H2525,IF(I2525&lt;&gt;"",I2525,IF(J2525&lt;&gt;"",J2525,K2525)))</f>
        <v>66.0</v>
      </c>
      <c r="C2525" s="3">
        <f>MEDIAN(H2525:K2525)</f>
        <v>85.28</v>
      </c>
      <c r="D2525" s="3">
        <f>ROUND(C2525*(1-Settings!$B$2),2)</f>
        <v>59.7</v>
      </c>
      <c r="E2525" s="2" t="inlineStr">
        <is>
          <t>Pokemon</t>
        </is>
      </c>
      <c r="F2525" s="2" t="inlineStr">
        <is>
          <t>Coffret</t>
        </is>
      </c>
      <c r="G2525" s="2" t="inlineStr">
        <is>
          <t>SWSH: Crown Zenith</t>
        </is>
      </c>
      <c r="H2525" s="3" t="n">
        <v>66</v>
      </c>
      <c r="I2525" s="3" t="n">
        <v>85.55</v>
      </c>
      <c r="J2525" s="3" t="n">
        <v>93.98999999999999</v>
      </c>
      <c r="K2525" s="3" t="n">
        <v>85.01000000000001</v>
      </c>
      <c r="L2525" s="2" t="inlineStr">
        <is>
          <t>PriceCharting + TCGplayer</t>
        </is>
      </c>
      <c r="M2525" s="4" t="inlineStr">
        <is>
          <t>https://www.pricecharting.com/game/pokemon-crown-zenith/pin-collection-cinderace</t>
        </is>
      </c>
      <c r="N2525" s="4" t="inlineStr">
        <is>
          <t>https://www.tcgplayer.com/product/475617</t>
        </is>
      </c>
    </row>
    <row r="2526">
      <c r="A2526" s="2" t="inlineStr">
        <is>
          <t>Crown Zenith Pin Collection [Rillaboom]</t>
        </is>
      </c>
      <c r="B2526" s="3">
        <f>IF(H2526&lt;&gt;"",H2526,IF(I2526&lt;&gt;"",I2526,IF(J2526&lt;&gt;"",J2526,K2526)))</f>
        <v>75.0</v>
      </c>
      <c r="C2526" s="3">
        <f>MEDIAN(H2526:K2526)</f>
        <v>89.795</v>
      </c>
      <c r="D2526" s="3">
        <f>ROUND(C2526*(1-Settings!$B$2),2)</f>
        <v>62.86</v>
      </c>
      <c r="E2526" s="2" t="inlineStr">
        <is>
          <t>Pokemon</t>
        </is>
      </c>
      <c r="F2526" s="2" t="inlineStr">
        <is>
          <t>Coffret</t>
        </is>
      </c>
      <c r="G2526" s="2" t="inlineStr">
        <is>
          <t>SWSH: Crown Zenith</t>
        </is>
      </c>
      <c r="H2526" s="3" t="n">
        <v>75</v>
      </c>
      <c r="I2526" s="3" t="n">
        <v>85.61</v>
      </c>
      <c r="J2526" s="3" t="n">
        <v>94.5</v>
      </c>
      <c r="K2526" s="3" t="n">
        <v>93.98</v>
      </c>
      <c r="L2526" s="2" t="inlineStr">
        <is>
          <t>PriceCharting + TCGplayer</t>
        </is>
      </c>
      <c r="M2526" s="4" t="inlineStr">
        <is>
          <t>https://www.pricecharting.com/game/pokemon-crown-zenith/pin-collection-rillaboom</t>
        </is>
      </c>
      <c r="N2526" s="4" t="inlineStr">
        <is>
          <t>https://www.tcgplayer.com/product/475619</t>
        </is>
      </c>
    </row>
    <row r="2527">
      <c r="A2527" s="2" t="inlineStr">
        <is>
          <t>Crown Zenith Pin Collection [Set of 3]</t>
        </is>
      </c>
      <c r="B2527" s="3">
        <f>IF(H2527&lt;&gt;"",H2527,IF(I2527&lt;&gt;"",I2527,IF(J2527&lt;&gt;"",J2527,K2527)))</f>
        <v>240.82</v>
      </c>
      <c r="C2527" s="3">
        <f>MEDIAN(H2527:K2527)</f>
        <v>300.0</v>
      </c>
      <c r="D2527" s="3">
        <f>ROUND(C2527*(1-Settings!$B$2),2)</f>
        <v>210.0</v>
      </c>
      <c r="E2527" s="2" t="inlineStr">
        <is>
          <t>Pokemon</t>
        </is>
      </c>
      <c r="F2527" s="2" t="inlineStr">
        <is>
          <t>Coffret</t>
        </is>
      </c>
      <c r="G2527" s="2" t="inlineStr">
        <is>
          <t>SWSH: Crown Zenith</t>
        </is>
      </c>
      <c r="H2527" s="3" t="n"/>
      <c r="I2527" s="3" t="n">
        <v>240.82</v>
      </c>
      <c r="J2527" s="3" t="n">
        <v>390</v>
      </c>
      <c r="K2527" s="3" t="n">
        <v>300</v>
      </c>
      <c r="L2527" s="2" t="inlineStr">
        <is>
          <t>TCGplayer</t>
        </is>
      </c>
      <c r="N2527" s="4" t="inlineStr">
        <is>
          <t>https://www.tcgplayer.com/product/475620</t>
        </is>
      </c>
    </row>
    <row r="2528">
      <c r="A2528" s="2" t="inlineStr">
        <is>
          <t>Crown Zenith Pokemon Center Elite Trainer Box Plus</t>
        </is>
      </c>
      <c r="B2528" s="3">
        <f>IF(H2528&lt;&gt;"",H2528,IF(I2528&lt;&gt;"",I2528,IF(J2528&lt;&gt;"",J2528,K2528)))</f>
        <v>538.42</v>
      </c>
      <c r="C2528" s="3">
        <f>MEDIAN(H2528:K2528)</f>
        <v>538.42</v>
      </c>
      <c r="D2528" s="3">
        <f>ROUND(C2528*(1-Settings!$B$2),2)</f>
        <v>376.89</v>
      </c>
      <c r="E2528" s="2" t="inlineStr">
        <is>
          <t>Pokemon</t>
        </is>
      </c>
      <c r="F2528" s="2" t="inlineStr">
        <is>
          <t>Coffret</t>
        </is>
      </c>
      <c r="G2528" s="2" t="inlineStr">
        <is>
          <t>SWSH: Crown Zenith</t>
        </is>
      </c>
      <c r="H2528" s="3" t="n"/>
      <c r="I2528" s="3" t="n">
        <v>538.42</v>
      </c>
      <c r="J2528" s="3" t="n">
        <v>725</v>
      </c>
      <c r="K2528" s="3" t="n">
        <v>526</v>
      </c>
      <c r="L2528" s="2" t="inlineStr">
        <is>
          <t>TCGplayer</t>
        </is>
      </c>
      <c r="N2528" s="4" t="inlineStr">
        <is>
          <t>https://www.tcgplayer.com/product/454246</t>
        </is>
      </c>
    </row>
    <row r="2529">
      <c r="A2529" s="2" t="inlineStr">
        <is>
          <t>Crown Zenith Premium Figure Collection [Set of 2]</t>
        </is>
      </c>
      <c r="B2529" s="3">
        <f>IF(H2529&lt;&gt;"",H2529,IF(I2529&lt;&gt;"",I2529,IF(J2529&lt;&gt;"",J2529,K2529)))</f>
        <v>648.26</v>
      </c>
      <c r="C2529" s="3">
        <f>MEDIAN(H2529:K2529)</f>
        <v>678.98</v>
      </c>
      <c r="D2529" s="3">
        <f>ROUND(C2529*(1-Settings!$B$2),2)</f>
        <v>475.29</v>
      </c>
      <c r="E2529" s="2" t="inlineStr">
        <is>
          <t>Pokemon</t>
        </is>
      </c>
      <c r="F2529" s="2" t="inlineStr">
        <is>
          <t>Coffret</t>
        </is>
      </c>
      <c r="G2529" s="2" t="inlineStr">
        <is>
          <t>SWSH: Crown Zenith</t>
        </is>
      </c>
      <c r="H2529" s="3" t="n"/>
      <c r="I2529" s="3" t="n">
        <v>648.26</v>
      </c>
      <c r="J2529" s="3" t="n">
        <v>737.5</v>
      </c>
      <c r="K2529" s="3" t="n">
        <v>678.98</v>
      </c>
      <c r="L2529" s="2" t="inlineStr">
        <is>
          <t>TCGplayer</t>
        </is>
      </c>
      <c r="N2529" s="4" t="inlineStr">
        <is>
          <t>https://www.tcgplayer.com/product/475648</t>
        </is>
      </c>
    </row>
    <row r="2530">
      <c r="A2530" s="2" t="inlineStr">
        <is>
          <t>Crown Zenith Premium Figure Collection [Shiny Zacian]</t>
        </is>
      </c>
      <c r="B2530" s="3">
        <f>IF(H2530&lt;&gt;"",H2530,IF(I2530&lt;&gt;"",I2530,IF(J2530&lt;&gt;"",J2530,K2530)))</f>
        <v>346.06</v>
      </c>
      <c r="C2530" s="3">
        <f>MEDIAN(H2530:K2530)</f>
        <v>346.99</v>
      </c>
      <c r="D2530" s="3">
        <f>ROUND(C2530*(1-Settings!$B$2),2)</f>
        <v>242.89</v>
      </c>
      <c r="E2530" s="2" t="inlineStr">
        <is>
          <t>Pokemon</t>
        </is>
      </c>
      <c r="F2530" s="2" t="inlineStr">
        <is>
          <t>Coffret</t>
        </is>
      </c>
      <c r="G2530" s="2" t="inlineStr">
        <is>
          <t>SWSH: Crown Zenith</t>
        </is>
      </c>
      <c r="H2530" s="3" t="n"/>
      <c r="I2530" s="3" t="n">
        <v>346.06</v>
      </c>
      <c r="J2530" s="3" t="n">
        <v>360</v>
      </c>
      <c r="K2530" s="3" t="n">
        <v>346.99</v>
      </c>
      <c r="L2530" s="2" t="inlineStr">
        <is>
          <t>TCGplayer</t>
        </is>
      </c>
      <c r="N2530" s="4" t="inlineStr">
        <is>
          <t>https://www.tcgplayer.com/product/475647</t>
        </is>
      </c>
    </row>
    <row r="2531">
      <c r="A2531" s="2" t="inlineStr">
        <is>
          <t>Crown Zenith Premium Figure Collection [Shiny Zamazenta]</t>
        </is>
      </c>
      <c r="B2531" s="3">
        <f>IF(H2531&lt;&gt;"",H2531,IF(I2531&lt;&gt;"",I2531,IF(J2531&lt;&gt;"",J2531,K2531)))</f>
        <v>337.8</v>
      </c>
      <c r="C2531" s="3">
        <f>MEDIAN(H2531:K2531)</f>
        <v>337.8</v>
      </c>
      <c r="D2531" s="3">
        <f>ROUND(C2531*(1-Settings!$B$2),2)</f>
        <v>236.46</v>
      </c>
      <c r="E2531" s="2" t="inlineStr">
        <is>
          <t>Pokemon</t>
        </is>
      </c>
      <c r="F2531" s="2" t="inlineStr">
        <is>
          <t>Coffret</t>
        </is>
      </c>
      <c r="G2531" s="2" t="inlineStr">
        <is>
          <t>SWSH: Crown Zenith</t>
        </is>
      </c>
      <c r="H2531" s="3" t="n"/>
      <c r="I2531" s="3" t="n">
        <v>337.8</v>
      </c>
      <c r="J2531" s="3" t="n">
        <v>345</v>
      </c>
      <c r="K2531" s="3" t="n">
        <v>329.95</v>
      </c>
      <c r="L2531" s="2" t="inlineStr">
        <is>
          <t>TCGplayer</t>
        </is>
      </c>
      <c r="N2531" s="4" t="inlineStr">
        <is>
          <t>https://www.tcgplayer.com/product/475646</t>
        </is>
      </c>
    </row>
    <row r="2532">
      <c r="A2532" s="2" t="inlineStr">
        <is>
          <t>Crown Zenith Special Collection [Unown V &amp; Lugia V]</t>
        </is>
      </c>
      <c r="B2532" s="3">
        <f>IF(H2532&lt;&gt;"",H2532,IF(I2532&lt;&gt;"",I2532,IF(J2532&lt;&gt;"",J2532,K2532)))</f>
        <v>172.5</v>
      </c>
      <c r="C2532" s="3">
        <f>MEDIAN(H2532:K2532)</f>
        <v>172.5</v>
      </c>
      <c r="D2532" s="3">
        <f>ROUND(C2532*(1-Settings!$B$2),2)</f>
        <v>120.75</v>
      </c>
      <c r="E2532" s="2" t="inlineStr">
        <is>
          <t>Pokemon</t>
        </is>
      </c>
      <c r="F2532" s="2" t="inlineStr">
        <is>
          <t>Coffret</t>
        </is>
      </c>
      <c r="G2532" s="2" t="inlineStr">
        <is>
          <t>SWSH: Crown Zenith</t>
        </is>
      </c>
      <c r="H2532" s="3" t="n"/>
      <c r="I2532" s="3" t="n">
        <v>172.5</v>
      </c>
      <c r="J2532" s="3" t="n">
        <v>219.99</v>
      </c>
      <c r="K2532" s="3" t="n">
        <v>165.99</v>
      </c>
      <c r="L2532" s="2" t="inlineStr">
        <is>
          <t>TCGplayer</t>
        </is>
      </c>
      <c r="N2532" s="4" t="inlineStr">
        <is>
          <t>https://www.tcgplayer.com/product/505916</t>
        </is>
      </c>
    </row>
    <row r="2533">
      <c r="A2533" s="2" t="inlineStr">
        <is>
          <t>Crown Zenith Tin [Galarian Articuno]</t>
        </is>
      </c>
      <c r="B2533" s="3">
        <f>IF(H2533&lt;&gt;"",H2533,IF(I2533&lt;&gt;"",I2533,IF(J2533&lt;&gt;"",J2533,K2533)))</f>
        <v>148.01</v>
      </c>
      <c r="C2533" s="3">
        <f>MEDIAN(H2533:K2533)</f>
        <v>148.01</v>
      </c>
      <c r="D2533" s="3">
        <f>ROUND(C2533*(1-Settings!$B$2),2)</f>
        <v>103.61</v>
      </c>
      <c r="E2533" s="2" t="inlineStr">
        <is>
          <t>Pokemon</t>
        </is>
      </c>
      <c r="F2533" s="2" t="inlineStr">
        <is>
          <t>Coffret</t>
        </is>
      </c>
      <c r="G2533" s="2" t="inlineStr">
        <is>
          <t>SWSH: Crown Zenith</t>
        </is>
      </c>
      <c r="H2533" s="3" t="n"/>
      <c r="I2533" s="3" t="n">
        <v>148.01</v>
      </c>
      <c r="J2533" s="3" t="n">
        <v>169.99</v>
      </c>
      <c r="K2533" s="3" t="n">
        <v>145</v>
      </c>
      <c r="L2533" s="2" t="inlineStr">
        <is>
          <t>TCGplayer</t>
        </is>
      </c>
      <c r="N2533" s="4" t="inlineStr">
        <is>
          <t>https://www.tcgplayer.com/product/475628</t>
        </is>
      </c>
    </row>
    <row r="2534">
      <c r="A2534" s="2" t="inlineStr">
        <is>
          <t>Crown Zenith Tin [Galarian Articuno] (International Version)</t>
        </is>
      </c>
      <c r="B2534" s="3">
        <f>IF(H2534&lt;&gt;"",H2534,IF(I2534&lt;&gt;"",I2534,IF(J2534&lt;&gt;"",J2534,K2534)))</f>
        <v>106.72</v>
      </c>
      <c r="C2534" s="3">
        <f>MEDIAN(H2534:K2534)</f>
        <v>120.0</v>
      </c>
      <c r="D2534" s="3">
        <f>ROUND(C2534*(1-Settings!$B$2),2)</f>
        <v>84.0</v>
      </c>
      <c r="E2534" s="2" t="inlineStr">
        <is>
          <t>Pokemon</t>
        </is>
      </c>
      <c r="F2534" s="2" t="inlineStr">
        <is>
          <t>Coffret</t>
        </is>
      </c>
      <c r="G2534" s="2" t="inlineStr">
        <is>
          <t>SWSH: Crown Zenith</t>
        </is>
      </c>
      <c r="H2534" s="3" t="n"/>
      <c r="I2534" s="3" t="n">
        <v>106.72</v>
      </c>
      <c r="J2534" s="3" t="n">
        <v>126.97</v>
      </c>
      <c r="K2534" s="3" t="n">
        <v>120</v>
      </c>
      <c r="L2534" s="2" t="inlineStr">
        <is>
          <t>TCGplayer</t>
        </is>
      </c>
      <c r="N2534" s="4" t="inlineStr">
        <is>
          <t>https://www.tcgplayer.com/product/475631</t>
        </is>
      </c>
    </row>
    <row r="2535">
      <c r="A2535" s="2" t="inlineStr">
        <is>
          <t>Crown Zenith Tin [Galarian Moltres]</t>
        </is>
      </c>
      <c r="B2535" s="3">
        <f>IF(H2535&lt;&gt;"",H2535,IF(I2535&lt;&gt;"",I2535,IF(J2535&lt;&gt;"",J2535,K2535)))</f>
        <v>57.52</v>
      </c>
      <c r="C2535" s="3">
        <f>MEDIAN(H2535:K2535)</f>
        <v>153.32</v>
      </c>
      <c r="D2535" s="3">
        <f>ROUND(C2535*(1-Settings!$B$2),2)</f>
        <v>107.32</v>
      </c>
      <c r="E2535" s="2" t="inlineStr">
        <is>
          <t>Pokemon</t>
        </is>
      </c>
      <c r="F2535" s="2" t="inlineStr">
        <is>
          <t>Coffret</t>
        </is>
      </c>
      <c r="G2535" s="2" t="inlineStr">
        <is>
          <t>SWSH: Crown Zenith</t>
        </is>
      </c>
      <c r="H2535" s="3" t="n">
        <v>57.52</v>
      </c>
      <c r="I2535" s="3" t="n">
        <v>156.64</v>
      </c>
      <c r="J2535" s="3" t="n">
        <v>165.5</v>
      </c>
      <c r="K2535" s="3" t="n">
        <v>150</v>
      </c>
      <c r="L2535" s="2" t="inlineStr">
        <is>
          <t>PriceCharting + TCGplayer</t>
        </is>
      </c>
      <c r="M2535" s="4" t="inlineStr">
        <is>
          <t>https://www.pricecharting.com/game/pokemon-crown-zenith/crown-zenith-tin-galarian-moltres</t>
        </is>
      </c>
      <c r="N2535" s="4" t="inlineStr">
        <is>
          <t>https://www.tcgplayer.com/product/475629</t>
        </is>
      </c>
    </row>
    <row r="2536">
      <c r="A2536" s="2" t="inlineStr">
        <is>
          <t>Crown Zenith Tin [Galarian Moltres] (International Version)</t>
        </is>
      </c>
      <c r="B2536" s="3">
        <f>IF(H2536&lt;&gt;"",H2536,IF(I2536&lt;&gt;"",I2536,IF(J2536&lt;&gt;"",J2536,K2536)))</f>
        <v>125.6</v>
      </c>
      <c r="C2536" s="3">
        <f>MEDIAN(H2536:K2536)</f>
        <v>134.5</v>
      </c>
      <c r="D2536" s="3">
        <f>ROUND(C2536*(1-Settings!$B$2),2)</f>
        <v>94.15</v>
      </c>
      <c r="E2536" s="2" t="inlineStr">
        <is>
          <t>Pokemon</t>
        </is>
      </c>
      <c r="F2536" s="2" t="inlineStr">
        <is>
          <t>Coffret</t>
        </is>
      </c>
      <c r="G2536" s="2" t="inlineStr">
        <is>
          <t>SWSH: Crown Zenith</t>
        </is>
      </c>
      <c r="H2536" s="3" t="n"/>
      <c r="I2536" s="3" t="n">
        <v>125.6</v>
      </c>
      <c r="J2536" s="3" t="n">
        <v>147.5</v>
      </c>
      <c r="K2536" s="3" t="n">
        <v>134.5</v>
      </c>
      <c r="L2536" s="2" t="inlineStr">
        <is>
          <t>TCGplayer</t>
        </is>
      </c>
      <c r="N2536" s="4" t="inlineStr">
        <is>
          <t>https://www.tcgplayer.com/product/475632</t>
        </is>
      </c>
    </row>
    <row r="2537">
      <c r="A2537" s="2" t="inlineStr">
        <is>
          <t>Crown Zenith Tin [Galarian Zapdos]</t>
        </is>
      </c>
      <c r="B2537" s="3">
        <f>IF(H2537&lt;&gt;"",H2537,IF(I2537&lt;&gt;"",I2537,IF(J2537&lt;&gt;"",J2537,K2537)))</f>
        <v>138.98</v>
      </c>
      <c r="C2537" s="3">
        <f>MEDIAN(H2537:K2537)</f>
        <v>139.49</v>
      </c>
      <c r="D2537" s="3">
        <f>ROUND(C2537*(1-Settings!$B$2),2)</f>
        <v>97.64</v>
      </c>
      <c r="E2537" s="2" t="inlineStr">
        <is>
          <t>Pokemon</t>
        </is>
      </c>
      <c r="F2537" s="2" t="inlineStr">
        <is>
          <t>Coffret</t>
        </is>
      </c>
      <c r="G2537" s="2" t="inlineStr">
        <is>
          <t>SWSH: Crown Zenith</t>
        </is>
      </c>
      <c r="H2537" s="3" t="n">
        <v>138.98</v>
      </c>
      <c r="I2537" s="3" t="n">
        <v>137.67</v>
      </c>
      <c r="J2537" s="3" t="n">
        <v>151.99</v>
      </c>
      <c r="K2537" s="3" t="n">
        <v>140</v>
      </c>
      <c r="L2537" s="2" t="inlineStr">
        <is>
          <t>PriceCharting + TCGplayer</t>
        </is>
      </c>
      <c r="M2537" s="4" t="inlineStr">
        <is>
          <t>https://www.pricecharting.com/game/pokemon-crown-zenith/crown-zenith-tin-galarian-zapdos</t>
        </is>
      </c>
      <c r="N2537" s="4" t="inlineStr">
        <is>
          <t>https://www.tcgplayer.com/product/475630</t>
        </is>
      </c>
    </row>
    <row r="2538">
      <c r="A2538" s="2" t="inlineStr">
        <is>
          <t>Crown Zenith Tin [Galarian Zapdos] (International Version)</t>
        </is>
      </c>
      <c r="B2538" s="3">
        <f>IF(H2538&lt;&gt;"",H2538,IF(I2538&lt;&gt;"",I2538,IF(J2538&lt;&gt;"",J2538,K2538)))</f>
        <v>119.02</v>
      </c>
      <c r="C2538" s="3">
        <f>MEDIAN(H2538:K2538)</f>
        <v>119.99</v>
      </c>
      <c r="D2538" s="3">
        <f>ROUND(C2538*(1-Settings!$B$2),2)</f>
        <v>83.99</v>
      </c>
      <c r="E2538" s="2" t="inlineStr">
        <is>
          <t>Pokemon</t>
        </is>
      </c>
      <c r="F2538" s="2" t="inlineStr">
        <is>
          <t>Coffret</t>
        </is>
      </c>
      <c r="G2538" s="2" t="inlineStr">
        <is>
          <t>SWSH: Crown Zenith</t>
        </is>
      </c>
      <c r="H2538" s="3" t="n"/>
      <c r="I2538" s="3" t="n">
        <v>119.02</v>
      </c>
      <c r="J2538" s="3" t="n">
        <v>125</v>
      </c>
      <c r="K2538" s="3" t="n">
        <v>119.99</v>
      </c>
      <c r="L2538" s="2" t="inlineStr">
        <is>
          <t>TCGplayer</t>
        </is>
      </c>
      <c r="N2538" s="4" t="inlineStr">
        <is>
          <t>https://www.tcgplayer.com/product/475633</t>
        </is>
      </c>
    </row>
    <row r="2539">
      <c r="A2539" s="2" t="inlineStr">
        <is>
          <t>Crown Zenith Tin [Set of 3]</t>
        </is>
      </c>
      <c r="B2539" s="3">
        <f>IF(H2539&lt;&gt;"",H2539,IF(I2539&lt;&gt;"",I2539,IF(J2539&lt;&gt;"",J2539,K2539)))</f>
        <v>397.13</v>
      </c>
      <c r="C2539" s="3">
        <f>MEDIAN(H2539:K2539)</f>
        <v>456.99</v>
      </c>
      <c r="D2539" s="3">
        <f>ROUND(C2539*(1-Settings!$B$2),2)</f>
        <v>319.89</v>
      </c>
      <c r="E2539" s="2" t="inlineStr">
        <is>
          <t>Pokemon</t>
        </is>
      </c>
      <c r="F2539" s="2" t="inlineStr">
        <is>
          <t>Coffret</t>
        </is>
      </c>
      <c r="G2539" s="2" t="inlineStr">
        <is>
          <t>SWSH: Crown Zenith</t>
        </is>
      </c>
      <c r="H2539" s="3" t="n"/>
      <c r="I2539" s="3" t="n">
        <v>397.13</v>
      </c>
      <c r="J2539" s="3" t="n">
        <v>474.99</v>
      </c>
      <c r="K2539" s="3" t="n">
        <v>456.99</v>
      </c>
      <c r="L2539" s="2" t="inlineStr">
        <is>
          <t>TCGplayer</t>
        </is>
      </c>
      <c r="N2539" s="4" t="inlineStr">
        <is>
          <t>https://www.tcgplayer.com/product/475634</t>
        </is>
      </c>
    </row>
    <row r="2540">
      <c r="A2540" s="2" t="inlineStr">
        <is>
          <t>Crown Zenith Tin [Set of 3] (International Version)</t>
        </is>
      </c>
      <c r="B2540" s="3">
        <f>IF(H2540&lt;&gt;"",H2540,IF(I2540&lt;&gt;"",I2540,IF(J2540&lt;&gt;"",J2540,K2540)))</f>
        <v>332.21</v>
      </c>
      <c r="C2540" s="3">
        <f>MEDIAN(H2540:K2540)</f>
        <v>400.0</v>
      </c>
      <c r="D2540" s="3">
        <f>ROUND(C2540*(1-Settings!$B$2),2)</f>
        <v>280.0</v>
      </c>
      <c r="E2540" s="2" t="inlineStr">
        <is>
          <t>Pokemon</t>
        </is>
      </c>
      <c r="F2540" s="2" t="inlineStr">
        <is>
          <t>Coffret</t>
        </is>
      </c>
      <c r="G2540" s="2" t="inlineStr">
        <is>
          <t>SWSH: Crown Zenith</t>
        </is>
      </c>
      <c r="H2540" s="3" t="n"/>
      <c r="I2540" s="3" t="n">
        <v>332.21</v>
      </c>
      <c r="J2540" s="3" t="n">
        <v>440</v>
      </c>
      <c r="K2540" s="3" t="n">
        <v>400</v>
      </c>
      <c r="L2540" s="2" t="inlineStr">
        <is>
          <t>TCGplayer</t>
        </is>
      </c>
      <c r="N2540" s="4" t="inlineStr">
        <is>
          <t>https://www.tcgplayer.com/product/475635</t>
        </is>
      </c>
    </row>
    <row r="2541">
      <c r="A2541" s="2" t="inlineStr">
        <is>
          <t>Morpeko V-UNION Playmat Premium Collection</t>
        </is>
      </c>
      <c r="B2541" s="3">
        <f>IF(H2541&lt;&gt;"",H2541,IF(I2541&lt;&gt;"",I2541,IF(J2541&lt;&gt;"",J2541,K2541)))</f>
        <v>139.31</v>
      </c>
      <c r="C2541" s="3">
        <f>MEDIAN(H2541:K2541)</f>
        <v>139.31</v>
      </c>
      <c r="D2541" s="3">
        <f>ROUND(C2541*(1-Settings!$B$2),2)</f>
        <v>97.52</v>
      </c>
      <c r="E2541" s="2" t="inlineStr">
        <is>
          <t>Pokemon</t>
        </is>
      </c>
      <c r="F2541" s="2" t="inlineStr">
        <is>
          <t>Coffret</t>
        </is>
      </c>
      <c r="G2541" s="2" t="inlineStr">
        <is>
          <t>SWSH: Crown Zenith</t>
        </is>
      </c>
      <c r="H2541" s="3" t="n"/>
      <c r="I2541" s="3" t="n">
        <v>139.31</v>
      </c>
      <c r="J2541" s="3" t="n">
        <v>200</v>
      </c>
      <c r="K2541" s="3" t="n">
        <v>139</v>
      </c>
      <c r="L2541" s="2" t="inlineStr">
        <is>
          <t>TCGplayer</t>
        </is>
      </c>
      <c r="N2541" s="4" t="inlineStr">
        <is>
          <t>https://www.tcgplayer.com/product/475644</t>
        </is>
      </c>
    </row>
    <row r="2542">
      <c r="A2542" s="2" t="inlineStr">
        <is>
          <t>Pikachu VMAX Premium Collection</t>
        </is>
      </c>
      <c r="B2542" s="3">
        <f>IF(H2542&lt;&gt;"",H2542,IF(I2542&lt;&gt;"",I2542,IF(J2542&lt;&gt;"",J2542,K2542)))</f>
        <v>206.99</v>
      </c>
      <c r="C2542" s="3">
        <f>MEDIAN(H2542:K2542)</f>
        <v>222.325</v>
      </c>
      <c r="D2542" s="3">
        <f>ROUND(C2542*(1-Settings!$B$2),2)</f>
        <v>155.63</v>
      </c>
      <c r="E2542" s="2" t="inlineStr">
        <is>
          <t>Pokemon</t>
        </is>
      </c>
      <c r="F2542" s="2" t="inlineStr">
        <is>
          <t>Coffret</t>
        </is>
      </c>
      <c r="G2542" s="2" t="inlineStr">
        <is>
          <t>SWSH: Crown Zenith</t>
        </is>
      </c>
      <c r="H2542" s="3" t="n">
        <v>206.99</v>
      </c>
      <c r="I2542" s="3" t="n">
        <v>219.65</v>
      </c>
      <c r="J2542" s="3" t="n">
        <v>250</v>
      </c>
      <c r="K2542" s="3" t="n">
        <v>225</v>
      </c>
      <c r="L2542" s="2" t="inlineStr">
        <is>
          <t>PriceCharting + TCGplayer</t>
        </is>
      </c>
      <c r="M2542" s="4" t="inlineStr">
        <is>
          <t>https://www.pricecharting.com/game/pokemon-crown-zenith/pikachu-vmax-premium-collection</t>
        </is>
      </c>
      <c r="N2542" s="4" t="inlineStr">
        <is>
          <t>https://www.tcgplayer.com/product/527796</t>
        </is>
      </c>
    </row>
    <row r="2543">
      <c r="A2543" s="2" t="inlineStr">
        <is>
          <t>Pikachu VMAX Special Collection</t>
        </is>
      </c>
      <c r="B2543" s="3">
        <f>IF(H2543&lt;&gt;"",H2543,IF(I2543&lt;&gt;"",I2543,IF(J2543&lt;&gt;"",J2543,K2543)))</f>
        <v>154.91</v>
      </c>
      <c r="C2543" s="3">
        <f>MEDIAN(H2543:K2543)</f>
        <v>159.01999999999998</v>
      </c>
      <c r="D2543" s="3">
        <f>ROUND(C2543*(1-Settings!$B$2),2)</f>
        <v>111.31</v>
      </c>
      <c r="E2543" s="2" t="inlineStr">
        <is>
          <t>Pokemon</t>
        </is>
      </c>
      <c r="F2543" s="2" t="inlineStr">
        <is>
          <t>Coffret</t>
        </is>
      </c>
      <c r="G2543" s="2" t="inlineStr">
        <is>
          <t>SWSH: Crown Zenith</t>
        </is>
      </c>
      <c r="H2543" s="3" t="n">
        <v>154.91</v>
      </c>
      <c r="I2543" s="3" t="n">
        <v>158.03</v>
      </c>
      <c r="J2543" s="3" t="n">
        <v>168.99</v>
      </c>
      <c r="K2543" s="3" t="n">
        <v>160.01</v>
      </c>
      <c r="L2543" s="2" t="inlineStr">
        <is>
          <t>PriceCharting + TCGplayer</t>
        </is>
      </c>
      <c r="M2543" s="4" t="inlineStr">
        <is>
          <t>https://www.pricecharting.com/game/pokemon-crown-zenith/pikachu-vmax-special-collection</t>
        </is>
      </c>
      <c r="N2543" s="4" t="inlineStr">
        <is>
          <t>https://www.tcgplayer.com/product/454452</t>
        </is>
      </c>
    </row>
    <row r="2544">
      <c r="A2544" s="2" t="inlineStr">
        <is>
          <t>Sea &amp; Sky Premium Collection</t>
        </is>
      </c>
      <c r="B2544" s="3">
        <f>IF(H2544&lt;&gt;"",H2544,IF(I2544&lt;&gt;"",I2544,IF(J2544&lt;&gt;"",J2544,K2544)))</f>
        <v>381.34</v>
      </c>
      <c r="C2544" s="3">
        <f>MEDIAN(H2544:K2544)</f>
        <v>381.34</v>
      </c>
      <c r="D2544" s="3">
        <f>ROUND(C2544*(1-Settings!$B$2),2)</f>
        <v>266.94</v>
      </c>
      <c r="E2544" s="2" t="inlineStr">
        <is>
          <t>Pokemon</t>
        </is>
      </c>
      <c r="F2544" s="2" t="inlineStr">
        <is>
          <t>Coffret</t>
        </is>
      </c>
      <c r="G2544" s="2" t="inlineStr">
        <is>
          <t>SWSH: Crown Zenith</t>
        </is>
      </c>
      <c r="H2544" s="3" t="n"/>
      <c r="I2544" s="3" t="n">
        <v>381.34</v>
      </c>
      <c r="J2544" s="3" t="n">
        <v>399</v>
      </c>
      <c r="K2544" s="3" t="n">
        <v>363.95</v>
      </c>
      <c r="L2544" s="2" t="inlineStr">
        <is>
          <t>TCGplayer</t>
        </is>
      </c>
      <c r="N2544" s="4" t="inlineStr">
        <is>
          <t>https://www.tcgplayer.com/product/563307</t>
        </is>
      </c>
    </row>
    <row r="2545">
      <c r="A2545" s="2" t="inlineStr">
        <is>
          <t>Team Up 3-Pack Blister</t>
        </is>
      </c>
      <c r="B2545" s="3">
        <f>IF(H2545&lt;&gt;"",H2545,IF(I2545&lt;&gt;"",I2545,IF(J2545&lt;&gt;"",J2545,K2545)))</f>
        <v>1201.93</v>
      </c>
      <c r="C2545" s="3">
        <f>MEDIAN(H2545:K2545)</f>
        <v>1201.93</v>
      </c>
      <c r="D2545" s="3">
        <f>ROUND(C2545*(1-Settings!$B$2),2)</f>
        <v>841.35</v>
      </c>
      <c r="E2545" s="2" t="inlineStr">
        <is>
          <t>Pokemon</t>
        </is>
      </c>
      <c r="F2545" s="2" t="inlineStr">
        <is>
          <t>Coffret</t>
        </is>
      </c>
      <c r="G2545" s="2" t="inlineStr">
        <is>
          <t>Team Up</t>
        </is>
      </c>
      <c r="H2545" s="3" t="n">
        <v>1201.93</v>
      </c>
      <c r="I2545" s="3" t="n"/>
      <c r="J2545" s="3" t="n"/>
      <c r="K2545" s="3" t="n"/>
      <c r="L2545" s="2" t="inlineStr">
        <is>
          <t>PriceCharting</t>
        </is>
      </c>
      <c r="M2545" s="4" t="inlineStr">
        <is>
          <t>https://www.pricecharting.com/game/pokemon-team-up/3-pack-blister</t>
        </is>
      </c>
    </row>
    <row r="2546">
      <c r="A2546" s="2" t="inlineStr">
        <is>
          <t>Team Up Build And Battle Box</t>
        </is>
      </c>
      <c r="B2546" s="3">
        <f>IF(H2546&lt;&gt;"",H2546,IF(I2546&lt;&gt;"",I2546,IF(J2546&lt;&gt;"",J2546,K2546)))</f>
        <v>1186.0</v>
      </c>
      <c r="C2546" s="3">
        <f>MEDIAN(H2546:K2546)</f>
        <v>1186.0</v>
      </c>
      <c r="D2546" s="3">
        <f>ROUND(C2546*(1-Settings!$B$2),2)</f>
        <v>830.2</v>
      </c>
      <c r="E2546" s="2" t="inlineStr">
        <is>
          <t>Pokemon</t>
        </is>
      </c>
      <c r="F2546" s="2" t="inlineStr">
        <is>
          <t>Coffret</t>
        </is>
      </c>
      <c r="G2546" s="2" t="inlineStr">
        <is>
          <t>Team Up</t>
        </is>
      </c>
      <c r="H2546" s="3" t="n">
        <v>1186</v>
      </c>
      <c r="I2546" s="3" t="n"/>
      <c r="J2546" s="3" t="n"/>
      <c r="K2546" s="3" t="n"/>
      <c r="L2546" s="2" t="inlineStr">
        <is>
          <t>PriceCharting</t>
        </is>
      </c>
      <c r="M2546" s="4" t="inlineStr">
        <is>
          <t>https://www.pricecharting.com/game/pokemon-team-up/build-and-battle-box</t>
        </is>
      </c>
    </row>
    <row r="2547">
      <c r="A2547" s="2" t="inlineStr">
        <is>
          <t>Team Up Reshiram &amp; Charizard GX Premium Collection Box</t>
        </is>
      </c>
      <c r="B2547" s="3">
        <f>IF(H2547&lt;&gt;"",H2547,IF(I2547&lt;&gt;"",I2547,IF(J2547&lt;&gt;"",J2547,K2547)))</f>
        <v>315.0</v>
      </c>
      <c r="C2547" s="3">
        <f>MEDIAN(H2547:K2547)</f>
        <v>315.0</v>
      </c>
      <c r="D2547" s="3">
        <f>ROUND(C2547*(1-Settings!$B$2),2)</f>
        <v>220.5</v>
      </c>
      <c r="E2547" s="2" t="inlineStr">
        <is>
          <t>Pokemon</t>
        </is>
      </c>
      <c r="F2547" s="2" t="inlineStr">
        <is>
          <t>Coffret</t>
        </is>
      </c>
      <c r="G2547" s="2" t="inlineStr">
        <is>
          <t>Team Up</t>
        </is>
      </c>
      <c r="H2547" s="3" t="n">
        <v>315</v>
      </c>
      <c r="I2547" s="3" t="n"/>
      <c r="J2547" s="3" t="n"/>
      <c r="K2547" s="3" t="n"/>
      <c r="L2547" s="2" t="inlineStr">
        <is>
          <t>PriceCharting</t>
        </is>
      </c>
      <c r="M2547" s="4" t="inlineStr">
        <is>
          <t>https://www.pricecharting.com/game/pokemon-team-up/reshiram-&amp;-charizard-gx-premium-collection-box</t>
        </is>
      </c>
    </row>
    <row r="2548">
      <c r="A2548" s="2" t="inlineStr">
        <is>
          <t>Temporal Forces Elite Trainer Box [Iron Leaves Pokemon Center]</t>
        </is>
      </c>
      <c r="B2548" s="3">
        <f>IF(H2548&lt;&gt;"",H2548,IF(I2548&lt;&gt;"",I2548,IF(J2548&lt;&gt;"",J2548,K2548)))</f>
        <v>195.13</v>
      </c>
      <c r="C2548" s="3">
        <f>MEDIAN(H2548:K2548)</f>
        <v>195.13</v>
      </c>
      <c r="D2548" s="3">
        <f>ROUND(C2548*(1-Settings!$B$2),2)</f>
        <v>136.59</v>
      </c>
      <c r="E2548" s="2" t="inlineStr">
        <is>
          <t>Pokemon</t>
        </is>
      </c>
      <c r="F2548" s="2" t="inlineStr">
        <is>
          <t>Coffret</t>
        </is>
      </c>
      <c r="G2548" s="2" t="inlineStr">
        <is>
          <t>Temporal Forces</t>
        </is>
      </c>
      <c r="H2548" s="3" t="n">
        <v>195.13</v>
      </c>
      <c r="I2548" s="3" t="n"/>
      <c r="J2548" s="3" t="n"/>
      <c r="K2548" s="3" t="n"/>
      <c r="L2548" s="2" t="inlineStr">
        <is>
          <t>PriceCharting</t>
        </is>
      </c>
      <c r="M2548" s="4" t="inlineStr">
        <is>
          <t>https://www.pricecharting.com/game/pokemon-temporal-forces/elite-trainer-box-iron-leaves-pokemon-center</t>
        </is>
      </c>
    </row>
    <row r="2549">
      <c r="A2549" s="2" t="inlineStr">
        <is>
          <t>Temporal Forces Elite Trainer Box [Iron Leaves]</t>
        </is>
      </c>
      <c r="B2549" s="3">
        <f>IF(H2549&lt;&gt;"",H2549,IF(I2549&lt;&gt;"",I2549,IF(J2549&lt;&gt;"",J2549,K2549)))</f>
        <v>125.0</v>
      </c>
      <c r="C2549" s="3">
        <f>MEDIAN(H2549:K2549)</f>
        <v>125.0</v>
      </c>
      <c r="D2549" s="3">
        <f>ROUND(C2549*(1-Settings!$B$2),2)</f>
        <v>87.5</v>
      </c>
      <c r="E2549" s="2" t="inlineStr">
        <is>
          <t>Pokemon</t>
        </is>
      </c>
      <c r="F2549" s="2" t="inlineStr">
        <is>
          <t>Coffret</t>
        </is>
      </c>
      <c r="G2549" s="2" t="inlineStr">
        <is>
          <t>Temporal Forces</t>
        </is>
      </c>
      <c r="H2549" s="3" t="n">
        <v>125</v>
      </c>
      <c r="I2549" s="3" t="n"/>
      <c r="J2549" s="3" t="n"/>
      <c r="K2549" s="3" t="n"/>
      <c r="L2549" s="2" t="inlineStr">
        <is>
          <t>PriceCharting</t>
        </is>
      </c>
      <c r="M2549" s="4" t="inlineStr">
        <is>
          <t>https://www.pricecharting.com/game/pokemon-temporal-forces/elite-trainer-box-iron-leaves</t>
        </is>
      </c>
    </row>
    <row r="2550">
      <c r="A2550" s="2" t="inlineStr">
        <is>
          <t>Temporal Forces Elite Trainer Box [Walking Wake Pokemon Center]</t>
        </is>
      </c>
      <c r="B2550" s="3">
        <f>IF(H2550&lt;&gt;"",H2550,IF(I2550&lt;&gt;"",I2550,IF(J2550&lt;&gt;"",J2550,K2550)))</f>
        <v>202.43</v>
      </c>
      <c r="C2550" s="3">
        <f>MEDIAN(H2550:K2550)</f>
        <v>202.43</v>
      </c>
      <c r="D2550" s="3">
        <f>ROUND(C2550*(1-Settings!$B$2),2)</f>
        <v>141.7</v>
      </c>
      <c r="E2550" s="2" t="inlineStr">
        <is>
          <t>Pokemon</t>
        </is>
      </c>
      <c r="F2550" s="2" t="inlineStr">
        <is>
          <t>Coffret</t>
        </is>
      </c>
      <c r="G2550" s="2" t="inlineStr">
        <is>
          <t>Temporal Forces</t>
        </is>
      </c>
      <c r="H2550" s="3" t="n">
        <v>202.43</v>
      </c>
      <c r="I2550" s="3" t="n"/>
      <c r="J2550" s="3" t="n"/>
      <c r="K2550" s="3" t="n"/>
      <c r="L2550" s="2" t="inlineStr">
        <is>
          <t>PriceCharting</t>
        </is>
      </c>
      <c r="M2550" s="4" t="inlineStr">
        <is>
          <t>https://www.pricecharting.com/game/pokemon-temporal-forces/elite-trainer-box-walking-wake-pokemon-center</t>
        </is>
      </c>
    </row>
    <row r="2551">
      <c r="A2551" s="2" t="inlineStr">
        <is>
          <t>Trick Or Trade 2022 Booster Bundle</t>
        </is>
      </c>
      <c r="B2551" s="3">
        <f>IF(H2551&lt;&gt;"",H2551,IF(I2551&lt;&gt;"",I2551,IF(J2551&lt;&gt;"",J2551,K2551)))</f>
        <v>73.79</v>
      </c>
      <c r="C2551" s="3">
        <f>MEDIAN(H2551:K2551)</f>
        <v>73.79</v>
      </c>
      <c r="D2551" s="3">
        <f>ROUND(C2551*(1-Settings!$B$2),2)</f>
        <v>51.65</v>
      </c>
      <c r="E2551" s="2" t="inlineStr">
        <is>
          <t>Pokemon</t>
        </is>
      </c>
      <c r="F2551" s="2" t="inlineStr">
        <is>
          <t>Coffret</t>
        </is>
      </c>
      <c r="G2551" s="2" t="inlineStr">
        <is>
          <t>Trick Or Trade 2022</t>
        </is>
      </c>
      <c r="H2551" s="3" t="n">
        <v>73.79000000000001</v>
      </c>
      <c r="I2551" s="3" t="n"/>
      <c r="J2551" s="3" t="n"/>
      <c r="K2551" s="3" t="n"/>
      <c r="L2551" s="2" t="inlineStr">
        <is>
          <t>PriceCharting</t>
        </is>
      </c>
      <c r="M2551" s="4" t="inlineStr">
        <is>
          <t>https://www.pricecharting.com/game/pokemon-trick-or-trade-2022/booster-bundle</t>
        </is>
      </c>
    </row>
    <row r="2552">
      <c r="A2552" s="2" t="inlineStr">
        <is>
          <t>Trick Or Trade 2022 Booster Bundle [120-Pack]</t>
        </is>
      </c>
      <c r="B2552" s="3">
        <f>IF(H2552&lt;&gt;"",H2552,IF(I2552&lt;&gt;"",I2552,IF(J2552&lt;&gt;"",J2552,K2552)))</f>
        <v>83.66</v>
      </c>
      <c r="C2552" s="3">
        <f>MEDIAN(H2552:K2552)</f>
        <v>83.66</v>
      </c>
      <c r="D2552" s="3">
        <f>ROUND(C2552*(1-Settings!$B$2),2)</f>
        <v>58.56</v>
      </c>
      <c r="E2552" s="2" t="inlineStr">
        <is>
          <t>Pokemon</t>
        </is>
      </c>
      <c r="F2552" s="2" t="inlineStr">
        <is>
          <t>Coffret</t>
        </is>
      </c>
      <c r="G2552" s="2" t="inlineStr">
        <is>
          <t>Trick Or Trade 2022</t>
        </is>
      </c>
      <c r="H2552" s="3" t="n">
        <v>83.66</v>
      </c>
      <c r="I2552" s="3" t="n"/>
      <c r="J2552" s="3" t="n"/>
      <c r="K2552" s="3" t="n"/>
      <c r="L2552" s="2" t="inlineStr">
        <is>
          <t>PriceCharting</t>
        </is>
      </c>
      <c r="M2552" s="4" t="inlineStr">
        <is>
          <t>https://www.pricecharting.com/game/pokemon-trick-or-trade-2022/booster-bundle-120-pack</t>
        </is>
      </c>
    </row>
    <row r="2553">
      <c r="A2553" s="2" t="inlineStr">
        <is>
          <t>Trick Or Trade 2023 Booster Bundle</t>
        </is>
      </c>
      <c r="B2553" s="3">
        <f>IF(H2553&lt;&gt;"",H2553,IF(I2553&lt;&gt;"",I2553,IF(J2553&lt;&gt;"",J2553,K2553)))</f>
        <v>82.8</v>
      </c>
      <c r="C2553" s="3">
        <f>MEDIAN(H2553:K2553)</f>
        <v>82.8</v>
      </c>
      <c r="D2553" s="3">
        <f>ROUND(C2553*(1-Settings!$B$2),2)</f>
        <v>57.96</v>
      </c>
      <c r="E2553" s="2" t="inlineStr">
        <is>
          <t>Pokemon</t>
        </is>
      </c>
      <c r="F2553" s="2" t="inlineStr">
        <is>
          <t>Coffret</t>
        </is>
      </c>
      <c r="G2553" s="2" t="inlineStr">
        <is>
          <t>Trick Or Trade 2023</t>
        </is>
      </c>
      <c r="H2553" s="3" t="n">
        <v>82.8</v>
      </c>
      <c r="I2553" s="3" t="n"/>
      <c r="J2553" s="3" t="n"/>
      <c r="K2553" s="3" t="n"/>
      <c r="L2553" s="2" t="inlineStr">
        <is>
          <t>PriceCharting</t>
        </is>
      </c>
      <c r="M2553" s="4" t="inlineStr">
        <is>
          <t>https://www.pricecharting.com/game/pokemon-trick-or-trade-2023/booster-bundle</t>
        </is>
      </c>
    </row>
    <row r="2554">
      <c r="A2554" s="2" t="inlineStr">
        <is>
          <t>Trick Or Trade 2023 Booster Bundle [120]</t>
        </is>
      </c>
      <c r="B2554" s="3">
        <f>IF(H2554&lt;&gt;"",H2554,IF(I2554&lt;&gt;"",I2554,IF(J2554&lt;&gt;"",J2554,K2554)))</f>
        <v>108.4</v>
      </c>
      <c r="C2554" s="3">
        <f>MEDIAN(H2554:K2554)</f>
        <v>108.4</v>
      </c>
      <c r="D2554" s="3">
        <f>ROUND(C2554*(1-Settings!$B$2),2)</f>
        <v>75.88</v>
      </c>
      <c r="E2554" s="2" t="inlineStr">
        <is>
          <t>Pokemon</t>
        </is>
      </c>
      <c r="F2554" s="2" t="inlineStr">
        <is>
          <t>Coffret</t>
        </is>
      </c>
      <c r="G2554" s="2" t="inlineStr">
        <is>
          <t>Trick Or Trade 2023</t>
        </is>
      </c>
      <c r="H2554" s="3" t="n">
        <v>108.4</v>
      </c>
      <c r="I2554" s="3" t="n"/>
      <c r="J2554" s="3" t="n"/>
      <c r="K2554" s="3" t="n"/>
      <c r="L2554" s="2" t="inlineStr">
        <is>
          <t>PriceCharting</t>
        </is>
      </c>
      <c r="M2554" s="4" t="inlineStr">
        <is>
          <t>https://www.pricecharting.com/game/pokemon-trick-or-trade-2023/booster-bundle-120</t>
        </is>
      </c>
    </row>
    <row r="2555">
      <c r="A2555" s="2" t="inlineStr">
        <is>
          <t>Trick Or Trade 2024 Booster Bundle</t>
        </is>
      </c>
      <c r="B2555" s="3">
        <f>IF(H2555&lt;&gt;"",H2555,IF(I2555&lt;&gt;"",I2555,IF(J2555&lt;&gt;"",J2555,K2555)))</f>
        <v>66.06</v>
      </c>
      <c r="C2555" s="3">
        <f>MEDIAN(H2555:K2555)</f>
        <v>66.06</v>
      </c>
      <c r="D2555" s="3">
        <f>ROUND(C2555*(1-Settings!$B$2),2)</f>
        <v>46.24</v>
      </c>
      <c r="E2555" s="2" t="inlineStr">
        <is>
          <t>Pokemon</t>
        </is>
      </c>
      <c r="F2555" s="2" t="inlineStr">
        <is>
          <t>Coffret</t>
        </is>
      </c>
      <c r="G2555" s="2" t="inlineStr">
        <is>
          <t>Trick Or Trade 2024</t>
        </is>
      </c>
      <c r="H2555" s="3" t="n">
        <v>66.06</v>
      </c>
      <c r="I2555" s="3" t="n"/>
      <c r="J2555" s="3" t="n"/>
      <c r="K2555" s="3" t="n"/>
      <c r="L2555" s="2" t="inlineStr">
        <is>
          <t>PriceCharting</t>
        </is>
      </c>
      <c r="M2555" s="4" t="inlineStr">
        <is>
          <t>https://www.pricecharting.com/game/pokemon-trick-or-trade-2024/booster-bundle</t>
        </is>
      </c>
    </row>
    <row r="2556">
      <c r="A2556" s="2" t="inlineStr">
        <is>
          <t>Trick Or Trade 2024 Booster Bundle [120]</t>
        </is>
      </c>
      <c r="B2556" s="3">
        <f>IF(H2556&lt;&gt;"",H2556,IF(I2556&lt;&gt;"",I2556,IF(J2556&lt;&gt;"",J2556,K2556)))</f>
        <v>196.72</v>
      </c>
      <c r="C2556" s="3">
        <f>MEDIAN(H2556:K2556)</f>
        <v>196.72</v>
      </c>
      <c r="D2556" s="3">
        <f>ROUND(C2556*(1-Settings!$B$2),2)</f>
        <v>137.7</v>
      </c>
      <c r="E2556" s="2" t="inlineStr">
        <is>
          <t>Pokemon</t>
        </is>
      </c>
      <c r="F2556" s="2" t="inlineStr">
        <is>
          <t>Coffret</t>
        </is>
      </c>
      <c r="G2556" s="2" t="inlineStr">
        <is>
          <t>Trick Or Trade 2024</t>
        </is>
      </c>
      <c r="H2556" s="3" t="n">
        <v>196.72</v>
      </c>
      <c r="I2556" s="3" t="n"/>
      <c r="J2556" s="3" t="n"/>
      <c r="K2556" s="3" t="n"/>
      <c r="L2556" s="2" t="inlineStr">
        <is>
          <t>PriceCharting</t>
        </is>
      </c>
      <c r="M2556" s="4" t="inlineStr">
        <is>
          <t>https://www.pricecharting.com/game/pokemon-trick-or-trade-2024/booster-bundle-120</t>
        </is>
      </c>
    </row>
    <row r="2557">
      <c r="A2557" s="2" t="inlineStr">
        <is>
          <t>Trick or Trade BOOster Bundle (120 ct)</t>
        </is>
      </c>
      <c r="B2557" s="3">
        <f>IF(H2557&lt;&gt;"",H2557,IF(I2557&lt;&gt;"",I2557,IF(J2557&lt;&gt;"",J2557,K2557)))</f>
        <v>165.99</v>
      </c>
      <c r="C2557" s="3">
        <f>MEDIAN(H2557:K2557)</f>
        <v>264.96</v>
      </c>
      <c r="D2557" s="3">
        <f>ROUND(C2557*(1-Settings!$B$2),2)</f>
        <v>185.47</v>
      </c>
      <c r="E2557" s="2" t="inlineStr">
        <is>
          <t>Pokemon</t>
        </is>
      </c>
      <c r="F2557" s="2" t="inlineStr">
        <is>
          <t>Coffret</t>
        </is>
      </c>
      <c r="G2557" s="2" t="inlineStr">
        <is>
          <t>Trick or Trade BOOster Bundle</t>
        </is>
      </c>
      <c r="H2557" s="3" t="n"/>
      <c r="I2557" s="3" t="n">
        <v>165.99</v>
      </c>
      <c r="J2557" s="3" t="n">
        <v>264.96</v>
      </c>
      <c r="K2557" s="3" t="n">
        <v>264.96</v>
      </c>
      <c r="L2557" s="2" t="inlineStr">
        <is>
          <t>TCGplayer</t>
        </is>
      </c>
      <c r="N2557" s="4" t="inlineStr">
        <is>
          <t>https://www.tcgplayer.com/product/659627</t>
        </is>
      </c>
    </row>
    <row r="2558">
      <c r="A2558" s="2" t="inlineStr">
        <is>
          <t>Trick or Trade BOOster Bundle (40 ct)</t>
        </is>
      </c>
      <c r="B2558" s="3">
        <f>IF(H2558&lt;&gt;"",H2558,IF(I2558&lt;&gt;"",I2558,IF(J2558&lt;&gt;"",J2558,K2558)))</f>
        <v>72.92</v>
      </c>
      <c r="C2558" s="3">
        <f>MEDIAN(H2558:K2558)</f>
        <v>78.88</v>
      </c>
      <c r="D2558" s="3">
        <f>ROUND(C2558*(1-Settings!$B$2),2)</f>
        <v>55.22</v>
      </c>
      <c r="E2558" s="2" t="inlineStr">
        <is>
          <t>Pokemon</t>
        </is>
      </c>
      <c r="F2558" s="2" t="inlineStr">
        <is>
          <t>Coffret</t>
        </is>
      </c>
      <c r="G2558" s="2" t="inlineStr">
        <is>
          <t>Trick or Trade BOOster Bundle</t>
        </is>
      </c>
      <c r="H2558" s="3" t="n"/>
      <c r="I2558" s="3" t="n">
        <v>72.92</v>
      </c>
      <c r="J2558" s="3" t="n">
        <v>89.98999999999999</v>
      </c>
      <c r="K2558" s="3" t="n">
        <v>78.88</v>
      </c>
      <c r="L2558" s="2" t="inlineStr">
        <is>
          <t>TCGplayer</t>
        </is>
      </c>
      <c r="N2558" s="4" t="inlineStr">
        <is>
          <t>https://www.tcgplayer.com/product/280302</t>
        </is>
      </c>
    </row>
    <row r="2559">
      <c r="A2559" s="2" t="inlineStr">
        <is>
          <t>Trick or Trade BOOster Bundle - Mini Booster Pack</t>
        </is>
      </c>
      <c r="B2559" s="3">
        <f>IF(H2559&lt;&gt;"",H2559,IF(I2559&lt;&gt;"",I2559,IF(J2559&lt;&gt;"",J2559,K2559)))</f>
        <v>2.73</v>
      </c>
      <c r="C2559" s="3">
        <f>MEDIAN(H2559:K2559)</f>
        <v>2.71</v>
      </c>
      <c r="D2559" s="3">
        <f>ROUND(C2559*(1-Settings!$B$2),2)</f>
        <v>1.9</v>
      </c>
      <c r="E2559" s="2" t="inlineStr">
        <is>
          <t>Pokemon</t>
        </is>
      </c>
      <c r="F2559" s="2" t="inlineStr">
        <is>
          <t>Coffret</t>
        </is>
      </c>
      <c r="G2559" s="2" t="inlineStr">
        <is>
          <t>Trick or Trade BOOster Bundle</t>
        </is>
      </c>
      <c r="H2559" s="3" t="n"/>
      <c r="I2559" s="3" t="n">
        <v>2.73</v>
      </c>
      <c r="J2559" s="3" t="n">
        <v>2.71</v>
      </c>
      <c r="K2559" s="3" t="n">
        <v>1.5</v>
      </c>
      <c r="L2559" s="2" t="inlineStr">
        <is>
          <t>TCGplayer</t>
        </is>
      </c>
      <c r="N2559" s="4" t="inlineStr">
        <is>
          <t>https://www.tcgplayer.com/product/280301</t>
        </is>
      </c>
    </row>
    <row r="2560">
      <c r="A2560" s="2" t="inlineStr">
        <is>
          <t>Trick or Trade BOOster Bundle 2023 (120 ct)</t>
        </is>
      </c>
      <c r="B2560" s="3">
        <f>IF(H2560&lt;&gt;"",H2560,IF(I2560&lt;&gt;"",I2560,IF(J2560&lt;&gt;"",J2560,K2560)))</f>
        <v>191.98</v>
      </c>
      <c r="C2560" s="3">
        <f>MEDIAN(H2560:K2560)</f>
        <v>269.0</v>
      </c>
      <c r="D2560" s="3">
        <f>ROUND(C2560*(1-Settings!$B$2),2)</f>
        <v>188.3</v>
      </c>
      <c r="E2560" s="2" t="inlineStr">
        <is>
          <t>Pokemon</t>
        </is>
      </c>
      <c r="F2560" s="2" t="inlineStr">
        <is>
          <t>Coffret</t>
        </is>
      </c>
      <c r="G2560" s="2" t="inlineStr">
        <is>
          <t>Trick or Trade BOOster Bundle 2023</t>
        </is>
      </c>
      <c r="H2560" s="3" t="n"/>
      <c r="I2560" s="3" t="n">
        <v>191.98</v>
      </c>
      <c r="J2560" s="3" t="n">
        <v>287</v>
      </c>
      <c r="K2560" s="3" t="n">
        <v>269</v>
      </c>
      <c r="L2560" s="2" t="inlineStr">
        <is>
          <t>TCGplayer</t>
        </is>
      </c>
      <c r="N2560" s="4" t="inlineStr">
        <is>
          <t>https://www.tcgplayer.com/product/564134</t>
        </is>
      </c>
    </row>
    <row r="2561">
      <c r="A2561" s="2" t="inlineStr">
        <is>
          <t>Trick or Trade BOOster Bundle 2023 (50 ct)</t>
        </is>
      </c>
      <c r="B2561" s="3">
        <f>IF(H2561&lt;&gt;"",H2561,IF(I2561&lt;&gt;"",I2561,IF(J2561&lt;&gt;"",J2561,K2561)))</f>
        <v>83.72</v>
      </c>
      <c r="C2561" s="3">
        <f>MEDIAN(H2561:K2561)</f>
        <v>84.99</v>
      </c>
      <c r="D2561" s="3">
        <f>ROUND(C2561*(1-Settings!$B$2),2)</f>
        <v>59.49</v>
      </c>
      <c r="E2561" s="2" t="inlineStr">
        <is>
          <t>Pokemon</t>
        </is>
      </c>
      <c r="F2561" s="2" t="inlineStr">
        <is>
          <t>Coffret</t>
        </is>
      </c>
      <c r="G2561" s="2" t="inlineStr">
        <is>
          <t>Trick or Trade BOOster Bundle 2023</t>
        </is>
      </c>
      <c r="H2561" s="3" t="n"/>
      <c r="I2561" s="3" t="n">
        <v>83.72</v>
      </c>
      <c r="J2561" s="3" t="n">
        <v>100</v>
      </c>
      <c r="K2561" s="3" t="n">
        <v>84.98999999999999</v>
      </c>
      <c r="L2561" s="2" t="inlineStr">
        <is>
          <t>TCGplayer</t>
        </is>
      </c>
      <c r="N2561" s="4" t="inlineStr">
        <is>
          <t>https://www.tcgplayer.com/product/505942</t>
        </is>
      </c>
    </row>
    <row r="2562">
      <c r="A2562" s="2" t="inlineStr">
        <is>
          <t>Trick or Trade BOOster Bundle 2023 - Mini Booster Pack</t>
        </is>
      </c>
      <c r="B2562" s="3">
        <f>IF(H2562&lt;&gt;"",H2562,IF(I2562&lt;&gt;"",I2562,IF(J2562&lt;&gt;"",J2562,K2562)))</f>
        <v>2.4</v>
      </c>
      <c r="C2562" s="3">
        <f>MEDIAN(H2562:K2562)</f>
        <v>2.4</v>
      </c>
      <c r="D2562" s="3">
        <f>ROUND(C2562*(1-Settings!$B$2),2)</f>
        <v>1.68</v>
      </c>
      <c r="E2562" s="2" t="inlineStr">
        <is>
          <t>Pokemon</t>
        </is>
      </c>
      <c r="F2562" s="2" t="inlineStr">
        <is>
          <t>Coffret</t>
        </is>
      </c>
      <c r="G2562" s="2" t="inlineStr">
        <is>
          <t>Trick or Trade BOOster Bundle 2023</t>
        </is>
      </c>
      <c r="H2562" s="3" t="n"/>
      <c r="I2562" s="3" t="n">
        <v>2.4</v>
      </c>
      <c r="J2562" s="3" t="n">
        <v>2.4</v>
      </c>
      <c r="K2562" s="3" t="n">
        <v>0.8</v>
      </c>
      <c r="L2562" s="2" t="inlineStr">
        <is>
          <t>TCGplayer</t>
        </is>
      </c>
      <c r="N2562" s="4" t="inlineStr">
        <is>
          <t>https://www.tcgplayer.com/product/505945</t>
        </is>
      </c>
    </row>
    <row r="2563">
      <c r="A2563" s="2" t="inlineStr">
        <is>
          <t>Trick or Trade BOOster Bundle 2024 (120 ct)</t>
        </is>
      </c>
      <c r="B2563" s="3">
        <f>IF(H2563&lt;&gt;"",H2563,IF(I2563&lt;&gt;"",I2563,IF(J2563&lt;&gt;"",J2563,K2563)))</f>
        <v>181.32</v>
      </c>
      <c r="C2563" s="3">
        <f>MEDIAN(H2563:K2563)</f>
        <v>181.32</v>
      </c>
      <c r="D2563" s="3">
        <f>ROUND(C2563*(1-Settings!$B$2),2)</f>
        <v>126.92</v>
      </c>
      <c r="E2563" s="2" t="inlineStr">
        <is>
          <t>Pokemon</t>
        </is>
      </c>
      <c r="F2563" s="2" t="inlineStr">
        <is>
          <t>Coffret</t>
        </is>
      </c>
      <c r="G2563" s="2" t="inlineStr">
        <is>
          <t>Trick or Trade BOOster Bundle 2024</t>
        </is>
      </c>
      <c r="H2563" s="3" t="n"/>
      <c r="I2563" s="3" t="n">
        <v>181.32</v>
      </c>
      <c r="J2563" s="3" t="n">
        <v>299</v>
      </c>
      <c r="K2563" s="3" t="n">
        <v>100</v>
      </c>
      <c r="L2563" s="2" t="inlineStr">
        <is>
          <t>TCGplayer</t>
        </is>
      </c>
      <c r="N2563" s="4" t="inlineStr">
        <is>
          <t>https://www.tcgplayer.com/product/591211</t>
        </is>
      </c>
    </row>
    <row r="2564">
      <c r="A2564" s="2" t="inlineStr">
        <is>
          <t>Trick or Trade BOOster Bundle 2024 (35 mini packs)</t>
        </is>
      </c>
      <c r="B2564" s="3">
        <f>IF(H2564&lt;&gt;"",H2564,IF(I2564&lt;&gt;"",I2564,IF(J2564&lt;&gt;"",J2564,K2564)))</f>
        <v>66.11</v>
      </c>
      <c r="C2564" s="3">
        <f>MEDIAN(H2564:K2564)</f>
        <v>66.11</v>
      </c>
      <c r="D2564" s="3">
        <f>ROUND(C2564*(1-Settings!$B$2),2)</f>
        <v>46.28</v>
      </c>
      <c r="E2564" s="2" t="inlineStr">
        <is>
          <t>Pokemon</t>
        </is>
      </c>
      <c r="F2564" s="2" t="inlineStr">
        <is>
          <t>Coffret</t>
        </is>
      </c>
      <c r="G2564" s="2" t="inlineStr">
        <is>
          <t>Trick or Trade BOOster Bundle 2024</t>
        </is>
      </c>
      <c r="H2564" s="3" t="n"/>
      <c r="I2564" s="3" t="n">
        <v>66.11</v>
      </c>
      <c r="J2564" s="3" t="n">
        <v>78.67</v>
      </c>
      <c r="K2564" s="3" t="n">
        <v>60</v>
      </c>
      <c r="L2564" s="2" t="inlineStr">
        <is>
          <t>TCGplayer</t>
        </is>
      </c>
      <c r="N2564" s="4" t="inlineStr">
        <is>
          <t>https://www.tcgplayer.com/product/558713</t>
        </is>
      </c>
    </row>
    <row r="2565">
      <c r="A2565" s="2" t="inlineStr">
        <is>
          <t>Trick or Trade BOOster Bundle 2024 (80 mini packs)</t>
        </is>
      </c>
      <c r="B2565" s="3">
        <f>IF(H2565&lt;&gt;"",H2565,IF(I2565&lt;&gt;"",I2565,IF(J2565&lt;&gt;"",J2565,K2565)))</f>
        <v>113.12</v>
      </c>
      <c r="C2565" s="3">
        <f>MEDIAN(H2565:K2565)</f>
        <v>113.12</v>
      </c>
      <c r="D2565" s="3">
        <f>ROUND(C2565*(1-Settings!$B$2),2)</f>
        <v>79.18</v>
      </c>
      <c r="E2565" s="2" t="inlineStr">
        <is>
          <t>Pokemon</t>
        </is>
      </c>
      <c r="F2565" s="2" t="inlineStr">
        <is>
          <t>Coffret</t>
        </is>
      </c>
      <c r="G2565" s="2" t="inlineStr">
        <is>
          <t>Trick or Trade BOOster Bundle 2024</t>
        </is>
      </c>
      <c r="H2565" s="3" t="n"/>
      <c r="I2565" s="3" t="n">
        <v>113.12</v>
      </c>
      <c r="J2565" s="3" t="n"/>
      <c r="K2565" s="3" t="n"/>
      <c r="L2565" s="2" t="inlineStr">
        <is>
          <t>TCGplayer</t>
        </is>
      </c>
      <c r="N2565" s="4" t="inlineStr">
        <is>
          <t>https://www.tcgplayer.com/product/566954</t>
        </is>
      </c>
    </row>
    <row r="2566">
      <c r="A2566" s="2" t="inlineStr">
        <is>
          <t>Trick or Trade BOOster Bundle 2024 - Mini Booster Pack</t>
        </is>
      </c>
      <c r="B2566" s="3">
        <f>IF(H2566&lt;&gt;"",H2566,IF(I2566&lt;&gt;"",I2566,IF(J2566&lt;&gt;"",J2566,K2566)))</f>
        <v>1.67</v>
      </c>
      <c r="C2566" s="3">
        <f>MEDIAN(H2566:K2566)</f>
        <v>1.67</v>
      </c>
      <c r="D2566" s="3">
        <f>ROUND(C2566*(1-Settings!$B$2),2)</f>
        <v>1.17</v>
      </c>
      <c r="E2566" s="2" t="inlineStr">
        <is>
          <t>Pokemon</t>
        </is>
      </c>
      <c r="F2566" s="2" t="inlineStr">
        <is>
          <t>Coffret</t>
        </is>
      </c>
      <c r="G2566" s="2" t="inlineStr">
        <is>
          <t>Trick or Trade BOOster Bundle 2024</t>
        </is>
      </c>
      <c r="H2566" s="3" t="n"/>
      <c r="I2566" s="3" t="n">
        <v>1.67</v>
      </c>
      <c r="J2566" s="3" t="n">
        <v>2.18</v>
      </c>
      <c r="K2566" s="3" t="n">
        <v>1.49</v>
      </c>
      <c r="L2566" s="2" t="inlineStr">
        <is>
          <t>TCGplayer</t>
        </is>
      </c>
      <c r="N2566" s="4" t="inlineStr">
        <is>
          <t>https://www.tcgplayer.com/product/579930</t>
        </is>
      </c>
    </row>
    <row r="2567">
      <c r="A2567" s="2" t="inlineStr">
        <is>
          <t>Twilight Masquerade Elite Trainer Box [Pokemon Center]</t>
        </is>
      </c>
      <c r="B2567" s="3">
        <f>IF(H2567&lt;&gt;"",H2567,IF(I2567&lt;&gt;"",I2567,IF(J2567&lt;&gt;"",J2567,K2567)))</f>
        <v>183.81</v>
      </c>
      <c r="C2567" s="3">
        <f>MEDIAN(H2567:K2567)</f>
        <v>183.81</v>
      </c>
      <c r="D2567" s="3">
        <f>ROUND(C2567*(1-Settings!$B$2),2)</f>
        <v>128.67</v>
      </c>
      <c r="E2567" s="2" t="inlineStr">
        <is>
          <t>Pokemon</t>
        </is>
      </c>
      <c r="F2567" s="2" t="inlineStr">
        <is>
          <t>Coffret</t>
        </is>
      </c>
      <c r="G2567" s="2" t="inlineStr">
        <is>
          <t>Twilight Masquerade</t>
        </is>
      </c>
      <c r="H2567" s="3" t="n">
        <v>183.81</v>
      </c>
      <c r="I2567" s="3" t="n"/>
      <c r="J2567" s="3" t="n"/>
      <c r="K2567" s="3" t="n"/>
      <c r="L2567" s="2" t="inlineStr">
        <is>
          <t>PriceCharting</t>
        </is>
      </c>
      <c r="M2567" s="4" t="inlineStr">
        <is>
          <t>https://www.pricecharting.com/game/pokemon-twilight-masquerade/elite-trainer-box-pokemon-center</t>
        </is>
      </c>
    </row>
    <row r="2568">
      <c r="A2568" s="2" t="inlineStr">
        <is>
          <t>Twilight Masquerade Masks Of Ogerpon Premium Collection</t>
        </is>
      </c>
      <c r="B2568" s="3">
        <f>IF(H2568&lt;&gt;"",H2568,IF(I2568&lt;&gt;"",I2568,IF(J2568&lt;&gt;"",J2568,K2568)))</f>
        <v>58.99</v>
      </c>
      <c r="C2568" s="3">
        <f>MEDIAN(H2568:K2568)</f>
        <v>58.99</v>
      </c>
      <c r="D2568" s="3">
        <f>ROUND(C2568*(1-Settings!$B$2),2)</f>
        <v>41.29</v>
      </c>
      <c r="E2568" s="2" t="inlineStr">
        <is>
          <t>Pokemon</t>
        </is>
      </c>
      <c r="F2568" s="2" t="inlineStr">
        <is>
          <t>Coffret</t>
        </is>
      </c>
      <c r="G2568" s="2" t="inlineStr">
        <is>
          <t>Twilight Masquerade</t>
        </is>
      </c>
      <c r="H2568" s="3" t="n">
        <v>58.99</v>
      </c>
      <c r="I2568" s="3" t="n"/>
      <c r="J2568" s="3" t="n"/>
      <c r="K2568" s="3" t="n"/>
      <c r="L2568" s="2" t="inlineStr">
        <is>
          <t>PriceCharting</t>
        </is>
      </c>
      <c r="M2568" s="4" t="inlineStr">
        <is>
          <t>https://www.pricecharting.com/game/pokemon-twilight-masquerade/masks-of-ogerpon-premium-collection</t>
        </is>
      </c>
    </row>
    <row r="2569">
      <c r="A2569" s="2" t="inlineStr">
        <is>
          <t>Ultra Prism Dusk Mane Necrozma Prism Tin</t>
        </is>
      </c>
      <c r="B2569" s="3">
        <f>IF(H2569&lt;&gt;"",H2569,IF(I2569&lt;&gt;"",I2569,IF(J2569&lt;&gt;"",J2569,K2569)))</f>
        <v>247.05</v>
      </c>
      <c r="C2569" s="3">
        <f>MEDIAN(H2569:K2569)</f>
        <v>247.05</v>
      </c>
      <c r="D2569" s="3">
        <f>ROUND(C2569*(1-Settings!$B$2),2)</f>
        <v>172.94</v>
      </c>
      <c r="E2569" s="2" t="inlineStr">
        <is>
          <t>Pokemon</t>
        </is>
      </c>
      <c r="F2569" s="2" t="inlineStr">
        <is>
          <t>Coffret</t>
        </is>
      </c>
      <c r="G2569" s="2" t="inlineStr">
        <is>
          <t>Ultra Prism</t>
        </is>
      </c>
      <c r="H2569" s="3" t="n">
        <v>247.05</v>
      </c>
      <c r="I2569" s="3" t="n"/>
      <c r="J2569" s="3" t="n"/>
      <c r="K2569" s="3" t="n"/>
      <c r="L2569" s="2" t="inlineStr">
        <is>
          <t>PriceCharting</t>
        </is>
      </c>
      <c r="M2569" s="4" t="inlineStr">
        <is>
          <t>https://www.pricecharting.com/game/pokemon-ultra-prism/dusk-mane-necrozma-prism-tin</t>
        </is>
      </c>
    </row>
    <row r="2570">
      <c r="A2570" s="2" t="inlineStr">
        <is>
          <t>Ultra Prism Necrozma Prism Tin</t>
        </is>
      </c>
      <c r="B2570" s="3">
        <f>IF(H2570&lt;&gt;"",H2570,IF(I2570&lt;&gt;"",I2570,IF(J2570&lt;&gt;"",J2570,K2570)))</f>
        <v>99.99</v>
      </c>
      <c r="C2570" s="3">
        <f>MEDIAN(H2570:K2570)</f>
        <v>99.99</v>
      </c>
      <c r="D2570" s="3">
        <f>ROUND(C2570*(1-Settings!$B$2),2)</f>
        <v>69.99</v>
      </c>
      <c r="E2570" s="2" t="inlineStr">
        <is>
          <t>Pokemon</t>
        </is>
      </c>
      <c r="F2570" s="2" t="inlineStr">
        <is>
          <t>Coffret</t>
        </is>
      </c>
      <c r="G2570" s="2" t="inlineStr">
        <is>
          <t>Ultra Prism</t>
        </is>
      </c>
      <c r="H2570" s="3" t="n">
        <v>99.98999999999999</v>
      </c>
      <c r="I2570" s="3" t="n"/>
      <c r="J2570" s="3" t="n"/>
      <c r="K2570" s="3" t="n"/>
      <c r="L2570" s="2" t="inlineStr">
        <is>
          <t>PriceCharting</t>
        </is>
      </c>
      <c r="M2570" s="4" t="inlineStr">
        <is>
          <t>https://www.pricecharting.com/game/pokemon-ultra-prism/necrozma-prism-tin</t>
        </is>
      </c>
    </row>
    <row r="2571">
      <c r="A2571" s="2" t="inlineStr">
        <is>
          <t>Unbroken Bonds 3 Booster Pack Box</t>
        </is>
      </c>
      <c r="B2571" s="3">
        <f>IF(H2571&lt;&gt;"",H2571,IF(I2571&lt;&gt;"",I2571,IF(J2571&lt;&gt;"",J2571,K2571)))</f>
        <v>199.99</v>
      </c>
      <c r="C2571" s="3">
        <f>MEDIAN(H2571:K2571)</f>
        <v>199.99</v>
      </c>
      <c r="D2571" s="3">
        <f>ROUND(C2571*(1-Settings!$B$2),2)</f>
        <v>139.99</v>
      </c>
      <c r="E2571" s="2" t="inlineStr">
        <is>
          <t>Pokemon</t>
        </is>
      </c>
      <c r="F2571" s="2" t="inlineStr">
        <is>
          <t>Coffret</t>
        </is>
      </c>
      <c r="G2571" s="2" t="inlineStr">
        <is>
          <t>Unbroken Bonds</t>
        </is>
      </c>
      <c r="H2571" s="3" t="n">
        <v>199.99</v>
      </c>
      <c r="I2571" s="3" t="n"/>
      <c r="J2571" s="3" t="n"/>
      <c r="K2571" s="3" t="n"/>
      <c r="L2571" s="2" t="inlineStr">
        <is>
          <t>PriceCharting</t>
        </is>
      </c>
      <c r="M2571" s="4" t="inlineStr">
        <is>
          <t>https://www.pricecharting.com/game/pokemon-unbroken-bonds/3-booster-pack-box</t>
        </is>
      </c>
    </row>
    <row r="2572">
      <c r="A2572" s="2" t="inlineStr">
        <is>
          <t>Unbroken Bonds Sceptile 3-Pack Blister</t>
        </is>
      </c>
      <c r="B2572" s="3">
        <f>IF(H2572&lt;&gt;"",H2572,IF(I2572&lt;&gt;"",I2572,IF(J2572&lt;&gt;"",J2572,K2572)))</f>
        <v>221.27</v>
      </c>
      <c r="C2572" s="3">
        <f>MEDIAN(H2572:K2572)</f>
        <v>221.27</v>
      </c>
      <c r="D2572" s="3">
        <f>ROUND(C2572*(1-Settings!$B$2),2)</f>
        <v>154.89</v>
      </c>
      <c r="E2572" s="2" t="inlineStr">
        <is>
          <t>Pokemon</t>
        </is>
      </c>
      <c r="F2572" s="2" t="inlineStr">
        <is>
          <t>Coffret</t>
        </is>
      </c>
      <c r="G2572" s="2" t="inlineStr">
        <is>
          <t>Unbroken Bonds</t>
        </is>
      </c>
      <c r="H2572" s="3" t="n">
        <v>221.27</v>
      </c>
      <c r="I2572" s="3" t="n"/>
      <c r="J2572" s="3" t="n"/>
      <c r="K2572" s="3" t="n"/>
      <c r="L2572" s="2" t="inlineStr">
        <is>
          <t>PriceCharting</t>
        </is>
      </c>
      <c r="M2572" s="4" t="inlineStr">
        <is>
          <t>https://www.pricecharting.com/game/pokemon-unbroken-bonds/sceptile-3-pack-blister</t>
        </is>
      </c>
    </row>
    <row r="2573">
      <c r="A2573" s="2" t="inlineStr">
        <is>
          <t>Unbroken Bonds Typhlosion 3-Pack Blister</t>
        </is>
      </c>
      <c r="B2573" s="3">
        <f>IF(H2573&lt;&gt;"",H2573,IF(I2573&lt;&gt;"",I2573,IF(J2573&lt;&gt;"",J2573,K2573)))</f>
        <v>172.5</v>
      </c>
      <c r="C2573" s="3">
        <f>MEDIAN(H2573:K2573)</f>
        <v>172.5</v>
      </c>
      <c r="D2573" s="3">
        <f>ROUND(C2573*(1-Settings!$B$2),2)</f>
        <v>120.75</v>
      </c>
      <c r="E2573" s="2" t="inlineStr">
        <is>
          <t>Pokemon</t>
        </is>
      </c>
      <c r="F2573" s="2" t="inlineStr">
        <is>
          <t>Coffret</t>
        </is>
      </c>
      <c r="G2573" s="2" t="inlineStr">
        <is>
          <t>Unbroken Bonds</t>
        </is>
      </c>
      <c r="H2573" s="3" t="n">
        <v>172.5</v>
      </c>
      <c r="I2573" s="3" t="n"/>
      <c r="J2573" s="3" t="n"/>
      <c r="K2573" s="3" t="n"/>
      <c r="L2573" s="2" t="inlineStr">
        <is>
          <t>PriceCharting</t>
        </is>
      </c>
      <c r="M2573" s="4" t="inlineStr">
        <is>
          <t>https://www.pricecharting.com/game/pokemon-unbroken-bonds/typhlosion-3-pack-blister</t>
        </is>
      </c>
    </row>
    <row r="2574">
      <c r="A2574" s="2" t="inlineStr">
        <is>
          <t>Unified Minds Build &amp; Battle Box [Prerelease Kit]</t>
        </is>
      </c>
      <c r="B2574" s="3">
        <f>IF(H2574&lt;&gt;"",H2574,IF(I2574&lt;&gt;"",I2574,IF(J2574&lt;&gt;"",J2574,K2574)))</f>
        <v>349.98</v>
      </c>
      <c r="C2574" s="3">
        <f>MEDIAN(H2574:K2574)</f>
        <v>349.98</v>
      </c>
      <c r="D2574" s="3">
        <f>ROUND(C2574*(1-Settings!$B$2),2)</f>
        <v>244.99</v>
      </c>
      <c r="E2574" s="2" t="inlineStr">
        <is>
          <t>Pokemon</t>
        </is>
      </c>
      <c r="F2574" s="2" t="inlineStr">
        <is>
          <t>Coffret</t>
        </is>
      </c>
      <c r="G2574" s="2" t="inlineStr">
        <is>
          <t>Unified Minds</t>
        </is>
      </c>
      <c r="H2574" s="3" t="n">
        <v>349.98</v>
      </c>
      <c r="I2574" s="3" t="n"/>
      <c r="J2574" s="3" t="n"/>
      <c r="K2574" s="3" t="n"/>
      <c r="L2574" s="2" t="inlineStr">
        <is>
          <t>PriceCharting</t>
        </is>
      </c>
      <c r="M2574" s="4" t="inlineStr">
        <is>
          <t>https://www.pricecharting.com/game/pokemon-unified-minds/build-&amp;-battle-box-prerelease-kit</t>
        </is>
      </c>
    </row>
    <row r="2575">
      <c r="A2575" s="2" t="inlineStr">
        <is>
          <t>Unified Minds Hanger Box</t>
        </is>
      </c>
      <c r="B2575" s="3">
        <f>IF(H2575&lt;&gt;"",H2575,IF(I2575&lt;&gt;"",I2575,IF(J2575&lt;&gt;"",J2575,K2575)))</f>
        <v>255.36</v>
      </c>
      <c r="C2575" s="3">
        <f>MEDIAN(H2575:K2575)</f>
        <v>255.36</v>
      </c>
      <c r="D2575" s="3">
        <f>ROUND(C2575*(1-Settings!$B$2),2)</f>
        <v>178.75</v>
      </c>
      <c r="E2575" s="2" t="inlineStr">
        <is>
          <t>Pokemon</t>
        </is>
      </c>
      <c r="F2575" s="2" t="inlineStr">
        <is>
          <t>Coffret</t>
        </is>
      </c>
      <c r="G2575" s="2" t="inlineStr">
        <is>
          <t>Unified Minds</t>
        </is>
      </c>
      <c r="H2575" s="3" t="n">
        <v>255.36</v>
      </c>
      <c r="I2575" s="3" t="n"/>
      <c r="J2575" s="3" t="n"/>
      <c r="K2575" s="3" t="n"/>
      <c r="L2575" s="2" t="inlineStr">
        <is>
          <t>PriceCharting</t>
        </is>
      </c>
      <c r="M2575" s="4" t="inlineStr">
        <is>
          <t>https://www.pricecharting.com/game/pokemon-unified-minds/hanger-box</t>
        </is>
      </c>
    </row>
    <row r="2576">
      <c r="A2576" s="2" t="inlineStr">
        <is>
          <t>Vivid Voltage 3-Pack Blister</t>
        </is>
      </c>
      <c r="B2576" s="3">
        <f>IF(H2576&lt;&gt;"",H2576,IF(I2576&lt;&gt;"",I2576,IF(J2576&lt;&gt;"",J2576,K2576)))</f>
        <v>53.2</v>
      </c>
      <c r="C2576" s="3">
        <f>MEDIAN(H2576:K2576)</f>
        <v>53.2</v>
      </c>
      <c r="D2576" s="3">
        <f>ROUND(C2576*(1-Settings!$B$2),2)</f>
        <v>37.24</v>
      </c>
      <c r="E2576" s="2" t="inlineStr">
        <is>
          <t>Pokemon</t>
        </is>
      </c>
      <c r="F2576" s="2" t="inlineStr">
        <is>
          <t>Coffret</t>
        </is>
      </c>
      <c r="G2576" s="2" t="inlineStr">
        <is>
          <t>Vivid Voltage</t>
        </is>
      </c>
      <c r="H2576" s="3" t="n">
        <v>53.2</v>
      </c>
      <c r="I2576" s="3" t="n"/>
      <c r="J2576" s="3" t="n"/>
      <c r="K2576" s="3" t="n"/>
      <c r="L2576" s="2" t="inlineStr">
        <is>
          <t>PriceCharting</t>
        </is>
      </c>
      <c r="M2576" s="4" t="inlineStr">
        <is>
          <t>https://www.pricecharting.com/game/pokemon-vivid-voltage/3-pack-blister</t>
        </is>
      </c>
    </row>
    <row r="2577">
      <c r="A2577" s="2" t="inlineStr">
        <is>
          <t>Vivid Voltage Galar Sidekicks Premium Collection</t>
        </is>
      </c>
      <c r="B2577" s="3">
        <f>IF(H2577&lt;&gt;"",H2577,IF(I2577&lt;&gt;"",I2577,IF(J2577&lt;&gt;"",J2577,K2577)))</f>
        <v>264.0</v>
      </c>
      <c r="C2577" s="3">
        <f>MEDIAN(H2577:K2577)</f>
        <v>264.0</v>
      </c>
      <c r="D2577" s="3">
        <f>ROUND(C2577*(1-Settings!$B$2),2)</f>
        <v>184.8</v>
      </c>
      <c r="E2577" s="2" t="inlineStr">
        <is>
          <t>Pokemon</t>
        </is>
      </c>
      <c r="F2577" s="2" t="inlineStr">
        <is>
          <t>Coffret</t>
        </is>
      </c>
      <c r="G2577" s="2" t="inlineStr">
        <is>
          <t>Vivid Voltage</t>
        </is>
      </c>
      <c r="H2577" s="3" t="n">
        <v>264</v>
      </c>
      <c r="I2577" s="3" t="n"/>
      <c r="J2577" s="3" t="n"/>
      <c r="K2577" s="3" t="n"/>
      <c r="L2577" s="2" t="inlineStr">
        <is>
          <t>PriceCharting</t>
        </is>
      </c>
      <c r="M2577" s="4" t="inlineStr">
        <is>
          <t>https://www.pricecharting.com/game/pokemon-vivid-voltage/galar-sidekicks-premium-collection</t>
        </is>
      </c>
    </row>
    <row r="2578">
      <c r="A2578" s="2" t="inlineStr">
        <is>
          <t>White Flare Elite Trainer Box [Pokemon Center]</t>
        </is>
      </c>
      <c r="B2578" s="3">
        <f>IF(H2578&lt;&gt;"",H2578,IF(I2578&lt;&gt;"",I2578,IF(J2578&lt;&gt;"",J2578,K2578)))</f>
        <v>239.0</v>
      </c>
      <c r="C2578" s="3">
        <f>MEDIAN(H2578:K2578)</f>
        <v>239.0</v>
      </c>
      <c r="D2578" s="3">
        <f>ROUND(C2578*(1-Settings!$B$2),2)</f>
        <v>167.3</v>
      </c>
      <c r="E2578" s="2" t="inlineStr">
        <is>
          <t>Pokemon</t>
        </is>
      </c>
      <c r="F2578" s="2" t="inlineStr">
        <is>
          <t>Coffret</t>
        </is>
      </c>
      <c r="G2578" s="2" t="inlineStr">
        <is>
          <t>White Flare</t>
        </is>
      </c>
      <c r="H2578" s="3" t="n">
        <v>239</v>
      </c>
      <c r="I2578" s="3" t="n"/>
      <c r="J2578" s="3" t="n"/>
      <c r="K2578" s="3" t="n"/>
      <c r="L2578" s="2" t="inlineStr">
        <is>
          <t>PriceCharting</t>
        </is>
      </c>
      <c r="M2578" s="4" t="inlineStr">
        <is>
          <t>https://www.pricecharting.com/game/pokemon-white-flare/elite-trainer-box-pokemon-center</t>
        </is>
      </c>
    </row>
    <row r="2579">
      <c r="A2579" s="2" t="inlineStr">
        <is>
          <t>White Flare Unova Heavy Hitters Premium Collection</t>
        </is>
      </c>
      <c r="B2579" s="3">
        <f>IF(H2579&lt;&gt;"",H2579,IF(I2579&lt;&gt;"",I2579,IF(J2579&lt;&gt;"",J2579,K2579)))</f>
        <v>177.37</v>
      </c>
      <c r="C2579" s="3">
        <f>MEDIAN(H2579:K2579)</f>
        <v>177.37</v>
      </c>
      <c r="D2579" s="3">
        <f>ROUND(C2579*(1-Settings!$B$2),2)</f>
        <v>124.16</v>
      </c>
      <c r="E2579" s="2" t="inlineStr">
        <is>
          <t>Pokemon</t>
        </is>
      </c>
      <c r="F2579" s="2" t="inlineStr">
        <is>
          <t>Coffret</t>
        </is>
      </c>
      <c r="G2579" s="2" t="inlineStr">
        <is>
          <t>White Flare</t>
        </is>
      </c>
      <c r="H2579" s="3" t="n">
        <v>177.37</v>
      </c>
      <c r="I2579" s="3" t="n"/>
      <c r="J2579" s="3" t="n"/>
      <c r="K2579" s="3" t="n"/>
      <c r="L2579" s="2" t="inlineStr">
        <is>
          <t>PriceCharting</t>
        </is>
      </c>
      <c r="M2579" s="4" t="inlineStr">
        <is>
          <t>https://www.pricecharting.com/game/pokemon-white-flare/unova-heavy-hitters-premium-collection</t>
        </is>
      </c>
    </row>
    <row r="2580">
      <c r="A2580" s="2" t="inlineStr">
        <is>
          <t>Xy 3-Pack Blister</t>
        </is>
      </c>
      <c r="B2580" s="3">
        <f>IF(H2580&lt;&gt;"",H2580,IF(I2580&lt;&gt;"",I2580,IF(J2580&lt;&gt;"",J2580,K2580)))</f>
        <v>236.86</v>
      </c>
      <c r="C2580" s="3">
        <f>MEDIAN(H2580:K2580)</f>
        <v>236.86</v>
      </c>
      <c r="D2580" s="3">
        <f>ROUND(C2580*(1-Settings!$B$2),2)</f>
        <v>165.8</v>
      </c>
      <c r="E2580" s="2" t="inlineStr">
        <is>
          <t>Pokemon</t>
        </is>
      </c>
      <c r="F2580" s="2" t="inlineStr">
        <is>
          <t>Coffret</t>
        </is>
      </c>
      <c r="G2580" s="2" t="inlineStr">
        <is>
          <t>Xy</t>
        </is>
      </c>
      <c r="H2580" s="3" t="n">
        <v>236.86</v>
      </c>
      <c r="I2580" s="3" t="n"/>
      <c r="J2580" s="3" t="n"/>
      <c r="K2580" s="3" t="n"/>
      <c r="L2580" s="2" t="inlineStr">
        <is>
          <t>PriceCharting</t>
        </is>
      </c>
      <c r="M2580" s="4" t="inlineStr">
        <is>
          <t>https://www.pricecharting.com/game/pokemon-xy/3-pack-blister</t>
        </is>
      </c>
    </row>
    <row r="2581">
      <c r="A2581" s="2" t="inlineStr">
        <is>
          <t>Xy Ash Greninja EX Collection Box</t>
        </is>
      </c>
      <c r="B2581" s="3">
        <f>IF(H2581&lt;&gt;"",H2581,IF(I2581&lt;&gt;"",I2581,IF(J2581&lt;&gt;"",J2581,K2581)))</f>
        <v>1362.0</v>
      </c>
      <c r="C2581" s="3">
        <f>MEDIAN(H2581:K2581)</f>
        <v>1362.0</v>
      </c>
      <c r="D2581" s="3">
        <f>ROUND(C2581*(1-Settings!$B$2),2)</f>
        <v>953.4</v>
      </c>
      <c r="E2581" s="2" t="inlineStr">
        <is>
          <t>Pokemon</t>
        </is>
      </c>
      <c r="F2581" s="2" t="inlineStr">
        <is>
          <t>Coffret</t>
        </is>
      </c>
      <c r="G2581" s="2" t="inlineStr">
        <is>
          <t>Xy</t>
        </is>
      </c>
      <c r="H2581" s="3" t="n">
        <v>1362</v>
      </c>
      <c r="I2581" s="3" t="n"/>
      <c r="J2581" s="3" t="n"/>
      <c r="K2581" s="3" t="n"/>
      <c r="L2581" s="2" t="inlineStr">
        <is>
          <t>PriceCharting</t>
        </is>
      </c>
      <c r="M2581" s="4" t="inlineStr">
        <is>
          <t>https://www.pricecharting.com/game/pokemon-xy/ash-greninja-ex-collection-box</t>
        </is>
      </c>
    </row>
    <row r="2582">
      <c r="A2582" s="2" t="inlineStr">
        <is>
          <t>Xy Elite Trainer Box [Xerneas]</t>
        </is>
      </c>
      <c r="B2582" s="3">
        <f>IF(H2582&lt;&gt;"",H2582,IF(I2582&lt;&gt;"",I2582,IF(J2582&lt;&gt;"",J2582,K2582)))</f>
        <v>4399.3</v>
      </c>
      <c r="C2582" s="3">
        <f>MEDIAN(H2582:K2582)</f>
        <v>4399.3</v>
      </c>
      <c r="D2582" s="3">
        <f>ROUND(C2582*(1-Settings!$B$2),2)</f>
        <v>3079.51</v>
      </c>
      <c r="E2582" s="2" t="inlineStr">
        <is>
          <t>Pokemon</t>
        </is>
      </c>
      <c r="F2582" s="2" t="inlineStr">
        <is>
          <t>Coffret</t>
        </is>
      </c>
      <c r="G2582" s="2" t="inlineStr">
        <is>
          <t>Xy</t>
        </is>
      </c>
      <c r="H2582" s="3" t="n">
        <v>4399.3</v>
      </c>
      <c r="I2582" s="3" t="n"/>
      <c r="J2582" s="3" t="n"/>
      <c r="K2582" s="3" t="n"/>
      <c r="L2582" s="2" t="inlineStr">
        <is>
          <t>PriceCharting</t>
        </is>
      </c>
      <c r="M2582" s="4" t="inlineStr">
        <is>
          <t>https://www.pricecharting.com/game/pokemon-xy/elite-trainer-box-xerneas</t>
        </is>
      </c>
    </row>
    <row r="2583">
      <c r="A2583" s="2" t="inlineStr">
        <is>
          <t>Xy Elite Trainer Box [Yveltal]</t>
        </is>
      </c>
      <c r="B2583" s="3">
        <f>IF(H2583&lt;&gt;"",H2583,IF(I2583&lt;&gt;"",I2583,IF(J2583&lt;&gt;"",J2583,K2583)))</f>
        <v>4297.82</v>
      </c>
      <c r="C2583" s="3">
        <f>MEDIAN(H2583:K2583)</f>
        <v>4297.82</v>
      </c>
      <c r="D2583" s="3">
        <f>ROUND(C2583*(1-Settings!$B$2),2)</f>
        <v>3008.47</v>
      </c>
      <c r="E2583" s="2" t="inlineStr">
        <is>
          <t>Pokemon</t>
        </is>
      </c>
      <c r="F2583" s="2" t="inlineStr">
        <is>
          <t>Coffret</t>
        </is>
      </c>
      <c r="G2583" s="2" t="inlineStr">
        <is>
          <t>Xy</t>
        </is>
      </c>
      <c r="H2583" s="3" t="n">
        <v>4297.82</v>
      </c>
      <c r="I2583" s="3" t="n"/>
      <c r="J2583" s="3" t="n"/>
      <c r="K2583" s="3" t="n"/>
      <c r="L2583" s="2" t="inlineStr">
        <is>
          <t>PriceCharting</t>
        </is>
      </c>
      <c r="M2583" s="4" t="inlineStr">
        <is>
          <t>https://www.pricecharting.com/game/pokemon-xy/elite-trainer-box-yveltal</t>
        </is>
      </c>
    </row>
    <row r="2584">
      <c r="A2584" s="2" t="inlineStr">
        <is>
          <t>Xy Gallade EX Collection Box</t>
        </is>
      </c>
      <c r="B2584" s="3">
        <f>IF(H2584&lt;&gt;"",H2584,IF(I2584&lt;&gt;"",I2584,IF(J2584&lt;&gt;"",J2584,K2584)))</f>
        <v>497.51</v>
      </c>
      <c r="C2584" s="3">
        <f>MEDIAN(H2584:K2584)</f>
        <v>497.51</v>
      </c>
      <c r="D2584" s="3">
        <f>ROUND(C2584*(1-Settings!$B$2),2)</f>
        <v>348.26</v>
      </c>
      <c r="E2584" s="2" t="inlineStr">
        <is>
          <t>Pokemon</t>
        </is>
      </c>
      <c r="F2584" s="2" t="inlineStr">
        <is>
          <t>Coffret</t>
        </is>
      </c>
      <c r="G2584" s="2" t="inlineStr">
        <is>
          <t>Xy</t>
        </is>
      </c>
      <c r="H2584" s="3" t="n">
        <v>497.51</v>
      </c>
      <c r="I2584" s="3" t="n"/>
      <c r="J2584" s="3" t="n"/>
      <c r="K2584" s="3" t="n"/>
      <c r="L2584" s="2" t="inlineStr">
        <is>
          <t>PriceCharting</t>
        </is>
      </c>
      <c r="M2584" s="4" t="inlineStr">
        <is>
          <t>https://www.pricecharting.com/game/pokemon-xy/gallade-ex-collection-box</t>
        </is>
      </c>
    </row>
    <row r="2585">
      <c r="A2585" s="2" t="inlineStr">
        <is>
          <t>Xy Mega Lucario Collection Box</t>
        </is>
      </c>
      <c r="B2585" s="3">
        <f>IF(H2585&lt;&gt;"",H2585,IF(I2585&lt;&gt;"",I2585,IF(J2585&lt;&gt;"",J2585,K2585)))</f>
        <v>945.0</v>
      </c>
      <c r="C2585" s="3">
        <f>MEDIAN(H2585:K2585)</f>
        <v>945.0</v>
      </c>
      <c r="D2585" s="3">
        <f>ROUND(C2585*(1-Settings!$B$2),2)</f>
        <v>661.5</v>
      </c>
      <c r="E2585" s="2" t="inlineStr">
        <is>
          <t>Pokemon</t>
        </is>
      </c>
      <c r="F2585" s="2" t="inlineStr">
        <is>
          <t>Coffret</t>
        </is>
      </c>
      <c r="G2585" s="2" t="inlineStr">
        <is>
          <t>Xy</t>
        </is>
      </c>
      <c r="H2585" s="3" t="n">
        <v>945</v>
      </c>
      <c r="I2585" s="3" t="n"/>
      <c r="J2585" s="3" t="n"/>
      <c r="K2585" s="3" t="n"/>
      <c r="L2585" s="2" t="inlineStr">
        <is>
          <t>PriceCharting</t>
        </is>
      </c>
      <c r="M2585" s="4" t="inlineStr">
        <is>
          <t>https://www.pricecharting.com/game/pokemon-xy/mega-lucario-collection-box</t>
        </is>
      </c>
    </row>
    <row r="2586">
      <c r="A2586" s="2" t="inlineStr">
        <is>
          <t>Xy Premium Trainer's XY Collection Box</t>
        </is>
      </c>
      <c r="B2586" s="3">
        <f>IF(H2586&lt;&gt;"",H2586,IF(I2586&lt;&gt;"",I2586,IF(J2586&lt;&gt;"",J2586,K2586)))</f>
        <v>2124.98</v>
      </c>
      <c r="C2586" s="3">
        <f>MEDIAN(H2586:K2586)</f>
        <v>2124.98</v>
      </c>
      <c r="D2586" s="3">
        <f>ROUND(C2586*(1-Settings!$B$2),2)</f>
        <v>1487.49</v>
      </c>
      <c r="E2586" s="2" t="inlineStr">
        <is>
          <t>Pokemon</t>
        </is>
      </c>
      <c r="F2586" s="2" t="inlineStr">
        <is>
          <t>Coffret</t>
        </is>
      </c>
      <c r="G2586" s="2" t="inlineStr">
        <is>
          <t>Xy</t>
        </is>
      </c>
      <c r="H2586" s="3" t="n">
        <v>2124.98</v>
      </c>
      <c r="I2586" s="3" t="n"/>
      <c r="J2586" s="3" t="n"/>
      <c r="K2586" s="3" t="n"/>
      <c r="L2586" s="2" t="inlineStr">
        <is>
          <t>PriceCharting</t>
        </is>
      </c>
      <c r="M2586" s="4" t="inlineStr">
        <is>
          <t>https://www.pricecharting.com/game/pokemon-xy/premium-trainer's-xy-collection-box</t>
        </is>
      </c>
    </row>
    <row r="2587">
      <c r="A2587" s="2" t="inlineStr">
        <is>
          <t>Xy Pyroar Box</t>
        </is>
      </c>
      <c r="B2587" s="3">
        <f>IF(H2587&lt;&gt;"",H2587,IF(I2587&lt;&gt;"",I2587,IF(J2587&lt;&gt;"",J2587,K2587)))</f>
        <v>349.99</v>
      </c>
      <c r="C2587" s="3">
        <f>MEDIAN(H2587:K2587)</f>
        <v>349.99</v>
      </c>
      <c r="D2587" s="3">
        <f>ROUND(C2587*(1-Settings!$B$2),2)</f>
        <v>244.99</v>
      </c>
      <c r="E2587" s="2" t="inlineStr">
        <is>
          <t>Pokemon</t>
        </is>
      </c>
      <c r="F2587" s="2" t="inlineStr">
        <is>
          <t>Coffret</t>
        </is>
      </c>
      <c r="G2587" s="2" t="inlineStr">
        <is>
          <t>Xy</t>
        </is>
      </c>
      <c r="H2587" s="3" t="n">
        <v>349.99</v>
      </c>
      <c r="I2587" s="3" t="n"/>
      <c r="J2587" s="3" t="n"/>
      <c r="K2587" s="3" t="n"/>
      <c r="L2587" s="2" t="inlineStr">
        <is>
          <t>PriceCharting</t>
        </is>
      </c>
      <c r="M2587" s="4" t="inlineStr">
        <is>
          <t>https://www.pricecharting.com/game/pokemon-xy/pyroar-box</t>
        </is>
      </c>
    </row>
    <row r="2588">
      <c r="A2588" s="2" t="inlineStr">
        <is>
          <t>Xy Rayquaza EX Box</t>
        </is>
      </c>
      <c r="B2588" s="3">
        <f>IF(H2588&lt;&gt;"",H2588,IF(I2588&lt;&gt;"",I2588,IF(J2588&lt;&gt;"",J2588,K2588)))</f>
        <v>577.73</v>
      </c>
      <c r="C2588" s="3">
        <f>MEDIAN(H2588:K2588)</f>
        <v>577.73</v>
      </c>
      <c r="D2588" s="3">
        <f>ROUND(C2588*(1-Settings!$B$2),2)</f>
        <v>404.41</v>
      </c>
      <c r="E2588" s="2" t="inlineStr">
        <is>
          <t>Pokemon</t>
        </is>
      </c>
      <c r="F2588" s="2" t="inlineStr">
        <is>
          <t>Coffret</t>
        </is>
      </c>
      <c r="G2588" s="2" t="inlineStr">
        <is>
          <t>Xy</t>
        </is>
      </c>
      <c r="H2588" s="3" t="n">
        <v>577.73</v>
      </c>
      <c r="I2588" s="3" t="n"/>
      <c r="J2588" s="3" t="n"/>
      <c r="K2588" s="3" t="n"/>
      <c r="L2588" s="2" t="inlineStr">
        <is>
          <t>PriceCharting</t>
        </is>
      </c>
      <c r="M2588" s="4" t="inlineStr">
        <is>
          <t>https://www.pricecharting.com/game/pokemon-xy/rayquaza-ex-box</t>
        </is>
      </c>
    </row>
    <row r="2589">
      <c r="A2589" s="2" t="inlineStr">
        <is>
          <t>Xy Sealed Knockout Collection</t>
        </is>
      </c>
      <c r="B2589" s="3">
        <f>IF(H2589&lt;&gt;"",H2589,IF(I2589&lt;&gt;"",I2589,IF(J2589&lt;&gt;"",J2589,K2589)))</f>
        <v>50.08</v>
      </c>
      <c r="C2589" s="3">
        <f>MEDIAN(H2589:K2589)</f>
        <v>50.08</v>
      </c>
      <c r="D2589" s="3">
        <f>ROUND(C2589*(1-Settings!$B$2),2)</f>
        <v>35.06</v>
      </c>
      <c r="E2589" s="2" t="inlineStr">
        <is>
          <t>Pokemon</t>
        </is>
      </c>
      <c r="F2589" s="2" t="inlineStr">
        <is>
          <t>Coffret</t>
        </is>
      </c>
      <c r="G2589" s="2" t="inlineStr">
        <is>
          <t>Xy</t>
        </is>
      </c>
      <c r="H2589" s="3" t="n">
        <v>50.08</v>
      </c>
      <c r="I2589" s="3" t="n"/>
      <c r="J2589" s="3" t="n"/>
      <c r="K2589" s="3" t="n"/>
      <c r="L2589" s="2" t="inlineStr">
        <is>
          <t>PriceCharting</t>
        </is>
      </c>
      <c r="M2589" s="4" t="inlineStr">
        <is>
          <t>https://www.pricecharting.com/game/pokemon-xy/sealed-knockout-collection</t>
        </is>
      </c>
    </row>
    <row r="2590">
      <c r="A2590" s="2" t="inlineStr">
        <is>
          <t>Xy Shiny Rayquaza EX Collection Box</t>
        </is>
      </c>
      <c r="B2590" s="3">
        <f>IF(H2590&lt;&gt;"",H2590,IF(I2590&lt;&gt;"",I2590,IF(J2590&lt;&gt;"",J2590,K2590)))</f>
        <v>1900.0</v>
      </c>
      <c r="C2590" s="3">
        <f>MEDIAN(H2590:K2590)</f>
        <v>1900.0</v>
      </c>
      <c r="D2590" s="3">
        <f>ROUND(C2590*(1-Settings!$B$2),2)</f>
        <v>1330.0</v>
      </c>
      <c r="E2590" s="2" t="inlineStr">
        <is>
          <t>Pokemon</t>
        </is>
      </c>
      <c r="F2590" s="2" t="inlineStr">
        <is>
          <t>Coffret</t>
        </is>
      </c>
      <c r="G2590" s="2" t="inlineStr">
        <is>
          <t>Xy</t>
        </is>
      </c>
      <c r="H2590" s="3" t="n">
        <v>1900</v>
      </c>
      <c r="I2590" s="3" t="n"/>
      <c r="J2590" s="3" t="n"/>
      <c r="K2590" s="3" t="n"/>
      <c r="L2590" s="2" t="inlineStr">
        <is>
          <t>PriceCharting</t>
        </is>
      </c>
      <c r="M2590" s="4" t="inlineStr">
        <is>
          <t>https://www.pricecharting.com/game/pokemon-xy/shiny-rayquaza-ex-collection-box</t>
        </is>
      </c>
    </row>
    <row r="2591">
      <c r="A2591" s="2" t="inlineStr">
        <is>
          <t>Xy Sylveon Collection</t>
        </is>
      </c>
      <c r="B2591" s="3">
        <f>IF(H2591&lt;&gt;"",H2591,IF(I2591&lt;&gt;"",I2591,IF(J2591&lt;&gt;"",J2591,K2591)))</f>
        <v>964.41</v>
      </c>
      <c r="C2591" s="3">
        <f>MEDIAN(H2591:K2591)</f>
        <v>964.41</v>
      </c>
      <c r="D2591" s="3">
        <f>ROUND(C2591*(1-Settings!$B$2),2)</f>
        <v>675.09</v>
      </c>
      <c r="E2591" s="2" t="inlineStr">
        <is>
          <t>Pokemon</t>
        </is>
      </c>
      <c r="F2591" s="2" t="inlineStr">
        <is>
          <t>Coffret</t>
        </is>
      </c>
      <c r="G2591" s="2" t="inlineStr">
        <is>
          <t>Xy</t>
        </is>
      </c>
      <c r="H2591" s="3" t="n">
        <v>964.41</v>
      </c>
      <c r="I2591" s="3" t="n"/>
      <c r="J2591" s="3" t="n"/>
      <c r="K2591" s="3" t="n"/>
      <c r="L2591" s="2" t="inlineStr">
        <is>
          <t>PriceCharting</t>
        </is>
      </c>
      <c r="M2591" s="4" t="inlineStr">
        <is>
          <t>https://www.pricecharting.com/game/pokemon-xy/sylveon-collection</t>
        </is>
      </c>
    </row>
    <row r="2592">
      <c r="A2592" s="2" t="inlineStr">
        <is>
          <t>Ancient Origins Elite Trainer Box</t>
        </is>
      </c>
      <c r="B2592" s="3">
        <f>IF(H2592&lt;&gt;"",H2592,IF(I2592&lt;&gt;"",I2592,IF(J2592&lt;&gt;"",J2592,K2592)))</f>
        <v>2987.16</v>
      </c>
      <c r="C2592" s="3">
        <f>MEDIAN(H2592:K2592)</f>
        <v>2987.16</v>
      </c>
      <c r="D2592" s="3">
        <f>ROUND(C2592*(1-Settings!$B$2),2)</f>
        <v>2091.01</v>
      </c>
      <c r="E2592" s="2" t="inlineStr">
        <is>
          <t>Pokemon</t>
        </is>
      </c>
      <c r="F2592" s="2" t="inlineStr">
        <is>
          <t>Coffret</t>
        </is>
      </c>
      <c r="G2592" s="2" t="inlineStr">
        <is>
          <t>XY - Ancient Origins</t>
        </is>
      </c>
      <c r="H2592" s="3" t="n">
        <v>2987.16</v>
      </c>
      <c r="I2592" s="3" t="n"/>
      <c r="J2592" s="3" t="n"/>
      <c r="K2592" s="3" t="n"/>
      <c r="L2592" s="2" t="inlineStr">
        <is>
          <t>PriceCharting + TCGplayer</t>
        </is>
      </c>
      <c r="M2592" s="4" t="inlineStr">
        <is>
          <t>https://www.pricecharting.com/game/pokemon-ancient-origins/elite-trainer-box</t>
        </is>
      </c>
      <c r="N2592" s="4" t="inlineStr">
        <is>
          <t>https://www.tcgplayer.com/product/100495</t>
        </is>
      </c>
    </row>
    <row r="2593">
      <c r="A2593" s="2" t="inlineStr">
        <is>
          <t>Powers Beyond Tin [Hoopa EX]</t>
        </is>
      </c>
      <c r="B2593" s="3">
        <f>IF(H2593&lt;&gt;"",H2593,IF(I2593&lt;&gt;"",I2593,IF(J2593&lt;&gt;"",J2593,K2593)))</f>
        <v>497.5</v>
      </c>
      <c r="C2593" s="3">
        <f>MEDIAN(H2593:K2593)</f>
        <v>496.25</v>
      </c>
      <c r="D2593" s="3">
        <f>ROUND(C2593*(1-Settings!$B$2),2)</f>
        <v>347.38</v>
      </c>
      <c r="E2593" s="2" t="inlineStr">
        <is>
          <t>Pokemon</t>
        </is>
      </c>
      <c r="F2593" s="2" t="inlineStr">
        <is>
          <t>Coffret</t>
        </is>
      </c>
      <c r="G2593" s="2" t="inlineStr">
        <is>
          <t>XY - Ancient Origins</t>
        </is>
      </c>
      <c r="H2593" s="3" t="n"/>
      <c r="I2593" s="3" t="n"/>
      <c r="J2593" s="3" t="n">
        <v>497.5</v>
      </c>
      <c r="K2593" s="3" t="n">
        <v>495</v>
      </c>
      <c r="L2593" s="2" t="inlineStr">
        <is>
          <t>TCGplayer</t>
        </is>
      </c>
      <c r="N2593" s="4" t="inlineStr">
        <is>
          <t>https://www.tcgplayer.com/product/106213</t>
        </is>
      </c>
    </row>
    <row r="2594">
      <c r="A2594" s="2" t="inlineStr">
        <is>
          <t>Powers Beyond Tin [Latios EX]</t>
        </is>
      </c>
      <c r="B2594" s="3">
        <f>IF(H2594&lt;&gt;"",H2594,IF(I2594&lt;&gt;"",I2594,IF(J2594&lt;&gt;"",J2594,K2594)))</f>
        <v>549.99</v>
      </c>
      <c r="C2594" s="3">
        <f>MEDIAN(H2594:K2594)</f>
        <v>699.99</v>
      </c>
      <c r="D2594" s="3">
        <f>ROUND(C2594*(1-Settings!$B$2),2)</f>
        <v>489.99</v>
      </c>
      <c r="E2594" s="2" t="inlineStr">
        <is>
          <t>Pokemon</t>
        </is>
      </c>
      <c r="F2594" s="2" t="inlineStr">
        <is>
          <t>Coffret</t>
        </is>
      </c>
      <c r="G2594" s="2" t="inlineStr">
        <is>
          <t>XY - Ancient Origins</t>
        </is>
      </c>
      <c r="H2594" s="3" t="n"/>
      <c r="I2594" s="3" t="n">
        <v>549.99</v>
      </c>
      <c r="J2594" s="3" t="n">
        <v>699.99</v>
      </c>
      <c r="K2594" s="3" t="n">
        <v>699.99</v>
      </c>
      <c r="L2594" s="2" t="inlineStr">
        <is>
          <t>TCGplayer</t>
        </is>
      </c>
      <c r="N2594" s="4" t="inlineStr">
        <is>
          <t>https://www.tcgplayer.com/product/106211</t>
        </is>
      </c>
    </row>
    <row r="2595">
      <c r="A2595" s="2" t="inlineStr">
        <is>
          <t>Shiny Rayquaza EX Box</t>
        </is>
      </c>
      <c r="B2595" s="3">
        <f>IF(H2595&lt;&gt;"",H2595,IF(I2595&lt;&gt;"",I2595,IF(J2595&lt;&gt;"",J2595,K2595)))</f>
        <v>1899.99</v>
      </c>
      <c r="C2595" s="3">
        <f>MEDIAN(H2595:K2595)</f>
        <v>1899.99</v>
      </c>
      <c r="D2595" s="3">
        <f>ROUND(C2595*(1-Settings!$B$2),2)</f>
        <v>1329.99</v>
      </c>
      <c r="E2595" s="2" t="inlineStr">
        <is>
          <t>Pokemon</t>
        </is>
      </c>
      <c r="F2595" s="2" t="inlineStr">
        <is>
          <t>Coffret</t>
        </is>
      </c>
      <c r="G2595" s="2" t="inlineStr">
        <is>
          <t>XY - Ancient Origins</t>
        </is>
      </c>
      <c r="H2595" s="3" t="n"/>
      <c r="I2595" s="3" t="n"/>
      <c r="J2595" s="3" t="n">
        <v>1899.99</v>
      </c>
      <c r="K2595" s="3" t="n">
        <v>1899.99</v>
      </c>
      <c r="L2595" s="2" t="inlineStr">
        <is>
          <t>TCGplayer</t>
        </is>
      </c>
      <c r="N2595" s="4" t="inlineStr">
        <is>
          <t>https://www.tcgplayer.com/product/103462</t>
        </is>
      </c>
    </row>
    <row r="2596">
      <c r="A2596" s="2" t="inlineStr">
        <is>
          <t>BREAKpoint Booster Pack Art Bundle [Set of 4]</t>
        </is>
      </c>
      <c r="B2596" s="3">
        <f>IF(H2596&lt;&gt;"",H2596,IF(I2596&lt;&gt;"",I2596,IF(J2596&lt;&gt;"",J2596,K2596)))</f>
        <v>187.12</v>
      </c>
      <c r="C2596" s="3">
        <f>MEDIAN(H2596:K2596)</f>
        <v>126.06</v>
      </c>
      <c r="D2596" s="3">
        <f>ROUND(C2596*(1-Settings!$B$2),2)</f>
        <v>88.24</v>
      </c>
      <c r="E2596" s="2" t="inlineStr">
        <is>
          <t>Pokemon</t>
        </is>
      </c>
      <c r="F2596" s="2" t="inlineStr">
        <is>
          <t>Coffret</t>
        </is>
      </c>
      <c r="G2596" s="2" t="inlineStr">
        <is>
          <t>XY - BREAKpoint</t>
        </is>
      </c>
      <c r="H2596" s="3" t="n"/>
      <c r="I2596" s="3" t="n">
        <v>187.12</v>
      </c>
      <c r="J2596" s="3" t="n"/>
      <c r="K2596" s="3" t="n">
        <v>65</v>
      </c>
      <c r="L2596" s="2" t="inlineStr">
        <is>
          <t>TCGplayer</t>
        </is>
      </c>
      <c r="N2596" s="4" t="inlineStr">
        <is>
          <t>https://www.tcgplayer.com/product/531444</t>
        </is>
      </c>
    </row>
    <row r="2597">
      <c r="A2597" s="2" t="inlineStr">
        <is>
          <t>BREAKpoint Sleeved Booster Pack Art Bundle [Set of 4]</t>
        </is>
      </c>
      <c r="B2597" s="3">
        <f>IF(H2597&lt;&gt;"",H2597,IF(I2597&lt;&gt;"",I2597,IF(J2597&lt;&gt;"",J2597,K2597)))</f>
        <v>189.98</v>
      </c>
      <c r="C2597" s="3">
        <f>MEDIAN(H2597:K2597)</f>
        <v>189.98</v>
      </c>
      <c r="D2597" s="3">
        <f>ROUND(C2597*(1-Settings!$B$2),2)</f>
        <v>132.99</v>
      </c>
      <c r="E2597" s="2" t="inlineStr">
        <is>
          <t>Pokemon</t>
        </is>
      </c>
      <c r="F2597" s="2" t="inlineStr">
        <is>
          <t>Coffret</t>
        </is>
      </c>
      <c r="G2597" s="2" t="inlineStr">
        <is>
          <t>XY - BREAKpoint</t>
        </is>
      </c>
      <c r="H2597" s="3" t="n"/>
      <c r="I2597" s="3" t="n">
        <v>189.98</v>
      </c>
      <c r="J2597" s="3" t="n">
        <v>249.95</v>
      </c>
      <c r="K2597" s="3" t="n">
        <v>179</v>
      </c>
      <c r="L2597" s="2" t="inlineStr">
        <is>
          <t>TCGplayer</t>
        </is>
      </c>
      <c r="N2597" s="4" t="inlineStr">
        <is>
          <t>https://www.tcgplayer.com/product/276597</t>
        </is>
      </c>
    </row>
    <row r="2598">
      <c r="A2598" s="2" t="inlineStr">
        <is>
          <t>Triple Power Tin [Machamp EX]</t>
        </is>
      </c>
      <c r="B2598" s="3">
        <f>IF(H2598&lt;&gt;"",H2598,IF(I2598&lt;&gt;"",I2598,IF(J2598&lt;&gt;"",J2598,K2598)))</f>
        <v>450.0</v>
      </c>
      <c r="C2598" s="3">
        <f>MEDIAN(H2598:K2598)</f>
        <v>425.0</v>
      </c>
      <c r="D2598" s="3">
        <f>ROUND(C2598*(1-Settings!$B$2),2)</f>
        <v>297.5</v>
      </c>
      <c r="E2598" s="2" t="inlineStr">
        <is>
          <t>Pokemon</t>
        </is>
      </c>
      <c r="F2598" s="2" t="inlineStr">
        <is>
          <t>Coffret</t>
        </is>
      </c>
      <c r="G2598" s="2" t="inlineStr">
        <is>
          <t>XY - BREAKpoint</t>
        </is>
      </c>
      <c r="H2598" s="3" t="n"/>
      <c r="I2598" s="3" t="n"/>
      <c r="J2598" s="3" t="n">
        <v>450</v>
      </c>
      <c r="K2598" s="3" t="n">
        <v>400</v>
      </c>
      <c r="L2598" s="2" t="inlineStr">
        <is>
          <t>TCGplayer</t>
        </is>
      </c>
      <c r="N2598" s="4" t="inlineStr">
        <is>
          <t>https://www.tcgplayer.com/product/117699</t>
        </is>
      </c>
    </row>
    <row r="2599">
      <c r="A2599" s="2" t="inlineStr">
        <is>
          <t>Triple Power Tin [Mewtwo EX]</t>
        </is>
      </c>
      <c r="B2599" s="3">
        <f>IF(H2599&lt;&gt;"",H2599,IF(I2599&lt;&gt;"",I2599,IF(J2599&lt;&gt;"",J2599,K2599)))</f>
        <v>590.0</v>
      </c>
      <c r="C2599" s="3">
        <f>MEDIAN(H2599:K2599)</f>
        <v>585.0</v>
      </c>
      <c r="D2599" s="3">
        <f>ROUND(C2599*(1-Settings!$B$2),2)</f>
        <v>409.5</v>
      </c>
      <c r="E2599" s="2" t="inlineStr">
        <is>
          <t>Pokemon</t>
        </is>
      </c>
      <c r="F2599" s="2" t="inlineStr">
        <is>
          <t>Coffret</t>
        </is>
      </c>
      <c r="G2599" s="2" t="inlineStr">
        <is>
          <t>XY - BREAKpoint</t>
        </is>
      </c>
      <c r="H2599" s="3" t="n"/>
      <c r="I2599" s="3" t="n"/>
      <c r="J2599" s="3" t="n">
        <v>590</v>
      </c>
      <c r="K2599" s="3" t="n">
        <v>580</v>
      </c>
      <c r="L2599" s="2" t="inlineStr">
        <is>
          <t>TCGplayer</t>
        </is>
      </c>
      <c r="N2599" s="4" t="inlineStr">
        <is>
          <t>https://www.tcgplayer.com/product/117698</t>
        </is>
      </c>
    </row>
    <row r="2600">
      <c r="A2600" s="2" t="inlineStr">
        <is>
          <t>Triple Power Tin [Shiny Gyarados EX]</t>
        </is>
      </c>
      <c r="B2600" s="3">
        <f>IF(H2600&lt;&gt;"",H2600,IF(I2600&lt;&gt;"",I2600,IF(J2600&lt;&gt;"",J2600,K2600)))</f>
        <v>397.97</v>
      </c>
      <c r="C2600" s="3">
        <f>MEDIAN(H2600:K2600)</f>
        <v>580.0</v>
      </c>
      <c r="D2600" s="3">
        <f>ROUND(C2600*(1-Settings!$B$2),2)</f>
        <v>406.0</v>
      </c>
      <c r="E2600" s="2" t="inlineStr">
        <is>
          <t>Pokemon</t>
        </is>
      </c>
      <c r="F2600" s="2" t="inlineStr">
        <is>
          <t>Coffret</t>
        </is>
      </c>
      <c r="G2600" s="2" t="inlineStr">
        <is>
          <t>XY - BREAKpoint</t>
        </is>
      </c>
      <c r="H2600" s="3" t="n"/>
      <c r="I2600" s="3" t="n">
        <v>397.97</v>
      </c>
      <c r="J2600" s="3" t="n">
        <v>590</v>
      </c>
      <c r="K2600" s="3" t="n">
        <v>580</v>
      </c>
      <c r="L2600" s="2" t="inlineStr">
        <is>
          <t>TCGplayer</t>
        </is>
      </c>
      <c r="N2600" s="4" t="inlineStr">
        <is>
          <t>https://www.tcgplayer.com/product/117700</t>
        </is>
      </c>
    </row>
    <row r="2601">
      <c r="A2601" s="2" t="inlineStr">
        <is>
          <t>XY BREAKpoint Elite Trainer Box</t>
        </is>
      </c>
      <c r="B2601" s="3">
        <f>IF(H2601&lt;&gt;"",H2601,IF(I2601&lt;&gt;"",I2601,IF(J2601&lt;&gt;"",J2601,K2601)))</f>
        <v>1099.99</v>
      </c>
      <c r="C2601" s="3">
        <f>MEDIAN(H2601:K2601)</f>
        <v>1349.99</v>
      </c>
      <c r="D2601" s="3">
        <f>ROUND(C2601*(1-Settings!$B$2),2)</f>
        <v>944.99</v>
      </c>
      <c r="E2601" s="2" t="inlineStr">
        <is>
          <t>Pokemon</t>
        </is>
      </c>
      <c r="F2601" s="2" t="inlineStr">
        <is>
          <t>Coffret</t>
        </is>
      </c>
      <c r="G2601" s="2" t="inlineStr">
        <is>
          <t>XY - BREAKpoint</t>
        </is>
      </c>
      <c r="H2601" s="3" t="n"/>
      <c r="I2601" s="3" t="n">
        <v>1099.99</v>
      </c>
      <c r="J2601" s="3" t="n">
        <v>1439.5</v>
      </c>
      <c r="K2601" s="3" t="n">
        <v>1349.99</v>
      </c>
      <c r="L2601" s="2" t="inlineStr">
        <is>
          <t>TCGplayer</t>
        </is>
      </c>
      <c r="N2601" s="4" t="inlineStr">
        <is>
          <t>https://www.tcgplayer.com/product/111280</t>
        </is>
      </c>
    </row>
    <row r="2602">
      <c r="A2602" s="2" t="inlineStr">
        <is>
          <t>Aurorus EX Box</t>
        </is>
      </c>
      <c r="B2602" s="3">
        <f>IF(H2602&lt;&gt;"",H2602,IF(I2602&lt;&gt;"",I2602,IF(J2602&lt;&gt;"",J2602,K2602)))</f>
        <v>399.0</v>
      </c>
      <c r="C2602" s="3">
        <f>MEDIAN(H2602:K2602)</f>
        <v>399.0</v>
      </c>
      <c r="D2602" s="3">
        <f>ROUND(C2602*(1-Settings!$B$2),2)</f>
        <v>279.3</v>
      </c>
      <c r="E2602" s="2" t="inlineStr">
        <is>
          <t>Pokemon</t>
        </is>
      </c>
      <c r="F2602" s="2" t="inlineStr">
        <is>
          <t>Coffret</t>
        </is>
      </c>
      <c r="G2602" s="2" t="inlineStr">
        <is>
          <t>XY - BREAKthrough</t>
        </is>
      </c>
      <c r="H2602" s="3" t="n"/>
      <c r="I2602" s="3" t="n">
        <v>399</v>
      </c>
      <c r="J2602" s="3" t="n"/>
      <c r="K2602" s="3" t="n"/>
      <c r="L2602" s="2" t="inlineStr">
        <is>
          <t>TCGplayer</t>
        </is>
      </c>
      <c r="N2602" s="4" t="inlineStr">
        <is>
          <t>https://www.tcgplayer.com/product/117278</t>
        </is>
      </c>
    </row>
    <row r="2603">
      <c r="A2603" s="2" t="inlineStr">
        <is>
          <t>BREAKthrough Booster Pack Art Bundle [Set of 4]</t>
        </is>
      </c>
      <c r="B2603" s="3">
        <f>IF(H2603&lt;&gt;"",H2603,IF(I2603&lt;&gt;"",I2603,IF(J2603&lt;&gt;"",J2603,K2603)))</f>
        <v>279.95</v>
      </c>
      <c r="C2603" s="3">
        <f>MEDIAN(H2603:K2603)</f>
        <v>279.95</v>
      </c>
      <c r="D2603" s="3">
        <f>ROUND(C2603*(1-Settings!$B$2),2)</f>
        <v>195.97</v>
      </c>
      <c r="E2603" s="2" t="inlineStr">
        <is>
          <t>Pokemon</t>
        </is>
      </c>
      <c r="F2603" s="2" t="inlineStr">
        <is>
          <t>Coffret</t>
        </is>
      </c>
      <c r="G2603" s="2" t="inlineStr">
        <is>
          <t>XY - BREAKthrough</t>
        </is>
      </c>
      <c r="H2603" s="3" t="n"/>
      <c r="I2603" s="3" t="n">
        <v>279.95</v>
      </c>
      <c r="J2603" s="3" t="n">
        <v>279.95</v>
      </c>
      <c r="K2603" s="3" t="n">
        <v>279.95</v>
      </c>
      <c r="L2603" s="2" t="inlineStr">
        <is>
          <t>TCGplayer</t>
        </is>
      </c>
      <c r="N2603" s="4" t="inlineStr">
        <is>
          <t>https://www.tcgplayer.com/product/531445</t>
        </is>
      </c>
    </row>
    <row r="2604">
      <c r="A2604" s="2" t="inlineStr">
        <is>
          <t>BREAKthrough Sleeved Booster Pack Art Bundle [Set of 4]</t>
        </is>
      </c>
      <c r="B2604" s="3">
        <f>IF(H2604&lt;&gt;"",H2604,IF(I2604&lt;&gt;"",I2604,IF(J2604&lt;&gt;"",J2604,K2604)))</f>
        <v>500.0</v>
      </c>
      <c r="C2604" s="3">
        <f>MEDIAN(H2604:K2604)</f>
        <v>500.0</v>
      </c>
      <c r="D2604" s="3">
        <f>ROUND(C2604*(1-Settings!$B$2),2)</f>
        <v>350.0</v>
      </c>
      <c r="E2604" s="2" t="inlineStr">
        <is>
          <t>Pokemon</t>
        </is>
      </c>
      <c r="F2604" s="2" t="inlineStr">
        <is>
          <t>Coffret</t>
        </is>
      </c>
      <c r="G2604" s="2" t="inlineStr">
        <is>
          <t>XY - BREAKthrough</t>
        </is>
      </c>
      <c r="H2604" s="3" t="n"/>
      <c r="I2604" s="3" t="n">
        <v>500</v>
      </c>
      <c r="J2604" s="3" t="n"/>
      <c r="K2604" s="3" t="n">
        <v>500</v>
      </c>
      <c r="L2604" s="2" t="inlineStr">
        <is>
          <t>TCGplayer</t>
        </is>
      </c>
      <c r="N2604" s="4" t="inlineStr">
        <is>
          <t>https://www.tcgplayer.com/product/276596</t>
        </is>
      </c>
    </row>
    <row r="2605">
      <c r="A2605" s="2" t="inlineStr">
        <is>
          <t>Mega Blaziken EX &amp; Mega Swampert EX Premium Collection (Set of 2)</t>
        </is>
      </c>
      <c r="B2605" s="3">
        <f>IF(H2605&lt;&gt;"",H2605,IF(I2605&lt;&gt;"",I2605,IF(J2605&lt;&gt;"",J2605,K2605)))</f>
        <v>5000.0</v>
      </c>
      <c r="C2605" s="3">
        <f>MEDIAN(H2605:K2605)</f>
        <v>5000.0</v>
      </c>
      <c r="D2605" s="3">
        <f>ROUND(C2605*(1-Settings!$B$2),2)</f>
        <v>3500.0</v>
      </c>
      <c r="E2605" s="2" t="inlineStr">
        <is>
          <t>Pokemon</t>
        </is>
      </c>
      <c r="F2605" s="2" t="inlineStr">
        <is>
          <t>Coffret</t>
        </is>
      </c>
      <c r="G2605" s="2" t="inlineStr">
        <is>
          <t>XY - BREAKthrough</t>
        </is>
      </c>
      <c r="H2605" s="3" t="n"/>
      <c r="I2605" s="3" t="n"/>
      <c r="J2605" s="3" t="n">
        <v>5000</v>
      </c>
      <c r="K2605" s="3" t="n">
        <v>5000</v>
      </c>
      <c r="L2605" s="2" t="inlineStr">
        <is>
          <t>TCGplayer</t>
        </is>
      </c>
      <c r="N2605" s="4" t="inlineStr">
        <is>
          <t>https://www.tcgplayer.com/product/107108</t>
        </is>
      </c>
    </row>
    <row r="2606">
      <c r="A2606" s="2" t="inlineStr">
        <is>
          <t>Mega Mewtwo Collection (Set of 2)</t>
        </is>
      </c>
      <c r="B2606" s="3">
        <f>IF(H2606&lt;&gt;"",H2606,IF(I2606&lt;&gt;"",I2606,IF(J2606&lt;&gt;"",J2606,K2606)))</f>
        <v>1600.0</v>
      </c>
      <c r="C2606" s="3">
        <f>MEDIAN(H2606:K2606)</f>
        <v>1600.0</v>
      </c>
      <c r="D2606" s="3">
        <f>ROUND(C2606*(1-Settings!$B$2),2)</f>
        <v>1120.0</v>
      </c>
      <c r="E2606" s="2" t="inlineStr">
        <is>
          <t>Pokemon</t>
        </is>
      </c>
      <c r="F2606" s="2" t="inlineStr">
        <is>
          <t>Coffret</t>
        </is>
      </c>
      <c r="G2606" s="2" t="inlineStr">
        <is>
          <t>XY - BREAKthrough</t>
        </is>
      </c>
      <c r="H2606" s="3" t="n"/>
      <c r="I2606" s="3" t="n"/>
      <c r="J2606" s="3" t="n"/>
      <c r="K2606" s="3" t="n">
        <v>1600</v>
      </c>
      <c r="L2606" s="2" t="inlineStr">
        <is>
          <t>TCGplayer</t>
        </is>
      </c>
      <c r="N2606" s="4" t="inlineStr">
        <is>
          <t>https://www.tcgplayer.com/product/107116</t>
        </is>
      </c>
    </row>
    <row r="2607">
      <c r="A2607" s="2" t="inlineStr">
        <is>
          <t>Mega Mewtwo Collection [Mega Mewtwo X]</t>
        </is>
      </c>
      <c r="B2607" s="3">
        <f>IF(H2607&lt;&gt;"",H2607,IF(I2607&lt;&gt;"",I2607,IF(J2607&lt;&gt;"",J2607,K2607)))</f>
        <v>597.0</v>
      </c>
      <c r="C2607" s="3">
        <f>MEDIAN(H2607:K2607)</f>
        <v>596.005</v>
      </c>
      <c r="D2607" s="3">
        <f>ROUND(C2607*(1-Settings!$B$2),2)</f>
        <v>417.2</v>
      </c>
      <c r="E2607" s="2" t="inlineStr">
        <is>
          <t>Pokemon</t>
        </is>
      </c>
      <c r="F2607" s="2" t="inlineStr">
        <is>
          <t>Coffret</t>
        </is>
      </c>
      <c r="G2607" s="2" t="inlineStr">
        <is>
          <t>XY - BREAKthrough</t>
        </is>
      </c>
      <c r="H2607" s="3" t="n"/>
      <c r="I2607" s="3" t="n"/>
      <c r="J2607" s="3" t="n">
        <v>597</v>
      </c>
      <c r="K2607" s="3" t="n">
        <v>595.01</v>
      </c>
      <c r="L2607" s="2" t="inlineStr">
        <is>
          <t>TCGplayer</t>
        </is>
      </c>
      <c r="N2607" s="4" t="inlineStr">
        <is>
          <t>https://www.tcgplayer.com/product/107118</t>
        </is>
      </c>
    </row>
    <row r="2608">
      <c r="A2608" s="2" t="inlineStr">
        <is>
          <t>XY BREAKthrough Collector Chest</t>
        </is>
      </c>
      <c r="B2608" s="3">
        <f>IF(H2608&lt;&gt;"",H2608,IF(I2608&lt;&gt;"",I2608,IF(J2608&lt;&gt;"",J2608,K2608)))</f>
        <v>2188.28</v>
      </c>
      <c r="C2608" s="3">
        <f>MEDIAN(H2608:K2608)</f>
        <v>2188.28</v>
      </c>
      <c r="D2608" s="3">
        <f>ROUND(C2608*(1-Settings!$B$2),2)</f>
        <v>1531.8</v>
      </c>
      <c r="E2608" s="2" t="inlineStr">
        <is>
          <t>Pokemon</t>
        </is>
      </c>
      <c r="F2608" s="2" t="inlineStr">
        <is>
          <t>Coffret</t>
        </is>
      </c>
      <c r="G2608" s="2" t="inlineStr">
        <is>
          <t>XY - BREAKthrough</t>
        </is>
      </c>
      <c r="H2608" s="3" t="n"/>
      <c r="I2608" s="3" t="n"/>
      <c r="J2608" s="3" t="n">
        <v>2188.28</v>
      </c>
      <c r="K2608" s="3" t="n">
        <v>2188.28</v>
      </c>
      <c r="L2608" s="2" t="inlineStr">
        <is>
          <t>TCGplayer</t>
        </is>
      </c>
      <c r="N2608" s="4" t="inlineStr">
        <is>
          <t>https://www.tcgplayer.com/product/107109</t>
        </is>
      </c>
    </row>
    <row r="2609">
      <c r="A2609" s="2" t="inlineStr">
        <is>
          <t>Alola Collection [Solgaleo]</t>
        </is>
      </c>
      <c r="B2609" s="3">
        <f>IF(H2609&lt;&gt;"",H2609,IF(I2609&lt;&gt;"",I2609,IF(J2609&lt;&gt;"",J2609,K2609)))</f>
        <v>401.99</v>
      </c>
      <c r="C2609" s="3">
        <f>MEDIAN(H2609:K2609)</f>
        <v>497.97</v>
      </c>
      <c r="D2609" s="3">
        <f>ROUND(C2609*(1-Settings!$B$2),2)</f>
        <v>348.58</v>
      </c>
      <c r="E2609" s="2" t="inlineStr">
        <is>
          <t>Pokemon</t>
        </is>
      </c>
      <c r="F2609" s="2" t="inlineStr">
        <is>
          <t>Coffret</t>
        </is>
      </c>
      <c r="G2609" s="2" t="inlineStr">
        <is>
          <t>XY - Evolutions</t>
        </is>
      </c>
      <c r="H2609" s="3" t="n"/>
      <c r="I2609" s="3" t="n">
        <v>401.99</v>
      </c>
      <c r="J2609" s="3" t="n">
        <v>497.97</v>
      </c>
      <c r="K2609" s="3" t="n">
        <v>497.97</v>
      </c>
      <c r="L2609" s="2" t="inlineStr">
        <is>
          <t>TCGplayer</t>
        </is>
      </c>
      <c r="N2609" s="4" t="inlineStr">
        <is>
          <t>https://www.tcgplayer.com/product/125739</t>
        </is>
      </c>
    </row>
    <row r="2610">
      <c r="A2610" s="2" t="inlineStr">
        <is>
          <t>BREAK Evolution Box [Arcanine]</t>
        </is>
      </c>
      <c r="B2610" s="3">
        <f>IF(H2610&lt;&gt;"",H2610,IF(I2610&lt;&gt;"",I2610,IF(J2610&lt;&gt;"",J2610,K2610)))</f>
        <v>449.99</v>
      </c>
      <c r="C2610" s="3">
        <f>MEDIAN(H2610:K2610)</f>
        <v>500.0</v>
      </c>
      <c r="D2610" s="3">
        <f>ROUND(C2610*(1-Settings!$B$2),2)</f>
        <v>350.0</v>
      </c>
      <c r="E2610" s="2" t="inlineStr">
        <is>
          <t>Pokemon</t>
        </is>
      </c>
      <c r="F2610" s="2" t="inlineStr">
        <is>
          <t>Coffret</t>
        </is>
      </c>
      <c r="G2610" s="2" t="inlineStr">
        <is>
          <t>XY - Evolutions</t>
        </is>
      </c>
      <c r="H2610" s="3" t="n"/>
      <c r="I2610" s="3" t="n">
        <v>449.99</v>
      </c>
      <c r="J2610" s="3" t="n">
        <v>500</v>
      </c>
      <c r="K2610" s="3" t="n">
        <v>500</v>
      </c>
      <c r="L2610" s="2" t="inlineStr">
        <is>
          <t>TCGplayer</t>
        </is>
      </c>
      <c r="N2610" s="4" t="inlineStr">
        <is>
          <t>https://www.tcgplayer.com/product/126570</t>
        </is>
      </c>
    </row>
    <row r="2611">
      <c r="A2611" s="2" t="inlineStr">
        <is>
          <t>Charizard EX Box</t>
        </is>
      </c>
      <c r="B2611" s="3">
        <f>IF(H2611&lt;&gt;"",H2611,IF(I2611&lt;&gt;"",I2611,IF(J2611&lt;&gt;"",J2611,K2611)))</f>
        <v>334.98</v>
      </c>
      <c r="C2611" s="3">
        <f>MEDIAN(H2611:K2611)</f>
        <v>374.99</v>
      </c>
      <c r="D2611" s="3">
        <f>ROUND(C2611*(1-Settings!$B$2),2)</f>
        <v>262.49</v>
      </c>
      <c r="E2611" s="2" t="inlineStr">
        <is>
          <t>Pokemon</t>
        </is>
      </c>
      <c r="F2611" s="2" t="inlineStr">
        <is>
          <t>Coffret</t>
        </is>
      </c>
      <c r="G2611" s="2" t="inlineStr">
        <is>
          <t>XY - Evolutions</t>
        </is>
      </c>
      <c r="H2611" s="3" t="n"/>
      <c r="I2611" s="3" t="n">
        <v>334.98</v>
      </c>
      <c r="J2611" s="3" t="n">
        <v>384.44</v>
      </c>
      <c r="K2611" s="3" t="n">
        <v>374.99</v>
      </c>
      <c r="L2611" s="2" t="inlineStr">
        <is>
          <t>TCGplayer</t>
        </is>
      </c>
      <c r="N2611" s="4" t="inlineStr">
        <is>
          <t>https://www.tcgplayer.com/product/125731</t>
        </is>
      </c>
    </row>
    <row r="2612">
      <c r="A2612" s="2" t="inlineStr">
        <is>
          <t>Dragonite EX Box</t>
        </is>
      </c>
      <c r="B2612" s="3">
        <f>IF(H2612&lt;&gt;"",H2612,IF(I2612&lt;&gt;"",I2612,IF(J2612&lt;&gt;"",J2612,K2612)))</f>
        <v>278.91</v>
      </c>
      <c r="C2612" s="3">
        <f>MEDIAN(H2612:K2612)</f>
        <v>324.44500000000005</v>
      </c>
      <c r="D2612" s="3">
        <f>ROUND(C2612*(1-Settings!$B$2),2)</f>
        <v>227.11</v>
      </c>
      <c r="E2612" s="2" t="inlineStr">
        <is>
          <t>Pokemon</t>
        </is>
      </c>
      <c r="F2612" s="2" t="inlineStr">
        <is>
          <t>Coffret</t>
        </is>
      </c>
      <c r="G2612" s="2" t="inlineStr">
        <is>
          <t>XY - Evolutions</t>
        </is>
      </c>
      <c r="H2612" s="3" t="n"/>
      <c r="I2612" s="3" t="n">
        <v>278.91</v>
      </c>
      <c r="J2612" s="3" t="n"/>
      <c r="K2612" s="3" t="n">
        <v>369.98</v>
      </c>
      <c r="L2612" s="2" t="inlineStr">
        <is>
          <t>TCGplayer</t>
        </is>
      </c>
      <c r="N2612" s="4" t="inlineStr">
        <is>
          <t>https://www.tcgplayer.com/product/125734</t>
        </is>
      </c>
    </row>
    <row r="2613">
      <c r="A2613" s="2" t="inlineStr">
        <is>
          <t>Evolutions Booster Pack Art Bundle [Set of 4]</t>
        </is>
      </c>
      <c r="B2613" s="3">
        <f>IF(H2613&lt;&gt;"",H2613,IF(I2613&lt;&gt;"",I2613,IF(J2613&lt;&gt;"",J2613,K2613)))</f>
        <v>255.83</v>
      </c>
      <c r="C2613" s="3">
        <f>MEDIAN(H2613:K2613)</f>
        <v>255.83</v>
      </c>
      <c r="D2613" s="3">
        <f>ROUND(C2613*(1-Settings!$B$2),2)</f>
        <v>179.08</v>
      </c>
      <c r="E2613" s="2" t="inlineStr">
        <is>
          <t>Pokemon</t>
        </is>
      </c>
      <c r="F2613" s="2" t="inlineStr">
        <is>
          <t>Coffret</t>
        </is>
      </c>
      <c r="G2613" s="2" t="inlineStr">
        <is>
          <t>XY - Evolutions</t>
        </is>
      </c>
      <c r="H2613" s="3" t="n"/>
      <c r="I2613" s="3" t="n">
        <v>255.83</v>
      </c>
      <c r="J2613" s="3" t="n">
        <v>282.5</v>
      </c>
      <c r="K2613" s="3" t="n">
        <v>90</v>
      </c>
      <c r="L2613" s="2" t="inlineStr">
        <is>
          <t>TCGplayer</t>
        </is>
      </c>
      <c r="N2613" s="4" t="inlineStr">
        <is>
          <t>https://www.tcgplayer.com/product/272649</t>
        </is>
      </c>
    </row>
    <row r="2614">
      <c r="A2614" s="2" t="inlineStr">
        <is>
          <t>Evolutions Sleeved Booster Pack Art Bundle [Set of 4]</t>
        </is>
      </c>
      <c r="B2614" s="3">
        <f>IF(H2614&lt;&gt;"",H2614,IF(I2614&lt;&gt;"",I2614,IF(J2614&lt;&gt;"",J2614,K2614)))</f>
        <v>469.42</v>
      </c>
      <c r="C2614" s="3">
        <f>MEDIAN(H2614:K2614)</f>
        <v>459.685</v>
      </c>
      <c r="D2614" s="3">
        <f>ROUND(C2614*(1-Settings!$B$2),2)</f>
        <v>321.78</v>
      </c>
      <c r="E2614" s="2" t="inlineStr">
        <is>
          <t>Pokemon</t>
        </is>
      </c>
      <c r="F2614" s="2" t="inlineStr">
        <is>
          <t>Coffret</t>
        </is>
      </c>
      <c r="G2614" s="2" t="inlineStr">
        <is>
          <t>XY - Evolutions</t>
        </is>
      </c>
      <c r="H2614" s="3" t="n"/>
      <c r="I2614" s="3" t="n"/>
      <c r="J2614" s="3" t="n">
        <v>469.42</v>
      </c>
      <c r="K2614" s="3" t="n">
        <v>449.95</v>
      </c>
      <c r="L2614" s="2" t="inlineStr">
        <is>
          <t>TCGplayer</t>
        </is>
      </c>
      <c r="N2614" s="4" t="inlineStr">
        <is>
          <t>https://www.tcgplayer.com/product/276600</t>
        </is>
      </c>
    </row>
    <row r="2615">
      <c r="A2615" s="2" t="inlineStr">
        <is>
          <t>Gengar EX Box</t>
        </is>
      </c>
      <c r="B2615" s="3">
        <f>IF(H2615&lt;&gt;"",H2615,IF(I2615&lt;&gt;"",I2615,IF(J2615&lt;&gt;"",J2615,K2615)))</f>
        <v>520.01</v>
      </c>
      <c r="C2615" s="3">
        <f>MEDIAN(H2615:K2615)</f>
        <v>535.35</v>
      </c>
      <c r="D2615" s="3">
        <f>ROUND(C2615*(1-Settings!$B$2),2)</f>
        <v>374.75</v>
      </c>
      <c r="E2615" s="2" t="inlineStr">
        <is>
          <t>Pokemon</t>
        </is>
      </c>
      <c r="F2615" s="2" t="inlineStr">
        <is>
          <t>Coffret</t>
        </is>
      </c>
      <c r="G2615" s="2" t="inlineStr">
        <is>
          <t>XY - Evolutions</t>
        </is>
      </c>
      <c r="H2615" s="3" t="n">
        <v>520.01</v>
      </c>
      <c r="I2615" s="3" t="n">
        <v>472.5</v>
      </c>
      <c r="J2615" s="3" t="n">
        <v>584.84</v>
      </c>
      <c r="K2615" s="3" t="n">
        <v>550.6900000000001</v>
      </c>
      <c r="L2615" s="2" t="inlineStr">
        <is>
          <t>PriceCharting + TCGplayer</t>
        </is>
      </c>
      <c r="M2615" s="4" t="inlineStr">
        <is>
          <t>https://www.pricecharting.com/game/pokemon-evolutions/gengar-ex-box</t>
        </is>
      </c>
      <c r="N2615" s="4" t="inlineStr">
        <is>
          <t>https://www.tcgplayer.com/product/125733</t>
        </is>
      </c>
    </row>
    <row r="2616">
      <c r="A2616" s="2" t="inlineStr">
        <is>
          <t>Kangaskhan EX Box</t>
        </is>
      </c>
      <c r="B2616" s="3">
        <f>IF(H2616&lt;&gt;"",H2616,IF(I2616&lt;&gt;"",I2616,IF(J2616&lt;&gt;"",J2616,K2616)))</f>
        <v>349.9</v>
      </c>
      <c r="C2616" s="3">
        <f>MEDIAN(H2616:K2616)</f>
        <v>349.9</v>
      </c>
      <c r="D2616" s="3">
        <f>ROUND(C2616*(1-Settings!$B$2),2)</f>
        <v>244.93</v>
      </c>
      <c r="E2616" s="2" t="inlineStr">
        <is>
          <t>Pokemon</t>
        </is>
      </c>
      <c r="F2616" s="2" t="inlineStr">
        <is>
          <t>Coffret</t>
        </is>
      </c>
      <c r="G2616" s="2" t="inlineStr">
        <is>
          <t>XY - Evolutions</t>
        </is>
      </c>
      <c r="H2616" s="3" t="n"/>
      <c r="I2616" s="3" t="n">
        <v>349.9</v>
      </c>
      <c r="J2616" s="3" t="n">
        <v>374.94</v>
      </c>
      <c r="K2616" s="3" t="n">
        <v>349.9</v>
      </c>
      <c r="L2616" s="2" t="inlineStr">
        <is>
          <t>TCGplayer</t>
        </is>
      </c>
      <c r="N2616" s="4" t="inlineStr">
        <is>
          <t>https://www.tcgplayer.com/product/125732</t>
        </is>
      </c>
    </row>
    <row r="2617">
      <c r="A2617" s="2" t="inlineStr">
        <is>
          <t>Kanto Power Collection [Dragonite EX/Pidgeot EX]</t>
        </is>
      </c>
      <c r="B2617" s="3">
        <f>IF(H2617&lt;&gt;"",H2617,IF(I2617&lt;&gt;"",I2617,IF(J2617&lt;&gt;"",J2617,K2617)))</f>
        <v>563.9</v>
      </c>
      <c r="C2617" s="3">
        <f>MEDIAN(H2617:K2617)</f>
        <v>624.99</v>
      </c>
      <c r="D2617" s="3">
        <f>ROUND(C2617*(1-Settings!$B$2),2)</f>
        <v>437.49</v>
      </c>
      <c r="E2617" s="2" t="inlineStr">
        <is>
          <t>Pokemon</t>
        </is>
      </c>
      <c r="F2617" s="2" t="inlineStr">
        <is>
          <t>Coffret</t>
        </is>
      </c>
      <c r="G2617" s="2" t="inlineStr">
        <is>
          <t>XY - Evolutions</t>
        </is>
      </c>
      <c r="H2617" s="3" t="n"/>
      <c r="I2617" s="3" t="n">
        <v>563.9</v>
      </c>
      <c r="J2617" s="3" t="n">
        <v>743.5</v>
      </c>
      <c r="K2617" s="3" t="n">
        <v>624.99</v>
      </c>
      <c r="L2617" s="2" t="inlineStr">
        <is>
          <t>TCGplayer</t>
        </is>
      </c>
      <c r="N2617" s="4" t="inlineStr">
        <is>
          <t>https://www.tcgplayer.com/product/222989</t>
        </is>
      </c>
    </row>
    <row r="2618">
      <c r="A2618" s="2" t="inlineStr">
        <is>
          <t>Kanto Power Collection [Mewtwo EX/Slowbro EX]</t>
        </is>
      </c>
      <c r="B2618" s="3">
        <f>IF(H2618&lt;&gt;"",H2618,IF(I2618&lt;&gt;"",I2618,IF(J2618&lt;&gt;"",J2618,K2618)))</f>
        <v>571.66</v>
      </c>
      <c r="C2618" s="3">
        <f>MEDIAN(H2618:K2618)</f>
        <v>724.98</v>
      </c>
      <c r="D2618" s="3">
        <f>ROUND(C2618*(1-Settings!$B$2),2)</f>
        <v>507.49</v>
      </c>
      <c r="E2618" s="2" t="inlineStr">
        <is>
          <t>Pokemon</t>
        </is>
      </c>
      <c r="F2618" s="2" t="inlineStr">
        <is>
          <t>Coffret</t>
        </is>
      </c>
      <c r="G2618" s="2" t="inlineStr">
        <is>
          <t>XY - Evolutions</t>
        </is>
      </c>
      <c r="H2618" s="3" t="n"/>
      <c r="I2618" s="3" t="n">
        <v>571.66</v>
      </c>
      <c r="J2618" s="3" t="n">
        <v>799.97</v>
      </c>
      <c r="K2618" s="3" t="n">
        <v>724.98</v>
      </c>
      <c r="L2618" s="2" t="inlineStr">
        <is>
          <t>TCGplayer</t>
        </is>
      </c>
      <c r="N2618" s="4" t="inlineStr">
        <is>
          <t>https://www.tcgplayer.com/product/222988</t>
        </is>
      </c>
    </row>
    <row r="2619">
      <c r="A2619" s="2" t="inlineStr">
        <is>
          <t>Mega Beedrill EX Premium Collection</t>
        </is>
      </c>
      <c r="B2619" s="3">
        <f>IF(H2619&lt;&gt;"",H2619,IF(I2619&lt;&gt;"",I2619,IF(J2619&lt;&gt;"",J2619,K2619)))</f>
        <v>405.96</v>
      </c>
      <c r="C2619" s="3">
        <f>MEDIAN(H2619:K2619)</f>
        <v>405.96</v>
      </c>
      <c r="D2619" s="3">
        <f>ROUND(C2619*(1-Settings!$B$2),2)</f>
        <v>284.17</v>
      </c>
      <c r="E2619" s="2" t="inlineStr">
        <is>
          <t>Pokemon</t>
        </is>
      </c>
      <c r="F2619" s="2" t="inlineStr">
        <is>
          <t>Coffret</t>
        </is>
      </c>
      <c r="G2619" s="2" t="inlineStr">
        <is>
          <t>XY - Evolutions</t>
        </is>
      </c>
      <c r="H2619" s="3" t="n"/>
      <c r="I2619" s="3" t="n">
        <v>405.96</v>
      </c>
      <c r="J2619" s="3" t="n"/>
      <c r="K2619" s="3" t="n"/>
      <c r="L2619" s="2" t="inlineStr">
        <is>
          <t>TCGplayer</t>
        </is>
      </c>
      <c r="N2619" s="4" t="inlineStr">
        <is>
          <t>https://www.tcgplayer.com/product/125563</t>
        </is>
      </c>
    </row>
    <row r="2620">
      <c r="A2620" s="2" t="inlineStr">
        <is>
          <t>Mega Garchomp EX Premium Collection</t>
        </is>
      </c>
      <c r="B2620" s="3">
        <f>IF(H2620&lt;&gt;"",H2620,IF(I2620&lt;&gt;"",I2620,IF(J2620&lt;&gt;"",J2620,K2620)))</f>
        <v>749.0</v>
      </c>
      <c r="C2620" s="3">
        <f>MEDIAN(H2620:K2620)</f>
        <v>749.0</v>
      </c>
      <c r="D2620" s="3">
        <f>ROUND(C2620*(1-Settings!$B$2),2)</f>
        <v>524.3</v>
      </c>
      <c r="E2620" s="2" t="inlineStr">
        <is>
          <t>Pokemon</t>
        </is>
      </c>
      <c r="F2620" s="2" t="inlineStr">
        <is>
          <t>Coffret</t>
        </is>
      </c>
      <c r="G2620" s="2" t="inlineStr">
        <is>
          <t>XY - Evolutions</t>
        </is>
      </c>
      <c r="H2620" s="3" t="n"/>
      <c r="I2620" s="3" t="n"/>
      <c r="J2620" s="3" t="n"/>
      <c r="K2620" s="3" t="n">
        <v>749</v>
      </c>
      <c r="L2620" s="2" t="inlineStr">
        <is>
          <t>TCGplayer</t>
        </is>
      </c>
      <c r="N2620" s="4" t="inlineStr">
        <is>
          <t>https://www.tcgplayer.com/product/125738</t>
        </is>
      </c>
    </row>
    <row r="2621">
      <c r="A2621" s="2" t="inlineStr">
        <is>
          <t>Mewtwo EX Box</t>
        </is>
      </c>
      <c r="B2621" s="3">
        <f>IF(H2621&lt;&gt;"",H2621,IF(I2621&lt;&gt;"",I2621,IF(J2621&lt;&gt;"",J2621,K2621)))</f>
        <v>394.98</v>
      </c>
      <c r="C2621" s="3">
        <f>MEDIAN(H2621:K2621)</f>
        <v>365.0</v>
      </c>
      <c r="D2621" s="3">
        <f>ROUND(C2621*(1-Settings!$B$2),2)</f>
        <v>255.5</v>
      </c>
      <c r="E2621" s="2" t="inlineStr">
        <is>
          <t>Pokemon</t>
        </is>
      </c>
      <c r="F2621" s="2" t="inlineStr">
        <is>
          <t>Coffret</t>
        </is>
      </c>
      <c r="G2621" s="2" t="inlineStr">
        <is>
          <t>XY - Evolutions</t>
        </is>
      </c>
      <c r="H2621" s="3" t="n"/>
      <c r="I2621" s="3" t="n">
        <v>394.98</v>
      </c>
      <c r="J2621" s="3" t="n">
        <v>365</v>
      </c>
      <c r="K2621" s="3" t="n">
        <v>365</v>
      </c>
      <c r="L2621" s="2" t="inlineStr">
        <is>
          <t>TCGplayer</t>
        </is>
      </c>
      <c r="N2621" s="4" t="inlineStr">
        <is>
          <t>https://www.tcgplayer.com/product/125735</t>
        </is>
      </c>
    </row>
    <row r="2622">
      <c r="A2622" s="2" t="inlineStr">
        <is>
          <t>Mythical Collection [Magearna]</t>
        </is>
      </c>
      <c r="B2622" s="3">
        <f>IF(H2622&lt;&gt;"",H2622,IF(I2622&lt;&gt;"",I2622,IF(J2622&lt;&gt;"",J2622,K2622)))</f>
        <v>753.75</v>
      </c>
      <c r="C2622" s="3">
        <f>MEDIAN(H2622:K2622)</f>
        <v>848.98</v>
      </c>
      <c r="D2622" s="3">
        <f>ROUND(C2622*(1-Settings!$B$2),2)</f>
        <v>594.29</v>
      </c>
      <c r="E2622" s="2" t="inlineStr">
        <is>
          <t>Pokemon</t>
        </is>
      </c>
      <c r="F2622" s="2" t="inlineStr">
        <is>
          <t>Coffret</t>
        </is>
      </c>
      <c r="G2622" s="2" t="inlineStr">
        <is>
          <t>XY - Evolutions</t>
        </is>
      </c>
      <c r="H2622" s="3" t="n">
        <v>753.75</v>
      </c>
      <c r="I2622" s="3" t="n">
        <v>799.99</v>
      </c>
      <c r="J2622" s="3" t="n">
        <v>897.97</v>
      </c>
      <c r="K2622" s="3" t="n">
        <v>897.97</v>
      </c>
      <c r="L2622" s="2" t="inlineStr">
        <is>
          <t>PriceCharting + TCGplayer</t>
        </is>
      </c>
      <c r="M2622" s="4" t="inlineStr">
        <is>
          <t>https://www.pricecharting.com/game/pokemon-evolutions/mythical-collection-magearna</t>
        </is>
      </c>
      <c r="N2622" s="4" t="inlineStr">
        <is>
          <t>https://www.tcgplayer.com/product/127179</t>
        </is>
      </c>
    </row>
    <row r="2623">
      <c r="A2623" s="2" t="inlineStr">
        <is>
          <t>Mythical Collection [Volcanion]</t>
        </is>
      </c>
      <c r="B2623" s="3">
        <f>IF(H2623&lt;&gt;"",H2623,IF(I2623&lt;&gt;"",I2623,IF(J2623&lt;&gt;"",J2623,K2623)))</f>
        <v>357.58</v>
      </c>
      <c r="C2623" s="3">
        <f>MEDIAN(H2623:K2623)</f>
        <v>750.0</v>
      </c>
      <c r="D2623" s="3">
        <f>ROUND(C2623*(1-Settings!$B$2),2)</f>
        <v>525.0</v>
      </c>
      <c r="E2623" s="2" t="inlineStr">
        <is>
          <t>Pokemon</t>
        </is>
      </c>
      <c r="F2623" s="2" t="inlineStr">
        <is>
          <t>Coffret</t>
        </is>
      </c>
      <c r="G2623" s="2" t="inlineStr">
        <is>
          <t>XY - Evolutions</t>
        </is>
      </c>
      <c r="H2623" s="3" t="n"/>
      <c r="I2623" s="3" t="n">
        <v>357.58</v>
      </c>
      <c r="J2623" s="3" t="n">
        <v>750</v>
      </c>
      <c r="K2623" s="3" t="n">
        <v>750</v>
      </c>
      <c r="L2623" s="2" t="inlineStr">
        <is>
          <t>TCGplayer</t>
        </is>
      </c>
      <c r="N2623" s="4" t="inlineStr">
        <is>
          <t>https://www.tcgplayer.com/product/127180</t>
        </is>
      </c>
    </row>
    <row r="2624">
      <c r="A2624" s="2" t="inlineStr">
        <is>
          <t>Snorlax GX Box</t>
        </is>
      </c>
      <c r="B2624" s="3">
        <f>IF(H2624&lt;&gt;"",H2624,IF(I2624&lt;&gt;"",I2624,IF(J2624&lt;&gt;"",J2624,K2624)))</f>
        <v>414.61</v>
      </c>
      <c r="C2624" s="3">
        <f>MEDIAN(H2624:K2624)</f>
        <v>382.28</v>
      </c>
      <c r="D2624" s="3">
        <f>ROUND(C2624*(1-Settings!$B$2),2)</f>
        <v>267.6</v>
      </c>
      <c r="E2624" s="2" t="inlineStr">
        <is>
          <t>Pokemon</t>
        </is>
      </c>
      <c r="F2624" s="2" t="inlineStr">
        <is>
          <t>Coffret</t>
        </is>
      </c>
      <c r="G2624" s="2" t="inlineStr">
        <is>
          <t>XY - Evolutions</t>
        </is>
      </c>
      <c r="H2624" s="3" t="n">
        <v>414.61</v>
      </c>
      <c r="I2624" s="3" t="n">
        <v>349.95</v>
      </c>
      <c r="J2624" s="3" t="n"/>
      <c r="K2624" s="3" t="n"/>
      <c r="L2624" s="2" t="inlineStr">
        <is>
          <t>PriceCharting + TCGplayer</t>
        </is>
      </c>
      <c r="M2624" s="4" t="inlineStr">
        <is>
          <t>https://www.pricecharting.com/game/pokemon-evolutions/snorlax-gx-box</t>
        </is>
      </c>
      <c r="N2624" s="4" t="inlineStr">
        <is>
          <t>https://www.tcgplayer.com/product/125736</t>
        </is>
      </c>
    </row>
    <row r="2625">
      <c r="A2625" s="2" t="inlineStr">
        <is>
          <t>XY Evolutions Elite Trainer Box [Mega Blastoise]</t>
        </is>
      </c>
      <c r="B2625" s="3">
        <f>IF(H2625&lt;&gt;"",H2625,IF(I2625&lt;&gt;"",I2625,IF(J2625&lt;&gt;"",J2625,K2625)))</f>
        <v>649.47</v>
      </c>
      <c r="C2625" s="3">
        <f>MEDIAN(H2625:K2625)</f>
        <v>824.99</v>
      </c>
      <c r="D2625" s="3">
        <f>ROUND(C2625*(1-Settings!$B$2),2)</f>
        <v>577.49</v>
      </c>
      <c r="E2625" s="2" t="inlineStr">
        <is>
          <t>Pokemon</t>
        </is>
      </c>
      <c r="F2625" s="2" t="inlineStr">
        <is>
          <t>Coffret</t>
        </is>
      </c>
      <c r="G2625" s="2" t="inlineStr">
        <is>
          <t>XY - Evolutions</t>
        </is>
      </c>
      <c r="H2625" s="3" t="n"/>
      <c r="I2625" s="3" t="n">
        <v>649.47</v>
      </c>
      <c r="J2625" s="3" t="n">
        <v>899.99</v>
      </c>
      <c r="K2625" s="3" t="n">
        <v>824.99</v>
      </c>
      <c r="L2625" s="2" t="inlineStr">
        <is>
          <t>TCGplayer</t>
        </is>
      </c>
      <c r="N2625" s="4" t="inlineStr">
        <is>
          <t>https://www.tcgplayer.com/product/123448</t>
        </is>
      </c>
    </row>
    <row r="2626">
      <c r="A2626" s="2" t="inlineStr">
        <is>
          <t>XY Evolutions Elite Trainer Box [Mega Charizard Y]</t>
        </is>
      </c>
      <c r="B2626" s="3">
        <f>IF(H2626&lt;&gt;"",H2626,IF(I2626&lt;&gt;"",I2626,IF(J2626&lt;&gt;"",J2626,K2626)))</f>
        <v>864.53</v>
      </c>
      <c r="C2626" s="3">
        <f>MEDIAN(H2626:K2626)</f>
        <v>899.95</v>
      </c>
      <c r="D2626" s="3">
        <f>ROUND(C2626*(1-Settings!$B$2),2)</f>
        <v>629.97</v>
      </c>
      <c r="E2626" s="2" t="inlineStr">
        <is>
          <t>Pokemon</t>
        </is>
      </c>
      <c r="F2626" s="2" t="inlineStr">
        <is>
          <t>Coffret</t>
        </is>
      </c>
      <c r="G2626" s="2" t="inlineStr">
        <is>
          <t>XY - Evolutions</t>
        </is>
      </c>
      <c r="H2626" s="3" t="n"/>
      <c r="I2626" s="3" t="n">
        <v>864.53</v>
      </c>
      <c r="J2626" s="3" t="n">
        <v>1032.47</v>
      </c>
      <c r="K2626" s="3" t="n">
        <v>899.95</v>
      </c>
      <c r="L2626" s="2" t="inlineStr">
        <is>
          <t>TCGplayer</t>
        </is>
      </c>
      <c r="N2626" s="4" t="inlineStr">
        <is>
          <t>https://www.tcgplayer.com/product/123447</t>
        </is>
      </c>
    </row>
    <row r="2627">
      <c r="A2627" s="2" t="inlineStr">
        <is>
          <t>Ash-Greninja EX Box</t>
        </is>
      </c>
      <c r="B2627" s="3">
        <f>IF(H2627&lt;&gt;"",H2627,IF(I2627&lt;&gt;"",I2627,IF(J2627&lt;&gt;"",J2627,K2627)))</f>
        <v>1200.0</v>
      </c>
      <c r="C2627" s="3">
        <f>MEDIAN(H2627:K2627)</f>
        <v>1200.0</v>
      </c>
      <c r="D2627" s="3">
        <f>ROUND(C2627*(1-Settings!$B$2),2)</f>
        <v>840.0</v>
      </c>
      <c r="E2627" s="2" t="inlineStr">
        <is>
          <t>Pokemon</t>
        </is>
      </c>
      <c r="F2627" s="2" t="inlineStr">
        <is>
          <t>Coffret</t>
        </is>
      </c>
      <c r="G2627" s="2" t="inlineStr">
        <is>
          <t>XY - Fates Collide</t>
        </is>
      </c>
      <c r="H2627" s="3" t="n"/>
      <c r="I2627" s="3" t="n"/>
      <c r="J2627" s="3" t="n">
        <v>1200</v>
      </c>
      <c r="K2627" s="3" t="n">
        <v>1200</v>
      </c>
      <c r="L2627" s="2" t="inlineStr">
        <is>
          <t>TCGplayer</t>
        </is>
      </c>
      <c r="N2627" s="4" t="inlineStr">
        <is>
          <t>https://www.tcgplayer.com/product/118336</t>
        </is>
      </c>
    </row>
    <row r="2628">
      <c r="A2628" s="2" t="inlineStr">
        <is>
          <t>Fates Collide Elite Trainer Box</t>
        </is>
      </c>
      <c r="B2628" s="3">
        <f>IF(H2628&lt;&gt;"",H2628,IF(I2628&lt;&gt;"",I2628,IF(J2628&lt;&gt;"",J2628,K2628)))</f>
        <v>757.92</v>
      </c>
      <c r="C2628" s="3">
        <f>MEDIAN(H2628:K2628)</f>
        <v>1599.0</v>
      </c>
      <c r="D2628" s="3">
        <f>ROUND(C2628*(1-Settings!$B$2),2)</f>
        <v>1119.3</v>
      </c>
      <c r="E2628" s="2" t="inlineStr">
        <is>
          <t>Pokemon</t>
        </is>
      </c>
      <c r="F2628" s="2" t="inlineStr">
        <is>
          <t>Coffret</t>
        </is>
      </c>
      <c r="G2628" s="2" t="inlineStr">
        <is>
          <t>XY - Fates Collide</t>
        </is>
      </c>
      <c r="H2628" s="3" t="n">
        <v>757.92</v>
      </c>
      <c r="I2628" s="3" t="n"/>
      <c r="J2628" s="3" t="n">
        <v>1649.49</v>
      </c>
      <c r="K2628" s="3" t="n">
        <v>1599</v>
      </c>
      <c r="L2628" s="2" t="inlineStr">
        <is>
          <t>PriceCharting + TCGplayer</t>
        </is>
      </c>
      <c r="M2628" s="4" t="inlineStr">
        <is>
          <t>https://www.pricecharting.com/game/pokemon-fates-collide/elite-trainer-box</t>
        </is>
      </c>
      <c r="N2628" s="4" t="inlineStr">
        <is>
          <t>https://www.tcgplayer.com/product/118331</t>
        </is>
      </c>
    </row>
    <row r="2629">
      <c r="A2629" s="2" t="inlineStr">
        <is>
          <t>Fates Collide Prerelease Kit</t>
        </is>
      </c>
      <c r="B2629" s="3">
        <f>IF(H2629&lt;&gt;"",H2629,IF(I2629&lt;&gt;"",I2629,IF(J2629&lt;&gt;"",J2629,K2629)))</f>
        <v>208.87</v>
      </c>
      <c r="C2629" s="3">
        <f>MEDIAN(H2629:K2629)</f>
        <v>307.99</v>
      </c>
      <c r="D2629" s="3">
        <f>ROUND(C2629*(1-Settings!$B$2),2)</f>
        <v>215.59</v>
      </c>
      <c r="E2629" s="2" t="inlineStr">
        <is>
          <t>Pokemon</t>
        </is>
      </c>
      <c r="F2629" s="2" t="inlineStr">
        <is>
          <t>Coffret</t>
        </is>
      </c>
      <c r="G2629" s="2" t="inlineStr">
        <is>
          <t>XY - Fates Collide</t>
        </is>
      </c>
      <c r="H2629" s="3" t="n"/>
      <c r="I2629" s="3" t="n">
        <v>208.87</v>
      </c>
      <c r="J2629" s="3" t="n">
        <v>314.98</v>
      </c>
      <c r="K2629" s="3" t="n">
        <v>307.99</v>
      </c>
      <c r="L2629" s="2" t="inlineStr">
        <is>
          <t>TCGplayer</t>
        </is>
      </c>
      <c r="N2629" s="4" t="inlineStr">
        <is>
          <t>https://www.tcgplayer.com/product/118334</t>
        </is>
      </c>
    </row>
    <row r="2630">
      <c r="A2630" s="2" t="inlineStr">
        <is>
          <t>Fates Collide Sleeved Booster Pack Art Bundle [Set of 4]</t>
        </is>
      </c>
      <c r="B2630" s="3">
        <f>IF(H2630&lt;&gt;"",H2630,IF(I2630&lt;&gt;"",I2630,IF(J2630&lt;&gt;"",J2630,K2630)))</f>
        <v>209.33</v>
      </c>
      <c r="C2630" s="3">
        <f>MEDIAN(H2630:K2630)</f>
        <v>212.0</v>
      </c>
      <c r="D2630" s="3">
        <f>ROUND(C2630*(1-Settings!$B$2),2)</f>
        <v>148.4</v>
      </c>
      <c r="E2630" s="2" t="inlineStr">
        <is>
          <t>Pokemon</t>
        </is>
      </c>
      <c r="F2630" s="2" t="inlineStr">
        <is>
          <t>Coffret</t>
        </is>
      </c>
      <c r="G2630" s="2" t="inlineStr">
        <is>
          <t>XY - Fates Collide</t>
        </is>
      </c>
      <c r="H2630" s="3" t="n"/>
      <c r="I2630" s="3" t="n">
        <v>209.33</v>
      </c>
      <c r="J2630" s="3" t="n">
        <v>249.99</v>
      </c>
      <c r="K2630" s="3" t="n">
        <v>212</v>
      </c>
      <c r="L2630" s="2" t="inlineStr">
        <is>
          <t>TCGplayer</t>
        </is>
      </c>
      <c r="N2630" s="4" t="inlineStr">
        <is>
          <t>https://www.tcgplayer.com/product/276598</t>
        </is>
      </c>
    </row>
    <row r="2631">
      <c r="A2631" s="2" t="inlineStr">
        <is>
          <t>Mega Mawile EX Premium Collection</t>
        </is>
      </c>
      <c r="B2631" s="3">
        <f>IF(H2631&lt;&gt;"",H2631,IF(I2631&lt;&gt;"",I2631,IF(J2631&lt;&gt;"",J2631,K2631)))</f>
        <v>479.99</v>
      </c>
      <c r="C2631" s="3">
        <f>MEDIAN(H2631:K2631)</f>
        <v>479.99</v>
      </c>
      <c r="D2631" s="3">
        <f>ROUND(C2631*(1-Settings!$B$2),2)</f>
        <v>335.99</v>
      </c>
      <c r="E2631" s="2" t="inlineStr">
        <is>
          <t>Pokemon</t>
        </is>
      </c>
      <c r="F2631" s="2" t="inlineStr">
        <is>
          <t>Coffret</t>
        </is>
      </c>
      <c r="G2631" s="2" t="inlineStr">
        <is>
          <t>XY - Fates Collide</t>
        </is>
      </c>
      <c r="H2631" s="3" t="n"/>
      <c r="I2631" s="3" t="n"/>
      <c r="J2631" s="3" t="n"/>
      <c r="K2631" s="3" t="n">
        <v>479.99</v>
      </c>
      <c r="L2631" s="2" t="inlineStr">
        <is>
          <t>TCGplayer</t>
        </is>
      </c>
      <c r="N2631" s="4" t="inlineStr">
        <is>
          <t>https://www.tcgplayer.com/product/118335</t>
        </is>
      </c>
    </row>
    <row r="2632">
      <c r="A2632" s="2" t="inlineStr">
        <is>
          <t>Shiny Kalos Tin [Xerneas EX]</t>
        </is>
      </c>
      <c r="B2632" s="3">
        <f>IF(H2632&lt;&gt;"",H2632,IF(I2632&lt;&gt;"",I2632,IF(J2632&lt;&gt;"",J2632,K2632)))</f>
        <v>489.5</v>
      </c>
      <c r="C2632" s="3">
        <f>MEDIAN(H2632:K2632)</f>
        <v>419.75</v>
      </c>
      <c r="D2632" s="3">
        <f>ROUND(C2632*(1-Settings!$B$2),2)</f>
        <v>293.83</v>
      </c>
      <c r="E2632" s="2" t="inlineStr">
        <is>
          <t>Pokemon</t>
        </is>
      </c>
      <c r="F2632" s="2" t="inlineStr">
        <is>
          <t>Coffret</t>
        </is>
      </c>
      <c r="G2632" s="2" t="inlineStr">
        <is>
          <t>XY - Fates Collide</t>
        </is>
      </c>
      <c r="H2632" s="3" t="n"/>
      <c r="I2632" s="3" t="n"/>
      <c r="J2632" s="3" t="n">
        <v>489.5</v>
      </c>
      <c r="K2632" s="3" t="n">
        <v>350</v>
      </c>
      <c r="L2632" s="2" t="inlineStr">
        <is>
          <t>TCGplayer</t>
        </is>
      </c>
      <c r="N2632" s="4" t="inlineStr">
        <is>
          <t>https://www.tcgplayer.com/product/121394</t>
        </is>
      </c>
    </row>
    <row r="2633">
      <c r="A2633" s="2" t="inlineStr">
        <is>
          <t>Shiny Kalos Tin [Yveltal EX]</t>
        </is>
      </c>
      <c r="B2633" s="3">
        <f>IF(H2633&lt;&gt;"",H2633,IF(I2633&lt;&gt;"",I2633,IF(J2633&lt;&gt;"",J2633,K2633)))</f>
        <v>406.49</v>
      </c>
      <c r="C2633" s="3">
        <f>MEDIAN(H2633:K2633)</f>
        <v>404.24</v>
      </c>
      <c r="D2633" s="3">
        <f>ROUND(C2633*(1-Settings!$B$2),2)</f>
        <v>282.97</v>
      </c>
      <c r="E2633" s="2" t="inlineStr">
        <is>
          <t>Pokemon</t>
        </is>
      </c>
      <c r="F2633" s="2" t="inlineStr">
        <is>
          <t>Coffret</t>
        </is>
      </c>
      <c r="G2633" s="2" t="inlineStr">
        <is>
          <t>XY - Fates Collide</t>
        </is>
      </c>
      <c r="H2633" s="3" t="n"/>
      <c r="I2633" s="3" t="n"/>
      <c r="J2633" s="3" t="n">
        <v>406.49</v>
      </c>
      <c r="K2633" s="3" t="n">
        <v>401.99</v>
      </c>
      <c r="L2633" s="2" t="inlineStr">
        <is>
          <t>TCGplayer</t>
        </is>
      </c>
      <c r="N2633" s="4" t="inlineStr">
        <is>
          <t>https://www.tcgplayer.com/product/121395</t>
        </is>
      </c>
    </row>
    <row r="2634">
      <c r="A2634" s="2" t="inlineStr">
        <is>
          <t>Shiny Kalos Tin [Zygarde EX]</t>
        </is>
      </c>
      <c r="B2634" s="3">
        <f>IF(H2634&lt;&gt;"",H2634,IF(I2634&lt;&gt;"",I2634,IF(J2634&lt;&gt;"",J2634,K2634)))</f>
        <v>499.0</v>
      </c>
      <c r="C2634" s="3">
        <f>MEDIAN(H2634:K2634)</f>
        <v>499.0</v>
      </c>
      <c r="D2634" s="3">
        <f>ROUND(C2634*(1-Settings!$B$2),2)</f>
        <v>349.3</v>
      </c>
      <c r="E2634" s="2" t="inlineStr">
        <is>
          <t>Pokemon</t>
        </is>
      </c>
      <c r="F2634" s="2" t="inlineStr">
        <is>
          <t>Coffret</t>
        </is>
      </c>
      <c r="G2634" s="2" t="inlineStr">
        <is>
          <t>XY - Fates Collide</t>
        </is>
      </c>
      <c r="H2634" s="3" t="n"/>
      <c r="I2634" s="3" t="n"/>
      <c r="J2634" s="3" t="n">
        <v>499</v>
      </c>
      <c r="K2634" s="3" t="n">
        <v>499</v>
      </c>
      <c r="L2634" s="2" t="inlineStr">
        <is>
          <t>TCGplayer</t>
        </is>
      </c>
      <c r="N2634" s="4" t="inlineStr">
        <is>
          <t>https://www.tcgplayer.com/product/121396</t>
        </is>
      </c>
    </row>
    <row r="2635">
      <c r="A2635" s="2" t="inlineStr">
        <is>
          <t>Zygarde Collection Box</t>
        </is>
      </c>
      <c r="B2635" s="3">
        <f>IF(H2635&lt;&gt;"",H2635,IF(I2635&lt;&gt;"",I2635,IF(J2635&lt;&gt;"",J2635,K2635)))</f>
        <v>365.0</v>
      </c>
      <c r="C2635" s="3">
        <f>MEDIAN(H2635:K2635)</f>
        <v>355.0</v>
      </c>
      <c r="D2635" s="3">
        <f>ROUND(C2635*(1-Settings!$B$2),2)</f>
        <v>248.5</v>
      </c>
      <c r="E2635" s="2" t="inlineStr">
        <is>
          <t>Pokemon</t>
        </is>
      </c>
      <c r="F2635" s="2" t="inlineStr">
        <is>
          <t>Coffret</t>
        </is>
      </c>
      <c r="G2635" s="2" t="inlineStr">
        <is>
          <t>XY - Fates Collide</t>
        </is>
      </c>
      <c r="H2635" s="3" t="n"/>
      <c r="I2635" s="3" t="n"/>
      <c r="J2635" s="3" t="n">
        <v>365</v>
      </c>
      <c r="K2635" s="3" t="n">
        <v>345</v>
      </c>
      <c r="L2635" s="2" t="inlineStr">
        <is>
          <t>TCGplayer</t>
        </is>
      </c>
      <c r="N2635" s="4" t="inlineStr">
        <is>
          <t>https://www.tcgplayer.com/product/121391</t>
        </is>
      </c>
    </row>
    <row r="2636">
      <c r="A2636" s="2" t="inlineStr">
        <is>
          <t>Charizard Ex Box</t>
        </is>
      </c>
      <c r="B2636" s="3">
        <f>IF(H2636&lt;&gt;"",H2636,IF(I2636&lt;&gt;"",I2636,IF(J2636&lt;&gt;"",J2636,K2636)))</f>
        <v>3989.0</v>
      </c>
      <c r="C2636" s="3">
        <f>MEDIAN(H2636:K2636)</f>
        <v>2744.5</v>
      </c>
      <c r="D2636" s="3">
        <f>ROUND(C2636*(1-Settings!$B$2),2)</f>
        <v>1921.15</v>
      </c>
      <c r="E2636" s="2" t="inlineStr">
        <is>
          <t>Pokemon</t>
        </is>
      </c>
      <c r="F2636" s="2" t="inlineStr">
        <is>
          <t>Coffret</t>
        </is>
      </c>
      <c r="G2636" s="2" t="inlineStr">
        <is>
          <t>XY - Flashfire</t>
        </is>
      </c>
      <c r="H2636" s="3" t="n"/>
      <c r="I2636" s="3" t="n"/>
      <c r="J2636" s="3" t="n">
        <v>3989</v>
      </c>
      <c r="K2636" s="3" t="n">
        <v>1500</v>
      </c>
      <c r="L2636" s="2" t="inlineStr">
        <is>
          <t>TCGplayer</t>
        </is>
      </c>
      <c r="N2636" s="4" t="inlineStr">
        <is>
          <t>https://www.tcgplayer.com/product/91612</t>
        </is>
      </c>
    </row>
    <row r="2637">
      <c r="A2637" s="2" t="inlineStr">
        <is>
          <t>Flashfire Sleeved Booster Pack Art Bundle [Set of 4]</t>
        </is>
      </c>
      <c r="B2637" s="3">
        <f>IF(H2637&lt;&gt;"",H2637,IF(I2637&lt;&gt;"",I2637,IF(J2637&lt;&gt;"",J2637,K2637)))</f>
        <v>1000.01</v>
      </c>
      <c r="C2637" s="3">
        <f>MEDIAN(H2637:K2637)</f>
        <v>1000.01</v>
      </c>
      <c r="D2637" s="3">
        <f>ROUND(C2637*(1-Settings!$B$2),2)</f>
        <v>700.01</v>
      </c>
      <c r="E2637" s="2" t="inlineStr">
        <is>
          <t>Pokemon</t>
        </is>
      </c>
      <c r="F2637" s="2" t="inlineStr">
        <is>
          <t>Coffret</t>
        </is>
      </c>
      <c r="G2637" s="2" t="inlineStr">
        <is>
          <t>XY - Flashfire</t>
        </is>
      </c>
      <c r="H2637" s="3" t="n"/>
      <c r="I2637" s="3" t="n"/>
      <c r="J2637" s="3" t="n">
        <v>1000.01</v>
      </c>
      <c r="K2637" s="3" t="n">
        <v>1000.01</v>
      </c>
      <c r="L2637" s="2" t="inlineStr">
        <is>
          <t>TCGplayer</t>
        </is>
      </c>
      <c r="N2637" s="4" t="inlineStr">
        <is>
          <t>https://www.tcgplayer.com/product/276590</t>
        </is>
      </c>
    </row>
    <row r="2638">
      <c r="A2638" s="2" t="inlineStr">
        <is>
          <t>Kalos Power Tin [Chesnaught EX]</t>
        </is>
      </c>
      <c r="B2638" s="3">
        <f>IF(H2638&lt;&gt;"",H2638,IF(I2638&lt;&gt;"",I2638,IF(J2638&lt;&gt;"",J2638,K2638)))</f>
        <v>599.99</v>
      </c>
      <c r="C2638" s="3">
        <f>MEDIAN(H2638:K2638)</f>
        <v>599.99</v>
      </c>
      <c r="D2638" s="3">
        <f>ROUND(C2638*(1-Settings!$B$2),2)</f>
        <v>419.99</v>
      </c>
      <c r="E2638" s="2" t="inlineStr">
        <is>
          <t>Pokemon</t>
        </is>
      </c>
      <c r="F2638" s="2" t="inlineStr">
        <is>
          <t>Coffret</t>
        </is>
      </c>
      <c r="G2638" s="2" t="inlineStr">
        <is>
          <t>XY - Flashfire</t>
        </is>
      </c>
      <c r="H2638" s="3" t="n">
        <v>599.99</v>
      </c>
      <c r="I2638" s="3" t="n"/>
      <c r="J2638" s="3" t="n"/>
      <c r="K2638" s="3" t="n"/>
      <c r="L2638" s="2" t="inlineStr">
        <is>
          <t>PriceCharting + TCGplayer</t>
        </is>
      </c>
      <c r="M2638" s="4" t="inlineStr">
        <is>
          <t>https://www.pricecharting.com/game/pokemon-flashfire/kalos-power-tin-chesnaught-ex</t>
        </is>
      </c>
      <c r="N2638" s="4" t="inlineStr">
        <is>
          <t>https://www.tcgplayer.com/product/91605</t>
        </is>
      </c>
    </row>
    <row r="2639">
      <c r="A2639" s="2" t="inlineStr">
        <is>
          <t>Kalos Power Tin [Greninja]</t>
        </is>
      </c>
      <c r="B2639" s="3">
        <f>IF(H2639&lt;&gt;"",H2639,IF(I2639&lt;&gt;"",I2639,IF(J2639&lt;&gt;"",J2639,K2639)))</f>
        <v>400.0</v>
      </c>
      <c r="C2639" s="3">
        <f>MEDIAN(H2639:K2639)</f>
        <v>400.0</v>
      </c>
      <c r="D2639" s="3">
        <f>ROUND(C2639*(1-Settings!$B$2),2)</f>
        <v>280.0</v>
      </c>
      <c r="E2639" s="2" t="inlineStr">
        <is>
          <t>Pokemon</t>
        </is>
      </c>
      <c r="F2639" s="2" t="inlineStr">
        <is>
          <t>Coffret</t>
        </is>
      </c>
      <c r="G2639" s="2" t="inlineStr">
        <is>
          <t>XY - Flashfire</t>
        </is>
      </c>
      <c r="H2639" s="3" t="n">
        <v>400</v>
      </c>
      <c r="I2639" s="3" t="n"/>
      <c r="J2639" s="3" t="n"/>
      <c r="K2639" s="3" t="n"/>
      <c r="L2639" s="2" t="inlineStr">
        <is>
          <t>PriceCharting + TCGplayer</t>
        </is>
      </c>
      <c r="M2639" s="4" t="inlineStr">
        <is>
          <t>https://www.pricecharting.com/game/pokemon-flashfire/kalos-power-tin-greninja</t>
        </is>
      </c>
      <c r="N2639" s="4" t="inlineStr">
        <is>
          <t>https://www.tcgplayer.com/product/91607</t>
        </is>
      </c>
    </row>
    <row r="2640">
      <c r="A2640" s="2" t="inlineStr">
        <is>
          <t>Krookodile EX Box</t>
        </is>
      </c>
      <c r="B2640" s="3">
        <f>IF(H2640&lt;&gt;"",H2640,IF(I2640&lt;&gt;"",I2640,IF(J2640&lt;&gt;"",J2640,K2640)))</f>
        <v>319.83</v>
      </c>
      <c r="C2640" s="3">
        <f>MEDIAN(H2640:K2640)</f>
        <v>319.83</v>
      </c>
      <c r="D2640" s="3">
        <f>ROUND(C2640*(1-Settings!$B$2),2)</f>
        <v>223.88</v>
      </c>
      <c r="E2640" s="2" t="inlineStr">
        <is>
          <t>Pokemon</t>
        </is>
      </c>
      <c r="F2640" s="2" t="inlineStr">
        <is>
          <t>Coffret</t>
        </is>
      </c>
      <c r="G2640" s="2" t="inlineStr">
        <is>
          <t>XY - Flashfire</t>
        </is>
      </c>
      <c r="H2640" s="3" t="n">
        <v>319.83</v>
      </c>
      <c r="I2640" s="3" t="n"/>
      <c r="J2640" s="3" t="n"/>
      <c r="K2640" s="3" t="n"/>
      <c r="L2640" s="2" t="inlineStr">
        <is>
          <t>PriceCharting + TCGplayer</t>
        </is>
      </c>
      <c r="M2640" s="4" t="inlineStr">
        <is>
          <t>https://www.pricecharting.com/game/pokemon-flashfire/krookodile-ex-box</t>
        </is>
      </c>
      <c r="N2640" s="4" t="inlineStr">
        <is>
          <t>https://www.tcgplayer.com/product/97742</t>
        </is>
      </c>
    </row>
    <row r="2641">
      <c r="A2641" s="2" t="inlineStr">
        <is>
          <t>Pyroar Box</t>
        </is>
      </c>
      <c r="B2641" s="3">
        <f>IF(H2641&lt;&gt;"",H2641,IF(I2641&lt;&gt;"",I2641,IF(J2641&lt;&gt;"",J2641,K2641)))</f>
        <v>395.0</v>
      </c>
      <c r="C2641" s="3">
        <f>MEDIAN(H2641:K2641)</f>
        <v>395.0</v>
      </c>
      <c r="D2641" s="3">
        <f>ROUND(C2641*(1-Settings!$B$2),2)</f>
        <v>276.5</v>
      </c>
      <c r="E2641" s="2" t="inlineStr">
        <is>
          <t>Pokemon</t>
        </is>
      </c>
      <c r="F2641" s="2" t="inlineStr">
        <is>
          <t>Coffret</t>
        </is>
      </c>
      <c r="G2641" s="2" t="inlineStr">
        <is>
          <t>XY - Flashfire</t>
        </is>
      </c>
      <c r="H2641" s="3" t="n"/>
      <c r="I2641" s="3" t="n"/>
      <c r="J2641" s="3" t="n">
        <v>395</v>
      </c>
      <c r="K2641" s="3" t="n">
        <v>395</v>
      </c>
      <c r="L2641" s="2" t="inlineStr">
        <is>
          <t>TCGplayer</t>
        </is>
      </c>
      <c r="N2641" s="4" t="inlineStr">
        <is>
          <t>https://www.tcgplayer.com/product/97741</t>
        </is>
      </c>
    </row>
    <row r="2642">
      <c r="A2642" s="2" t="inlineStr">
        <is>
          <t>EX Power Trio Tin [Blastoise EX]</t>
        </is>
      </c>
      <c r="B2642" s="3">
        <f>IF(H2642&lt;&gt;"",H2642,IF(I2642&lt;&gt;"",I2642,IF(J2642&lt;&gt;"",J2642,K2642)))</f>
        <v>499.99</v>
      </c>
      <c r="C2642" s="3">
        <f>MEDIAN(H2642:K2642)</f>
        <v>499.995</v>
      </c>
      <c r="D2642" s="3">
        <f>ROUND(C2642*(1-Settings!$B$2),2)</f>
        <v>350.0</v>
      </c>
      <c r="E2642" s="2" t="inlineStr">
        <is>
          <t>Pokemon</t>
        </is>
      </c>
      <c r="F2642" s="2" t="inlineStr">
        <is>
          <t>Coffret</t>
        </is>
      </c>
      <c r="G2642" s="2" t="inlineStr">
        <is>
          <t>XY - Furious Fists</t>
        </is>
      </c>
      <c r="H2642" s="3" t="n">
        <v>499.99</v>
      </c>
      <c r="I2642" s="3" t="n">
        <v>499.99</v>
      </c>
      <c r="J2642" s="3" t="n">
        <v>1027.62</v>
      </c>
      <c r="K2642" s="3" t="n">
        <v>500</v>
      </c>
      <c r="L2642" s="2" t="inlineStr">
        <is>
          <t>PriceCharting + TCGplayer</t>
        </is>
      </c>
      <c r="M2642" s="4" t="inlineStr">
        <is>
          <t>https://www.pricecharting.com/game/pokemon-furious-fists/ex-power-trio-tin-blastoise-ex</t>
        </is>
      </c>
      <c r="N2642" s="4" t="inlineStr">
        <is>
          <t>https://www.tcgplayer.com/product/97778</t>
        </is>
      </c>
    </row>
    <row r="2643">
      <c r="A2643" s="2" t="inlineStr">
        <is>
          <t>EX Power Trio Tin [Charizard EX]</t>
        </is>
      </c>
      <c r="B2643" s="3">
        <f>IF(H2643&lt;&gt;"",H2643,IF(I2643&lt;&gt;"",I2643,IF(J2643&lt;&gt;"",J2643,K2643)))</f>
        <v>810.0</v>
      </c>
      <c r="C2643" s="3">
        <f>MEDIAN(H2643:K2643)</f>
        <v>810.0</v>
      </c>
      <c r="D2643" s="3">
        <f>ROUND(C2643*(1-Settings!$B$2),2)</f>
        <v>567.0</v>
      </c>
      <c r="E2643" s="2" t="inlineStr">
        <is>
          <t>Pokemon</t>
        </is>
      </c>
      <c r="F2643" s="2" t="inlineStr">
        <is>
          <t>Coffret</t>
        </is>
      </c>
      <c r="G2643" s="2" t="inlineStr">
        <is>
          <t>XY - Furious Fists</t>
        </is>
      </c>
      <c r="H2643" s="3" t="n">
        <v>810</v>
      </c>
      <c r="I2643" s="3" t="n"/>
      <c r="J2643" s="3" t="n">
        <v>999.99</v>
      </c>
      <c r="K2643" s="3" t="n">
        <v>500</v>
      </c>
      <c r="L2643" s="2" t="inlineStr">
        <is>
          <t>PriceCharting + TCGplayer</t>
        </is>
      </c>
      <c r="M2643" s="4" t="inlineStr">
        <is>
          <t>https://www.pricecharting.com/game/pokemon-furious-fists/ex-power-trio-tin-charizard-ex</t>
        </is>
      </c>
      <c r="N2643" s="4" t="inlineStr">
        <is>
          <t>https://www.tcgplayer.com/product/97777</t>
        </is>
      </c>
    </row>
    <row r="2644">
      <c r="A2644" s="2" t="inlineStr">
        <is>
          <t>EX Power Trio Tin [Venusaur EX]</t>
        </is>
      </c>
      <c r="B2644" s="3">
        <f>IF(H2644&lt;&gt;"",H2644,IF(I2644&lt;&gt;"",I2644,IF(J2644&lt;&gt;"",J2644,K2644)))</f>
        <v>1299.99</v>
      </c>
      <c r="C2644" s="3">
        <f>MEDIAN(H2644:K2644)</f>
        <v>1299.99</v>
      </c>
      <c r="D2644" s="3">
        <f>ROUND(C2644*(1-Settings!$B$2),2)</f>
        <v>909.99</v>
      </c>
      <c r="E2644" s="2" t="inlineStr">
        <is>
          <t>Pokemon</t>
        </is>
      </c>
      <c r="F2644" s="2" t="inlineStr">
        <is>
          <t>Coffret</t>
        </is>
      </c>
      <c r="G2644" s="2" t="inlineStr">
        <is>
          <t>XY - Furious Fists</t>
        </is>
      </c>
      <c r="H2644" s="3" t="n"/>
      <c r="I2644" s="3" t="n"/>
      <c r="J2644" s="3" t="n">
        <v>1299.99</v>
      </c>
      <c r="K2644" s="3" t="n">
        <v>1299.99</v>
      </c>
      <c r="L2644" s="2" t="inlineStr">
        <is>
          <t>TCGplayer</t>
        </is>
      </c>
      <c r="N2644" s="4" t="inlineStr">
        <is>
          <t>https://www.tcgplayer.com/product/97776</t>
        </is>
      </c>
    </row>
    <row r="2645">
      <c r="A2645" s="2" t="inlineStr">
        <is>
          <t>Furious Fists Elite Trainer Box</t>
        </is>
      </c>
      <c r="B2645" s="3">
        <f>IF(H2645&lt;&gt;"",H2645,IF(I2645&lt;&gt;"",I2645,IF(J2645&lt;&gt;"",J2645,K2645)))</f>
        <v>4500.0</v>
      </c>
      <c r="C2645" s="3">
        <f>MEDIAN(H2645:K2645)</f>
        <v>4500.0</v>
      </c>
      <c r="D2645" s="3">
        <f>ROUND(C2645*(1-Settings!$B$2),2)</f>
        <v>3150.0</v>
      </c>
      <c r="E2645" s="2" t="inlineStr">
        <is>
          <t>Pokemon</t>
        </is>
      </c>
      <c r="F2645" s="2" t="inlineStr">
        <is>
          <t>Coffret</t>
        </is>
      </c>
      <c r="G2645" s="2" t="inlineStr">
        <is>
          <t>XY - Furious Fists</t>
        </is>
      </c>
      <c r="H2645" s="3" t="n">
        <v>4500</v>
      </c>
      <c r="I2645" s="3" t="n"/>
      <c r="J2645" s="3" t="n"/>
      <c r="K2645" s="3" t="n"/>
      <c r="L2645" s="2" t="inlineStr">
        <is>
          <t>PriceCharting + TCGplayer</t>
        </is>
      </c>
      <c r="M2645" s="4" t="inlineStr">
        <is>
          <t>https://www.pricecharting.com/game/pokemon-furious-fists/elite-trainer-box</t>
        </is>
      </c>
      <c r="N2645" s="4" t="inlineStr">
        <is>
          <t>https://www.tcgplayer.com/product/95284</t>
        </is>
      </c>
    </row>
    <row r="2646">
      <c r="A2646" s="2" t="inlineStr">
        <is>
          <t>Furious Fists Sleeved Booster Pack Art Bundle [Set of 4]</t>
        </is>
      </c>
      <c r="B2646" s="3">
        <f>IF(H2646&lt;&gt;"",H2646,IF(I2646&lt;&gt;"",I2646,IF(J2646&lt;&gt;"",J2646,K2646)))</f>
        <v>399.98</v>
      </c>
      <c r="C2646" s="3">
        <f>MEDIAN(H2646:K2646)</f>
        <v>438.88</v>
      </c>
      <c r="D2646" s="3">
        <f>ROUND(C2646*(1-Settings!$B$2),2)</f>
        <v>307.22</v>
      </c>
      <c r="E2646" s="2" t="inlineStr">
        <is>
          <t>Pokemon</t>
        </is>
      </c>
      <c r="F2646" s="2" t="inlineStr">
        <is>
          <t>Coffret</t>
        </is>
      </c>
      <c r="G2646" s="2" t="inlineStr">
        <is>
          <t>XY - Furious Fists</t>
        </is>
      </c>
      <c r="H2646" s="3" t="n"/>
      <c r="I2646" s="3" t="n">
        <v>399.98</v>
      </c>
      <c r="J2646" s="3" t="n">
        <v>438.88</v>
      </c>
      <c r="K2646" s="3" t="n">
        <v>438.88</v>
      </c>
      <c r="L2646" s="2" t="inlineStr">
        <is>
          <t>TCGplayer</t>
        </is>
      </c>
      <c r="N2646" s="4" t="inlineStr">
        <is>
          <t>https://www.tcgplayer.com/product/276591</t>
        </is>
      </c>
    </row>
    <row r="2647">
      <c r="A2647" s="2" t="inlineStr">
        <is>
          <t>Mega Charizard Y Collection</t>
        </is>
      </c>
      <c r="B2647" s="3">
        <f>IF(H2647&lt;&gt;"",H2647,IF(I2647&lt;&gt;"",I2647,IF(J2647&lt;&gt;"",J2647,K2647)))</f>
        <v>1999.95</v>
      </c>
      <c r="C2647" s="3">
        <f>MEDIAN(H2647:K2647)</f>
        <v>1999.95</v>
      </c>
      <c r="D2647" s="3">
        <f>ROUND(C2647*(1-Settings!$B$2),2)</f>
        <v>1399.97</v>
      </c>
      <c r="E2647" s="2" t="inlineStr">
        <is>
          <t>Pokemon</t>
        </is>
      </c>
      <c r="F2647" s="2" t="inlineStr">
        <is>
          <t>Coffret</t>
        </is>
      </c>
      <c r="G2647" s="2" t="inlineStr">
        <is>
          <t>XY - Furious Fists</t>
        </is>
      </c>
      <c r="H2647" s="3" t="n"/>
      <c r="I2647" s="3" t="n"/>
      <c r="J2647" s="3" t="n">
        <v>1999.95</v>
      </c>
      <c r="K2647" s="3" t="n">
        <v>1999.95</v>
      </c>
      <c r="L2647" s="2" t="inlineStr">
        <is>
          <t>TCGplayer</t>
        </is>
      </c>
      <c r="N2647" s="4" t="inlineStr">
        <is>
          <t>https://www.tcgplayer.com/product/97767</t>
        </is>
      </c>
    </row>
    <row r="2648">
      <c r="A2648" s="2" t="inlineStr">
        <is>
          <t>Gallade EX Box</t>
        </is>
      </c>
      <c r="B2648" s="3">
        <f>IF(H2648&lt;&gt;"",H2648,IF(I2648&lt;&gt;"",I2648,IF(J2648&lt;&gt;"",J2648,K2648)))</f>
        <v>887.5</v>
      </c>
      <c r="C2648" s="3">
        <f>MEDIAN(H2648:K2648)</f>
        <v>831.25</v>
      </c>
      <c r="D2648" s="3">
        <f>ROUND(C2648*(1-Settings!$B$2),2)</f>
        <v>581.88</v>
      </c>
      <c r="E2648" s="2" t="inlineStr">
        <is>
          <t>Pokemon</t>
        </is>
      </c>
      <c r="F2648" s="2" t="inlineStr">
        <is>
          <t>Coffret</t>
        </is>
      </c>
      <c r="G2648" s="2" t="inlineStr">
        <is>
          <t>XY - Phantom Forces</t>
        </is>
      </c>
      <c r="H2648" s="3" t="n"/>
      <c r="I2648" s="3" t="n"/>
      <c r="J2648" s="3" t="n">
        <v>887.5</v>
      </c>
      <c r="K2648" s="3" t="n">
        <v>775</v>
      </c>
      <c r="L2648" s="2" t="inlineStr">
        <is>
          <t>TCGplayer</t>
        </is>
      </c>
      <c r="N2648" s="4" t="inlineStr">
        <is>
          <t>https://www.tcgplayer.com/product/97794</t>
        </is>
      </c>
    </row>
    <row r="2649">
      <c r="A2649" s="2" t="inlineStr">
        <is>
          <t>Mega Diancie EX Premium Collection</t>
        </is>
      </c>
      <c r="B2649" s="3">
        <f>IF(H2649&lt;&gt;"",H2649,IF(I2649&lt;&gt;"",I2649,IF(J2649&lt;&gt;"",J2649,K2649)))</f>
        <v>5.0</v>
      </c>
      <c r="C2649" s="3">
        <f>MEDIAN(H2649:K2649)</f>
        <v>5.0</v>
      </c>
      <c r="D2649" s="3">
        <f>ROUND(C2649*(1-Settings!$B$2),2)</f>
        <v>3.5</v>
      </c>
      <c r="E2649" s="2" t="inlineStr">
        <is>
          <t>Pokemon</t>
        </is>
      </c>
      <c r="F2649" s="2" t="inlineStr">
        <is>
          <t>Coffret</t>
        </is>
      </c>
      <c r="G2649" s="2" t="inlineStr">
        <is>
          <t>XY - Phantom Forces</t>
        </is>
      </c>
      <c r="H2649" s="3" t="n"/>
      <c r="I2649" s="3" t="n"/>
      <c r="J2649" s="3" t="n"/>
      <c r="K2649" s="3" t="n">
        <v>5</v>
      </c>
      <c r="L2649" s="2" t="inlineStr">
        <is>
          <t>TCGplayer</t>
        </is>
      </c>
      <c r="N2649" s="4" t="inlineStr">
        <is>
          <t>https://www.tcgplayer.com/product/97793</t>
        </is>
      </c>
    </row>
    <row r="2650">
      <c r="A2650" s="2" t="inlineStr">
        <is>
          <t>Phantom Forces Elite Trainer Box</t>
        </is>
      </c>
      <c r="B2650" s="3">
        <f>IF(H2650&lt;&gt;"",H2650,IF(I2650&lt;&gt;"",I2650,IF(J2650&lt;&gt;"",J2650,K2650)))</f>
        <v>5873.07</v>
      </c>
      <c r="C2650" s="3">
        <f>MEDIAN(H2650:K2650)</f>
        <v>8936.529999999999</v>
      </c>
      <c r="D2650" s="3">
        <f>ROUND(C2650*(1-Settings!$B$2),2)</f>
        <v>6255.57</v>
      </c>
      <c r="E2650" s="2" t="inlineStr">
        <is>
          <t>Pokemon</t>
        </is>
      </c>
      <c r="F2650" s="2" t="inlineStr">
        <is>
          <t>Coffret</t>
        </is>
      </c>
      <c r="G2650" s="2" t="inlineStr">
        <is>
          <t>XY - Phantom Forces</t>
        </is>
      </c>
      <c r="H2650" s="3" t="n">
        <v>5873.07</v>
      </c>
      <c r="I2650" s="3" t="n"/>
      <c r="J2650" s="3" t="n"/>
      <c r="K2650" s="3" t="n">
        <v>11999.99</v>
      </c>
      <c r="L2650" s="2" t="inlineStr">
        <is>
          <t>PriceCharting + TCGplayer</t>
        </is>
      </c>
      <c r="M2650" s="4" t="inlineStr">
        <is>
          <t>https://www.pricecharting.com/game/pokemon-phantom-forces/elite-trainer-box</t>
        </is>
      </c>
      <c r="N2650" s="4" t="inlineStr">
        <is>
          <t>https://www.tcgplayer.com/product/97786</t>
        </is>
      </c>
    </row>
    <row r="2651">
      <c r="A2651" s="2" t="inlineStr">
        <is>
          <t>Elite Trainer Box [Groudon]</t>
        </is>
      </c>
      <c r="B2651" s="3">
        <f>IF(H2651&lt;&gt;"",H2651,IF(I2651&lt;&gt;"",I2651,IF(J2651&lt;&gt;"",J2651,K2651)))</f>
        <v>5625.0</v>
      </c>
      <c r="C2651" s="3">
        <f>MEDIAN(H2651:K2651)</f>
        <v>5625.0</v>
      </c>
      <c r="D2651" s="3">
        <f>ROUND(C2651*(1-Settings!$B$2),2)</f>
        <v>3937.5</v>
      </c>
      <c r="E2651" s="2" t="inlineStr">
        <is>
          <t>Pokemon</t>
        </is>
      </c>
      <c r="F2651" s="2" t="inlineStr">
        <is>
          <t>Coffret</t>
        </is>
      </c>
      <c r="G2651" s="2" t="inlineStr">
        <is>
          <t>XY - Primal Clash</t>
        </is>
      </c>
      <c r="H2651" s="3" t="n">
        <v>5625</v>
      </c>
      <c r="I2651" s="3" t="n"/>
      <c r="J2651" s="3" t="n"/>
      <c r="K2651" s="3" t="n"/>
      <c r="L2651" s="2" t="inlineStr">
        <is>
          <t>PriceCharting + TCGplayer</t>
        </is>
      </c>
      <c r="M2651" s="4" t="inlineStr">
        <is>
          <t>https://www.pricecharting.com/game/pokemon-primal-clash/elite-trainer-box-groudon</t>
        </is>
      </c>
      <c r="N2651" s="4" t="inlineStr">
        <is>
          <t>https://www.tcgplayer.com/product/97762</t>
        </is>
      </c>
    </row>
    <row r="2652">
      <c r="A2652" s="2" t="inlineStr">
        <is>
          <t>Elite Trainer Box [Kyogre]</t>
        </is>
      </c>
      <c r="B2652" s="3">
        <f>IF(H2652&lt;&gt;"",H2652,IF(I2652&lt;&gt;"",I2652,IF(J2652&lt;&gt;"",J2652,K2652)))</f>
        <v>6700.5</v>
      </c>
      <c r="C2652" s="3">
        <f>MEDIAN(H2652:K2652)</f>
        <v>6700.5</v>
      </c>
      <c r="D2652" s="3">
        <f>ROUND(C2652*(1-Settings!$B$2),2)</f>
        <v>4690.35</v>
      </c>
      <c r="E2652" s="2" t="inlineStr">
        <is>
          <t>Pokemon</t>
        </is>
      </c>
      <c r="F2652" s="2" t="inlineStr">
        <is>
          <t>Coffret</t>
        </is>
      </c>
      <c r="G2652" s="2" t="inlineStr">
        <is>
          <t>XY - Primal Clash</t>
        </is>
      </c>
      <c r="H2652" s="3" t="n">
        <v>6700.5</v>
      </c>
      <c r="I2652" s="3" t="n"/>
      <c r="J2652" s="3" t="n"/>
      <c r="K2652" s="3" t="n"/>
      <c r="L2652" s="2" t="inlineStr">
        <is>
          <t>PriceCharting + TCGplayer</t>
        </is>
      </c>
      <c r="M2652" s="4" t="inlineStr">
        <is>
          <t>https://www.pricecharting.com/game/pokemon-primal-clash/elite-trainer-box-kyogre</t>
        </is>
      </c>
      <c r="N2652" s="4" t="inlineStr">
        <is>
          <t>https://www.tcgplayer.com/product/97763</t>
        </is>
      </c>
    </row>
    <row r="2653">
      <c r="A2653" s="2" t="inlineStr">
        <is>
          <t>Legend of Hoenn Tin [Groudon EX]</t>
        </is>
      </c>
      <c r="B2653" s="3">
        <f>IF(H2653&lt;&gt;"",H2653,IF(I2653&lt;&gt;"",I2653,IF(J2653&lt;&gt;"",J2653,K2653)))</f>
        <v>749.99</v>
      </c>
      <c r="C2653" s="3">
        <f>MEDIAN(H2653:K2653)</f>
        <v>749.99</v>
      </c>
      <c r="D2653" s="3">
        <f>ROUND(C2653*(1-Settings!$B$2),2)</f>
        <v>524.99</v>
      </c>
      <c r="E2653" s="2" t="inlineStr">
        <is>
          <t>Pokemon</t>
        </is>
      </c>
      <c r="F2653" s="2" t="inlineStr">
        <is>
          <t>Coffret</t>
        </is>
      </c>
      <c r="G2653" s="2" t="inlineStr">
        <is>
          <t>XY - Primal Clash</t>
        </is>
      </c>
      <c r="H2653" s="3" t="n"/>
      <c r="I2653" s="3" t="n"/>
      <c r="J2653" s="3" t="n">
        <v>749.99</v>
      </c>
      <c r="K2653" s="3" t="n">
        <v>749.99</v>
      </c>
      <c r="L2653" s="2" t="inlineStr">
        <is>
          <t>TCGplayer</t>
        </is>
      </c>
      <c r="N2653" s="4" t="inlineStr">
        <is>
          <t>https://www.tcgplayer.com/product/97757</t>
        </is>
      </c>
    </row>
    <row r="2654">
      <c r="A2654" s="2" t="inlineStr">
        <is>
          <t>Legend of Hoenn Tin [Kyogre EX]</t>
        </is>
      </c>
      <c r="B2654" s="3">
        <f>IF(H2654&lt;&gt;"",H2654,IF(I2654&lt;&gt;"",I2654,IF(J2654&lt;&gt;"",J2654,K2654)))</f>
        <v>712.5</v>
      </c>
      <c r="C2654" s="3">
        <f>MEDIAN(H2654:K2654)</f>
        <v>693.75</v>
      </c>
      <c r="D2654" s="3">
        <f>ROUND(C2654*(1-Settings!$B$2),2)</f>
        <v>485.63</v>
      </c>
      <c r="E2654" s="2" t="inlineStr">
        <is>
          <t>Pokemon</t>
        </is>
      </c>
      <c r="F2654" s="2" t="inlineStr">
        <is>
          <t>Coffret</t>
        </is>
      </c>
      <c r="G2654" s="2" t="inlineStr">
        <is>
          <t>XY - Primal Clash</t>
        </is>
      </c>
      <c r="H2654" s="3" t="n"/>
      <c r="I2654" s="3" t="n"/>
      <c r="J2654" s="3" t="n">
        <v>712.5</v>
      </c>
      <c r="K2654" s="3" t="n">
        <v>675</v>
      </c>
      <c r="L2654" s="2" t="inlineStr">
        <is>
          <t>TCGplayer</t>
        </is>
      </c>
      <c r="N2654" s="4" t="inlineStr">
        <is>
          <t>https://www.tcgplayer.com/product/97756</t>
        </is>
      </c>
    </row>
    <row r="2655">
      <c r="A2655" s="2" t="inlineStr">
        <is>
          <t>Primal Clash Sleeved Booster Pack Art Bundle [Set of 4]</t>
        </is>
      </c>
      <c r="B2655" s="3">
        <f>IF(H2655&lt;&gt;"",H2655,IF(I2655&lt;&gt;"",I2655,IF(J2655&lt;&gt;"",J2655,K2655)))</f>
        <v>600.0</v>
      </c>
      <c r="C2655" s="3">
        <f>MEDIAN(H2655:K2655)</f>
        <v>600.0</v>
      </c>
      <c r="D2655" s="3">
        <f>ROUND(C2655*(1-Settings!$B$2),2)</f>
        <v>420.0</v>
      </c>
      <c r="E2655" s="2" t="inlineStr">
        <is>
          <t>Pokemon</t>
        </is>
      </c>
      <c r="F2655" s="2" t="inlineStr">
        <is>
          <t>Coffret</t>
        </is>
      </c>
      <c r="G2655" s="2" t="inlineStr">
        <is>
          <t>XY - Primal Clash</t>
        </is>
      </c>
      <c r="H2655" s="3" t="n"/>
      <c r="I2655" s="3" t="n"/>
      <c r="J2655" s="3" t="n"/>
      <c r="K2655" s="3" t="n">
        <v>600</v>
      </c>
      <c r="L2655" s="2" t="inlineStr">
        <is>
          <t>TCGplayer</t>
        </is>
      </c>
      <c r="N2655" s="4" t="inlineStr">
        <is>
          <t>https://www.tcgplayer.com/product/276593</t>
        </is>
      </c>
    </row>
    <row r="2656">
      <c r="A2656" s="2" t="inlineStr">
        <is>
          <t>Hoenn Power Tin [Blaziken]</t>
        </is>
      </c>
      <c r="B2656" s="3">
        <f>IF(H2656&lt;&gt;"",H2656,IF(I2656&lt;&gt;"",I2656,IF(J2656&lt;&gt;"",J2656,K2656)))</f>
        <v>669.95</v>
      </c>
      <c r="C2656" s="3">
        <f>MEDIAN(H2656:K2656)</f>
        <v>669.95</v>
      </c>
      <c r="D2656" s="3">
        <f>ROUND(C2656*(1-Settings!$B$2),2)</f>
        <v>468.97</v>
      </c>
      <c r="E2656" s="2" t="inlineStr">
        <is>
          <t>Pokemon</t>
        </is>
      </c>
      <c r="F2656" s="2" t="inlineStr">
        <is>
          <t>Coffret</t>
        </is>
      </c>
      <c r="G2656" s="2" t="inlineStr">
        <is>
          <t>XY - Roaring Skies</t>
        </is>
      </c>
      <c r="H2656" s="3" t="n"/>
      <c r="I2656" s="3" t="n"/>
      <c r="J2656" s="3" t="n">
        <v>669.95</v>
      </c>
      <c r="K2656" s="3" t="n">
        <v>669.95</v>
      </c>
      <c r="L2656" s="2" t="inlineStr">
        <is>
          <t>TCGplayer</t>
        </is>
      </c>
      <c r="N2656" s="4" t="inlineStr">
        <is>
          <t>https://www.tcgplayer.com/product/100497</t>
        </is>
      </c>
    </row>
    <row r="2657">
      <c r="A2657" s="2" t="inlineStr">
        <is>
          <t>Mega Latios Collection</t>
        </is>
      </c>
      <c r="B2657" s="3">
        <f>IF(H2657&lt;&gt;"",H2657,IF(I2657&lt;&gt;"",I2657,IF(J2657&lt;&gt;"",J2657,K2657)))</f>
        <v>584.5</v>
      </c>
      <c r="C2657" s="3">
        <f>MEDIAN(H2657:K2657)</f>
        <v>584.5</v>
      </c>
      <c r="D2657" s="3">
        <f>ROUND(C2657*(1-Settings!$B$2),2)</f>
        <v>409.15</v>
      </c>
      <c r="E2657" s="2" t="inlineStr">
        <is>
          <t>Pokemon</t>
        </is>
      </c>
      <c r="F2657" s="2" t="inlineStr">
        <is>
          <t>Coffret</t>
        </is>
      </c>
      <c r="G2657" s="2" t="inlineStr">
        <is>
          <t>XY - Roaring Skies</t>
        </is>
      </c>
      <c r="H2657" s="3" t="n"/>
      <c r="I2657" s="3" t="n">
        <v>584.5</v>
      </c>
      <c r="J2657" s="3" t="n"/>
      <c r="K2657" s="3" t="n"/>
      <c r="L2657" s="2" t="inlineStr">
        <is>
          <t>TCGplayer</t>
        </is>
      </c>
      <c r="N2657" s="4" t="inlineStr">
        <is>
          <t>https://www.tcgplayer.com/product/100502</t>
        </is>
      </c>
    </row>
    <row r="2658">
      <c r="A2658" s="2" t="inlineStr">
        <is>
          <t>Rayquaza EX Box</t>
        </is>
      </c>
      <c r="B2658" s="3">
        <f>IF(H2658&lt;&gt;"",H2658,IF(I2658&lt;&gt;"",I2658,IF(J2658&lt;&gt;"",J2658,K2658)))</f>
        <v>1000.0</v>
      </c>
      <c r="C2658" s="3">
        <f>MEDIAN(H2658:K2658)</f>
        <v>1000.0</v>
      </c>
      <c r="D2658" s="3">
        <f>ROUND(C2658*(1-Settings!$B$2),2)</f>
        <v>700.0</v>
      </c>
      <c r="E2658" s="2" t="inlineStr">
        <is>
          <t>Pokemon</t>
        </is>
      </c>
      <c r="F2658" s="2" t="inlineStr">
        <is>
          <t>Coffret</t>
        </is>
      </c>
      <c r="G2658" s="2" t="inlineStr">
        <is>
          <t>XY - Roaring Skies</t>
        </is>
      </c>
      <c r="H2658" s="3" t="n"/>
      <c r="I2658" s="3" t="n">
        <v>1000</v>
      </c>
      <c r="J2658" s="3" t="n"/>
      <c r="K2658" s="3" t="n"/>
      <c r="L2658" s="2" t="inlineStr">
        <is>
          <t>TCGplayer</t>
        </is>
      </c>
      <c r="N2658" s="4" t="inlineStr">
        <is>
          <t>https://www.tcgplayer.com/product/100499</t>
        </is>
      </c>
    </row>
    <row r="2659">
      <c r="A2659" s="2" t="inlineStr">
        <is>
          <t>Roaring Skies Sleeved Booster Pack Art Bundle [Set of 4]</t>
        </is>
      </c>
      <c r="B2659" s="3">
        <f>IF(H2659&lt;&gt;"",H2659,IF(I2659&lt;&gt;"",I2659,IF(J2659&lt;&gt;"",J2659,K2659)))</f>
        <v>415.5</v>
      </c>
      <c r="C2659" s="3">
        <f>MEDIAN(H2659:K2659)</f>
        <v>466.0</v>
      </c>
      <c r="D2659" s="3">
        <f>ROUND(C2659*(1-Settings!$B$2),2)</f>
        <v>326.2</v>
      </c>
      <c r="E2659" s="2" t="inlineStr">
        <is>
          <t>Pokemon</t>
        </is>
      </c>
      <c r="F2659" s="2" t="inlineStr">
        <is>
          <t>Coffret</t>
        </is>
      </c>
      <c r="G2659" s="2" t="inlineStr">
        <is>
          <t>XY - Roaring Skies</t>
        </is>
      </c>
      <c r="H2659" s="3" t="n"/>
      <c r="I2659" s="3" t="n">
        <v>415.5</v>
      </c>
      <c r="J2659" s="3" t="n">
        <v>530.5</v>
      </c>
      <c r="K2659" s="3" t="n">
        <v>466</v>
      </c>
      <c r="L2659" s="2" t="inlineStr">
        <is>
          <t>TCGplayer</t>
        </is>
      </c>
      <c r="N2659" s="4" t="inlineStr">
        <is>
          <t>https://www.tcgplayer.com/product/276594</t>
        </is>
      </c>
    </row>
    <row r="2660">
      <c r="A2660" s="2" t="inlineStr">
        <is>
          <t>XY Roaring Skies Elite Trainer Box</t>
        </is>
      </c>
      <c r="B2660" s="3">
        <f>IF(H2660&lt;&gt;"",H2660,IF(I2660&lt;&gt;"",I2660,IF(J2660&lt;&gt;"",J2660,K2660)))</f>
        <v>7899.99</v>
      </c>
      <c r="C2660" s="3">
        <f>MEDIAN(H2660:K2660)</f>
        <v>7899.99</v>
      </c>
      <c r="D2660" s="3">
        <f>ROUND(C2660*(1-Settings!$B$2),2)</f>
        <v>5529.99</v>
      </c>
      <c r="E2660" s="2" t="inlineStr">
        <is>
          <t>Pokemon</t>
        </is>
      </c>
      <c r="F2660" s="2" t="inlineStr">
        <is>
          <t>Coffret</t>
        </is>
      </c>
      <c r="G2660" s="2" t="inlineStr">
        <is>
          <t>XY - Roaring Skies</t>
        </is>
      </c>
      <c r="H2660" s="3" t="n"/>
      <c r="I2660" s="3" t="n"/>
      <c r="J2660" s="3" t="n">
        <v>7899.99</v>
      </c>
      <c r="K2660" s="3" t="n">
        <v>7899.99</v>
      </c>
      <c r="L2660" s="2" t="inlineStr">
        <is>
          <t>TCGplayer</t>
        </is>
      </c>
      <c r="N2660" s="4" t="inlineStr">
        <is>
          <t>https://www.tcgplayer.com/product/98028</t>
        </is>
      </c>
    </row>
    <row r="2661">
      <c r="A2661" s="2" t="inlineStr">
        <is>
          <t>Battle Heart Tin [Magearna EX]</t>
        </is>
      </c>
      <c r="B2661" s="3">
        <f>IF(H2661&lt;&gt;"",H2661,IF(I2661&lt;&gt;"",I2661,IF(J2661&lt;&gt;"",J2661,K2661)))</f>
        <v>499.99</v>
      </c>
      <c r="C2661" s="3">
        <f>MEDIAN(H2661:K2661)</f>
        <v>499.99</v>
      </c>
      <c r="D2661" s="3">
        <f>ROUND(C2661*(1-Settings!$B$2),2)</f>
        <v>349.99</v>
      </c>
      <c r="E2661" s="2" t="inlineStr">
        <is>
          <t>Pokemon</t>
        </is>
      </c>
      <c r="F2661" s="2" t="inlineStr">
        <is>
          <t>Coffret</t>
        </is>
      </c>
      <c r="G2661" s="2" t="inlineStr">
        <is>
          <t>XY - Steam Siege</t>
        </is>
      </c>
      <c r="H2661" s="3" t="n"/>
      <c r="I2661" s="3" t="n"/>
      <c r="J2661" s="3" t="n">
        <v>499.99</v>
      </c>
      <c r="K2661" s="3" t="n">
        <v>499.99</v>
      </c>
      <c r="L2661" s="2" t="inlineStr">
        <is>
          <t>TCGplayer</t>
        </is>
      </c>
      <c r="N2661" s="4" t="inlineStr">
        <is>
          <t>https://www.tcgplayer.com/product/123440</t>
        </is>
      </c>
    </row>
    <row r="2662">
      <c r="A2662" s="2" t="inlineStr">
        <is>
          <t>Battle Heart Tin [Pikachu EX]</t>
        </is>
      </c>
      <c r="B2662" s="3">
        <f>IF(H2662&lt;&gt;"",H2662,IF(I2662&lt;&gt;"",I2662,IF(J2662&lt;&gt;"",J2662,K2662)))</f>
        <v>549.99</v>
      </c>
      <c r="C2662" s="3">
        <f>MEDIAN(H2662:K2662)</f>
        <v>487.495</v>
      </c>
      <c r="D2662" s="3">
        <f>ROUND(C2662*(1-Settings!$B$2),2)</f>
        <v>341.25</v>
      </c>
      <c r="E2662" s="2" t="inlineStr">
        <is>
          <t>Pokemon</t>
        </is>
      </c>
      <c r="F2662" s="2" t="inlineStr">
        <is>
          <t>Coffret</t>
        </is>
      </c>
      <c r="G2662" s="2" t="inlineStr">
        <is>
          <t>XY - Steam Siege</t>
        </is>
      </c>
      <c r="H2662" s="3" t="n"/>
      <c r="I2662" s="3" t="n"/>
      <c r="J2662" s="3" t="n">
        <v>549.99</v>
      </c>
      <c r="K2662" s="3" t="n">
        <v>425</v>
      </c>
      <c r="L2662" s="2" t="inlineStr">
        <is>
          <t>TCGplayer</t>
        </is>
      </c>
      <c r="N2662" s="4" t="inlineStr">
        <is>
          <t>https://www.tcgplayer.com/product/123441</t>
        </is>
      </c>
    </row>
    <row r="2663">
      <c r="A2663" s="2" t="inlineStr">
        <is>
          <t>Battle Heart Tin [Volcanion EX]</t>
        </is>
      </c>
      <c r="B2663" s="3">
        <f>IF(H2663&lt;&gt;"",H2663,IF(I2663&lt;&gt;"",I2663,IF(J2663&lt;&gt;"",J2663,K2663)))</f>
        <v>475.0</v>
      </c>
      <c r="C2663" s="3">
        <f>MEDIAN(H2663:K2663)</f>
        <v>412.5</v>
      </c>
      <c r="D2663" s="3">
        <f>ROUND(C2663*(1-Settings!$B$2),2)</f>
        <v>288.75</v>
      </c>
      <c r="E2663" s="2" t="inlineStr">
        <is>
          <t>Pokemon</t>
        </is>
      </c>
      <c r="F2663" s="2" t="inlineStr">
        <is>
          <t>Coffret</t>
        </is>
      </c>
      <c r="G2663" s="2" t="inlineStr">
        <is>
          <t>XY - Steam Siege</t>
        </is>
      </c>
      <c r="H2663" s="3" t="n"/>
      <c r="I2663" s="3" t="n"/>
      <c r="J2663" s="3" t="n">
        <v>475</v>
      </c>
      <c r="K2663" s="3" t="n">
        <v>350</v>
      </c>
      <c r="L2663" s="2" t="inlineStr">
        <is>
          <t>TCGplayer</t>
        </is>
      </c>
      <c r="N2663" s="4" t="inlineStr">
        <is>
          <t>https://www.tcgplayer.com/product/123442</t>
        </is>
      </c>
    </row>
    <row r="2664">
      <c r="A2664" s="2" t="inlineStr">
        <is>
          <t>Hoopa EX Challenge Box</t>
        </is>
      </c>
      <c r="B2664" s="3">
        <f>IF(H2664&lt;&gt;"",H2664,IF(I2664&lt;&gt;"",I2664,IF(J2664&lt;&gt;"",J2664,K2664)))</f>
        <v>69.0</v>
      </c>
      <c r="C2664" s="3">
        <f>MEDIAN(H2664:K2664)</f>
        <v>69.0</v>
      </c>
      <c r="D2664" s="3">
        <f>ROUND(C2664*(1-Settings!$B$2),2)</f>
        <v>48.3</v>
      </c>
      <c r="E2664" s="2" t="inlineStr">
        <is>
          <t>Pokemon</t>
        </is>
      </c>
      <c r="F2664" s="2" t="inlineStr">
        <is>
          <t>Coffret</t>
        </is>
      </c>
      <c r="G2664" s="2" t="inlineStr">
        <is>
          <t>XY - Steam Siege</t>
        </is>
      </c>
      <c r="H2664" s="3" t="n"/>
      <c r="I2664" s="3" t="n">
        <v>69</v>
      </c>
      <c r="J2664" s="3" t="n"/>
      <c r="K2664" s="3" t="n"/>
      <c r="L2664" s="2" t="inlineStr">
        <is>
          <t>TCGplayer</t>
        </is>
      </c>
      <c r="N2664" s="4" t="inlineStr">
        <is>
          <t>https://www.tcgplayer.com/product/693146</t>
        </is>
      </c>
    </row>
    <row r="2665">
      <c r="A2665" s="2" t="inlineStr">
        <is>
          <t>Mega Gyarados Collection Box</t>
        </is>
      </c>
      <c r="B2665" s="3">
        <f>IF(H2665&lt;&gt;"",H2665,IF(I2665&lt;&gt;"",I2665,IF(J2665&lt;&gt;"",J2665,K2665)))</f>
        <v>644.46</v>
      </c>
      <c r="C2665" s="3">
        <f>MEDIAN(H2665:K2665)</f>
        <v>769.99</v>
      </c>
      <c r="D2665" s="3">
        <f>ROUND(C2665*(1-Settings!$B$2),2)</f>
        <v>538.99</v>
      </c>
      <c r="E2665" s="2" t="inlineStr">
        <is>
          <t>Pokemon</t>
        </is>
      </c>
      <c r="F2665" s="2" t="inlineStr">
        <is>
          <t>Coffret</t>
        </is>
      </c>
      <c r="G2665" s="2" t="inlineStr">
        <is>
          <t>XY - Steam Siege</t>
        </is>
      </c>
      <c r="H2665" s="3" t="n"/>
      <c r="I2665" s="3" t="n">
        <v>644.46</v>
      </c>
      <c r="J2665" s="3" t="n">
        <v>769.99</v>
      </c>
      <c r="K2665" s="3" t="n">
        <v>769.99</v>
      </c>
      <c r="L2665" s="2" t="inlineStr">
        <is>
          <t>TCGplayer</t>
        </is>
      </c>
      <c r="N2665" s="4" t="inlineStr">
        <is>
          <t>https://www.tcgplayer.com/product/177529</t>
        </is>
      </c>
    </row>
    <row r="2666">
      <c r="A2666" s="2" t="inlineStr">
        <is>
          <t>Steam Siege Elite Trainer Box</t>
        </is>
      </c>
      <c r="B2666" s="3">
        <f>IF(H2666&lt;&gt;"",H2666,IF(I2666&lt;&gt;"",I2666,IF(J2666&lt;&gt;"",J2666,K2666)))</f>
        <v>1800.0</v>
      </c>
      <c r="C2666" s="3">
        <f>MEDIAN(H2666:K2666)</f>
        <v>1749.99</v>
      </c>
      <c r="D2666" s="3">
        <f>ROUND(C2666*(1-Settings!$B$2),2)</f>
        <v>1224.99</v>
      </c>
      <c r="E2666" s="2" t="inlineStr">
        <is>
          <t>Pokemon</t>
        </is>
      </c>
      <c r="F2666" s="2" t="inlineStr">
        <is>
          <t>Coffret</t>
        </is>
      </c>
      <c r="G2666" s="2" t="inlineStr">
        <is>
          <t>XY - Steam Siege</t>
        </is>
      </c>
      <c r="H2666" s="3" t="n"/>
      <c r="I2666" s="3" t="n">
        <v>1800</v>
      </c>
      <c r="J2666" s="3" t="n">
        <v>1749.99</v>
      </c>
      <c r="K2666" s="3" t="n">
        <v>1749.99</v>
      </c>
      <c r="L2666" s="2" t="inlineStr">
        <is>
          <t>TCGplayer</t>
        </is>
      </c>
      <c r="N2666" s="4" t="inlineStr">
        <is>
          <t>https://www.tcgplayer.com/product/120697</t>
        </is>
      </c>
    </row>
    <row r="2667">
      <c r="A2667" s="2" t="inlineStr">
        <is>
          <t>Steam Siege Prerelease Kit</t>
        </is>
      </c>
      <c r="B2667" s="3">
        <f>IF(H2667&lt;&gt;"",H2667,IF(I2667&lt;&gt;"",I2667,IF(J2667&lt;&gt;"",J2667,K2667)))</f>
        <v>160.32</v>
      </c>
      <c r="C2667" s="3">
        <f>MEDIAN(H2667:K2667)</f>
        <v>164.75</v>
      </c>
      <c r="D2667" s="3">
        <f>ROUND(C2667*(1-Settings!$B$2),2)</f>
        <v>115.33</v>
      </c>
      <c r="E2667" s="2" t="inlineStr">
        <is>
          <t>Pokemon</t>
        </is>
      </c>
      <c r="F2667" s="2" t="inlineStr">
        <is>
          <t>Coffret</t>
        </is>
      </c>
      <c r="G2667" s="2" t="inlineStr">
        <is>
          <t>XY - Steam Siege</t>
        </is>
      </c>
      <c r="H2667" s="3" t="n"/>
      <c r="I2667" s="3" t="n">
        <v>160.32</v>
      </c>
      <c r="J2667" s="3" t="n">
        <v>170.87</v>
      </c>
      <c r="K2667" s="3" t="n">
        <v>164.75</v>
      </c>
      <c r="L2667" s="2" t="inlineStr">
        <is>
          <t>TCGplayer</t>
        </is>
      </c>
      <c r="N2667" s="4" t="inlineStr">
        <is>
          <t>https://www.tcgplayer.com/product/121393</t>
        </is>
      </c>
    </row>
    <row r="2668">
      <c r="A2668" s="2" t="inlineStr">
        <is>
          <t>Steam Siege Sleeved Booster Pack Art Bundle [Set of 4]</t>
        </is>
      </c>
      <c r="B2668" s="3">
        <f>IF(H2668&lt;&gt;"",H2668,IF(I2668&lt;&gt;"",I2668,IF(J2668&lt;&gt;"",J2668,K2668)))</f>
        <v>139.49</v>
      </c>
      <c r="C2668" s="3">
        <f>MEDIAN(H2668:K2668)</f>
        <v>139.49</v>
      </c>
      <c r="D2668" s="3">
        <f>ROUND(C2668*(1-Settings!$B$2),2)</f>
        <v>97.64</v>
      </c>
      <c r="E2668" s="2" t="inlineStr">
        <is>
          <t>Pokemon</t>
        </is>
      </c>
      <c r="F2668" s="2" t="inlineStr">
        <is>
          <t>Coffret</t>
        </is>
      </c>
      <c r="G2668" s="2" t="inlineStr">
        <is>
          <t>XY - Steam Siege</t>
        </is>
      </c>
      <c r="H2668" s="3" t="n"/>
      <c r="I2668" s="3" t="n">
        <v>139.49</v>
      </c>
      <c r="J2668" s="3" t="n">
        <v>149</v>
      </c>
      <c r="K2668" s="3" t="n">
        <v>131.98</v>
      </c>
      <c r="L2668" s="2" t="inlineStr">
        <is>
          <t>TCGplayer</t>
        </is>
      </c>
      <c r="N2668" s="4" t="inlineStr">
        <is>
          <t>https://www.tcgplayer.com/product/276599</t>
        </is>
      </c>
    </row>
    <row r="2669">
      <c r="A2669" s="2" t="inlineStr">
        <is>
          <t>Garchomp EX Box</t>
        </is>
      </c>
      <c r="B2669" s="3">
        <f>IF(H2669&lt;&gt;"",H2669,IF(I2669&lt;&gt;"",I2669,IF(J2669&lt;&gt;"",J2669,K2669)))</f>
        <v>599.99</v>
      </c>
      <c r="C2669" s="3">
        <f>MEDIAN(H2669:K2669)</f>
        <v>599.99</v>
      </c>
      <c r="D2669" s="3">
        <f>ROUND(C2669*(1-Settings!$B$2),2)</f>
        <v>419.99</v>
      </c>
      <c r="E2669" s="2" t="inlineStr">
        <is>
          <t>Pokemon</t>
        </is>
      </c>
      <c r="F2669" s="2" t="inlineStr">
        <is>
          <t>Coffret</t>
        </is>
      </c>
      <c r="G2669" s="2" t="inlineStr">
        <is>
          <t>XY Base Set</t>
        </is>
      </c>
      <c r="H2669" s="3" t="n"/>
      <c r="I2669" s="3" t="n">
        <v>599.99</v>
      </c>
      <c r="J2669" s="3" t="n"/>
      <c r="K2669" s="3" t="n"/>
      <c r="L2669" s="2" t="inlineStr">
        <is>
          <t>TCGplayer</t>
        </is>
      </c>
      <c r="N2669" s="4" t="inlineStr">
        <is>
          <t>https://www.tcgplayer.com/product/97729</t>
        </is>
      </c>
    </row>
    <row r="2670">
      <c r="A2670" s="2" t="inlineStr">
        <is>
          <t>Legend of Kalos Tin [Xerneas EX]</t>
        </is>
      </c>
      <c r="B2670" s="3">
        <f>IF(H2670&lt;&gt;"",H2670,IF(I2670&lt;&gt;"",I2670,IF(J2670&lt;&gt;"",J2670,K2670)))</f>
        <v>800.0</v>
      </c>
      <c r="C2670" s="3">
        <f>MEDIAN(H2670:K2670)</f>
        <v>1000.0</v>
      </c>
      <c r="D2670" s="3">
        <f>ROUND(C2670*(1-Settings!$B$2),2)</f>
        <v>700.0</v>
      </c>
      <c r="E2670" s="2" t="inlineStr">
        <is>
          <t>Pokemon</t>
        </is>
      </c>
      <c r="F2670" s="2" t="inlineStr">
        <is>
          <t>Coffret</t>
        </is>
      </c>
      <c r="G2670" s="2" t="inlineStr">
        <is>
          <t>XY Base Set</t>
        </is>
      </c>
      <c r="H2670" s="3" t="n"/>
      <c r="I2670" s="3" t="n">
        <v>800</v>
      </c>
      <c r="J2670" s="3" t="n">
        <v>1000</v>
      </c>
      <c r="K2670" s="3" t="n">
        <v>1000</v>
      </c>
      <c r="L2670" s="2" t="inlineStr">
        <is>
          <t>TCGplayer</t>
        </is>
      </c>
      <c r="N2670" s="4" t="inlineStr">
        <is>
          <t>https://www.tcgplayer.com/product/97726</t>
        </is>
      </c>
    </row>
    <row r="2671">
      <c r="A2671" s="2" t="inlineStr">
        <is>
          <t>Legend of Kalos Tin [Yveltal EX]</t>
        </is>
      </c>
      <c r="B2671" s="3">
        <f>IF(H2671&lt;&gt;"",H2671,IF(I2671&lt;&gt;"",I2671,IF(J2671&lt;&gt;"",J2671,K2671)))</f>
        <v>950.0</v>
      </c>
      <c r="C2671" s="3">
        <f>MEDIAN(H2671:K2671)</f>
        <v>824.995</v>
      </c>
      <c r="D2671" s="3">
        <f>ROUND(C2671*(1-Settings!$B$2),2)</f>
        <v>577.5</v>
      </c>
      <c r="E2671" s="2" t="inlineStr">
        <is>
          <t>Pokemon</t>
        </is>
      </c>
      <c r="F2671" s="2" t="inlineStr">
        <is>
          <t>Coffret</t>
        </is>
      </c>
      <c r="G2671" s="2" t="inlineStr">
        <is>
          <t>XY Base Set</t>
        </is>
      </c>
      <c r="H2671" s="3" t="n"/>
      <c r="I2671" s="3" t="n"/>
      <c r="J2671" s="3" t="n">
        <v>950</v>
      </c>
      <c r="K2671" s="3" t="n">
        <v>699.99</v>
      </c>
      <c r="L2671" s="2" t="inlineStr">
        <is>
          <t>TCGplayer</t>
        </is>
      </c>
      <c r="N2671" s="4" t="inlineStr">
        <is>
          <t>https://www.tcgplayer.com/product/97727</t>
        </is>
      </c>
    </row>
    <row r="2672">
      <c r="A2672" s="2" t="inlineStr">
        <is>
          <t>Sylveon Collection</t>
        </is>
      </c>
      <c r="B2672" s="3">
        <f>IF(H2672&lt;&gt;"",H2672,IF(I2672&lt;&gt;"",I2672,IF(J2672&lt;&gt;"",J2672,K2672)))</f>
        <v>7000.0</v>
      </c>
      <c r="C2672" s="3">
        <f>MEDIAN(H2672:K2672)</f>
        <v>7000.0</v>
      </c>
      <c r="D2672" s="3">
        <f>ROUND(C2672*(1-Settings!$B$2),2)</f>
        <v>4900.0</v>
      </c>
      <c r="E2672" s="2" t="inlineStr">
        <is>
          <t>Pokemon</t>
        </is>
      </c>
      <c r="F2672" s="2" t="inlineStr">
        <is>
          <t>Coffret</t>
        </is>
      </c>
      <c r="G2672" s="2" t="inlineStr">
        <is>
          <t>XY Base Set</t>
        </is>
      </c>
      <c r="H2672" s="3" t="n"/>
      <c r="I2672" s="3" t="n"/>
      <c r="J2672" s="3" t="n"/>
      <c r="K2672" s="3" t="n">
        <v>7000</v>
      </c>
      <c r="L2672" s="2" t="inlineStr">
        <is>
          <t>TCGplayer</t>
        </is>
      </c>
      <c r="N2672" s="4" t="inlineStr">
        <is>
          <t>https://www.tcgplayer.com/product/91598</t>
        </is>
      </c>
    </row>
    <row r="2673">
      <c r="A2673" s="2" t="inlineStr">
        <is>
          <t>XY Sleeved Booster Pack Art Bundle [Set of 4]</t>
        </is>
      </c>
      <c r="B2673" s="3">
        <f>IF(H2673&lt;&gt;"",H2673,IF(I2673&lt;&gt;"",I2673,IF(J2673&lt;&gt;"",J2673,K2673)))</f>
        <v>495.99</v>
      </c>
      <c r="C2673" s="3">
        <f>MEDIAN(H2673:K2673)</f>
        <v>495.99</v>
      </c>
      <c r="D2673" s="3">
        <f>ROUND(C2673*(1-Settings!$B$2),2)</f>
        <v>347.19</v>
      </c>
      <c r="E2673" s="2" t="inlineStr">
        <is>
          <t>Pokemon</t>
        </is>
      </c>
      <c r="F2673" s="2" t="inlineStr">
        <is>
          <t>Coffret</t>
        </is>
      </c>
      <c r="G2673" s="2" t="inlineStr">
        <is>
          <t>XY Base Set</t>
        </is>
      </c>
      <c r="H2673" s="3" t="n"/>
      <c r="I2673" s="3" t="n"/>
      <c r="J2673" s="3" t="n">
        <v>495.99</v>
      </c>
      <c r="K2673" s="3" t="n">
        <v>495.99</v>
      </c>
      <c r="L2673" s="2" t="inlineStr">
        <is>
          <t>TCGplayer</t>
        </is>
      </c>
      <c r="N2673" s="4" t="inlineStr">
        <is>
          <t>https://www.tcgplayer.com/product/276589</t>
        </is>
      </c>
    </row>
    <row r="2674">
      <c r="A2674" s="2" t="inlineStr">
        <is>
          <t>1999 Topps Movie First Movie Booster Pack</t>
        </is>
      </c>
      <c r="B2674" s="3">
        <f>IF(H2674&lt;&gt;"",H2674,IF(I2674&lt;&gt;"",I2674,IF(J2674&lt;&gt;"",J2674,K2674)))</f>
        <v>53.58</v>
      </c>
      <c r="C2674" s="3">
        <f>MEDIAN(H2674:K2674)</f>
        <v>53.58</v>
      </c>
      <c r="D2674" s="3">
        <f>ROUND(C2674*(1-Settings!$B$2),2)</f>
        <v>37.51</v>
      </c>
      <c r="E2674" s="2" t="inlineStr">
        <is>
          <t>Pokemon</t>
        </is>
      </c>
      <c r="F2674" s="2" t="inlineStr">
        <is>
          <t>Pack</t>
        </is>
      </c>
      <c r="G2674" s="2" t="inlineStr">
        <is>
          <t>1999 Topps Movie</t>
        </is>
      </c>
      <c r="H2674" s="3" t="n">
        <v>53.58</v>
      </c>
      <c r="I2674" s="3" t="n"/>
      <c r="J2674" s="3" t="n"/>
      <c r="K2674" s="3" t="n"/>
      <c r="L2674" s="2" t="inlineStr">
        <is>
          <t>PriceCharting</t>
        </is>
      </c>
      <c r="M2674" s="4" t="inlineStr">
        <is>
          <t>https://www.pricecharting.com/game/pokemon-1999-topps-movie/first-movie-booster-pack</t>
        </is>
      </c>
    </row>
    <row r="2675">
      <c r="A2675" s="2" t="inlineStr">
        <is>
          <t>1999 Topps Tv Booster Pack [Series 2]</t>
        </is>
      </c>
      <c r="B2675" s="3">
        <f>IF(H2675&lt;&gt;"",H2675,IF(I2675&lt;&gt;"",I2675,IF(J2675&lt;&gt;"",J2675,K2675)))</f>
        <v>56.95</v>
      </c>
      <c r="C2675" s="3">
        <f>MEDIAN(H2675:K2675)</f>
        <v>56.95</v>
      </c>
      <c r="D2675" s="3">
        <f>ROUND(C2675*(1-Settings!$B$2),2)</f>
        <v>39.87</v>
      </c>
      <c r="E2675" s="2" t="inlineStr">
        <is>
          <t>Pokemon</t>
        </is>
      </c>
      <c r="F2675" s="2" t="inlineStr">
        <is>
          <t>Pack</t>
        </is>
      </c>
      <c r="G2675" s="2" t="inlineStr">
        <is>
          <t>1999 Topps Tv</t>
        </is>
      </c>
      <c r="H2675" s="3" t="n">
        <v>56.95</v>
      </c>
      <c r="I2675" s="3" t="n"/>
      <c r="J2675" s="3" t="n"/>
      <c r="K2675" s="3" t="n"/>
      <c r="L2675" s="2" t="inlineStr">
        <is>
          <t>PriceCharting</t>
        </is>
      </c>
      <c r="M2675" s="4" t="inlineStr">
        <is>
          <t>https://www.pricecharting.com/game/pokemon-1999-topps-tv/booster-pack-series-2</t>
        </is>
      </c>
    </row>
    <row r="2676">
      <c r="A2676" s="2" t="inlineStr">
        <is>
          <t>1999 Topps Tv Booster Pack Series 1 Blue Logo</t>
        </is>
      </c>
      <c r="B2676" s="3">
        <f>IF(H2676&lt;&gt;"",H2676,IF(I2676&lt;&gt;"",I2676,IF(J2676&lt;&gt;"",J2676,K2676)))</f>
        <v>92.38</v>
      </c>
      <c r="C2676" s="3">
        <f>MEDIAN(H2676:K2676)</f>
        <v>92.38</v>
      </c>
      <c r="D2676" s="3">
        <f>ROUND(C2676*(1-Settings!$B$2),2)</f>
        <v>64.67</v>
      </c>
      <c r="E2676" s="2" t="inlineStr">
        <is>
          <t>Pokemon</t>
        </is>
      </c>
      <c r="F2676" s="2" t="inlineStr">
        <is>
          <t>Pack</t>
        </is>
      </c>
      <c r="G2676" s="2" t="inlineStr">
        <is>
          <t>1999 Topps Tv</t>
        </is>
      </c>
      <c r="H2676" s="3" t="n">
        <v>92.38</v>
      </c>
      <c r="I2676" s="3" t="n"/>
      <c r="J2676" s="3" t="n"/>
      <c r="K2676" s="3" t="n"/>
      <c r="L2676" s="2" t="inlineStr">
        <is>
          <t>PriceCharting</t>
        </is>
      </c>
      <c r="M2676" s="4" t="inlineStr">
        <is>
          <t>https://www.pricecharting.com/game/pokemon-1999-topps-tv/booster-pack-series-1-blue-logo</t>
        </is>
      </c>
    </row>
    <row r="2677">
      <c r="A2677" s="2" t="inlineStr">
        <is>
          <t>2000 Topps Chrome Booster Pack</t>
        </is>
      </c>
      <c r="B2677" s="3">
        <f>IF(H2677&lt;&gt;"",H2677,IF(I2677&lt;&gt;"",I2677,IF(J2677&lt;&gt;"",J2677,K2677)))</f>
        <v>825.0</v>
      </c>
      <c r="C2677" s="3">
        <f>MEDIAN(H2677:K2677)</f>
        <v>825.0</v>
      </c>
      <c r="D2677" s="3">
        <f>ROUND(C2677*(1-Settings!$B$2),2)</f>
        <v>577.5</v>
      </c>
      <c r="E2677" s="2" t="inlineStr">
        <is>
          <t>Pokemon</t>
        </is>
      </c>
      <c r="F2677" s="2" t="inlineStr">
        <is>
          <t>Pack</t>
        </is>
      </c>
      <c r="G2677" s="2" t="inlineStr">
        <is>
          <t>2000 Topps Chrome</t>
        </is>
      </c>
      <c r="H2677" s="3" t="n">
        <v>825</v>
      </c>
      <c r="I2677" s="3" t="n"/>
      <c r="J2677" s="3" t="n"/>
      <c r="K2677" s="3" t="n"/>
      <c r="L2677" s="2" t="inlineStr">
        <is>
          <t>PriceCharting</t>
        </is>
      </c>
      <c r="M2677" s="4" t="inlineStr">
        <is>
          <t>https://www.pricecharting.com/game/pokemon-2000-topps-chrome/booster-pack</t>
        </is>
      </c>
    </row>
    <row r="2678">
      <c r="A2678" s="2" t="inlineStr">
        <is>
          <t>2000 Topps Chrome Booster Pack: Series 2</t>
        </is>
      </c>
      <c r="B2678" s="3">
        <f>IF(H2678&lt;&gt;"",H2678,IF(I2678&lt;&gt;"",I2678,IF(J2678&lt;&gt;"",J2678,K2678)))</f>
        <v>1022.0</v>
      </c>
      <c r="C2678" s="3">
        <f>MEDIAN(H2678:K2678)</f>
        <v>1022.0</v>
      </c>
      <c r="D2678" s="3">
        <f>ROUND(C2678*(1-Settings!$B$2),2)</f>
        <v>715.4</v>
      </c>
      <c r="E2678" s="2" t="inlineStr">
        <is>
          <t>Pokemon</t>
        </is>
      </c>
      <c r="F2678" s="2" t="inlineStr">
        <is>
          <t>Pack</t>
        </is>
      </c>
      <c r="G2678" s="2" t="inlineStr">
        <is>
          <t>2000 Topps Chrome</t>
        </is>
      </c>
      <c r="H2678" s="3" t="n">
        <v>1022</v>
      </c>
      <c r="I2678" s="3" t="n"/>
      <c r="J2678" s="3" t="n"/>
      <c r="K2678" s="3" t="n"/>
      <c r="L2678" s="2" t="inlineStr">
        <is>
          <t>PriceCharting</t>
        </is>
      </c>
      <c r="M2678" s="4" t="inlineStr">
        <is>
          <t>https://www.pricecharting.com/game/pokemon-2000-topps-chrome/booster-pack-series-2</t>
        </is>
      </c>
    </row>
    <row r="2679">
      <c r="A2679" s="2" t="inlineStr">
        <is>
          <t>2000 Topps Tv Booster Pack [Series 3]</t>
        </is>
      </c>
      <c r="B2679" s="3">
        <f>IF(H2679&lt;&gt;"",H2679,IF(I2679&lt;&gt;"",I2679,IF(J2679&lt;&gt;"",J2679,K2679)))</f>
        <v>166.78</v>
      </c>
      <c r="C2679" s="3">
        <f>MEDIAN(H2679:K2679)</f>
        <v>166.78</v>
      </c>
      <c r="D2679" s="3">
        <f>ROUND(C2679*(1-Settings!$B$2),2)</f>
        <v>116.75</v>
      </c>
      <c r="E2679" s="2" t="inlineStr">
        <is>
          <t>Pokemon</t>
        </is>
      </c>
      <c r="F2679" s="2" t="inlineStr">
        <is>
          <t>Pack</t>
        </is>
      </c>
      <c r="G2679" s="2" t="inlineStr">
        <is>
          <t>2000 Topps Tv</t>
        </is>
      </c>
      <c r="H2679" s="3" t="n">
        <v>166.78</v>
      </c>
      <c r="I2679" s="3" t="n"/>
      <c r="J2679" s="3" t="n"/>
      <c r="K2679" s="3" t="n"/>
      <c r="L2679" s="2" t="inlineStr">
        <is>
          <t>PriceCharting</t>
        </is>
      </c>
      <c r="M2679" s="4" t="inlineStr">
        <is>
          <t>https://www.pricecharting.com/game/pokemon-2000-topps-tv/booster-pack-series-3</t>
        </is>
      </c>
    </row>
    <row r="2680">
      <c r="A2680" s="2" t="inlineStr">
        <is>
          <t>Ancient Origins Booster Pack</t>
        </is>
      </c>
      <c r="B2680" s="3">
        <f>IF(H2680&lt;&gt;"",H2680,IF(I2680&lt;&gt;"",I2680,IF(J2680&lt;&gt;"",J2680,K2680)))</f>
        <v>119.94</v>
      </c>
      <c r="C2680" s="3">
        <f>MEDIAN(H2680:K2680)</f>
        <v>119.94</v>
      </c>
      <c r="D2680" s="3">
        <f>ROUND(C2680*(1-Settings!$B$2),2)</f>
        <v>83.96</v>
      </c>
      <c r="E2680" s="2" t="inlineStr">
        <is>
          <t>Pokemon</t>
        </is>
      </c>
      <c r="F2680" s="2" t="inlineStr">
        <is>
          <t>Pack</t>
        </is>
      </c>
      <c r="G2680" s="2" t="inlineStr">
        <is>
          <t>Ancient Origins</t>
        </is>
      </c>
      <c r="H2680" s="3" t="n">
        <v>119.94</v>
      </c>
      <c r="I2680" s="3" t="n"/>
      <c r="J2680" s="3" t="n"/>
      <c r="K2680" s="3" t="n"/>
      <c r="L2680" s="2" t="inlineStr">
        <is>
          <t>PriceCharting</t>
        </is>
      </c>
      <c r="M2680" s="4" t="inlineStr">
        <is>
          <t>https://www.pricecharting.com/game/pokemon-ancient-origins/booster-pack</t>
        </is>
      </c>
    </row>
    <row r="2681">
      <c r="A2681" s="2" t="inlineStr">
        <is>
          <t>Ancient Origins Mini Booster Pack</t>
        </is>
      </c>
      <c r="B2681" s="3">
        <f>IF(H2681&lt;&gt;"",H2681,IF(I2681&lt;&gt;"",I2681,IF(J2681&lt;&gt;"",J2681,K2681)))</f>
        <v>43.68</v>
      </c>
      <c r="C2681" s="3">
        <f>MEDIAN(H2681:K2681)</f>
        <v>43.68</v>
      </c>
      <c r="D2681" s="3">
        <f>ROUND(C2681*(1-Settings!$B$2),2)</f>
        <v>30.58</v>
      </c>
      <c r="E2681" s="2" t="inlineStr">
        <is>
          <t>Pokemon</t>
        </is>
      </c>
      <c r="F2681" s="2" t="inlineStr">
        <is>
          <t>Pack</t>
        </is>
      </c>
      <c r="G2681" s="2" t="inlineStr">
        <is>
          <t>Ancient Origins</t>
        </is>
      </c>
      <c r="H2681" s="3" t="n">
        <v>43.68</v>
      </c>
      <c r="I2681" s="3" t="n"/>
      <c r="J2681" s="3" t="n"/>
      <c r="K2681" s="3" t="n"/>
      <c r="L2681" s="2" t="inlineStr">
        <is>
          <t>PriceCharting</t>
        </is>
      </c>
      <c r="M2681" s="4" t="inlineStr">
        <is>
          <t>https://www.pricecharting.com/game/pokemon-ancient-origins/mini-booster-pack</t>
        </is>
      </c>
    </row>
    <row r="2682">
      <c r="A2682" s="2" t="inlineStr">
        <is>
          <t>Aquapolis Blister Pack</t>
        </is>
      </c>
      <c r="B2682" s="3">
        <f>IF(H2682&lt;&gt;"",H2682,IF(I2682&lt;&gt;"",I2682,IF(J2682&lt;&gt;"",J2682,K2682)))</f>
        <v>3365.0</v>
      </c>
      <c r="C2682" s="3">
        <f>MEDIAN(H2682:K2682)</f>
        <v>3365.0</v>
      </c>
      <c r="D2682" s="3">
        <f>ROUND(C2682*(1-Settings!$B$2),2)</f>
        <v>2355.5</v>
      </c>
      <c r="E2682" s="2" t="inlineStr">
        <is>
          <t>Pokemon</t>
        </is>
      </c>
      <c r="F2682" s="2" t="inlineStr">
        <is>
          <t>Pack</t>
        </is>
      </c>
      <c r="G2682" s="2" t="inlineStr">
        <is>
          <t>Aquapolis</t>
        </is>
      </c>
      <c r="H2682" s="3" t="n">
        <v>3365</v>
      </c>
      <c r="I2682" s="3" t="n"/>
      <c r="J2682" s="3" t="n"/>
      <c r="K2682" s="3" t="n"/>
      <c r="L2682" s="2" t="inlineStr">
        <is>
          <t>PriceCharting</t>
        </is>
      </c>
      <c r="M2682" s="4" t="inlineStr">
        <is>
          <t>https://www.pricecharting.com/game/pokemon-aquapolis/blister-pack</t>
        </is>
      </c>
    </row>
    <row r="2683">
      <c r="A2683" s="2" t="inlineStr">
        <is>
          <t>Aquapolis Booster Pack</t>
        </is>
      </c>
      <c r="B2683" s="3">
        <f>IF(H2683&lt;&gt;"",H2683,IF(I2683&lt;&gt;"",I2683,IF(J2683&lt;&gt;"",J2683,K2683)))</f>
        <v>1739.0</v>
      </c>
      <c r="C2683" s="3">
        <f>MEDIAN(H2683:K2683)</f>
        <v>1869.495</v>
      </c>
      <c r="D2683" s="3">
        <f>ROUND(C2683*(1-Settings!$B$2),2)</f>
        <v>1308.65</v>
      </c>
      <c r="E2683" s="2" t="inlineStr">
        <is>
          <t>Pokemon</t>
        </is>
      </c>
      <c r="F2683" s="2" t="inlineStr">
        <is>
          <t>Pack</t>
        </is>
      </c>
      <c r="G2683" s="2" t="inlineStr">
        <is>
          <t>Aquapolis</t>
        </is>
      </c>
      <c r="H2683" s="3" t="n">
        <v>1739</v>
      </c>
      <c r="I2683" s="3" t="n">
        <v>1999.99</v>
      </c>
      <c r="J2683" s="3" t="n"/>
      <c r="K2683" s="3" t="n"/>
      <c r="L2683" s="2" t="inlineStr">
        <is>
          <t>PriceCharting + TCGplayer</t>
        </is>
      </c>
      <c r="M2683" s="4" t="inlineStr">
        <is>
          <t>https://www.pricecharting.com/game/pokemon-aquapolis/booster-pack</t>
        </is>
      </c>
      <c r="N2683" s="4" t="inlineStr">
        <is>
          <t>https://www.tcgplayer.com/product/138152</t>
        </is>
      </c>
    </row>
    <row r="2684">
      <c r="A2684" s="2" t="inlineStr">
        <is>
          <t>Arceus Blister Pack</t>
        </is>
      </c>
      <c r="B2684" s="3">
        <f>IF(H2684&lt;&gt;"",H2684,IF(I2684&lt;&gt;"",I2684,IF(J2684&lt;&gt;"",J2684,K2684)))</f>
        <v>38.0</v>
      </c>
      <c r="C2684" s="3">
        <f>MEDIAN(H2684:K2684)</f>
        <v>38.0</v>
      </c>
      <c r="D2684" s="3">
        <f>ROUND(C2684*(1-Settings!$B$2),2)</f>
        <v>26.6</v>
      </c>
      <c r="E2684" s="2" t="inlineStr">
        <is>
          <t>Pokemon</t>
        </is>
      </c>
      <c r="F2684" s="2" t="inlineStr">
        <is>
          <t>Pack</t>
        </is>
      </c>
      <c r="G2684" s="2" t="inlineStr">
        <is>
          <t>Arceus</t>
        </is>
      </c>
      <c r="H2684" s="3" t="n">
        <v>38</v>
      </c>
      <c r="I2684" s="3" t="n"/>
      <c r="J2684" s="3" t="n"/>
      <c r="K2684" s="3" t="n"/>
      <c r="L2684" s="2" t="inlineStr">
        <is>
          <t>PriceCharting + TCGplayer</t>
        </is>
      </c>
      <c r="M2684" s="4" t="inlineStr">
        <is>
          <t>https://www.pricecharting.com/game/pokemon-arceus/blister-pack</t>
        </is>
      </c>
      <c r="N2684" s="4" t="inlineStr">
        <is>
          <t>https://www.tcgplayer.com/product/617025</t>
        </is>
      </c>
    </row>
    <row r="2685">
      <c r="A2685" s="2" t="inlineStr">
        <is>
          <t>Arceus Booster Pack</t>
        </is>
      </c>
      <c r="B2685" s="3">
        <f>IF(H2685&lt;&gt;"",H2685,IF(I2685&lt;&gt;"",I2685,IF(J2685&lt;&gt;"",J2685,K2685)))</f>
        <v>204.78</v>
      </c>
      <c r="C2685" s="3">
        <f>MEDIAN(H2685:K2685)</f>
        <v>739.7</v>
      </c>
      <c r="D2685" s="3">
        <f>ROUND(C2685*(1-Settings!$B$2),2)</f>
        <v>517.79</v>
      </c>
      <c r="E2685" s="2" t="inlineStr">
        <is>
          <t>Pokemon</t>
        </is>
      </c>
      <c r="F2685" s="2" t="inlineStr">
        <is>
          <t>Pack</t>
        </is>
      </c>
      <c r="G2685" s="2" t="inlineStr">
        <is>
          <t>Arceus</t>
        </is>
      </c>
      <c r="H2685" s="3" t="n">
        <v>204.78</v>
      </c>
      <c r="I2685" s="3" t="n">
        <v>529.41</v>
      </c>
      <c r="J2685" s="3" t="n">
        <v>949.99</v>
      </c>
      <c r="K2685" s="3" t="n">
        <v>949.99</v>
      </c>
      <c r="L2685" s="2" t="inlineStr">
        <is>
          <t>PriceCharting + TCGplayer</t>
        </is>
      </c>
      <c r="M2685" s="4" t="inlineStr">
        <is>
          <t>https://www.pricecharting.com/game/pokemon-arceus/booster-pack</t>
        </is>
      </c>
      <c r="N2685" s="4" t="inlineStr">
        <is>
          <t>https://www.tcgplayer.com/product/98594</t>
        </is>
      </c>
    </row>
    <row r="2686">
      <c r="A2686" s="2" t="inlineStr">
        <is>
          <t>Astral Radiance Feraligatr Premium Checklane Blister</t>
        </is>
      </c>
      <c r="B2686" s="3">
        <f>IF(H2686&lt;&gt;"",H2686,IF(I2686&lt;&gt;"",I2686,IF(J2686&lt;&gt;"",J2686,K2686)))</f>
        <v>14.62</v>
      </c>
      <c r="C2686" s="3">
        <f>MEDIAN(H2686:K2686)</f>
        <v>14.62</v>
      </c>
      <c r="D2686" s="3">
        <f>ROUND(C2686*(1-Settings!$B$2),2)</f>
        <v>10.23</v>
      </c>
      <c r="E2686" s="2" t="inlineStr">
        <is>
          <t>Pokemon</t>
        </is>
      </c>
      <c r="F2686" s="2" t="inlineStr">
        <is>
          <t>Pack</t>
        </is>
      </c>
      <c r="G2686" s="2" t="inlineStr">
        <is>
          <t>Astral Radiance</t>
        </is>
      </c>
      <c r="H2686" s="3" t="n">
        <v>14.62</v>
      </c>
      <c r="I2686" s="3" t="n"/>
      <c r="J2686" s="3" t="n"/>
      <c r="K2686" s="3" t="n"/>
      <c r="L2686" s="2" t="inlineStr">
        <is>
          <t>PriceCharting</t>
        </is>
      </c>
      <c r="M2686" s="4" t="inlineStr">
        <is>
          <t>https://www.pricecharting.com/game/pokemon-astral-radiance/feraligatr-premium-checklane-blister</t>
        </is>
      </c>
    </row>
    <row r="2687">
      <c r="A2687" s="2" t="inlineStr">
        <is>
          <t>Astral Radiance Swampert Premium Checklane Blister</t>
        </is>
      </c>
      <c r="B2687" s="3">
        <f>IF(H2687&lt;&gt;"",H2687,IF(I2687&lt;&gt;"",I2687,IF(J2687&lt;&gt;"",J2687,K2687)))</f>
        <v>14.99</v>
      </c>
      <c r="C2687" s="3">
        <f>MEDIAN(H2687:K2687)</f>
        <v>14.99</v>
      </c>
      <c r="D2687" s="3">
        <f>ROUND(C2687*(1-Settings!$B$2),2)</f>
        <v>10.49</v>
      </c>
      <c r="E2687" s="2" t="inlineStr">
        <is>
          <t>Pokemon</t>
        </is>
      </c>
      <c r="F2687" s="2" t="inlineStr">
        <is>
          <t>Pack</t>
        </is>
      </c>
      <c r="G2687" s="2" t="inlineStr">
        <is>
          <t>Astral Radiance</t>
        </is>
      </c>
      <c r="H2687" s="3" t="n">
        <v>14.99</v>
      </c>
      <c r="I2687" s="3" t="n"/>
      <c r="J2687" s="3" t="n"/>
      <c r="K2687" s="3" t="n"/>
      <c r="L2687" s="2" t="inlineStr">
        <is>
          <t>PriceCharting</t>
        </is>
      </c>
      <c r="M2687" s="4" t="inlineStr">
        <is>
          <t>https://www.pricecharting.com/game/pokemon-astral-radiance/swampert-premium-checklane-blister</t>
        </is>
      </c>
    </row>
    <row r="2688">
      <c r="A2688" s="2" t="inlineStr">
        <is>
          <t>Base Set Blister Pack</t>
        </is>
      </c>
      <c r="B2688" s="3">
        <f>IF(H2688&lt;&gt;"",H2688,IF(I2688&lt;&gt;"",I2688,IF(J2688&lt;&gt;"",J2688,K2688)))</f>
        <v>1748.84</v>
      </c>
      <c r="C2688" s="3">
        <f>MEDIAN(H2688:K2688)</f>
        <v>1748.84</v>
      </c>
      <c r="D2688" s="3">
        <f>ROUND(C2688*(1-Settings!$B$2),2)</f>
        <v>1224.19</v>
      </c>
      <c r="E2688" s="2" t="inlineStr">
        <is>
          <t>Pokemon</t>
        </is>
      </c>
      <c r="F2688" s="2" t="inlineStr">
        <is>
          <t>Pack</t>
        </is>
      </c>
      <c r="G2688" s="2" t="inlineStr">
        <is>
          <t>Base Set</t>
        </is>
      </c>
      <c r="H2688" s="3" t="n">
        <v>1748.84</v>
      </c>
      <c r="I2688" s="3" t="n"/>
      <c r="J2688" s="3" t="n"/>
      <c r="K2688" s="3" t="n"/>
      <c r="L2688" s="2" t="inlineStr">
        <is>
          <t>PriceCharting</t>
        </is>
      </c>
      <c r="M2688" s="4" t="inlineStr">
        <is>
          <t>https://www.pricecharting.com/game/pokemon-base-set/blister-pack</t>
        </is>
      </c>
    </row>
    <row r="2689">
      <c r="A2689" s="2" t="inlineStr">
        <is>
          <t>Base Set Blister Pack [1st Edition]</t>
        </is>
      </c>
      <c r="B2689" s="3">
        <f>IF(H2689&lt;&gt;"",H2689,IF(I2689&lt;&gt;"",I2689,IF(J2689&lt;&gt;"",J2689,K2689)))</f>
        <v>10400.0</v>
      </c>
      <c r="C2689" s="3">
        <f>MEDIAN(H2689:K2689)</f>
        <v>10400.0</v>
      </c>
      <c r="D2689" s="3">
        <f>ROUND(C2689*(1-Settings!$B$2),2)</f>
        <v>7280.0</v>
      </c>
      <c r="E2689" s="2" t="inlineStr">
        <is>
          <t>Pokemon</t>
        </is>
      </c>
      <c r="F2689" s="2" t="inlineStr">
        <is>
          <t>Pack</t>
        </is>
      </c>
      <c r="G2689" s="2" t="inlineStr">
        <is>
          <t>Base Set</t>
        </is>
      </c>
      <c r="H2689" s="3" t="n">
        <v>10400</v>
      </c>
      <c r="I2689" s="3" t="n"/>
      <c r="J2689" s="3" t="n"/>
      <c r="K2689" s="3" t="n"/>
      <c r="L2689" s="2" t="inlineStr">
        <is>
          <t>PriceCharting</t>
        </is>
      </c>
      <c r="M2689" s="4" t="inlineStr">
        <is>
          <t>https://www.pricecharting.com/game/pokemon-base-set/blister-pack-1st-edition</t>
        </is>
      </c>
    </row>
    <row r="2690">
      <c r="A2690" s="2" t="inlineStr">
        <is>
          <t>Base Set Blister Pack [Shadowless]</t>
        </is>
      </c>
      <c r="B2690" s="3">
        <f>IF(H2690&lt;&gt;"",H2690,IF(I2690&lt;&gt;"",I2690,IF(J2690&lt;&gt;"",J2690,K2690)))</f>
        <v>2119.03</v>
      </c>
      <c r="C2690" s="3">
        <f>MEDIAN(H2690:K2690)</f>
        <v>2119.03</v>
      </c>
      <c r="D2690" s="3">
        <f>ROUND(C2690*(1-Settings!$B$2),2)</f>
        <v>1483.32</v>
      </c>
      <c r="E2690" s="2" t="inlineStr">
        <is>
          <t>Pokemon</t>
        </is>
      </c>
      <c r="F2690" s="2" t="inlineStr">
        <is>
          <t>Pack</t>
        </is>
      </c>
      <c r="G2690" s="2" t="inlineStr">
        <is>
          <t>Base Set</t>
        </is>
      </c>
      <c r="H2690" s="3" t="n">
        <v>2119.03</v>
      </c>
      <c r="I2690" s="3" t="n"/>
      <c r="J2690" s="3" t="n"/>
      <c r="K2690" s="3" t="n"/>
      <c r="L2690" s="2" t="inlineStr">
        <is>
          <t>PriceCharting</t>
        </is>
      </c>
      <c r="M2690" s="4" t="inlineStr">
        <is>
          <t>https://www.pricecharting.com/game/pokemon-base-set/blister-pack-shadowless</t>
        </is>
      </c>
    </row>
    <row r="2691">
      <c r="A2691" s="2" t="inlineStr">
        <is>
          <t>Base Set Booster Pack</t>
        </is>
      </c>
      <c r="B2691" s="3">
        <f>IF(H2691&lt;&gt;"",H2691,IF(I2691&lt;&gt;"",I2691,IF(J2691&lt;&gt;"",J2691,K2691)))</f>
        <v>673.47</v>
      </c>
      <c r="C2691" s="3">
        <f>MEDIAN(H2691:K2691)</f>
        <v>673.47</v>
      </c>
      <c r="D2691" s="3">
        <f>ROUND(C2691*(1-Settings!$B$2),2)</f>
        <v>471.43</v>
      </c>
      <c r="E2691" s="2" t="inlineStr">
        <is>
          <t>Pokemon</t>
        </is>
      </c>
      <c r="F2691" s="2" t="inlineStr">
        <is>
          <t>Pack</t>
        </is>
      </c>
      <c r="G2691" s="2" t="inlineStr">
        <is>
          <t>Base Set</t>
        </is>
      </c>
      <c r="H2691" s="3" t="n">
        <v>673.47</v>
      </c>
      <c r="I2691" s="3" t="n"/>
      <c r="J2691" s="3" t="n"/>
      <c r="K2691" s="3" t="n"/>
      <c r="L2691" s="2" t="inlineStr">
        <is>
          <t>PriceCharting</t>
        </is>
      </c>
      <c r="M2691" s="4" t="inlineStr">
        <is>
          <t>https://www.pricecharting.com/game/pokemon-base-set/booster-pack</t>
        </is>
      </c>
    </row>
    <row r="2692">
      <c r="A2692" s="2" t="inlineStr">
        <is>
          <t>Base Set Booster Pack [1st Edition]</t>
        </is>
      </c>
      <c r="B2692" s="3">
        <f>IF(H2692&lt;&gt;"",H2692,IF(I2692&lt;&gt;"",I2692,IF(J2692&lt;&gt;"",J2692,K2692)))</f>
        <v>6468.68</v>
      </c>
      <c r="C2692" s="3">
        <f>MEDIAN(H2692:K2692)</f>
        <v>6468.68</v>
      </c>
      <c r="D2692" s="3">
        <f>ROUND(C2692*(1-Settings!$B$2),2)</f>
        <v>4528.08</v>
      </c>
      <c r="E2692" s="2" t="inlineStr">
        <is>
          <t>Pokemon</t>
        </is>
      </c>
      <c r="F2692" s="2" t="inlineStr">
        <is>
          <t>Pack</t>
        </is>
      </c>
      <c r="G2692" s="2" t="inlineStr">
        <is>
          <t>Base Set</t>
        </is>
      </c>
      <c r="H2692" s="3" t="n">
        <v>6468.68</v>
      </c>
      <c r="I2692" s="3" t="n"/>
      <c r="J2692" s="3" t="n"/>
      <c r="K2692" s="3" t="n"/>
      <c r="L2692" s="2" t="inlineStr">
        <is>
          <t>PriceCharting</t>
        </is>
      </c>
      <c r="M2692" s="4" t="inlineStr">
        <is>
          <t>https://www.pricecharting.com/game/pokemon-base-set/booster-pack-1st-edition</t>
        </is>
      </c>
    </row>
    <row r="2693">
      <c r="A2693" s="2" t="inlineStr">
        <is>
          <t>Base Set Booster Pack [Revised Unlimited Edition]</t>
        </is>
      </c>
      <c r="B2693" s="3">
        <f>IF(H2693&lt;&gt;"",H2693,IF(I2693&lt;&gt;"",I2693,IF(J2693&lt;&gt;"",J2693,K2693)))</f>
        <v>927.56</v>
      </c>
      <c r="C2693" s="3">
        <f>MEDIAN(H2693:K2693)</f>
        <v>949.99</v>
      </c>
      <c r="D2693" s="3">
        <f>ROUND(C2693*(1-Settings!$B$2),2)</f>
        <v>664.99</v>
      </c>
      <c r="E2693" s="2" t="inlineStr">
        <is>
          <t>Pokemon</t>
        </is>
      </c>
      <c r="F2693" s="2" t="inlineStr">
        <is>
          <t>Pack</t>
        </is>
      </c>
      <c r="G2693" s="2" t="inlineStr">
        <is>
          <t>Base Set</t>
        </is>
      </c>
      <c r="H2693" s="3" t="n"/>
      <c r="I2693" s="3" t="n">
        <v>927.5599999999999</v>
      </c>
      <c r="J2693" s="3" t="n">
        <v>990</v>
      </c>
      <c r="K2693" s="3" t="n">
        <v>949.99</v>
      </c>
      <c r="L2693" s="2" t="inlineStr">
        <is>
          <t>TCGplayer</t>
        </is>
      </c>
      <c r="N2693" s="4" t="inlineStr">
        <is>
          <t>https://www.tcgplayer.com/product/138130</t>
        </is>
      </c>
    </row>
    <row r="2694">
      <c r="A2694" s="2" t="inlineStr">
        <is>
          <t>Base Set Booster Pack [Shadowless]</t>
        </is>
      </c>
      <c r="B2694" s="3">
        <f>IF(H2694&lt;&gt;"",H2694,IF(I2694&lt;&gt;"",I2694,IF(J2694&lt;&gt;"",J2694,K2694)))</f>
        <v>3529.21</v>
      </c>
      <c r="C2694" s="3">
        <f>MEDIAN(H2694:K2694)</f>
        <v>3529.21</v>
      </c>
      <c r="D2694" s="3">
        <f>ROUND(C2694*(1-Settings!$B$2),2)</f>
        <v>2470.45</v>
      </c>
      <c r="E2694" s="2" t="inlineStr">
        <is>
          <t>Pokemon</t>
        </is>
      </c>
      <c r="F2694" s="2" t="inlineStr">
        <is>
          <t>Pack</t>
        </is>
      </c>
      <c r="G2694" s="2" t="inlineStr">
        <is>
          <t>Base Set</t>
        </is>
      </c>
      <c r="H2694" s="3" t="n">
        <v>3529.21</v>
      </c>
      <c r="I2694" s="3" t="n"/>
      <c r="J2694" s="3" t="n"/>
      <c r="K2694" s="3" t="n"/>
      <c r="L2694" s="2" t="inlineStr">
        <is>
          <t>PriceCharting</t>
        </is>
      </c>
      <c r="M2694" s="4" t="inlineStr">
        <is>
          <t>https://www.pricecharting.com/game/pokemon-base-set/booster-pack-shadowless</t>
        </is>
      </c>
    </row>
    <row r="2695">
      <c r="A2695" s="2" t="inlineStr">
        <is>
          <t>Base Set Booster Pack [Triangle Error]</t>
        </is>
      </c>
      <c r="B2695" s="3">
        <f>IF(H2695&lt;&gt;"",H2695,IF(I2695&lt;&gt;"",I2695,IF(J2695&lt;&gt;"",J2695,K2695)))</f>
        <v>1135.97</v>
      </c>
      <c r="C2695" s="3">
        <f>MEDIAN(H2695:K2695)</f>
        <v>1135.97</v>
      </c>
      <c r="D2695" s="3">
        <f>ROUND(C2695*(1-Settings!$B$2),2)</f>
        <v>795.18</v>
      </c>
      <c r="E2695" s="2" t="inlineStr">
        <is>
          <t>Pokemon</t>
        </is>
      </c>
      <c r="F2695" s="2" t="inlineStr">
        <is>
          <t>Pack</t>
        </is>
      </c>
      <c r="G2695" s="2" t="inlineStr">
        <is>
          <t>Base Set</t>
        </is>
      </c>
      <c r="H2695" s="3" t="n">
        <v>1135.97</v>
      </c>
      <c r="I2695" s="3" t="n"/>
      <c r="J2695" s="3" t="n"/>
      <c r="K2695" s="3" t="n"/>
      <c r="L2695" s="2" t="inlineStr">
        <is>
          <t>PriceCharting</t>
        </is>
      </c>
      <c r="M2695" s="4" t="inlineStr">
        <is>
          <t>https://www.pricecharting.com/game/pokemon-base-set/booster-pack-triangle-error</t>
        </is>
      </c>
    </row>
    <row r="2696">
      <c r="A2696" s="2" t="inlineStr">
        <is>
          <t>Base Set Plastic Pack Demo Game</t>
        </is>
      </c>
      <c r="B2696" s="3">
        <f>IF(H2696&lt;&gt;"",H2696,IF(I2696&lt;&gt;"",I2696,IF(J2696&lt;&gt;"",J2696,K2696)))</f>
        <v>2995.99</v>
      </c>
      <c r="C2696" s="3">
        <f>MEDIAN(H2696:K2696)</f>
        <v>2995.99</v>
      </c>
      <c r="D2696" s="3">
        <f>ROUND(C2696*(1-Settings!$B$2),2)</f>
        <v>2097.19</v>
      </c>
      <c r="E2696" s="2" t="inlineStr">
        <is>
          <t>Pokemon</t>
        </is>
      </c>
      <c r="F2696" s="2" t="inlineStr">
        <is>
          <t>Pack</t>
        </is>
      </c>
      <c r="G2696" s="2" t="inlineStr">
        <is>
          <t>Base Set</t>
        </is>
      </c>
      <c r="H2696" s="3" t="n">
        <v>2995.99</v>
      </c>
      <c r="I2696" s="3" t="n"/>
      <c r="J2696" s="3" t="n"/>
      <c r="K2696" s="3" t="n"/>
      <c r="L2696" s="2" t="inlineStr">
        <is>
          <t>PriceCharting</t>
        </is>
      </c>
      <c r="M2696" s="4" t="inlineStr">
        <is>
          <t>https://www.pricecharting.com/game/pokemon-base-set/plastic-pack-demo-game</t>
        </is>
      </c>
    </row>
    <row r="2697">
      <c r="A2697" s="2" t="inlineStr">
        <is>
          <t>Pokemon Base Set (Shadowless) [1st Edition] Booster Pack</t>
        </is>
      </c>
      <c r="B2697" s="3">
        <f>IF(H2697&lt;&gt;"",H2697,IF(I2697&lt;&gt;"",I2697,IF(J2697&lt;&gt;"",J2697,K2697)))</f>
        <v>17500.0</v>
      </c>
      <c r="C2697" s="3">
        <f>MEDIAN(H2697:K2697)</f>
        <v>16250.0</v>
      </c>
      <c r="D2697" s="3">
        <f>ROUND(C2697*(1-Settings!$B$2),2)</f>
        <v>11375.0</v>
      </c>
      <c r="E2697" s="2" t="inlineStr">
        <is>
          <t>Pokemon</t>
        </is>
      </c>
      <c r="F2697" s="2" t="inlineStr">
        <is>
          <t>Pack</t>
        </is>
      </c>
      <c r="G2697" s="2" t="inlineStr">
        <is>
          <t>Base Set (Shadowless)</t>
        </is>
      </c>
      <c r="H2697" s="3" t="n"/>
      <c r="I2697" s="3" t="n"/>
      <c r="J2697" s="3" t="n">
        <v>17500</v>
      </c>
      <c r="K2697" s="3" t="n">
        <v>15000</v>
      </c>
      <c r="L2697" s="2" t="inlineStr">
        <is>
          <t>TCGplayer</t>
        </is>
      </c>
      <c r="N2697" s="4" t="inlineStr">
        <is>
          <t>https://www.tcgplayer.com/product/138132</t>
        </is>
      </c>
    </row>
    <row r="2698">
      <c r="A2698" s="2" t="inlineStr">
        <is>
          <t>Pokemon Base Set (Shadowless) [Unlimited Edition] Booster Pack</t>
        </is>
      </c>
      <c r="B2698" s="3">
        <f>IF(H2698&lt;&gt;"",H2698,IF(I2698&lt;&gt;"",I2698,IF(J2698&lt;&gt;"",J2698,K2698)))</f>
        <v>5000.0</v>
      </c>
      <c r="C2698" s="3">
        <f>MEDIAN(H2698:K2698)</f>
        <v>4499.995</v>
      </c>
      <c r="D2698" s="3">
        <f>ROUND(C2698*(1-Settings!$B$2),2)</f>
        <v>3150.0</v>
      </c>
      <c r="E2698" s="2" t="inlineStr">
        <is>
          <t>Pokemon</t>
        </is>
      </c>
      <c r="F2698" s="2" t="inlineStr">
        <is>
          <t>Pack</t>
        </is>
      </c>
      <c r="G2698" s="2" t="inlineStr">
        <is>
          <t>Base Set (Shadowless)</t>
        </is>
      </c>
      <c r="H2698" s="3" t="n"/>
      <c r="I2698" s="3" t="n"/>
      <c r="J2698" s="3" t="n">
        <v>5000</v>
      </c>
      <c r="K2698" s="3" t="n">
        <v>3999.99</v>
      </c>
      <c r="L2698" s="2" t="inlineStr">
        <is>
          <t>TCGplayer</t>
        </is>
      </c>
      <c r="N2698" s="4" t="inlineStr">
        <is>
          <t>https://www.tcgplayer.com/product/138131</t>
        </is>
      </c>
    </row>
    <row r="2699">
      <c r="A2699" s="2" t="inlineStr">
        <is>
          <t>Base Set 2 Booster Pack</t>
        </is>
      </c>
      <c r="B2699" s="3">
        <f>IF(H2699&lt;&gt;"",H2699,IF(I2699&lt;&gt;"",I2699,IF(J2699&lt;&gt;"",J2699,K2699)))</f>
        <v>316.0</v>
      </c>
      <c r="C2699" s="3">
        <f>MEDIAN(H2699:K2699)</f>
        <v>443.37</v>
      </c>
      <c r="D2699" s="3">
        <f>ROUND(C2699*(1-Settings!$B$2),2)</f>
        <v>310.36</v>
      </c>
      <c r="E2699" s="2" t="inlineStr">
        <is>
          <t>Pokemon</t>
        </is>
      </c>
      <c r="F2699" s="2" t="inlineStr">
        <is>
          <t>Pack</t>
        </is>
      </c>
      <c r="G2699" s="2" t="inlineStr">
        <is>
          <t>Base Set 2</t>
        </is>
      </c>
      <c r="H2699" s="3" t="n">
        <v>316</v>
      </c>
      <c r="I2699" s="3" t="n">
        <v>436.74</v>
      </c>
      <c r="J2699" s="3" t="n">
        <v>489.99</v>
      </c>
      <c r="K2699" s="3" t="n">
        <v>450</v>
      </c>
      <c r="L2699" s="2" t="inlineStr">
        <is>
          <t>PriceCharting + TCGplayer</t>
        </is>
      </c>
      <c r="M2699" s="4" t="inlineStr">
        <is>
          <t>https://www.pricecharting.com/game/pokemon-base-set-2/booster-pack</t>
        </is>
      </c>
      <c r="N2699" s="4" t="inlineStr">
        <is>
          <t>https://www.tcgplayer.com/product/138149</t>
        </is>
      </c>
    </row>
    <row r="2700">
      <c r="A2700" s="2" t="inlineStr">
        <is>
          <t>Battle Styles Blister Pack</t>
        </is>
      </c>
      <c r="B2700" s="3">
        <f>IF(H2700&lt;&gt;"",H2700,IF(I2700&lt;&gt;"",I2700,IF(J2700&lt;&gt;"",J2700,K2700)))</f>
        <v>46.0</v>
      </c>
      <c r="C2700" s="3">
        <f>MEDIAN(H2700:K2700)</f>
        <v>46.0</v>
      </c>
      <c r="D2700" s="3">
        <f>ROUND(C2700*(1-Settings!$B$2),2)</f>
        <v>32.2</v>
      </c>
      <c r="E2700" s="2" t="inlineStr">
        <is>
          <t>Pokemon</t>
        </is>
      </c>
      <c r="F2700" s="2" t="inlineStr">
        <is>
          <t>Pack</t>
        </is>
      </c>
      <c r="G2700" s="2" t="inlineStr">
        <is>
          <t>Battle Styles</t>
        </is>
      </c>
      <c r="H2700" s="3" t="n">
        <v>46</v>
      </c>
      <c r="I2700" s="3" t="n"/>
      <c r="J2700" s="3" t="n"/>
      <c r="K2700" s="3" t="n"/>
      <c r="L2700" s="2" t="inlineStr">
        <is>
          <t>PriceCharting</t>
        </is>
      </c>
      <c r="M2700" s="4" t="inlineStr">
        <is>
          <t>https://www.pricecharting.com/game/pokemon-battle-styles/blister-pack</t>
        </is>
      </c>
    </row>
    <row r="2701">
      <c r="A2701" s="2" t="inlineStr">
        <is>
          <t>Black and White Preview Pack</t>
        </is>
      </c>
      <c r="B2701" s="3">
        <f>IF(H2701&lt;&gt;"",H2701,IF(I2701&lt;&gt;"",I2701,IF(J2701&lt;&gt;"",J2701,K2701)))</f>
        <v>36.0</v>
      </c>
      <c r="C2701" s="3">
        <f>MEDIAN(H2701:K2701)</f>
        <v>36.0</v>
      </c>
      <c r="D2701" s="3">
        <f>ROUND(C2701*(1-Settings!$B$2),2)</f>
        <v>25.2</v>
      </c>
      <c r="E2701" s="2" t="inlineStr">
        <is>
          <t>Pokemon</t>
        </is>
      </c>
      <c r="F2701" s="2" t="inlineStr">
        <is>
          <t>Pack</t>
        </is>
      </c>
      <c r="G2701" s="2" t="inlineStr">
        <is>
          <t>Black and White</t>
        </is>
      </c>
      <c r="H2701" s="3" t="n"/>
      <c r="I2701" s="3" t="n">
        <v>36</v>
      </c>
      <c r="J2701" s="3" t="n">
        <v>36</v>
      </c>
      <c r="K2701" s="3" t="n">
        <v>25</v>
      </c>
      <c r="L2701" s="2" t="inlineStr">
        <is>
          <t>TCGplayer</t>
        </is>
      </c>
      <c r="N2701" s="4" t="inlineStr">
        <is>
          <t>https://www.tcgplayer.com/product/647775</t>
        </is>
      </c>
    </row>
    <row r="2702">
      <c r="A2702" s="2" t="inlineStr">
        <is>
          <t>Boundaries Crossed Blister Pack</t>
        </is>
      </c>
      <c r="B2702" s="3">
        <f>IF(H2702&lt;&gt;"",H2702,IF(I2702&lt;&gt;"",I2702,IF(J2702&lt;&gt;"",J2702,K2702)))</f>
        <v>687.42</v>
      </c>
      <c r="C2702" s="3">
        <f>MEDIAN(H2702:K2702)</f>
        <v>687.42</v>
      </c>
      <c r="D2702" s="3">
        <f>ROUND(C2702*(1-Settings!$B$2),2)</f>
        <v>481.19</v>
      </c>
      <c r="E2702" s="2" t="inlineStr">
        <is>
          <t>Pokemon</t>
        </is>
      </c>
      <c r="F2702" s="2" t="inlineStr">
        <is>
          <t>Pack</t>
        </is>
      </c>
      <c r="G2702" s="2" t="inlineStr">
        <is>
          <t>Boundaries Crossed</t>
        </is>
      </c>
      <c r="H2702" s="3" t="n">
        <v>687.42</v>
      </c>
      <c r="I2702" s="3" t="n"/>
      <c r="J2702" s="3" t="n"/>
      <c r="K2702" s="3" t="n"/>
      <c r="L2702" s="2" t="inlineStr">
        <is>
          <t>PriceCharting</t>
        </is>
      </c>
      <c r="M2702" s="4" t="inlineStr">
        <is>
          <t>https://www.pricecharting.com/game/pokemon-boundaries-crossed/blister-pack</t>
        </is>
      </c>
    </row>
    <row r="2703">
      <c r="A2703" s="2" t="inlineStr">
        <is>
          <t>Boundaries Crossed Booster Pack</t>
        </is>
      </c>
      <c r="B2703" s="3">
        <f>IF(H2703&lt;&gt;"",H2703,IF(I2703&lt;&gt;"",I2703,IF(J2703&lt;&gt;"",J2703,K2703)))</f>
        <v>204.63</v>
      </c>
      <c r="C2703" s="3">
        <f>MEDIAN(H2703:K2703)</f>
        <v>239.695</v>
      </c>
      <c r="D2703" s="3">
        <f>ROUND(C2703*(1-Settings!$B$2),2)</f>
        <v>167.79</v>
      </c>
      <c r="E2703" s="2" t="inlineStr">
        <is>
          <t>Pokemon</t>
        </is>
      </c>
      <c r="F2703" s="2" t="inlineStr">
        <is>
          <t>Pack</t>
        </is>
      </c>
      <c r="G2703" s="2" t="inlineStr">
        <is>
          <t>Boundaries Crossed</t>
        </is>
      </c>
      <c r="H2703" s="3" t="n">
        <v>204.63</v>
      </c>
      <c r="I2703" s="3" t="n">
        <v>234.39</v>
      </c>
      <c r="J2703" s="3" t="n">
        <v>251.95</v>
      </c>
      <c r="K2703" s="3" t="n">
        <v>245</v>
      </c>
      <c r="L2703" s="2" t="inlineStr">
        <is>
          <t>PriceCharting + TCGplayer</t>
        </is>
      </c>
      <c r="M2703" s="4" t="inlineStr">
        <is>
          <t>https://www.pricecharting.com/game/pokemon-boundaries-crossed/booster-pack</t>
        </is>
      </c>
      <c r="N2703" s="4" t="inlineStr">
        <is>
          <t>https://www.tcgplayer.com/product/98554</t>
        </is>
      </c>
    </row>
    <row r="2704">
      <c r="A2704" s="2" t="inlineStr">
        <is>
          <t>Breakpoint 3 Card Pack</t>
        </is>
      </c>
      <c r="B2704" s="3">
        <f>IF(H2704&lt;&gt;"",H2704,IF(I2704&lt;&gt;"",I2704,IF(J2704&lt;&gt;"",J2704,K2704)))</f>
        <v>8.5</v>
      </c>
      <c r="C2704" s="3">
        <f>MEDIAN(H2704:K2704)</f>
        <v>8.5</v>
      </c>
      <c r="D2704" s="3">
        <f>ROUND(C2704*(1-Settings!$B$2),2)</f>
        <v>5.95</v>
      </c>
      <c r="E2704" s="2" t="inlineStr">
        <is>
          <t>Pokemon</t>
        </is>
      </c>
      <c r="F2704" s="2" t="inlineStr">
        <is>
          <t>Pack</t>
        </is>
      </c>
      <c r="G2704" s="2" t="inlineStr">
        <is>
          <t>Breakpoint</t>
        </is>
      </c>
      <c r="H2704" s="3" t="n">
        <v>8.5</v>
      </c>
      <c r="I2704" s="3" t="n"/>
      <c r="J2704" s="3" t="n"/>
      <c r="K2704" s="3" t="n"/>
      <c r="L2704" s="2" t="inlineStr">
        <is>
          <t>PriceCharting</t>
        </is>
      </c>
      <c r="M2704" s="4" t="inlineStr">
        <is>
          <t>https://www.pricecharting.com/game/pokemon-breakpoint/3-card-pack</t>
        </is>
      </c>
    </row>
    <row r="2705">
      <c r="A2705" s="2" t="inlineStr">
        <is>
          <t>Breakpoint Blister Pack: Pikachu</t>
        </is>
      </c>
      <c r="B2705" s="3">
        <f>IF(H2705&lt;&gt;"",H2705,IF(I2705&lt;&gt;"",I2705,IF(J2705&lt;&gt;"",J2705,K2705)))</f>
        <v>375.0</v>
      </c>
      <c r="C2705" s="3">
        <f>MEDIAN(H2705:K2705)</f>
        <v>375.0</v>
      </c>
      <c r="D2705" s="3">
        <f>ROUND(C2705*(1-Settings!$B$2),2)</f>
        <v>262.5</v>
      </c>
      <c r="E2705" s="2" t="inlineStr">
        <is>
          <t>Pokemon</t>
        </is>
      </c>
      <c r="F2705" s="2" t="inlineStr">
        <is>
          <t>Pack</t>
        </is>
      </c>
      <c r="G2705" s="2" t="inlineStr">
        <is>
          <t>Breakpoint</t>
        </is>
      </c>
      <c r="H2705" s="3" t="n">
        <v>375</v>
      </c>
      <c r="I2705" s="3" t="n"/>
      <c r="J2705" s="3" t="n"/>
      <c r="K2705" s="3" t="n"/>
      <c r="L2705" s="2" t="inlineStr">
        <is>
          <t>PriceCharting</t>
        </is>
      </c>
      <c r="M2705" s="4" t="inlineStr">
        <is>
          <t>https://www.pricecharting.com/game/pokemon-breakpoint/blister-pack-pikachu</t>
        </is>
      </c>
    </row>
    <row r="2706">
      <c r="A2706" s="2" t="inlineStr">
        <is>
          <t>Breakpoint Booster Pack</t>
        </is>
      </c>
      <c r="B2706" s="3">
        <f>IF(H2706&lt;&gt;"",H2706,IF(I2706&lt;&gt;"",I2706,IF(J2706&lt;&gt;"",J2706,K2706)))</f>
        <v>45.95</v>
      </c>
      <c r="C2706" s="3">
        <f>MEDIAN(H2706:K2706)</f>
        <v>45.95</v>
      </c>
      <c r="D2706" s="3">
        <f>ROUND(C2706*(1-Settings!$B$2),2)</f>
        <v>32.17</v>
      </c>
      <c r="E2706" s="2" t="inlineStr">
        <is>
          <t>Pokemon</t>
        </is>
      </c>
      <c r="F2706" s="2" t="inlineStr">
        <is>
          <t>Pack</t>
        </is>
      </c>
      <c r="G2706" s="2" t="inlineStr">
        <is>
          <t>Breakpoint</t>
        </is>
      </c>
      <c r="H2706" s="3" t="n">
        <v>45.95</v>
      </c>
      <c r="I2706" s="3" t="n"/>
      <c r="J2706" s="3" t="n"/>
      <c r="K2706" s="3" t="n"/>
      <c r="L2706" s="2" t="inlineStr">
        <is>
          <t>PriceCharting</t>
        </is>
      </c>
      <c r="M2706" s="4" t="inlineStr">
        <is>
          <t>https://www.pricecharting.com/game/pokemon-breakpoint/booster-pack</t>
        </is>
      </c>
    </row>
    <row r="2707">
      <c r="A2707" s="2" t="inlineStr">
        <is>
          <t>Breakpoint Sleeved Booster Pack</t>
        </is>
      </c>
      <c r="B2707" s="3">
        <f>IF(H2707&lt;&gt;"",H2707,IF(I2707&lt;&gt;"",I2707,IF(J2707&lt;&gt;"",J2707,K2707)))</f>
        <v>55.69</v>
      </c>
      <c r="C2707" s="3">
        <f>MEDIAN(H2707:K2707)</f>
        <v>55.69</v>
      </c>
      <c r="D2707" s="3">
        <f>ROUND(C2707*(1-Settings!$B$2),2)</f>
        <v>38.98</v>
      </c>
      <c r="E2707" s="2" t="inlineStr">
        <is>
          <t>Pokemon</t>
        </is>
      </c>
      <c r="F2707" s="2" t="inlineStr">
        <is>
          <t>Pack</t>
        </is>
      </c>
      <c r="G2707" s="2" t="inlineStr">
        <is>
          <t>Breakpoint</t>
        </is>
      </c>
      <c r="H2707" s="3" t="n">
        <v>55.69</v>
      </c>
      <c r="I2707" s="3" t="n"/>
      <c r="J2707" s="3" t="n"/>
      <c r="K2707" s="3" t="n"/>
      <c r="L2707" s="2" t="inlineStr">
        <is>
          <t>PriceCharting</t>
        </is>
      </c>
      <c r="M2707" s="4" t="inlineStr">
        <is>
          <t>https://www.pricecharting.com/game/pokemon-breakpoint/sleeved-booster-pack</t>
        </is>
      </c>
    </row>
    <row r="2708">
      <c r="A2708" s="2" t="inlineStr">
        <is>
          <t>Breakthrough Sealed Booster Pack</t>
        </is>
      </c>
      <c r="B2708" s="3">
        <f>IF(H2708&lt;&gt;"",H2708,IF(I2708&lt;&gt;"",I2708,IF(J2708&lt;&gt;"",J2708,K2708)))</f>
        <v>60.0</v>
      </c>
      <c r="C2708" s="3">
        <f>MEDIAN(H2708:K2708)</f>
        <v>60.0</v>
      </c>
      <c r="D2708" s="3">
        <f>ROUND(C2708*(1-Settings!$B$2),2)</f>
        <v>42.0</v>
      </c>
      <c r="E2708" s="2" t="inlineStr">
        <is>
          <t>Pokemon</t>
        </is>
      </c>
      <c r="F2708" s="2" t="inlineStr">
        <is>
          <t>Pack</t>
        </is>
      </c>
      <c r="G2708" s="2" t="inlineStr">
        <is>
          <t>Breakthrough</t>
        </is>
      </c>
      <c r="H2708" s="3" t="n">
        <v>60</v>
      </c>
      <c r="I2708" s="3" t="n"/>
      <c r="J2708" s="3" t="n"/>
      <c r="K2708" s="3" t="n"/>
      <c r="L2708" s="2" t="inlineStr">
        <is>
          <t>PriceCharting</t>
        </is>
      </c>
      <c r="M2708" s="4" t="inlineStr">
        <is>
          <t>https://www.pricecharting.com/game/pokemon-breakthrough/sealed-booster-pack</t>
        </is>
      </c>
    </row>
    <row r="2709">
      <c r="A2709" s="2" t="inlineStr">
        <is>
          <t>Brilliant Stars Salamence Premium Checklane Blister</t>
        </is>
      </c>
      <c r="B2709" s="3">
        <f>IF(H2709&lt;&gt;"",H2709,IF(I2709&lt;&gt;"",I2709,IF(J2709&lt;&gt;"",J2709,K2709)))</f>
        <v>23.28</v>
      </c>
      <c r="C2709" s="3">
        <f>MEDIAN(H2709:K2709)</f>
        <v>23.28</v>
      </c>
      <c r="D2709" s="3">
        <f>ROUND(C2709*(1-Settings!$B$2),2)</f>
        <v>16.3</v>
      </c>
      <c r="E2709" s="2" t="inlineStr">
        <is>
          <t>Pokemon</t>
        </is>
      </c>
      <c r="F2709" s="2" t="inlineStr">
        <is>
          <t>Pack</t>
        </is>
      </c>
      <c r="G2709" s="2" t="inlineStr">
        <is>
          <t>Brilliant Stars</t>
        </is>
      </c>
      <c r="H2709" s="3" t="n">
        <v>23.28</v>
      </c>
      <c r="I2709" s="3" t="n"/>
      <c r="J2709" s="3" t="n"/>
      <c r="K2709" s="3" t="n"/>
      <c r="L2709" s="2" t="inlineStr">
        <is>
          <t>PriceCharting</t>
        </is>
      </c>
      <c r="M2709" s="4" t="inlineStr">
        <is>
          <t>https://www.pricecharting.com/game/pokemon-brilliant-stars/salamence-premium-checklane-blister</t>
        </is>
      </c>
    </row>
    <row r="2710">
      <c r="A2710" s="2" t="inlineStr">
        <is>
          <t>Burning Shadows Blister Pack</t>
        </is>
      </c>
      <c r="B2710" s="3">
        <f>IF(H2710&lt;&gt;"",H2710,IF(I2710&lt;&gt;"",I2710,IF(J2710&lt;&gt;"",J2710,K2710)))</f>
        <v>77.0</v>
      </c>
      <c r="C2710" s="3">
        <f>MEDIAN(H2710:K2710)</f>
        <v>77.0</v>
      </c>
      <c r="D2710" s="3">
        <f>ROUND(C2710*(1-Settings!$B$2),2)</f>
        <v>53.9</v>
      </c>
      <c r="E2710" s="2" t="inlineStr">
        <is>
          <t>Pokemon</t>
        </is>
      </c>
      <c r="F2710" s="2" t="inlineStr">
        <is>
          <t>Pack</t>
        </is>
      </c>
      <c r="G2710" s="2" t="inlineStr">
        <is>
          <t>Burning Shadows</t>
        </is>
      </c>
      <c r="H2710" s="3" t="n">
        <v>77</v>
      </c>
      <c r="I2710" s="3" t="n"/>
      <c r="J2710" s="3" t="n"/>
      <c r="K2710" s="3" t="n"/>
      <c r="L2710" s="2" t="inlineStr">
        <is>
          <t>PriceCharting</t>
        </is>
      </c>
      <c r="M2710" s="4" t="inlineStr">
        <is>
          <t>https://www.pricecharting.com/game/pokemon-burning-shadows/blister-pack</t>
        </is>
      </c>
    </row>
    <row r="2711">
      <c r="A2711" s="2" t="inlineStr">
        <is>
          <t>Call Of Legends Blister Pack</t>
        </is>
      </c>
      <c r="B2711" s="3">
        <f>IF(H2711&lt;&gt;"",H2711,IF(I2711&lt;&gt;"",I2711,IF(J2711&lt;&gt;"",J2711,K2711)))</f>
        <v>1833.44</v>
      </c>
      <c r="C2711" s="3">
        <f>MEDIAN(H2711:K2711)</f>
        <v>1833.44</v>
      </c>
      <c r="D2711" s="3">
        <f>ROUND(C2711*(1-Settings!$B$2),2)</f>
        <v>1283.41</v>
      </c>
      <c r="E2711" s="2" t="inlineStr">
        <is>
          <t>Pokemon</t>
        </is>
      </c>
      <c r="F2711" s="2" t="inlineStr">
        <is>
          <t>Pack</t>
        </is>
      </c>
      <c r="G2711" s="2" t="inlineStr">
        <is>
          <t>Call Of Legends</t>
        </is>
      </c>
      <c r="H2711" s="3" t="n">
        <v>1833.44</v>
      </c>
      <c r="I2711" s="3" t="n"/>
      <c r="J2711" s="3" t="n"/>
      <c r="K2711" s="3" t="n"/>
      <c r="L2711" s="2" t="inlineStr">
        <is>
          <t>PriceCharting</t>
        </is>
      </c>
      <c r="M2711" s="4" t="inlineStr">
        <is>
          <t>https://www.pricecharting.com/game/pokemon-call-of-legends/blister-pack</t>
        </is>
      </c>
    </row>
    <row r="2712">
      <c r="A2712" s="2" t="inlineStr">
        <is>
          <t>Call of Legends Booster Pack</t>
        </is>
      </c>
      <c r="B2712" s="3">
        <f>IF(H2712&lt;&gt;"",H2712,IF(I2712&lt;&gt;"",I2712,IF(J2712&lt;&gt;"",J2712,K2712)))</f>
        <v>818.39</v>
      </c>
      <c r="C2712" s="3">
        <f>MEDIAN(H2712:K2712)</f>
        <v>1657.4199999999998</v>
      </c>
      <c r="D2712" s="3">
        <f>ROUND(C2712*(1-Settings!$B$2),2)</f>
        <v>1160.19</v>
      </c>
      <c r="E2712" s="2" t="inlineStr">
        <is>
          <t>Pokemon</t>
        </is>
      </c>
      <c r="F2712" s="2" t="inlineStr">
        <is>
          <t>Pack</t>
        </is>
      </c>
      <c r="G2712" s="2" t="inlineStr">
        <is>
          <t>Call of Legends</t>
        </is>
      </c>
      <c r="H2712" s="3" t="n">
        <v>818.39</v>
      </c>
      <c r="I2712" s="3" t="n">
        <v>1114.85</v>
      </c>
      <c r="J2712" s="3" t="n">
        <v>2199.99</v>
      </c>
      <c r="K2712" s="3" t="n">
        <v>2199.99</v>
      </c>
      <c r="L2712" s="2" t="inlineStr">
        <is>
          <t>PriceCharting + TCGplayer</t>
        </is>
      </c>
      <c r="M2712" s="4" t="inlineStr">
        <is>
          <t>https://www.pricecharting.com/game/pokemon-call-of-legends/booster-pack</t>
        </is>
      </c>
      <c r="N2712" s="4" t="inlineStr">
        <is>
          <t>https://www.tcgplayer.com/product/98515</t>
        </is>
      </c>
    </row>
    <row r="2713">
      <c r="A2713" s="2" t="inlineStr">
        <is>
          <t>Celebrations Booster Pack</t>
        </is>
      </c>
      <c r="B2713" s="3">
        <f>IF(H2713&lt;&gt;"",H2713,IF(I2713&lt;&gt;"",I2713,IF(J2713&lt;&gt;"",J2713,K2713)))</f>
        <v>31.0</v>
      </c>
      <c r="C2713" s="3">
        <f>MEDIAN(H2713:K2713)</f>
        <v>32.425</v>
      </c>
      <c r="D2713" s="3">
        <f>ROUND(C2713*(1-Settings!$B$2),2)</f>
        <v>22.7</v>
      </c>
      <c r="E2713" s="2" t="inlineStr">
        <is>
          <t>Pokemon</t>
        </is>
      </c>
      <c r="F2713" s="2" t="inlineStr">
        <is>
          <t>Pack</t>
        </is>
      </c>
      <c r="G2713" s="2" t="inlineStr">
        <is>
          <t>Celebrations</t>
        </is>
      </c>
      <c r="H2713" s="3" t="n">
        <v>31</v>
      </c>
      <c r="I2713" s="3" t="n">
        <v>33.85</v>
      </c>
      <c r="J2713" s="3" t="n">
        <v>42.02</v>
      </c>
      <c r="K2713" s="3" t="n">
        <v>18.99</v>
      </c>
      <c r="L2713" s="2" t="inlineStr">
        <is>
          <t>PriceCharting + TCGplayer</t>
        </is>
      </c>
      <c r="M2713" s="4" t="inlineStr">
        <is>
          <t>https://www.pricecharting.com/game/pokemon-celebrations/booster-pack</t>
        </is>
      </c>
      <c r="N2713" s="4" t="inlineStr">
        <is>
          <t>https://www.tcgplayer.com/product/248577</t>
        </is>
      </c>
    </row>
    <row r="2714">
      <c r="A2714" s="2" t="inlineStr">
        <is>
          <t>Celebrations Booster Pack [General Mills]</t>
        </is>
      </c>
      <c r="B2714" s="3">
        <f>IF(H2714&lt;&gt;"",H2714,IF(I2714&lt;&gt;"",I2714,IF(J2714&lt;&gt;"",J2714,K2714)))</f>
        <v>6.38</v>
      </c>
      <c r="C2714" s="3">
        <f>MEDIAN(H2714:K2714)</f>
        <v>6.38</v>
      </c>
      <c r="D2714" s="3">
        <f>ROUND(C2714*(1-Settings!$B$2),2)</f>
        <v>4.47</v>
      </c>
      <c r="E2714" s="2" t="inlineStr">
        <is>
          <t>Pokemon</t>
        </is>
      </c>
      <c r="F2714" s="2" t="inlineStr">
        <is>
          <t>Pack</t>
        </is>
      </c>
      <c r="G2714" s="2" t="inlineStr">
        <is>
          <t>Celebrations</t>
        </is>
      </c>
      <c r="H2714" s="3" t="n">
        <v>6.38</v>
      </c>
      <c r="I2714" s="3" t="n"/>
      <c r="J2714" s="3" t="n"/>
      <c r="K2714" s="3" t="n"/>
      <c r="L2714" s="2" t="inlineStr">
        <is>
          <t>PriceCharting</t>
        </is>
      </c>
      <c r="M2714" s="4" t="inlineStr">
        <is>
          <t>https://www.pricecharting.com/game/pokemon-celebrations/booster-pack-general-mills</t>
        </is>
      </c>
    </row>
    <row r="2715">
      <c r="A2715" s="2" t="inlineStr">
        <is>
          <t>Celebrations First Partner Pack [Alola]</t>
        </is>
      </c>
      <c r="B2715" s="3">
        <f>IF(H2715&lt;&gt;"",H2715,IF(I2715&lt;&gt;"",I2715,IF(J2715&lt;&gt;"",J2715,K2715)))</f>
        <v>21.27</v>
      </c>
      <c r="C2715" s="3">
        <f>MEDIAN(H2715:K2715)</f>
        <v>21.27</v>
      </c>
      <c r="D2715" s="3">
        <f>ROUND(C2715*(1-Settings!$B$2),2)</f>
        <v>14.89</v>
      </c>
      <c r="E2715" s="2" t="inlineStr">
        <is>
          <t>Pokemon</t>
        </is>
      </c>
      <c r="F2715" s="2" t="inlineStr">
        <is>
          <t>Pack</t>
        </is>
      </c>
      <c r="G2715" s="2" t="inlineStr">
        <is>
          <t>Celebrations</t>
        </is>
      </c>
      <c r="H2715" s="3" t="n">
        <v>21.27</v>
      </c>
      <c r="I2715" s="3" t="n"/>
      <c r="J2715" s="3" t="n"/>
      <c r="K2715" s="3" t="n"/>
      <c r="L2715" s="2" t="inlineStr">
        <is>
          <t>PriceCharting</t>
        </is>
      </c>
      <c r="M2715" s="4" t="inlineStr">
        <is>
          <t>https://www.pricecharting.com/game/pokemon-celebrations/first-partner-pack-alola</t>
        </is>
      </c>
    </row>
    <row r="2716">
      <c r="A2716" s="2" t="inlineStr">
        <is>
          <t>Celebrations First Partner Pack [Galar]</t>
        </is>
      </c>
      <c r="B2716" s="3">
        <f>IF(H2716&lt;&gt;"",H2716,IF(I2716&lt;&gt;"",I2716,IF(J2716&lt;&gt;"",J2716,K2716)))</f>
        <v>14.0</v>
      </c>
      <c r="C2716" s="3">
        <f>MEDIAN(H2716:K2716)</f>
        <v>14.0</v>
      </c>
      <c r="D2716" s="3">
        <f>ROUND(C2716*(1-Settings!$B$2),2)</f>
        <v>9.8</v>
      </c>
      <c r="E2716" s="2" t="inlineStr">
        <is>
          <t>Pokemon</t>
        </is>
      </c>
      <c r="F2716" s="2" t="inlineStr">
        <is>
          <t>Pack</t>
        </is>
      </c>
      <c r="G2716" s="2" t="inlineStr">
        <is>
          <t>Celebrations</t>
        </is>
      </c>
      <c r="H2716" s="3" t="n">
        <v>14</v>
      </c>
      <c r="I2716" s="3" t="n"/>
      <c r="J2716" s="3" t="n"/>
      <c r="K2716" s="3" t="n"/>
      <c r="L2716" s="2" t="inlineStr">
        <is>
          <t>PriceCharting</t>
        </is>
      </c>
      <c r="M2716" s="4" t="inlineStr">
        <is>
          <t>https://www.pricecharting.com/game/pokemon-celebrations/first-partner-pack-galar</t>
        </is>
      </c>
    </row>
    <row r="2717">
      <c r="A2717" s="2" t="inlineStr">
        <is>
          <t>Celebrations First Partner Pack [Hoenn]</t>
        </is>
      </c>
      <c r="B2717" s="3">
        <f>IF(H2717&lt;&gt;"",H2717,IF(I2717&lt;&gt;"",I2717,IF(J2717&lt;&gt;"",J2717,K2717)))</f>
        <v>18.02</v>
      </c>
      <c r="C2717" s="3">
        <f>MEDIAN(H2717:K2717)</f>
        <v>18.02</v>
      </c>
      <c r="D2717" s="3">
        <f>ROUND(C2717*(1-Settings!$B$2),2)</f>
        <v>12.61</v>
      </c>
      <c r="E2717" s="2" t="inlineStr">
        <is>
          <t>Pokemon</t>
        </is>
      </c>
      <c r="F2717" s="2" t="inlineStr">
        <is>
          <t>Pack</t>
        </is>
      </c>
      <c r="G2717" s="2" t="inlineStr">
        <is>
          <t>Celebrations</t>
        </is>
      </c>
      <c r="H2717" s="3" t="n">
        <v>18.02</v>
      </c>
      <c r="I2717" s="3" t="n"/>
      <c r="J2717" s="3" t="n"/>
      <c r="K2717" s="3" t="n"/>
      <c r="L2717" s="2" t="inlineStr">
        <is>
          <t>PriceCharting</t>
        </is>
      </c>
      <c r="M2717" s="4" t="inlineStr">
        <is>
          <t>https://www.pricecharting.com/game/pokemon-celebrations/first-partner-pack-hoenn</t>
        </is>
      </c>
    </row>
    <row r="2718">
      <c r="A2718" s="2" t="inlineStr">
        <is>
          <t>Celebrations First Partner Pack [Johto]</t>
        </is>
      </c>
      <c r="B2718" s="3">
        <f>IF(H2718&lt;&gt;"",H2718,IF(I2718&lt;&gt;"",I2718,IF(J2718&lt;&gt;"",J2718,K2718)))</f>
        <v>2.47</v>
      </c>
      <c r="C2718" s="3">
        <f>MEDIAN(H2718:K2718)</f>
        <v>2.47</v>
      </c>
      <c r="D2718" s="3">
        <f>ROUND(C2718*(1-Settings!$B$2),2)</f>
        <v>1.73</v>
      </c>
      <c r="E2718" s="2" t="inlineStr">
        <is>
          <t>Pokemon</t>
        </is>
      </c>
      <c r="F2718" s="2" t="inlineStr">
        <is>
          <t>Pack</t>
        </is>
      </c>
      <c r="G2718" s="2" t="inlineStr">
        <is>
          <t>Celebrations</t>
        </is>
      </c>
      <c r="H2718" s="3" t="n">
        <v>2.47</v>
      </c>
      <c r="I2718" s="3" t="n"/>
      <c r="J2718" s="3" t="n"/>
      <c r="K2718" s="3" t="n"/>
      <c r="L2718" s="2" t="inlineStr">
        <is>
          <t>PriceCharting</t>
        </is>
      </c>
      <c r="M2718" s="4" t="inlineStr">
        <is>
          <t>https://www.pricecharting.com/game/pokemon-celebrations/first-partner-pack-johto</t>
        </is>
      </c>
    </row>
    <row r="2719">
      <c r="A2719" s="2" t="inlineStr">
        <is>
          <t>Celebrations First Partner Pack [Kalos]</t>
        </is>
      </c>
      <c r="B2719" s="3">
        <f>IF(H2719&lt;&gt;"",H2719,IF(I2719&lt;&gt;"",I2719,IF(J2719&lt;&gt;"",J2719,K2719)))</f>
        <v>6.56</v>
      </c>
      <c r="C2719" s="3">
        <f>MEDIAN(H2719:K2719)</f>
        <v>6.56</v>
      </c>
      <c r="D2719" s="3">
        <f>ROUND(C2719*(1-Settings!$B$2),2)</f>
        <v>4.59</v>
      </c>
      <c r="E2719" s="2" t="inlineStr">
        <is>
          <t>Pokemon</t>
        </is>
      </c>
      <c r="F2719" s="2" t="inlineStr">
        <is>
          <t>Pack</t>
        </is>
      </c>
      <c r="G2719" s="2" t="inlineStr">
        <is>
          <t>Celebrations</t>
        </is>
      </c>
      <c r="H2719" s="3" t="n">
        <v>6.56</v>
      </c>
      <c r="I2719" s="3" t="n"/>
      <c r="J2719" s="3" t="n"/>
      <c r="K2719" s="3" t="n"/>
      <c r="L2719" s="2" t="inlineStr">
        <is>
          <t>PriceCharting</t>
        </is>
      </c>
      <c r="M2719" s="4" t="inlineStr">
        <is>
          <t>https://www.pricecharting.com/game/pokemon-celebrations/first-partner-pack-kalos</t>
        </is>
      </c>
    </row>
    <row r="2720">
      <c r="A2720" s="2" t="inlineStr">
        <is>
          <t>Celebrations First Partner Pack [Kanto]</t>
        </is>
      </c>
      <c r="B2720" s="3">
        <f>IF(H2720&lt;&gt;"",H2720,IF(I2720&lt;&gt;"",I2720,IF(J2720&lt;&gt;"",J2720,K2720)))</f>
        <v>16.88</v>
      </c>
      <c r="C2720" s="3">
        <f>MEDIAN(H2720:K2720)</f>
        <v>16.88</v>
      </c>
      <c r="D2720" s="3">
        <f>ROUND(C2720*(1-Settings!$B$2),2)</f>
        <v>11.82</v>
      </c>
      <c r="E2720" s="2" t="inlineStr">
        <is>
          <t>Pokemon</t>
        </is>
      </c>
      <c r="F2720" s="2" t="inlineStr">
        <is>
          <t>Pack</t>
        </is>
      </c>
      <c r="G2720" s="2" t="inlineStr">
        <is>
          <t>Celebrations</t>
        </is>
      </c>
      <c r="H2720" s="3" t="n">
        <v>16.88</v>
      </c>
      <c r="I2720" s="3" t="n"/>
      <c r="J2720" s="3" t="n"/>
      <c r="K2720" s="3" t="n"/>
      <c r="L2720" s="2" t="inlineStr">
        <is>
          <t>PriceCharting</t>
        </is>
      </c>
      <c r="M2720" s="4" t="inlineStr">
        <is>
          <t>https://www.pricecharting.com/game/pokemon-celebrations/first-partner-pack-kanto</t>
        </is>
      </c>
    </row>
    <row r="2721">
      <c r="A2721" s="2" t="inlineStr">
        <is>
          <t>Celebrations First Partner Pack [Sinnoh]</t>
        </is>
      </c>
      <c r="B2721" s="3">
        <f>IF(H2721&lt;&gt;"",H2721,IF(I2721&lt;&gt;"",I2721,IF(J2721&lt;&gt;"",J2721,K2721)))</f>
        <v>16.42</v>
      </c>
      <c r="C2721" s="3">
        <f>MEDIAN(H2721:K2721)</f>
        <v>16.42</v>
      </c>
      <c r="D2721" s="3">
        <f>ROUND(C2721*(1-Settings!$B$2),2)</f>
        <v>11.49</v>
      </c>
      <c r="E2721" s="2" t="inlineStr">
        <is>
          <t>Pokemon</t>
        </is>
      </c>
      <c r="F2721" s="2" t="inlineStr">
        <is>
          <t>Pack</t>
        </is>
      </c>
      <c r="G2721" s="2" t="inlineStr">
        <is>
          <t>Celebrations</t>
        </is>
      </c>
      <c r="H2721" s="3" t="n">
        <v>16.42</v>
      </c>
      <c r="I2721" s="3" t="n"/>
      <c r="J2721" s="3" t="n"/>
      <c r="K2721" s="3" t="n"/>
      <c r="L2721" s="2" t="inlineStr">
        <is>
          <t>PriceCharting</t>
        </is>
      </c>
      <c r="M2721" s="4" t="inlineStr">
        <is>
          <t>https://www.pricecharting.com/game/pokemon-celebrations/first-partner-pack-sinnoh</t>
        </is>
      </c>
    </row>
    <row r="2722">
      <c r="A2722" s="2" t="inlineStr">
        <is>
          <t>Celebrations First Partner Pack [Unova]</t>
        </is>
      </c>
      <c r="B2722" s="3">
        <f>IF(H2722&lt;&gt;"",H2722,IF(I2722&lt;&gt;"",I2722,IF(J2722&lt;&gt;"",J2722,K2722)))</f>
        <v>22.49</v>
      </c>
      <c r="C2722" s="3">
        <f>MEDIAN(H2722:K2722)</f>
        <v>22.49</v>
      </c>
      <c r="D2722" s="3">
        <f>ROUND(C2722*(1-Settings!$B$2),2)</f>
        <v>15.74</v>
      </c>
      <c r="E2722" s="2" t="inlineStr">
        <is>
          <t>Pokemon</t>
        </is>
      </c>
      <c r="F2722" s="2" t="inlineStr">
        <is>
          <t>Pack</t>
        </is>
      </c>
      <c r="G2722" s="2" t="inlineStr">
        <is>
          <t>Celebrations</t>
        </is>
      </c>
      <c r="H2722" s="3" t="n">
        <v>22.49</v>
      </c>
      <c r="I2722" s="3" t="n"/>
      <c r="J2722" s="3" t="n"/>
      <c r="K2722" s="3" t="n"/>
      <c r="L2722" s="2" t="inlineStr">
        <is>
          <t>PriceCharting</t>
        </is>
      </c>
      <c r="M2722" s="4" t="inlineStr">
        <is>
          <t>https://www.pricecharting.com/game/pokemon-celebrations/first-partner-pack-unova</t>
        </is>
      </c>
    </row>
    <row r="2723">
      <c r="A2723" s="2" t="inlineStr">
        <is>
          <t>Celestial Storm Mini Booster Pack</t>
        </is>
      </c>
      <c r="B2723" s="3">
        <f>IF(H2723&lt;&gt;"",H2723,IF(I2723&lt;&gt;"",I2723,IF(J2723&lt;&gt;"",J2723,K2723)))</f>
        <v>11.34</v>
      </c>
      <c r="C2723" s="3">
        <f>MEDIAN(H2723:K2723)</f>
        <v>11.34</v>
      </c>
      <c r="D2723" s="3">
        <f>ROUND(C2723*(1-Settings!$B$2),2)</f>
        <v>7.94</v>
      </c>
      <c r="E2723" s="2" t="inlineStr">
        <is>
          <t>Pokemon</t>
        </is>
      </c>
      <c r="F2723" s="2" t="inlineStr">
        <is>
          <t>Pack</t>
        </is>
      </c>
      <c r="G2723" s="2" t="inlineStr">
        <is>
          <t>Celestial Storm</t>
        </is>
      </c>
      <c r="H2723" s="3" t="n">
        <v>11.34</v>
      </c>
      <c r="I2723" s="3" t="n"/>
      <c r="J2723" s="3" t="n"/>
      <c r="K2723" s="3" t="n"/>
      <c r="L2723" s="2" t="inlineStr">
        <is>
          <t>PriceCharting</t>
        </is>
      </c>
      <c r="M2723" s="4" t="inlineStr">
        <is>
          <t>https://www.pricecharting.com/game/pokemon-celestial-storm/mini-booster-pack</t>
        </is>
      </c>
    </row>
    <row r="2724">
      <c r="A2724" s="2" t="inlineStr">
        <is>
          <t>Champion's Path Booster Pack</t>
        </is>
      </c>
      <c r="B2724" s="3">
        <f>IF(H2724&lt;&gt;"",H2724,IF(I2724&lt;&gt;"",I2724,IF(J2724&lt;&gt;"",J2724,K2724)))</f>
        <v>19.54</v>
      </c>
      <c r="C2724" s="3">
        <f>MEDIAN(H2724:K2724)</f>
        <v>19.54</v>
      </c>
      <c r="D2724" s="3">
        <f>ROUND(C2724*(1-Settings!$B$2),2)</f>
        <v>13.68</v>
      </c>
      <c r="E2724" s="2" t="inlineStr">
        <is>
          <t>Pokemon</t>
        </is>
      </c>
      <c r="F2724" s="2" t="inlineStr">
        <is>
          <t>Pack</t>
        </is>
      </c>
      <c r="G2724" s="2" t="inlineStr">
        <is>
          <t>Champion's Path</t>
        </is>
      </c>
      <c r="H2724" s="3" t="n"/>
      <c r="I2724" s="3" t="n">
        <v>19.54</v>
      </c>
      <c r="J2724" s="3" t="n">
        <v>19.99</v>
      </c>
      <c r="K2724" s="3" t="n">
        <v>16</v>
      </c>
      <c r="L2724" s="2" t="inlineStr">
        <is>
          <t>TCGplayer</t>
        </is>
      </c>
      <c r="N2724" s="4" t="inlineStr">
        <is>
          <t>https://www.tcgplayer.com/product/218789</t>
        </is>
      </c>
    </row>
    <row r="2725">
      <c r="A2725" s="2" t="inlineStr">
        <is>
          <t>Chaos Rising 3 Pack Blister: Charmeleon</t>
        </is>
      </c>
      <c r="B2725" s="3">
        <f>IF(H2725&lt;&gt;"",H2725,IF(I2725&lt;&gt;"",I2725,IF(J2725&lt;&gt;"",J2725,K2725)))</f>
        <v>22.05</v>
      </c>
      <c r="C2725" s="3">
        <f>MEDIAN(H2725:K2725)</f>
        <v>22.05</v>
      </c>
      <c r="D2725" s="3">
        <f>ROUND(C2725*(1-Settings!$B$2),2)</f>
        <v>15.44</v>
      </c>
      <c r="E2725" s="2" t="inlineStr">
        <is>
          <t>Pokemon</t>
        </is>
      </c>
      <c r="F2725" s="2" t="inlineStr">
        <is>
          <t>Pack</t>
        </is>
      </c>
      <c r="G2725" s="2" t="inlineStr">
        <is>
          <t>Chaos Rising</t>
        </is>
      </c>
      <c r="H2725" s="3" t="n">
        <v>22.05</v>
      </c>
      <c r="I2725" s="3" t="n"/>
      <c r="J2725" s="3" t="n"/>
      <c r="K2725" s="3" t="n"/>
      <c r="L2725" s="2" t="inlineStr">
        <is>
          <t>PriceCharting</t>
        </is>
      </c>
      <c r="M2725" s="4" t="inlineStr">
        <is>
          <t>https://www.pricecharting.com/game/pokemon-chaos-rising/3-pack-blister-charmeleon</t>
        </is>
      </c>
    </row>
    <row r="2726">
      <c r="A2726" s="2" t="inlineStr">
        <is>
          <t>Chaos Rising Booster Pack</t>
        </is>
      </c>
      <c r="B2726" s="3">
        <f>IF(H2726&lt;&gt;"",H2726,IF(I2726&lt;&gt;"",I2726,IF(J2726&lt;&gt;"",J2726,K2726)))</f>
        <v>4.89</v>
      </c>
      <c r="C2726" s="3">
        <f>MEDIAN(H2726:K2726)</f>
        <v>4.89</v>
      </c>
      <c r="D2726" s="3">
        <f>ROUND(C2726*(1-Settings!$B$2),2)</f>
        <v>3.42</v>
      </c>
      <c r="E2726" s="2" t="inlineStr">
        <is>
          <t>Pokemon</t>
        </is>
      </c>
      <c r="F2726" s="2" t="inlineStr">
        <is>
          <t>Pack</t>
        </is>
      </c>
      <c r="G2726" s="2" t="inlineStr">
        <is>
          <t>Chaos Rising</t>
        </is>
      </c>
      <c r="H2726" s="3" t="n">
        <v>4.89</v>
      </c>
      <c r="I2726" s="3" t="n"/>
      <c r="J2726" s="3" t="n"/>
      <c r="K2726" s="3" t="n"/>
      <c r="L2726" s="2" t="inlineStr">
        <is>
          <t>PriceCharting</t>
        </is>
      </c>
      <c r="M2726" s="4" t="inlineStr">
        <is>
          <t>https://www.pricecharting.com/game/pokemon-chaos-rising/booster-pack</t>
        </is>
      </c>
    </row>
    <row r="2727">
      <c r="A2727" s="2" t="inlineStr">
        <is>
          <t>Chaos Rising Checklane Blister: Reshiram</t>
        </is>
      </c>
      <c r="B2727" s="3">
        <f>IF(H2727&lt;&gt;"",H2727,IF(I2727&lt;&gt;"",I2727,IF(J2727&lt;&gt;"",J2727,K2727)))</f>
        <v>22.0</v>
      </c>
      <c r="C2727" s="3">
        <f>MEDIAN(H2727:K2727)</f>
        <v>22.0</v>
      </c>
      <c r="D2727" s="3">
        <f>ROUND(C2727*(1-Settings!$B$2),2)</f>
        <v>15.4</v>
      </c>
      <c r="E2727" s="2" t="inlineStr">
        <is>
          <t>Pokemon</t>
        </is>
      </c>
      <c r="F2727" s="2" t="inlineStr">
        <is>
          <t>Pack</t>
        </is>
      </c>
      <c r="G2727" s="2" t="inlineStr">
        <is>
          <t>Chaos Rising</t>
        </is>
      </c>
      <c r="H2727" s="3" t="n">
        <v>22</v>
      </c>
      <c r="I2727" s="3" t="n"/>
      <c r="J2727" s="3" t="n"/>
      <c r="K2727" s="3" t="n"/>
      <c r="L2727" s="2" t="inlineStr">
        <is>
          <t>PriceCharting</t>
        </is>
      </c>
      <c r="M2727" s="4" t="inlineStr">
        <is>
          <t>https://www.pricecharting.com/game/pokemon-chaos-rising/checklane-blister-reshiram</t>
        </is>
      </c>
    </row>
    <row r="2728">
      <c r="A2728" s="2" t="inlineStr">
        <is>
          <t>Chaos Rising Checklane Blister: Zacian</t>
        </is>
      </c>
      <c r="B2728" s="3">
        <f>IF(H2728&lt;&gt;"",H2728,IF(I2728&lt;&gt;"",I2728,IF(J2728&lt;&gt;"",J2728,K2728)))</f>
        <v>27.42</v>
      </c>
      <c r="C2728" s="3">
        <f>MEDIAN(H2728:K2728)</f>
        <v>27.42</v>
      </c>
      <c r="D2728" s="3">
        <f>ROUND(C2728*(1-Settings!$B$2),2)</f>
        <v>19.19</v>
      </c>
      <c r="E2728" s="2" t="inlineStr">
        <is>
          <t>Pokemon</t>
        </is>
      </c>
      <c r="F2728" s="2" t="inlineStr">
        <is>
          <t>Pack</t>
        </is>
      </c>
      <c r="G2728" s="2" t="inlineStr">
        <is>
          <t>Chaos Rising</t>
        </is>
      </c>
      <c r="H2728" s="3" t="n">
        <v>27.42</v>
      </c>
      <c r="I2728" s="3" t="n"/>
      <c r="J2728" s="3" t="n"/>
      <c r="K2728" s="3" t="n"/>
      <c r="L2728" s="2" t="inlineStr">
        <is>
          <t>PriceCharting</t>
        </is>
      </c>
      <c r="M2728" s="4" t="inlineStr">
        <is>
          <t>https://www.pricecharting.com/game/pokemon-chaos-rising/checklane-blister-zacian</t>
        </is>
      </c>
    </row>
    <row r="2729">
      <c r="A2729" s="2" t="inlineStr">
        <is>
          <t>Chaos Rising Premium Checklane Blister: Flygon</t>
        </is>
      </c>
      <c r="B2729" s="3">
        <f>IF(H2729&lt;&gt;"",H2729,IF(I2729&lt;&gt;"",I2729,IF(J2729&lt;&gt;"",J2729,K2729)))</f>
        <v>15.0</v>
      </c>
      <c r="C2729" s="3">
        <f>MEDIAN(H2729:K2729)</f>
        <v>15.0</v>
      </c>
      <c r="D2729" s="3">
        <f>ROUND(C2729*(1-Settings!$B$2),2)</f>
        <v>10.5</v>
      </c>
      <c r="E2729" s="2" t="inlineStr">
        <is>
          <t>Pokemon</t>
        </is>
      </c>
      <c r="F2729" s="2" t="inlineStr">
        <is>
          <t>Pack</t>
        </is>
      </c>
      <c r="G2729" s="2" t="inlineStr">
        <is>
          <t>Chaos Rising</t>
        </is>
      </c>
      <c r="H2729" s="3" t="n">
        <v>15</v>
      </c>
      <c r="I2729" s="3" t="n"/>
      <c r="J2729" s="3" t="n"/>
      <c r="K2729" s="3" t="n"/>
      <c r="L2729" s="2" t="inlineStr">
        <is>
          <t>PriceCharting</t>
        </is>
      </c>
      <c r="M2729" s="4" t="inlineStr">
        <is>
          <t>https://www.pricecharting.com/game/pokemon-chaos-rising/premium-checklane-blister-flygon</t>
        </is>
      </c>
    </row>
    <row r="2730">
      <c r="A2730" s="2" t="inlineStr">
        <is>
          <t>Chaos Rising Premium Checklane Blister: Pawmot</t>
        </is>
      </c>
      <c r="B2730" s="3">
        <f>IF(H2730&lt;&gt;"",H2730,IF(I2730&lt;&gt;"",I2730,IF(J2730&lt;&gt;"",J2730,K2730)))</f>
        <v>14.79</v>
      </c>
      <c r="C2730" s="3">
        <f>MEDIAN(H2730:K2730)</f>
        <v>14.79</v>
      </c>
      <c r="D2730" s="3">
        <f>ROUND(C2730*(1-Settings!$B$2),2)</f>
        <v>10.35</v>
      </c>
      <c r="E2730" s="2" t="inlineStr">
        <is>
          <t>Pokemon</t>
        </is>
      </c>
      <c r="F2730" s="2" t="inlineStr">
        <is>
          <t>Pack</t>
        </is>
      </c>
      <c r="G2730" s="2" t="inlineStr">
        <is>
          <t>Chaos Rising</t>
        </is>
      </c>
      <c r="H2730" s="3" t="n">
        <v>14.79</v>
      </c>
      <c r="I2730" s="3" t="n"/>
      <c r="J2730" s="3" t="n"/>
      <c r="K2730" s="3" t="n"/>
      <c r="L2730" s="2" t="inlineStr">
        <is>
          <t>PriceCharting</t>
        </is>
      </c>
      <c r="M2730" s="4" t="inlineStr">
        <is>
          <t>https://www.pricecharting.com/game/pokemon-chaos-rising/premium-checklane-blister-pawmot</t>
        </is>
      </c>
    </row>
    <row r="2731">
      <c r="A2731" s="2" t="inlineStr">
        <is>
          <t>Chaos Rising Single Pack Blister: Toxel</t>
        </is>
      </c>
      <c r="B2731" s="3">
        <f>IF(H2731&lt;&gt;"",H2731,IF(I2731&lt;&gt;"",I2731,IF(J2731&lt;&gt;"",J2731,K2731)))</f>
        <v>15.65</v>
      </c>
      <c r="C2731" s="3">
        <f>MEDIAN(H2731:K2731)</f>
        <v>15.65</v>
      </c>
      <c r="D2731" s="3">
        <f>ROUND(C2731*(1-Settings!$B$2),2)</f>
        <v>10.96</v>
      </c>
      <c r="E2731" s="2" t="inlineStr">
        <is>
          <t>Pokemon</t>
        </is>
      </c>
      <c r="F2731" s="2" t="inlineStr">
        <is>
          <t>Pack</t>
        </is>
      </c>
      <c r="G2731" s="2" t="inlineStr">
        <is>
          <t>Chaos Rising</t>
        </is>
      </c>
      <c r="H2731" s="3" t="n">
        <v>15.65</v>
      </c>
      <c r="I2731" s="3" t="n"/>
      <c r="J2731" s="3" t="n"/>
      <c r="K2731" s="3" t="n"/>
      <c r="L2731" s="2" t="inlineStr">
        <is>
          <t>PriceCharting</t>
        </is>
      </c>
      <c r="M2731" s="4" t="inlineStr">
        <is>
          <t>https://www.pricecharting.com/game/pokemon-chaos-rising/single-pack-blister-toxel</t>
        </is>
      </c>
    </row>
    <row r="2732">
      <c r="A2732" s="2" t="inlineStr">
        <is>
          <t>Chaos Rising Sleeved Booster Pack</t>
        </is>
      </c>
      <c r="B2732" s="3">
        <f>IF(H2732&lt;&gt;"",H2732,IF(I2732&lt;&gt;"",I2732,IF(J2732&lt;&gt;"",J2732,K2732)))</f>
        <v>7.23</v>
      </c>
      <c r="C2732" s="3">
        <f>MEDIAN(H2732:K2732)</f>
        <v>7.23</v>
      </c>
      <c r="D2732" s="3">
        <f>ROUND(C2732*(1-Settings!$B$2),2)</f>
        <v>5.06</v>
      </c>
      <c r="E2732" s="2" t="inlineStr">
        <is>
          <t>Pokemon</t>
        </is>
      </c>
      <c r="F2732" s="2" t="inlineStr">
        <is>
          <t>Pack</t>
        </is>
      </c>
      <c r="G2732" s="2" t="inlineStr">
        <is>
          <t>Chaos Rising</t>
        </is>
      </c>
      <c r="H2732" s="3" t="n">
        <v>7.23</v>
      </c>
      <c r="I2732" s="3" t="n"/>
      <c r="J2732" s="3" t="n"/>
      <c r="K2732" s="3" t="n"/>
      <c r="L2732" s="2" t="inlineStr">
        <is>
          <t>PriceCharting</t>
        </is>
      </c>
      <c r="M2732" s="4" t="inlineStr">
        <is>
          <t>https://www.pricecharting.com/game/pokemon-chaos-rising/sleeved-booster-pack</t>
        </is>
      </c>
    </row>
    <row r="2733">
      <c r="A2733" s="2" t="inlineStr">
        <is>
          <t>Chilling Reign 2 Pack Blister</t>
        </is>
      </c>
      <c r="B2733" s="3">
        <f>IF(H2733&lt;&gt;"",H2733,IF(I2733&lt;&gt;"",I2733,IF(J2733&lt;&gt;"",J2733,K2733)))</f>
        <v>44.83</v>
      </c>
      <c r="C2733" s="3">
        <f>MEDIAN(H2733:K2733)</f>
        <v>44.83</v>
      </c>
      <c r="D2733" s="3">
        <f>ROUND(C2733*(1-Settings!$B$2),2)</f>
        <v>31.38</v>
      </c>
      <c r="E2733" s="2" t="inlineStr">
        <is>
          <t>Pokemon</t>
        </is>
      </c>
      <c r="F2733" s="2" t="inlineStr">
        <is>
          <t>Pack</t>
        </is>
      </c>
      <c r="G2733" s="2" t="inlineStr">
        <is>
          <t>Chilling Reign</t>
        </is>
      </c>
      <c r="H2733" s="3" t="n">
        <v>44.83</v>
      </c>
      <c r="I2733" s="3" t="n"/>
      <c r="J2733" s="3" t="n"/>
      <c r="K2733" s="3" t="n"/>
      <c r="L2733" s="2" t="inlineStr">
        <is>
          <t>PriceCharting</t>
        </is>
      </c>
      <c r="M2733" s="4" t="inlineStr">
        <is>
          <t>https://www.pricecharting.com/game/pokemon-chilling-reign/2-pack-blister</t>
        </is>
      </c>
    </row>
    <row r="2734">
      <c r="A2734" s="2" t="inlineStr">
        <is>
          <t>Chinese 151 Collect Booster Pack</t>
        </is>
      </c>
      <c r="B2734" s="3">
        <f>IF(H2734&lt;&gt;"",H2734,IF(I2734&lt;&gt;"",I2734,IF(J2734&lt;&gt;"",J2734,K2734)))</f>
        <v>6.38</v>
      </c>
      <c r="C2734" s="3">
        <f>MEDIAN(H2734:K2734)</f>
        <v>6.38</v>
      </c>
      <c r="D2734" s="3">
        <f>ROUND(C2734*(1-Settings!$B$2),2)</f>
        <v>4.47</v>
      </c>
      <c r="E2734" s="2" t="inlineStr">
        <is>
          <t>Pokemon</t>
        </is>
      </c>
      <c r="F2734" s="2" t="inlineStr">
        <is>
          <t>Pack</t>
        </is>
      </c>
      <c r="G2734" s="2" t="inlineStr">
        <is>
          <t>Chinese 151 Collect</t>
        </is>
      </c>
      <c r="H2734" s="3" t="n">
        <v>6.38</v>
      </c>
      <c r="I2734" s="3" t="n"/>
      <c r="J2734" s="3" t="n"/>
      <c r="K2734" s="3" t="n"/>
      <c r="L2734" s="2" t="inlineStr">
        <is>
          <t>PriceCharting</t>
        </is>
      </c>
      <c r="M2734" s="4" t="inlineStr">
        <is>
          <t>https://www.pricecharting.com/game/pokemon-chinese-151-collect/booster-pack</t>
        </is>
      </c>
    </row>
    <row r="2735">
      <c r="A2735" s="2" t="inlineStr">
        <is>
          <t>Chinese 151 Collect Booster Pack [Surprise]</t>
        </is>
      </c>
      <c r="B2735" s="3">
        <f>IF(H2735&lt;&gt;"",H2735,IF(I2735&lt;&gt;"",I2735,IF(J2735&lt;&gt;"",J2735,K2735)))</f>
        <v>20.0</v>
      </c>
      <c r="C2735" s="3">
        <f>MEDIAN(H2735:K2735)</f>
        <v>20.0</v>
      </c>
      <c r="D2735" s="3">
        <f>ROUND(C2735*(1-Settings!$B$2),2)</f>
        <v>14.0</v>
      </c>
      <c r="E2735" s="2" t="inlineStr">
        <is>
          <t>Pokemon</t>
        </is>
      </c>
      <c r="F2735" s="2" t="inlineStr">
        <is>
          <t>Pack</t>
        </is>
      </c>
      <c r="G2735" s="2" t="inlineStr">
        <is>
          <t>Chinese 151 Collect</t>
        </is>
      </c>
      <c r="H2735" s="3" t="n">
        <v>20</v>
      </c>
      <c r="I2735" s="3" t="n"/>
      <c r="J2735" s="3" t="n"/>
      <c r="K2735" s="3" t="n"/>
      <c r="L2735" s="2" t="inlineStr">
        <is>
          <t>PriceCharting</t>
        </is>
      </c>
      <c r="M2735" s="4" t="inlineStr">
        <is>
          <t>https://www.pricecharting.com/game/pokemon-chinese-151-collect/booster-pack-surprise</t>
        </is>
      </c>
    </row>
    <row r="2736">
      <c r="A2736" s="2" t="inlineStr">
        <is>
          <t>Chinese Csv4c Booster Pack [Slim]</t>
        </is>
      </c>
      <c r="B2736" s="3">
        <f>IF(H2736&lt;&gt;"",H2736,IF(I2736&lt;&gt;"",I2736,IF(J2736&lt;&gt;"",J2736,K2736)))</f>
        <v>6.31</v>
      </c>
      <c r="C2736" s="3">
        <f>MEDIAN(H2736:K2736)</f>
        <v>6.31</v>
      </c>
      <c r="D2736" s="3">
        <f>ROUND(C2736*(1-Settings!$B$2),2)</f>
        <v>4.42</v>
      </c>
      <c r="E2736" s="2" t="inlineStr">
        <is>
          <t>Pokemon</t>
        </is>
      </c>
      <c r="F2736" s="2" t="inlineStr">
        <is>
          <t>Pack</t>
        </is>
      </c>
      <c r="G2736" s="2" t="inlineStr">
        <is>
          <t>Chinese Csv4c</t>
        </is>
      </c>
      <c r="H2736" s="3" t="n">
        <v>6.31</v>
      </c>
      <c r="I2736" s="3" t="n"/>
      <c r="J2736" s="3" t="n"/>
      <c r="K2736" s="3" t="n"/>
      <c r="L2736" s="2" t="inlineStr">
        <is>
          <t>PriceCharting</t>
        </is>
      </c>
      <c r="M2736" s="4" t="inlineStr">
        <is>
          <t>https://www.pricecharting.com/game/pokemon-chinese-csv4c/booster-pack-slim</t>
        </is>
      </c>
    </row>
    <row r="2737">
      <c r="A2737" s="2" t="inlineStr">
        <is>
          <t>Chinese Csv5c Booster Pack</t>
        </is>
      </c>
      <c r="B2737" s="3">
        <f>IF(H2737&lt;&gt;"",H2737,IF(I2737&lt;&gt;"",I2737,IF(J2737&lt;&gt;"",J2737,K2737)))</f>
        <v>0.01</v>
      </c>
      <c r="C2737" s="3">
        <f>MEDIAN(H2737:K2737)</f>
        <v>0.01</v>
      </c>
      <c r="D2737" s="3">
        <f>ROUND(C2737*(1-Settings!$B$2),2)</f>
        <v>0.01</v>
      </c>
      <c r="E2737" s="2" t="inlineStr">
        <is>
          <t>Pokemon</t>
        </is>
      </c>
      <c r="F2737" s="2" t="inlineStr">
        <is>
          <t>Pack</t>
        </is>
      </c>
      <c r="G2737" s="2" t="inlineStr">
        <is>
          <t>Chinese Csv5c</t>
        </is>
      </c>
      <c r="H2737" s="3" t="n">
        <v>0.01</v>
      </c>
      <c r="I2737" s="3" t="n"/>
      <c r="J2737" s="3" t="n"/>
      <c r="K2737" s="3" t="n"/>
      <c r="L2737" s="2" t="inlineStr">
        <is>
          <t>PriceCharting</t>
        </is>
      </c>
      <c r="M2737" s="4" t="inlineStr">
        <is>
          <t>https://www.pricecharting.com/game/pokemon-chinese-csv5c/booster-pack</t>
        </is>
      </c>
    </row>
    <row r="2738">
      <c r="A2738" s="2" t="inlineStr">
        <is>
          <t>Chinese Csv6c Booster Pack</t>
        </is>
      </c>
      <c r="B2738" s="3">
        <f>IF(H2738&lt;&gt;"",H2738,IF(I2738&lt;&gt;"",I2738,IF(J2738&lt;&gt;"",J2738,K2738)))</f>
        <v>0.99</v>
      </c>
      <c r="C2738" s="3">
        <f>MEDIAN(H2738:K2738)</f>
        <v>0.99</v>
      </c>
      <c r="D2738" s="3">
        <f>ROUND(C2738*(1-Settings!$B$2),2)</f>
        <v>0.69</v>
      </c>
      <c r="E2738" s="2" t="inlineStr">
        <is>
          <t>Pokemon</t>
        </is>
      </c>
      <c r="F2738" s="2" t="inlineStr">
        <is>
          <t>Pack</t>
        </is>
      </c>
      <c r="G2738" s="2" t="inlineStr">
        <is>
          <t>Chinese Csv6c</t>
        </is>
      </c>
      <c r="H2738" s="3" t="n">
        <v>0.99</v>
      </c>
      <c r="I2738" s="3" t="n"/>
      <c r="J2738" s="3" t="n"/>
      <c r="K2738" s="3" t="n"/>
      <c r="L2738" s="2" t="inlineStr">
        <is>
          <t>PriceCharting</t>
        </is>
      </c>
      <c r="M2738" s="4" t="inlineStr">
        <is>
          <t>https://www.pricecharting.com/game/pokemon-chinese-csv6c/booster-pack</t>
        </is>
      </c>
    </row>
    <row r="2739">
      <c r="A2739" s="2" t="inlineStr">
        <is>
          <t>Chinese Csv8c Booster Pack</t>
        </is>
      </c>
      <c r="B2739" s="3">
        <f>IF(H2739&lt;&gt;"",H2739,IF(I2739&lt;&gt;"",I2739,IF(J2739&lt;&gt;"",J2739,K2739)))</f>
        <v>3.99</v>
      </c>
      <c r="C2739" s="3">
        <f>MEDIAN(H2739:K2739)</f>
        <v>3.99</v>
      </c>
      <c r="D2739" s="3">
        <f>ROUND(C2739*(1-Settings!$B$2),2)</f>
        <v>2.79</v>
      </c>
      <c r="E2739" s="2" t="inlineStr">
        <is>
          <t>Pokemon</t>
        </is>
      </c>
      <c r="F2739" s="2" t="inlineStr">
        <is>
          <t>Pack</t>
        </is>
      </c>
      <c r="G2739" s="2" t="inlineStr">
        <is>
          <t>Chinese Csv8c</t>
        </is>
      </c>
      <c r="H2739" s="3" t="n">
        <v>3.99</v>
      </c>
      <c r="I2739" s="3" t="n"/>
      <c r="J2739" s="3" t="n"/>
      <c r="K2739" s="3" t="n"/>
      <c r="L2739" s="2" t="inlineStr">
        <is>
          <t>PriceCharting</t>
        </is>
      </c>
      <c r="M2739" s="4" t="inlineStr">
        <is>
          <t>https://www.pricecharting.com/game/pokemon-chinese-csv8c/booster-pack</t>
        </is>
      </c>
    </row>
    <row r="2740">
      <c r="A2740" s="2" t="inlineStr">
        <is>
          <t>Chinese Csv9c Booster Pack</t>
        </is>
      </c>
      <c r="B2740" s="3">
        <f>IF(H2740&lt;&gt;"",H2740,IF(I2740&lt;&gt;"",I2740,IF(J2740&lt;&gt;"",J2740,K2740)))</f>
        <v>4.38</v>
      </c>
      <c r="C2740" s="3">
        <f>MEDIAN(H2740:K2740)</f>
        <v>4.38</v>
      </c>
      <c r="D2740" s="3">
        <f>ROUND(C2740*(1-Settings!$B$2),2)</f>
        <v>3.07</v>
      </c>
      <c r="E2740" s="2" t="inlineStr">
        <is>
          <t>Pokemon</t>
        </is>
      </c>
      <c r="F2740" s="2" t="inlineStr">
        <is>
          <t>Pack</t>
        </is>
      </c>
      <c r="G2740" s="2" t="inlineStr">
        <is>
          <t>Chinese Csv9c</t>
        </is>
      </c>
      <c r="H2740" s="3" t="n">
        <v>4.38</v>
      </c>
      <c r="I2740" s="3" t="n"/>
      <c r="J2740" s="3" t="n"/>
      <c r="K2740" s="3" t="n"/>
      <c r="L2740" s="2" t="inlineStr">
        <is>
          <t>PriceCharting</t>
        </is>
      </c>
      <c r="M2740" s="4" t="inlineStr">
        <is>
          <t>https://www.pricecharting.com/game/pokemon-chinese-csv9c/booster-pack</t>
        </is>
      </c>
    </row>
    <row r="2741">
      <c r="A2741" s="2" t="inlineStr">
        <is>
          <t>Chinese Gem Pack Sealed Booster Pack</t>
        </is>
      </c>
      <c r="B2741" s="3">
        <f>IF(H2741&lt;&gt;"",H2741,IF(I2741&lt;&gt;"",I2741,IF(J2741&lt;&gt;"",J2741,K2741)))</f>
        <v>13.25</v>
      </c>
      <c r="C2741" s="3">
        <f>MEDIAN(H2741:K2741)</f>
        <v>13.25</v>
      </c>
      <c r="D2741" s="3">
        <f>ROUND(C2741*(1-Settings!$B$2),2)</f>
        <v>9.28</v>
      </c>
      <c r="E2741" s="2" t="inlineStr">
        <is>
          <t>Pokemon</t>
        </is>
      </c>
      <c r="F2741" s="2" t="inlineStr">
        <is>
          <t>Pack</t>
        </is>
      </c>
      <c r="G2741" s="2" t="inlineStr">
        <is>
          <t>Chinese Gem Pack</t>
        </is>
      </c>
      <c r="H2741" s="3" t="n">
        <v>13.25</v>
      </c>
      <c r="I2741" s="3" t="n"/>
      <c r="J2741" s="3" t="n"/>
      <c r="K2741" s="3" t="n"/>
      <c r="L2741" s="2" t="inlineStr">
        <is>
          <t>PriceCharting</t>
        </is>
      </c>
      <c r="M2741" s="4" t="inlineStr">
        <is>
          <t>https://www.pricecharting.com/game/pokemon-chinese-gem-pack/sealed-booster-pack</t>
        </is>
      </c>
    </row>
    <row r="2742">
      <c r="A2742" s="2" t="inlineStr">
        <is>
          <t>Chinese Gem Pack 2 Booster Pack</t>
        </is>
      </c>
      <c r="B2742" s="3">
        <f>IF(H2742&lt;&gt;"",H2742,IF(I2742&lt;&gt;"",I2742,IF(J2742&lt;&gt;"",J2742,K2742)))</f>
        <v>69.99</v>
      </c>
      <c r="C2742" s="3">
        <f>MEDIAN(H2742:K2742)</f>
        <v>69.99</v>
      </c>
      <c r="D2742" s="3">
        <f>ROUND(C2742*(1-Settings!$B$2),2)</f>
        <v>48.99</v>
      </c>
      <c r="E2742" s="2" t="inlineStr">
        <is>
          <t>Pokemon</t>
        </is>
      </c>
      <c r="F2742" s="2" t="inlineStr">
        <is>
          <t>Pack</t>
        </is>
      </c>
      <c r="G2742" s="2" t="inlineStr">
        <is>
          <t>Chinese Gem Pack 2</t>
        </is>
      </c>
      <c r="H2742" s="3" t="n">
        <v>69.98999999999999</v>
      </c>
      <c r="I2742" s="3" t="n"/>
      <c r="J2742" s="3" t="n"/>
      <c r="K2742" s="3" t="n"/>
      <c r="L2742" s="2" t="inlineStr">
        <is>
          <t>PriceCharting</t>
        </is>
      </c>
      <c r="M2742" s="4" t="inlineStr">
        <is>
          <t>https://www.pricecharting.com/game/pokemon-chinese-gem-pack-2/booster-pack</t>
        </is>
      </c>
    </row>
    <row r="2743">
      <c r="A2743" s="2" t="inlineStr">
        <is>
          <t>Chinese Gem Pack 3 Booster Pack</t>
        </is>
      </c>
      <c r="B2743" s="3">
        <f>IF(H2743&lt;&gt;"",H2743,IF(I2743&lt;&gt;"",I2743,IF(J2743&lt;&gt;"",J2743,K2743)))</f>
        <v>15.0</v>
      </c>
      <c r="C2743" s="3">
        <f>MEDIAN(H2743:K2743)</f>
        <v>15.0</v>
      </c>
      <c r="D2743" s="3">
        <f>ROUND(C2743*(1-Settings!$B$2),2)</f>
        <v>10.5</v>
      </c>
      <c r="E2743" s="2" t="inlineStr">
        <is>
          <t>Pokemon</t>
        </is>
      </c>
      <c r="F2743" s="2" t="inlineStr">
        <is>
          <t>Pack</t>
        </is>
      </c>
      <c r="G2743" s="2" t="inlineStr">
        <is>
          <t>Chinese Gem Pack 3</t>
        </is>
      </c>
      <c r="H2743" s="3" t="n">
        <v>15</v>
      </c>
      <c r="I2743" s="3" t="n"/>
      <c r="J2743" s="3" t="n"/>
      <c r="K2743" s="3" t="n"/>
      <c r="L2743" s="2" t="inlineStr">
        <is>
          <t>PriceCharting</t>
        </is>
      </c>
      <c r="M2743" s="4" t="inlineStr">
        <is>
          <t>https://www.pricecharting.com/game/pokemon-chinese-gem-pack-3/booster-pack</t>
        </is>
      </c>
    </row>
    <row r="2744">
      <c r="A2744" s="2" t="inlineStr">
        <is>
          <t>Chinese Gem Pack 4 Booster Pack</t>
        </is>
      </c>
      <c r="B2744" s="3">
        <f>IF(H2744&lt;&gt;"",H2744,IF(I2744&lt;&gt;"",I2744,IF(J2744&lt;&gt;"",J2744,K2744)))</f>
        <v>3.0</v>
      </c>
      <c r="C2744" s="3">
        <f>MEDIAN(H2744:K2744)</f>
        <v>3.0</v>
      </c>
      <c r="D2744" s="3">
        <f>ROUND(C2744*(1-Settings!$B$2),2)</f>
        <v>2.1</v>
      </c>
      <c r="E2744" s="2" t="inlineStr">
        <is>
          <t>Pokemon</t>
        </is>
      </c>
      <c r="F2744" s="2" t="inlineStr">
        <is>
          <t>Pack</t>
        </is>
      </c>
      <c r="G2744" s="2" t="inlineStr">
        <is>
          <t>Chinese Gem Pack 4</t>
        </is>
      </c>
      <c r="H2744" s="3" t="n">
        <v>3</v>
      </c>
      <c r="I2744" s="3" t="n"/>
      <c r="J2744" s="3" t="n"/>
      <c r="K2744" s="3" t="n"/>
      <c r="L2744" s="2" t="inlineStr">
        <is>
          <t>PriceCharting</t>
        </is>
      </c>
      <c r="M2744" s="4" t="inlineStr">
        <is>
          <t>https://www.pricecharting.com/game/pokemon-chinese-gem-pack-4/booster-pack</t>
        </is>
      </c>
    </row>
    <row r="2745">
      <c r="A2745" s="2" t="inlineStr">
        <is>
          <t>Chinese Gem Pack 5 Booster Pack</t>
        </is>
      </c>
      <c r="B2745" s="3">
        <f>IF(H2745&lt;&gt;"",H2745,IF(I2745&lt;&gt;"",I2745,IF(J2745&lt;&gt;"",J2745,K2745)))</f>
        <v>226.43</v>
      </c>
      <c r="C2745" s="3">
        <f>MEDIAN(H2745:K2745)</f>
        <v>226.43</v>
      </c>
      <c r="D2745" s="3">
        <f>ROUND(C2745*(1-Settings!$B$2),2)</f>
        <v>158.5</v>
      </c>
      <c r="E2745" s="2" t="inlineStr">
        <is>
          <t>Pokemon</t>
        </is>
      </c>
      <c r="F2745" s="2" t="inlineStr">
        <is>
          <t>Pack</t>
        </is>
      </c>
      <c r="G2745" s="2" t="inlineStr">
        <is>
          <t>Chinese Gem Pack 5</t>
        </is>
      </c>
      <c r="H2745" s="3" t="n">
        <v>226.43</v>
      </c>
      <c r="I2745" s="3" t="n"/>
      <c r="J2745" s="3" t="n"/>
      <c r="K2745" s="3" t="n"/>
      <c r="L2745" s="2" t="inlineStr">
        <is>
          <t>PriceCharting</t>
        </is>
      </c>
      <c r="M2745" s="4" t="inlineStr">
        <is>
          <t>https://www.pricecharting.com/game/pokemon-chinese-gem-pack-5/booster-pack</t>
        </is>
      </c>
    </row>
    <row r="2746">
      <c r="A2746" s="2" t="inlineStr">
        <is>
          <t>Chinese Gem Pack 6 Booster Pack</t>
        </is>
      </c>
      <c r="B2746" s="3">
        <f>IF(H2746&lt;&gt;"",H2746,IF(I2746&lt;&gt;"",I2746,IF(J2746&lt;&gt;"",J2746,K2746)))</f>
        <v>4.99</v>
      </c>
      <c r="C2746" s="3">
        <f>MEDIAN(H2746:K2746)</f>
        <v>4.99</v>
      </c>
      <c r="D2746" s="3">
        <f>ROUND(C2746*(1-Settings!$B$2),2)</f>
        <v>3.49</v>
      </c>
      <c r="E2746" s="2" t="inlineStr">
        <is>
          <t>Pokemon</t>
        </is>
      </c>
      <c r="F2746" s="2" t="inlineStr">
        <is>
          <t>Pack</t>
        </is>
      </c>
      <c r="G2746" s="2" t="inlineStr">
        <is>
          <t>Chinese Gem Pack 6</t>
        </is>
      </c>
      <c r="H2746" s="3" t="n">
        <v>4.99</v>
      </c>
      <c r="I2746" s="3" t="n"/>
      <c r="J2746" s="3" t="n"/>
      <c r="K2746" s="3" t="n"/>
      <c r="L2746" s="2" t="inlineStr">
        <is>
          <t>PriceCharting</t>
        </is>
      </c>
      <c r="M2746" s="4" t="inlineStr">
        <is>
          <t>https://www.pricecharting.com/game/pokemon-chinese-gem-pack-6/booster-pack</t>
        </is>
      </c>
    </row>
    <row r="2747">
      <c r="A2747" s="2" t="inlineStr">
        <is>
          <t>Chinese Promo 2024 Lunar New Year Red Pack</t>
        </is>
      </c>
      <c r="B2747" s="3">
        <f>IF(H2747&lt;&gt;"",H2747,IF(I2747&lt;&gt;"",I2747,IF(J2747&lt;&gt;"",J2747,K2747)))</f>
        <v>20.21</v>
      </c>
      <c r="C2747" s="3">
        <f>MEDIAN(H2747:K2747)</f>
        <v>20.21</v>
      </c>
      <c r="D2747" s="3">
        <f>ROUND(C2747*(1-Settings!$B$2),2)</f>
        <v>14.15</v>
      </c>
      <c r="E2747" s="2" t="inlineStr">
        <is>
          <t>Pokemon</t>
        </is>
      </c>
      <c r="F2747" s="2" t="inlineStr">
        <is>
          <t>Pack</t>
        </is>
      </c>
      <c r="G2747" s="2" t="inlineStr">
        <is>
          <t>Chinese Promo</t>
        </is>
      </c>
      <c r="H2747" s="3" t="n">
        <v>20.21</v>
      </c>
      <c r="I2747" s="3" t="n"/>
      <c r="J2747" s="3" t="n"/>
      <c r="K2747" s="3" t="n"/>
      <c r="L2747" s="2" t="inlineStr">
        <is>
          <t>PriceCharting</t>
        </is>
      </c>
      <c r="M2747" s="4" t="inlineStr">
        <is>
          <t>https://www.pricecharting.com/game/pokemon-chinese-promo/2024-lunar-new-year-red-pack</t>
        </is>
      </c>
    </row>
    <row r="2748">
      <c r="A2748" s="2" t="inlineStr">
        <is>
          <t>Chinese Promo Pizza Hut Promo Pack</t>
        </is>
      </c>
      <c r="B2748" s="3">
        <f>IF(H2748&lt;&gt;"",H2748,IF(I2748&lt;&gt;"",I2748,IF(J2748&lt;&gt;"",J2748,K2748)))</f>
        <v>69.5</v>
      </c>
      <c r="C2748" s="3">
        <f>MEDIAN(H2748:K2748)</f>
        <v>69.5</v>
      </c>
      <c r="D2748" s="3">
        <f>ROUND(C2748*(1-Settings!$B$2),2)</f>
        <v>48.65</v>
      </c>
      <c r="E2748" s="2" t="inlineStr">
        <is>
          <t>Pokemon</t>
        </is>
      </c>
      <c r="F2748" s="2" t="inlineStr">
        <is>
          <t>Pack</t>
        </is>
      </c>
      <c r="G2748" s="2" t="inlineStr">
        <is>
          <t>Chinese Promo</t>
        </is>
      </c>
      <c r="H2748" s="3" t="n">
        <v>69.5</v>
      </c>
      <c r="I2748" s="3" t="n"/>
      <c r="J2748" s="3" t="n"/>
      <c r="K2748" s="3" t="n"/>
      <c r="L2748" s="2" t="inlineStr">
        <is>
          <t>PriceCharting</t>
        </is>
      </c>
      <c r="M2748" s="4" t="inlineStr">
        <is>
          <t>https://www.pricecharting.com/game/pokemon-chinese-promo/pizza-hut-promo-pack</t>
        </is>
      </c>
    </row>
    <row r="2749">
      <c r="A2749" s="2" t="inlineStr">
        <is>
          <t>Chinese Promo Pokemon Center Taipei Foil Pack</t>
        </is>
      </c>
      <c r="B2749" s="3">
        <f>IF(H2749&lt;&gt;"",H2749,IF(I2749&lt;&gt;"",I2749,IF(J2749&lt;&gt;"",J2749,K2749)))</f>
        <v>158.7</v>
      </c>
      <c r="C2749" s="3">
        <f>MEDIAN(H2749:K2749)</f>
        <v>158.7</v>
      </c>
      <c r="D2749" s="3">
        <f>ROUND(C2749*(1-Settings!$B$2),2)</f>
        <v>111.09</v>
      </c>
      <c r="E2749" s="2" t="inlineStr">
        <is>
          <t>Pokemon</t>
        </is>
      </c>
      <c r="F2749" s="2" t="inlineStr">
        <is>
          <t>Pack</t>
        </is>
      </c>
      <c r="G2749" s="2" t="inlineStr">
        <is>
          <t>Chinese Promo</t>
        </is>
      </c>
      <c r="H2749" s="3" t="n">
        <v>158.7</v>
      </c>
      <c r="I2749" s="3" t="n"/>
      <c r="J2749" s="3" t="n"/>
      <c r="K2749" s="3" t="n"/>
      <c r="L2749" s="2" t="inlineStr">
        <is>
          <t>PriceCharting</t>
        </is>
      </c>
      <c r="M2749" s="4" t="inlineStr">
        <is>
          <t>https://www.pricecharting.com/game/pokemon-chinese-promo/pokemon-center-taipei-foil-pack</t>
        </is>
      </c>
    </row>
    <row r="2750">
      <c r="A2750" s="2" t="inlineStr">
        <is>
          <t>Chinese Promo Pokemon Taiwan FamilyMart Promo Pack</t>
        </is>
      </c>
      <c r="B2750" s="3">
        <f>IF(H2750&lt;&gt;"",H2750,IF(I2750&lt;&gt;"",I2750,IF(J2750&lt;&gt;"",J2750,K2750)))</f>
        <v>24.01</v>
      </c>
      <c r="C2750" s="3">
        <f>MEDIAN(H2750:K2750)</f>
        <v>24.01</v>
      </c>
      <c r="D2750" s="3">
        <f>ROUND(C2750*(1-Settings!$B$2),2)</f>
        <v>16.81</v>
      </c>
      <c r="E2750" s="2" t="inlineStr">
        <is>
          <t>Pokemon</t>
        </is>
      </c>
      <c r="F2750" s="2" t="inlineStr">
        <is>
          <t>Pack</t>
        </is>
      </c>
      <c r="G2750" s="2" t="inlineStr">
        <is>
          <t>Chinese Promo</t>
        </is>
      </c>
      <c r="H2750" s="3" t="n">
        <v>24.01</v>
      </c>
      <c r="I2750" s="3" t="n"/>
      <c r="J2750" s="3" t="n"/>
      <c r="K2750" s="3" t="n"/>
      <c r="L2750" s="2" t="inlineStr">
        <is>
          <t>PriceCharting</t>
        </is>
      </c>
      <c r="M2750" s="4" t="inlineStr">
        <is>
          <t>https://www.pricecharting.com/game/pokemon-chinese-promo/pokemon-taiwan-familymart-promo-pack</t>
        </is>
      </c>
    </row>
    <row r="2751">
      <c r="A2751" s="2" t="inlineStr">
        <is>
          <t>Cosmic Eclipse Blister Pack</t>
        </is>
      </c>
      <c r="B2751" s="3">
        <f>IF(H2751&lt;&gt;"",H2751,IF(I2751&lt;&gt;"",I2751,IF(J2751&lt;&gt;"",J2751,K2751)))</f>
        <v>151.16</v>
      </c>
      <c r="C2751" s="3">
        <f>MEDIAN(H2751:K2751)</f>
        <v>151.16</v>
      </c>
      <c r="D2751" s="3">
        <f>ROUND(C2751*(1-Settings!$B$2),2)</f>
        <v>105.81</v>
      </c>
      <c r="E2751" s="2" t="inlineStr">
        <is>
          <t>Pokemon</t>
        </is>
      </c>
      <c r="F2751" s="2" t="inlineStr">
        <is>
          <t>Pack</t>
        </is>
      </c>
      <c r="G2751" s="2" t="inlineStr">
        <is>
          <t>Cosmic Eclipse</t>
        </is>
      </c>
      <c r="H2751" s="3" t="n">
        <v>151.16</v>
      </c>
      <c r="I2751" s="3" t="n"/>
      <c r="J2751" s="3" t="n"/>
      <c r="K2751" s="3" t="n"/>
      <c r="L2751" s="2" t="inlineStr">
        <is>
          <t>PriceCharting</t>
        </is>
      </c>
      <c r="M2751" s="4" t="inlineStr">
        <is>
          <t>https://www.pricecharting.com/game/pokemon-cosmic-eclipse/blister-pack</t>
        </is>
      </c>
    </row>
    <row r="2752">
      <c r="A2752" s="2" t="inlineStr">
        <is>
          <t>Cosmic Eclipse Mini Booster Pack</t>
        </is>
      </c>
      <c r="B2752" s="3">
        <f>IF(H2752&lt;&gt;"",H2752,IF(I2752&lt;&gt;"",I2752,IF(J2752&lt;&gt;"",J2752,K2752)))</f>
        <v>34.25</v>
      </c>
      <c r="C2752" s="3">
        <f>MEDIAN(H2752:K2752)</f>
        <v>34.25</v>
      </c>
      <c r="D2752" s="3">
        <f>ROUND(C2752*(1-Settings!$B$2),2)</f>
        <v>23.98</v>
      </c>
      <c r="E2752" s="2" t="inlineStr">
        <is>
          <t>Pokemon</t>
        </is>
      </c>
      <c r="F2752" s="2" t="inlineStr">
        <is>
          <t>Pack</t>
        </is>
      </c>
      <c r="G2752" s="2" t="inlineStr">
        <is>
          <t>Cosmic Eclipse</t>
        </is>
      </c>
      <c r="H2752" s="3" t="n">
        <v>34.25</v>
      </c>
      <c r="I2752" s="3" t="n"/>
      <c r="J2752" s="3" t="n"/>
      <c r="K2752" s="3" t="n"/>
      <c r="L2752" s="2" t="inlineStr">
        <is>
          <t>PriceCharting</t>
        </is>
      </c>
      <c r="M2752" s="4" t="inlineStr">
        <is>
          <t>https://www.pricecharting.com/game/pokemon-cosmic-eclipse/mini-booster-pack</t>
        </is>
      </c>
    </row>
    <row r="2753">
      <c r="A2753" s="2" t="inlineStr">
        <is>
          <t>Cosmic Eclipse Sleeved Booster Pack</t>
        </is>
      </c>
      <c r="B2753" s="3">
        <f>IF(H2753&lt;&gt;"",H2753,IF(I2753&lt;&gt;"",I2753,IF(J2753&lt;&gt;"",J2753,K2753)))</f>
        <v>118.23</v>
      </c>
      <c r="C2753" s="3">
        <f>MEDIAN(H2753:K2753)</f>
        <v>118.23</v>
      </c>
      <c r="D2753" s="3">
        <f>ROUND(C2753*(1-Settings!$B$2),2)</f>
        <v>82.76</v>
      </c>
      <c r="E2753" s="2" t="inlineStr">
        <is>
          <t>Pokemon</t>
        </is>
      </c>
      <c r="F2753" s="2" t="inlineStr">
        <is>
          <t>Pack</t>
        </is>
      </c>
      <c r="G2753" s="2" t="inlineStr">
        <is>
          <t>Cosmic Eclipse</t>
        </is>
      </c>
      <c r="H2753" s="3" t="n">
        <v>118.23</v>
      </c>
      <c r="I2753" s="3" t="n"/>
      <c r="J2753" s="3" t="n"/>
      <c r="K2753" s="3" t="n"/>
      <c r="L2753" s="2" t="inlineStr">
        <is>
          <t>PriceCharting</t>
        </is>
      </c>
      <c r="M2753" s="4" t="inlineStr">
        <is>
          <t>https://www.pricecharting.com/game/pokemon-cosmic-eclipse/sleeved-booster-pack</t>
        </is>
      </c>
    </row>
    <row r="2754">
      <c r="A2754" s="2" t="inlineStr">
        <is>
          <t>Crystal Guardians Blister Pack</t>
        </is>
      </c>
      <c r="B2754" s="3">
        <f>IF(H2754&lt;&gt;"",H2754,IF(I2754&lt;&gt;"",I2754,IF(J2754&lt;&gt;"",J2754,K2754)))</f>
        <v>607.1</v>
      </c>
      <c r="C2754" s="3">
        <f>MEDIAN(H2754:K2754)</f>
        <v>607.1</v>
      </c>
      <c r="D2754" s="3">
        <f>ROUND(C2754*(1-Settings!$B$2),2)</f>
        <v>424.97</v>
      </c>
      <c r="E2754" s="2" t="inlineStr">
        <is>
          <t>Pokemon</t>
        </is>
      </c>
      <c r="F2754" s="2" t="inlineStr">
        <is>
          <t>Pack</t>
        </is>
      </c>
      <c r="G2754" s="2" t="inlineStr">
        <is>
          <t>Crystal Guardians</t>
        </is>
      </c>
      <c r="H2754" s="3" t="n">
        <v>607.1</v>
      </c>
      <c r="I2754" s="3" t="n"/>
      <c r="J2754" s="3" t="n"/>
      <c r="K2754" s="3" t="n"/>
      <c r="L2754" s="2" t="inlineStr">
        <is>
          <t>PriceCharting</t>
        </is>
      </c>
      <c r="M2754" s="4" t="inlineStr">
        <is>
          <t>https://www.pricecharting.com/game/pokemon-crystal-guardians/blister-pack</t>
        </is>
      </c>
    </row>
    <row r="2755">
      <c r="A2755" s="2" t="inlineStr">
        <is>
          <t>Dark Explorers Blister Pack</t>
        </is>
      </c>
      <c r="B2755" s="3">
        <f>IF(H2755&lt;&gt;"",H2755,IF(I2755&lt;&gt;"",I2755,IF(J2755&lt;&gt;"",J2755,K2755)))</f>
        <v>565.0</v>
      </c>
      <c r="C2755" s="3">
        <f>MEDIAN(H2755:K2755)</f>
        <v>565.0</v>
      </c>
      <c r="D2755" s="3">
        <f>ROUND(C2755*(1-Settings!$B$2),2)</f>
        <v>395.5</v>
      </c>
      <c r="E2755" s="2" t="inlineStr">
        <is>
          <t>Pokemon</t>
        </is>
      </c>
      <c r="F2755" s="2" t="inlineStr">
        <is>
          <t>Pack</t>
        </is>
      </c>
      <c r="G2755" s="2" t="inlineStr">
        <is>
          <t>Dark Explorers</t>
        </is>
      </c>
      <c r="H2755" s="3" t="n">
        <v>565</v>
      </c>
      <c r="I2755" s="3" t="n"/>
      <c r="J2755" s="3" t="n"/>
      <c r="K2755" s="3" t="n"/>
      <c r="L2755" s="2" t="inlineStr">
        <is>
          <t>PriceCharting</t>
        </is>
      </c>
      <c r="M2755" s="4" t="inlineStr">
        <is>
          <t>https://www.pricecharting.com/game/pokemon-dark-explorers/blister-pack</t>
        </is>
      </c>
    </row>
    <row r="2756">
      <c r="A2756" s="2" t="inlineStr">
        <is>
          <t>Dark Explorers Booster Pack</t>
        </is>
      </c>
      <c r="B2756" s="3">
        <f>IF(H2756&lt;&gt;"",H2756,IF(I2756&lt;&gt;"",I2756,IF(J2756&lt;&gt;"",J2756,K2756)))</f>
        <v>325.0</v>
      </c>
      <c r="C2756" s="3">
        <f>MEDIAN(H2756:K2756)</f>
        <v>394.0</v>
      </c>
      <c r="D2756" s="3">
        <f>ROUND(C2756*(1-Settings!$B$2),2)</f>
        <v>275.8</v>
      </c>
      <c r="E2756" s="2" t="inlineStr">
        <is>
          <t>Pokemon</t>
        </is>
      </c>
      <c r="F2756" s="2" t="inlineStr">
        <is>
          <t>Pack</t>
        </is>
      </c>
      <c r="G2756" s="2" t="inlineStr">
        <is>
          <t>Dark Explorers</t>
        </is>
      </c>
      <c r="H2756" s="3" t="n">
        <v>325</v>
      </c>
      <c r="I2756" s="3" t="n"/>
      <c r="J2756" s="3" t="n">
        <v>396.62</v>
      </c>
      <c r="K2756" s="3" t="n">
        <v>394</v>
      </c>
      <c r="L2756" s="2" t="inlineStr">
        <is>
          <t>PriceCharting + TCGplayer</t>
        </is>
      </c>
      <c r="M2756" s="4" t="inlineStr">
        <is>
          <t>https://www.pricecharting.com/game/pokemon-dark-explorers/booster-pack</t>
        </is>
      </c>
      <c r="N2756" s="4" t="inlineStr">
        <is>
          <t>https://www.tcgplayer.com/product/98521</t>
        </is>
      </c>
    </row>
    <row r="2757">
      <c r="A2757" s="2" t="inlineStr">
        <is>
          <t>Dark Explorers Sampling Pack</t>
        </is>
      </c>
      <c r="B2757" s="3">
        <f>IF(H2757&lt;&gt;"",H2757,IF(I2757&lt;&gt;"",I2757,IF(J2757&lt;&gt;"",J2757,K2757)))</f>
        <v>107.06</v>
      </c>
      <c r="C2757" s="3">
        <f>MEDIAN(H2757:K2757)</f>
        <v>107.06</v>
      </c>
      <c r="D2757" s="3">
        <f>ROUND(C2757*(1-Settings!$B$2),2)</f>
        <v>74.94</v>
      </c>
      <c r="E2757" s="2" t="inlineStr">
        <is>
          <t>Pokemon</t>
        </is>
      </c>
      <c r="F2757" s="2" t="inlineStr">
        <is>
          <t>Pack</t>
        </is>
      </c>
      <c r="G2757" s="2" t="inlineStr">
        <is>
          <t>Dark Explorers</t>
        </is>
      </c>
      <c r="H2757" s="3" t="n">
        <v>107.06</v>
      </c>
      <c r="I2757" s="3" t="n"/>
      <c r="J2757" s="3" t="n">
        <v>107.5</v>
      </c>
      <c r="K2757" s="3" t="n">
        <v>105</v>
      </c>
      <c r="L2757" s="2" t="inlineStr">
        <is>
          <t>PriceCharting + TCGplayer</t>
        </is>
      </c>
      <c r="M2757" s="4" t="inlineStr">
        <is>
          <t>https://www.pricecharting.com/game/pokemon-dark-explorers/sampling-pack</t>
        </is>
      </c>
      <c r="N2757" s="4" t="inlineStr">
        <is>
          <t>https://www.tcgplayer.com/product/647766</t>
        </is>
      </c>
    </row>
    <row r="2758">
      <c r="A2758" s="2" t="inlineStr">
        <is>
          <t>Darkness Ablaze 2 Pack Blister</t>
        </is>
      </c>
      <c r="B2758" s="3">
        <f>IF(H2758&lt;&gt;"",H2758,IF(I2758&lt;&gt;"",I2758,IF(J2758&lt;&gt;"",J2758,K2758)))</f>
        <v>20.55</v>
      </c>
      <c r="C2758" s="3">
        <f>MEDIAN(H2758:K2758)</f>
        <v>20.55</v>
      </c>
      <c r="D2758" s="3">
        <f>ROUND(C2758*(1-Settings!$B$2),2)</f>
        <v>14.39</v>
      </c>
      <c r="E2758" s="2" t="inlineStr">
        <is>
          <t>Pokemon</t>
        </is>
      </c>
      <c r="F2758" s="2" t="inlineStr">
        <is>
          <t>Pack</t>
        </is>
      </c>
      <c r="G2758" s="2" t="inlineStr">
        <is>
          <t>Darkness Ablaze</t>
        </is>
      </c>
      <c r="H2758" s="3" t="n">
        <v>20.55</v>
      </c>
      <c r="I2758" s="3" t="n"/>
      <c r="J2758" s="3" t="n"/>
      <c r="K2758" s="3" t="n"/>
      <c r="L2758" s="2" t="inlineStr">
        <is>
          <t>PriceCharting</t>
        </is>
      </c>
      <c r="M2758" s="4" t="inlineStr">
        <is>
          <t>https://www.pricecharting.com/game/pokemon-darkness-ablaze/2-pack-blister</t>
        </is>
      </c>
    </row>
    <row r="2759">
      <c r="A2759" s="2" t="inlineStr">
        <is>
          <t>Darkness Ablaze Checklane Blister: Pikachu</t>
        </is>
      </c>
      <c r="B2759" s="3">
        <f>IF(H2759&lt;&gt;"",H2759,IF(I2759&lt;&gt;"",I2759,IF(J2759&lt;&gt;"",J2759,K2759)))</f>
        <v>39.95</v>
      </c>
      <c r="C2759" s="3">
        <f>MEDIAN(H2759:K2759)</f>
        <v>39.95</v>
      </c>
      <c r="D2759" s="3">
        <f>ROUND(C2759*(1-Settings!$B$2),2)</f>
        <v>27.97</v>
      </c>
      <c r="E2759" s="2" t="inlineStr">
        <is>
          <t>Pokemon</t>
        </is>
      </c>
      <c r="F2759" s="2" t="inlineStr">
        <is>
          <t>Pack</t>
        </is>
      </c>
      <c r="G2759" s="2" t="inlineStr">
        <is>
          <t>Darkness Ablaze</t>
        </is>
      </c>
      <c r="H2759" s="3" t="n">
        <v>39.95</v>
      </c>
      <c r="I2759" s="3" t="n"/>
      <c r="J2759" s="3" t="n"/>
      <c r="K2759" s="3" t="n"/>
      <c r="L2759" s="2" t="inlineStr">
        <is>
          <t>PriceCharting</t>
        </is>
      </c>
      <c r="M2759" s="4" t="inlineStr">
        <is>
          <t>https://www.pricecharting.com/game/pokemon-darkness-ablaze/checklane-blister-pikachu</t>
        </is>
      </c>
    </row>
    <row r="2760">
      <c r="A2760" s="2" t="inlineStr">
        <is>
          <t>Delta Species Blister Pack</t>
        </is>
      </c>
      <c r="B2760" s="3">
        <f>IF(H2760&lt;&gt;"",H2760,IF(I2760&lt;&gt;"",I2760,IF(J2760&lt;&gt;"",J2760,K2760)))</f>
        <v>1801.0</v>
      </c>
      <c r="C2760" s="3">
        <f>MEDIAN(H2760:K2760)</f>
        <v>1801.0</v>
      </c>
      <c r="D2760" s="3">
        <f>ROUND(C2760*(1-Settings!$B$2),2)</f>
        <v>1260.7</v>
      </c>
      <c r="E2760" s="2" t="inlineStr">
        <is>
          <t>Pokemon</t>
        </is>
      </c>
      <c r="F2760" s="2" t="inlineStr">
        <is>
          <t>Pack</t>
        </is>
      </c>
      <c r="G2760" s="2" t="inlineStr">
        <is>
          <t>Delta Species</t>
        </is>
      </c>
      <c r="H2760" s="3" t="n">
        <v>1801</v>
      </c>
      <c r="I2760" s="3" t="n"/>
      <c r="J2760" s="3" t="n"/>
      <c r="K2760" s="3" t="n"/>
      <c r="L2760" s="2" t="inlineStr">
        <is>
          <t>PriceCharting</t>
        </is>
      </c>
      <c r="M2760" s="4" t="inlineStr">
        <is>
          <t>https://www.pricecharting.com/game/pokemon-delta-species/blister-pack</t>
        </is>
      </c>
    </row>
    <row r="2761">
      <c r="A2761" s="2" t="inlineStr">
        <is>
          <t>Destined Rivals Blister Pack: Eevee</t>
        </is>
      </c>
      <c r="B2761" s="3">
        <f>IF(H2761&lt;&gt;"",H2761,IF(I2761&lt;&gt;"",I2761,IF(J2761&lt;&gt;"",J2761,K2761)))</f>
        <v>21.25</v>
      </c>
      <c r="C2761" s="3">
        <f>MEDIAN(H2761:K2761)</f>
        <v>21.25</v>
      </c>
      <c r="D2761" s="3">
        <f>ROUND(C2761*(1-Settings!$B$2),2)</f>
        <v>14.88</v>
      </c>
      <c r="E2761" s="2" t="inlineStr">
        <is>
          <t>Pokemon</t>
        </is>
      </c>
      <c r="F2761" s="2" t="inlineStr">
        <is>
          <t>Pack</t>
        </is>
      </c>
      <c r="G2761" s="2" t="inlineStr">
        <is>
          <t>Destined Rivals</t>
        </is>
      </c>
      <c r="H2761" s="3" t="n">
        <v>21.25</v>
      </c>
      <c r="I2761" s="3" t="n"/>
      <c r="J2761" s="3" t="n"/>
      <c r="K2761" s="3" t="n"/>
      <c r="L2761" s="2" t="inlineStr">
        <is>
          <t>PriceCharting</t>
        </is>
      </c>
      <c r="M2761" s="4" t="inlineStr">
        <is>
          <t>https://www.pricecharting.com/game/pokemon-destined-rivals/blister-pack-eevee</t>
        </is>
      </c>
    </row>
    <row r="2762">
      <c r="A2762" s="2" t="inlineStr">
        <is>
          <t>Destined Rivals Blister Pack: Zarude</t>
        </is>
      </c>
      <c r="B2762" s="3">
        <f>IF(H2762&lt;&gt;"",H2762,IF(I2762&lt;&gt;"",I2762,IF(J2762&lt;&gt;"",J2762,K2762)))</f>
        <v>20.14</v>
      </c>
      <c r="C2762" s="3">
        <f>MEDIAN(H2762:K2762)</f>
        <v>20.14</v>
      </c>
      <c r="D2762" s="3">
        <f>ROUND(C2762*(1-Settings!$B$2),2)</f>
        <v>14.1</v>
      </c>
      <c r="E2762" s="2" t="inlineStr">
        <is>
          <t>Pokemon</t>
        </is>
      </c>
      <c r="F2762" s="2" t="inlineStr">
        <is>
          <t>Pack</t>
        </is>
      </c>
      <c r="G2762" s="2" t="inlineStr">
        <is>
          <t>Destined Rivals</t>
        </is>
      </c>
      <c r="H2762" s="3" t="n">
        <v>20.14</v>
      </c>
      <c r="I2762" s="3" t="n"/>
      <c r="J2762" s="3" t="n"/>
      <c r="K2762" s="3" t="n"/>
      <c r="L2762" s="2" t="inlineStr">
        <is>
          <t>PriceCharting</t>
        </is>
      </c>
      <c r="M2762" s="4" t="inlineStr">
        <is>
          <t>https://www.pricecharting.com/game/pokemon-destined-rivals/blister-pack-zarude</t>
        </is>
      </c>
    </row>
    <row r="2763">
      <c r="A2763" s="2" t="inlineStr">
        <is>
          <t>Detective Pikachu Booster Pack</t>
        </is>
      </c>
      <c r="B2763" s="3">
        <f>IF(H2763&lt;&gt;"",H2763,IF(I2763&lt;&gt;"",I2763,IF(J2763&lt;&gt;"",J2763,K2763)))</f>
        <v>20.0</v>
      </c>
      <c r="C2763" s="3">
        <f>MEDIAN(H2763:K2763)</f>
        <v>22.28</v>
      </c>
      <c r="D2763" s="3">
        <f>ROUND(C2763*(1-Settings!$B$2),2)</f>
        <v>15.6</v>
      </c>
      <c r="E2763" s="2" t="inlineStr">
        <is>
          <t>Pokemon</t>
        </is>
      </c>
      <c r="F2763" s="2" t="inlineStr">
        <is>
          <t>Pack</t>
        </is>
      </c>
      <c r="G2763" s="2" t="inlineStr">
        <is>
          <t>Detective Pikachu</t>
        </is>
      </c>
      <c r="H2763" s="3" t="n">
        <v>20</v>
      </c>
      <c r="I2763" s="3" t="n">
        <v>24.56</v>
      </c>
      <c r="J2763" s="3" t="n">
        <v>24.98</v>
      </c>
      <c r="K2763" s="3" t="n">
        <v>20</v>
      </c>
      <c r="L2763" s="2" t="inlineStr">
        <is>
          <t>PriceCharting + TCGplayer</t>
        </is>
      </c>
      <c r="M2763" s="4" t="inlineStr">
        <is>
          <t>https://www.pricecharting.com/game/pokemon-detective-pikachu/booster-pack</t>
        </is>
      </c>
      <c r="N2763" s="4" t="inlineStr">
        <is>
          <t>https://www.tcgplayer.com/product/187239</t>
        </is>
      </c>
    </row>
    <row r="2764">
      <c r="A2764" s="2" t="inlineStr">
        <is>
          <t>Detective Pikachu Booster Pack [2-Card]</t>
        </is>
      </c>
      <c r="B2764" s="3">
        <f>IF(H2764&lt;&gt;"",H2764,IF(I2764&lt;&gt;"",I2764,IF(J2764&lt;&gt;"",J2764,K2764)))</f>
        <v>20.01</v>
      </c>
      <c r="C2764" s="3">
        <f>MEDIAN(H2764:K2764)</f>
        <v>20.01</v>
      </c>
      <c r="D2764" s="3">
        <f>ROUND(C2764*(1-Settings!$B$2),2)</f>
        <v>14.01</v>
      </c>
      <c r="E2764" s="2" t="inlineStr">
        <is>
          <t>Pokemon</t>
        </is>
      </c>
      <c r="F2764" s="2" t="inlineStr">
        <is>
          <t>Pack</t>
        </is>
      </c>
      <c r="G2764" s="2" t="inlineStr">
        <is>
          <t>Detective Pikachu</t>
        </is>
      </c>
      <c r="H2764" s="3" t="n">
        <v>20.01</v>
      </c>
      <c r="I2764" s="3" t="n"/>
      <c r="J2764" s="3" t="n"/>
      <c r="K2764" s="3" t="n"/>
      <c r="L2764" s="2" t="inlineStr">
        <is>
          <t>PriceCharting</t>
        </is>
      </c>
      <c r="M2764" s="4" t="inlineStr">
        <is>
          <t>https://www.pricecharting.com/game/pokemon-detective-pikachu/booster-pack-2-card</t>
        </is>
      </c>
    </row>
    <row r="2765">
      <c r="A2765" s="2" t="inlineStr">
        <is>
          <t>Detective Pikachu Special Promo Booster Pack</t>
        </is>
      </c>
      <c r="B2765" s="3">
        <f>IF(H2765&lt;&gt;"",H2765,IF(I2765&lt;&gt;"",I2765,IF(J2765&lt;&gt;"",J2765,K2765)))</f>
        <v>20.3</v>
      </c>
      <c r="C2765" s="3">
        <f>MEDIAN(H2765:K2765)</f>
        <v>20.3</v>
      </c>
      <c r="D2765" s="3">
        <f>ROUND(C2765*(1-Settings!$B$2),2)</f>
        <v>14.21</v>
      </c>
      <c r="E2765" s="2" t="inlineStr">
        <is>
          <t>Pokemon</t>
        </is>
      </c>
      <c r="F2765" s="2" t="inlineStr">
        <is>
          <t>Pack</t>
        </is>
      </c>
      <c r="G2765" s="2" t="inlineStr">
        <is>
          <t>Detective Pikachu</t>
        </is>
      </c>
      <c r="H2765" s="3" t="n"/>
      <c r="I2765" s="3" t="n">
        <v>20.3</v>
      </c>
      <c r="J2765" s="3" t="n">
        <v>21</v>
      </c>
      <c r="K2765" s="3" t="n">
        <v>17.99</v>
      </c>
      <c r="L2765" s="2" t="inlineStr">
        <is>
          <t>TCGplayer</t>
        </is>
      </c>
      <c r="N2765" s="4" t="inlineStr">
        <is>
          <t>https://www.tcgplayer.com/product/189810</t>
        </is>
      </c>
    </row>
    <row r="2766">
      <c r="A2766" s="2" t="inlineStr">
        <is>
          <t>Detective Pikachu Two Pack Blister</t>
        </is>
      </c>
      <c r="B2766" s="3">
        <f>IF(H2766&lt;&gt;"",H2766,IF(I2766&lt;&gt;"",I2766,IF(J2766&lt;&gt;"",J2766,K2766)))</f>
        <v>99.99</v>
      </c>
      <c r="C2766" s="3">
        <f>MEDIAN(H2766:K2766)</f>
        <v>150.0</v>
      </c>
      <c r="D2766" s="3">
        <f>ROUND(C2766*(1-Settings!$B$2),2)</f>
        <v>105.0</v>
      </c>
      <c r="E2766" s="2" t="inlineStr">
        <is>
          <t>Pokemon</t>
        </is>
      </c>
      <c r="F2766" s="2" t="inlineStr">
        <is>
          <t>Pack</t>
        </is>
      </c>
      <c r="G2766" s="2" t="inlineStr">
        <is>
          <t>Detective Pikachu</t>
        </is>
      </c>
      <c r="H2766" s="3" t="n"/>
      <c r="I2766" s="3" t="n">
        <v>99.98999999999999</v>
      </c>
      <c r="J2766" s="3" t="n">
        <v>150</v>
      </c>
      <c r="K2766" s="3" t="n">
        <v>150</v>
      </c>
      <c r="L2766" s="2" t="inlineStr">
        <is>
          <t>TCGplayer</t>
        </is>
      </c>
      <c r="N2766" s="4" t="inlineStr">
        <is>
          <t>https://www.tcgplayer.com/product/264258</t>
        </is>
      </c>
    </row>
    <row r="2767">
      <c r="A2767" s="2" t="inlineStr">
        <is>
          <t>Diamond and Pearl Booster Pack</t>
        </is>
      </c>
      <c r="B2767" s="3">
        <f>IF(H2767&lt;&gt;"",H2767,IF(I2767&lt;&gt;"",I2767,IF(J2767&lt;&gt;"",J2767,K2767)))</f>
        <v>195.0</v>
      </c>
      <c r="C2767" s="3">
        <f>MEDIAN(H2767:K2767)</f>
        <v>300.0</v>
      </c>
      <c r="D2767" s="3">
        <f>ROUND(C2767*(1-Settings!$B$2),2)</f>
        <v>210.0</v>
      </c>
      <c r="E2767" s="2" t="inlineStr">
        <is>
          <t>Pokemon</t>
        </is>
      </c>
      <c r="F2767" s="2" t="inlineStr">
        <is>
          <t>Pack</t>
        </is>
      </c>
      <c r="G2767" s="2" t="inlineStr">
        <is>
          <t>Diamond and Pearl</t>
        </is>
      </c>
      <c r="H2767" s="3" t="n"/>
      <c r="I2767" s="3" t="n">
        <v>195</v>
      </c>
      <c r="J2767" s="3" t="n">
        <v>340</v>
      </c>
      <c r="K2767" s="3" t="n">
        <v>300</v>
      </c>
      <c r="L2767" s="2" t="inlineStr">
        <is>
          <t>TCGplayer</t>
        </is>
      </c>
      <c r="N2767" s="4" t="inlineStr">
        <is>
          <t>https://www.tcgplayer.com/product/98525</t>
        </is>
      </c>
    </row>
    <row r="2768">
      <c r="A2768" s="2" t="inlineStr">
        <is>
          <t>Double Crisis Booster Pack</t>
        </is>
      </c>
      <c r="B2768" s="3">
        <f>IF(H2768&lt;&gt;"",H2768,IF(I2768&lt;&gt;"",I2768,IF(J2768&lt;&gt;"",J2768,K2768)))</f>
        <v>384.67</v>
      </c>
      <c r="C2768" s="3">
        <f>MEDIAN(H2768:K2768)</f>
        <v>462.78999999999996</v>
      </c>
      <c r="D2768" s="3">
        <f>ROUND(C2768*(1-Settings!$B$2),2)</f>
        <v>323.95</v>
      </c>
      <c r="E2768" s="2" t="inlineStr">
        <is>
          <t>Pokemon</t>
        </is>
      </c>
      <c r="F2768" s="2" t="inlineStr">
        <is>
          <t>Pack</t>
        </is>
      </c>
      <c r="G2768" s="2" t="inlineStr">
        <is>
          <t>Double Crisis</t>
        </is>
      </c>
      <c r="H2768" s="3" t="n">
        <v>384.67</v>
      </c>
      <c r="I2768" s="3" t="n">
        <v>429.59</v>
      </c>
      <c r="J2768" s="3" t="n">
        <v>498</v>
      </c>
      <c r="K2768" s="3" t="n">
        <v>495.99</v>
      </c>
      <c r="L2768" s="2" t="inlineStr">
        <is>
          <t>PriceCharting + TCGplayer</t>
        </is>
      </c>
      <c r="M2768" s="4" t="inlineStr">
        <is>
          <t>https://www.pricecharting.com/game/pokemon-double-crisis/booster-pack</t>
        </is>
      </c>
      <c r="N2768" s="4" t="inlineStr">
        <is>
          <t>https://www.tcgplayer.com/product/229226</t>
        </is>
      </c>
    </row>
    <row r="2769">
      <c r="A2769" s="2" t="inlineStr">
        <is>
          <t>Double Crisis: Team Aqua Blister</t>
        </is>
      </c>
      <c r="B2769" s="3">
        <f>IF(H2769&lt;&gt;"",H2769,IF(I2769&lt;&gt;"",I2769,IF(J2769&lt;&gt;"",J2769,K2769)))</f>
        <v>2399.99</v>
      </c>
      <c r="C2769" s="3">
        <f>MEDIAN(H2769:K2769)</f>
        <v>2399.99</v>
      </c>
      <c r="D2769" s="3">
        <f>ROUND(C2769*(1-Settings!$B$2),2)</f>
        <v>1679.99</v>
      </c>
      <c r="E2769" s="2" t="inlineStr">
        <is>
          <t>Pokemon</t>
        </is>
      </c>
      <c r="F2769" s="2" t="inlineStr">
        <is>
          <t>Pack</t>
        </is>
      </c>
      <c r="G2769" s="2" t="inlineStr">
        <is>
          <t>Double Crisis</t>
        </is>
      </c>
      <c r="H2769" s="3" t="n"/>
      <c r="I2769" s="3" t="n"/>
      <c r="J2769" s="3" t="n">
        <v>2399.99</v>
      </c>
      <c r="K2769" s="3" t="n">
        <v>2399.99</v>
      </c>
      <c r="L2769" s="2" t="inlineStr">
        <is>
          <t>TCGplayer</t>
        </is>
      </c>
      <c r="N2769" s="4" t="inlineStr">
        <is>
          <t>https://www.tcgplayer.com/product/97765</t>
        </is>
      </c>
    </row>
    <row r="2770">
      <c r="A2770" s="2" t="inlineStr">
        <is>
          <t>Dragon Blister Pack</t>
        </is>
      </c>
      <c r="B2770" s="3">
        <f>IF(H2770&lt;&gt;"",H2770,IF(I2770&lt;&gt;"",I2770,IF(J2770&lt;&gt;"",J2770,K2770)))</f>
        <v>1164.02</v>
      </c>
      <c r="C2770" s="3">
        <f>MEDIAN(H2770:K2770)</f>
        <v>1164.02</v>
      </c>
      <c r="D2770" s="3">
        <f>ROUND(C2770*(1-Settings!$B$2),2)</f>
        <v>814.81</v>
      </c>
      <c r="E2770" s="2" t="inlineStr">
        <is>
          <t>Pokemon</t>
        </is>
      </c>
      <c r="F2770" s="2" t="inlineStr">
        <is>
          <t>Pack</t>
        </is>
      </c>
      <c r="G2770" s="2" t="inlineStr">
        <is>
          <t>Dragon</t>
        </is>
      </c>
      <c r="H2770" s="3" t="n">
        <v>1164.02</v>
      </c>
      <c r="I2770" s="3" t="n"/>
      <c r="J2770" s="3" t="n"/>
      <c r="K2770" s="3" t="n"/>
      <c r="L2770" s="2" t="inlineStr">
        <is>
          <t>PriceCharting</t>
        </is>
      </c>
      <c r="M2770" s="4" t="inlineStr">
        <is>
          <t>https://www.pricecharting.com/game/pokemon-dragon/blister-pack</t>
        </is>
      </c>
    </row>
    <row r="2771">
      <c r="A2771" s="2" t="inlineStr">
        <is>
          <t>Dragon Booster Pack</t>
        </is>
      </c>
      <c r="B2771" s="3">
        <f>IF(H2771&lt;&gt;"",H2771,IF(I2771&lt;&gt;"",I2771,IF(J2771&lt;&gt;"",J2771,K2771)))</f>
        <v>588.33</v>
      </c>
      <c r="C2771" s="3">
        <f>MEDIAN(H2771:K2771)</f>
        <v>588.33</v>
      </c>
      <c r="D2771" s="3">
        <f>ROUND(C2771*(1-Settings!$B$2),2)</f>
        <v>411.83</v>
      </c>
      <c r="E2771" s="2" t="inlineStr">
        <is>
          <t>Pokemon</t>
        </is>
      </c>
      <c r="F2771" s="2" t="inlineStr">
        <is>
          <t>Pack</t>
        </is>
      </c>
      <c r="G2771" s="2" t="inlineStr">
        <is>
          <t>Dragon</t>
        </is>
      </c>
      <c r="H2771" s="3" t="n">
        <v>588.33</v>
      </c>
      <c r="I2771" s="3" t="n"/>
      <c r="J2771" s="3" t="n"/>
      <c r="K2771" s="3" t="n"/>
      <c r="L2771" s="2" t="inlineStr">
        <is>
          <t>PriceCharting</t>
        </is>
      </c>
      <c r="M2771" s="4" t="inlineStr">
        <is>
          <t>https://www.pricecharting.com/game/pokemon-dragon/booster-pack</t>
        </is>
      </c>
    </row>
    <row r="2772">
      <c r="A2772" s="2" t="inlineStr">
        <is>
          <t>Dragon Frontiers Blister Pack</t>
        </is>
      </c>
      <c r="B2772" s="3">
        <f>IF(H2772&lt;&gt;"",H2772,IF(I2772&lt;&gt;"",I2772,IF(J2772&lt;&gt;"",J2772,K2772)))</f>
        <v>2399.99</v>
      </c>
      <c r="C2772" s="3">
        <f>MEDIAN(H2772:K2772)</f>
        <v>2399.99</v>
      </c>
      <c r="D2772" s="3">
        <f>ROUND(C2772*(1-Settings!$B$2),2)</f>
        <v>1679.99</v>
      </c>
      <c r="E2772" s="2" t="inlineStr">
        <is>
          <t>Pokemon</t>
        </is>
      </c>
      <c r="F2772" s="2" t="inlineStr">
        <is>
          <t>Pack</t>
        </is>
      </c>
      <c r="G2772" s="2" t="inlineStr">
        <is>
          <t>Dragon Frontiers</t>
        </is>
      </c>
      <c r="H2772" s="3" t="n">
        <v>2399.99</v>
      </c>
      <c r="I2772" s="3" t="n"/>
      <c r="J2772" s="3" t="n"/>
      <c r="K2772" s="3" t="n"/>
      <c r="L2772" s="2" t="inlineStr">
        <is>
          <t>PriceCharting</t>
        </is>
      </c>
      <c r="M2772" s="4" t="inlineStr">
        <is>
          <t>https://www.pricecharting.com/game/pokemon-dragon-frontiers/blister-pack</t>
        </is>
      </c>
    </row>
    <row r="2773">
      <c r="A2773" s="2" t="inlineStr">
        <is>
          <t>Dragon Majesty Booster Pack</t>
        </is>
      </c>
      <c r="B2773" s="3">
        <f>IF(H2773&lt;&gt;"",H2773,IF(I2773&lt;&gt;"",I2773,IF(J2773&lt;&gt;"",J2773,K2773)))</f>
        <v>110.5</v>
      </c>
      <c r="C2773" s="3">
        <f>MEDIAN(H2773:K2773)</f>
        <v>115.245</v>
      </c>
      <c r="D2773" s="3">
        <f>ROUND(C2773*(1-Settings!$B$2),2)</f>
        <v>80.67</v>
      </c>
      <c r="E2773" s="2" t="inlineStr">
        <is>
          <t>Pokemon</t>
        </is>
      </c>
      <c r="F2773" s="2" t="inlineStr">
        <is>
          <t>Pack</t>
        </is>
      </c>
      <c r="G2773" s="2" t="inlineStr">
        <is>
          <t>Dragon Majesty</t>
        </is>
      </c>
      <c r="H2773" s="3" t="n">
        <v>110.5</v>
      </c>
      <c r="I2773" s="3" t="n">
        <v>105.69</v>
      </c>
      <c r="J2773" s="3" t="n">
        <v>121.33</v>
      </c>
      <c r="K2773" s="3" t="n">
        <v>119.99</v>
      </c>
      <c r="L2773" s="2" t="inlineStr">
        <is>
          <t>PriceCharting + TCGplayer</t>
        </is>
      </c>
      <c r="M2773" s="4" t="inlineStr">
        <is>
          <t>https://www.pricecharting.com/game/pokemon-dragon-majesty/booster-pack</t>
        </is>
      </c>
      <c r="N2773" s="4" t="inlineStr">
        <is>
          <t>https://www.tcgplayer.com/product/173392</t>
        </is>
      </c>
    </row>
    <row r="2774">
      <c r="A2774" s="2" t="inlineStr">
        <is>
          <t>Dragon Vault 3 Pack Blister</t>
        </is>
      </c>
      <c r="B2774" s="3">
        <f>IF(H2774&lt;&gt;"",H2774,IF(I2774&lt;&gt;"",I2774,IF(J2774&lt;&gt;"",J2774,K2774)))</f>
        <v>1995.9</v>
      </c>
      <c r="C2774" s="3">
        <f>MEDIAN(H2774:K2774)</f>
        <v>1995.9</v>
      </c>
      <c r="D2774" s="3">
        <f>ROUND(C2774*(1-Settings!$B$2),2)</f>
        <v>1397.13</v>
      </c>
      <c r="E2774" s="2" t="inlineStr">
        <is>
          <t>Pokemon</t>
        </is>
      </c>
      <c r="F2774" s="2" t="inlineStr">
        <is>
          <t>Pack</t>
        </is>
      </c>
      <c r="G2774" s="2" t="inlineStr">
        <is>
          <t>Dragon Vault</t>
        </is>
      </c>
      <c r="H2774" s="3" t="n"/>
      <c r="I2774" s="3" t="n">
        <v>1995.9</v>
      </c>
      <c r="J2774" s="3" t="n"/>
      <c r="K2774" s="3" t="n"/>
      <c r="L2774" s="2" t="inlineStr">
        <is>
          <t>TCGplayer</t>
        </is>
      </c>
      <c r="N2774" s="4" t="inlineStr">
        <is>
          <t>https://www.tcgplayer.com/product/98947</t>
        </is>
      </c>
    </row>
    <row r="2775">
      <c r="A2775" s="2" t="inlineStr">
        <is>
          <t>Dragon Vault Booster Pack</t>
        </is>
      </c>
      <c r="B2775" s="3">
        <f>IF(H2775&lt;&gt;"",H2775,IF(I2775&lt;&gt;"",I2775,IF(J2775&lt;&gt;"",J2775,K2775)))</f>
        <v>278.3</v>
      </c>
      <c r="C2775" s="3">
        <f>MEDIAN(H2775:K2775)</f>
        <v>271.775</v>
      </c>
      <c r="D2775" s="3">
        <f>ROUND(C2775*(1-Settings!$B$2),2)</f>
        <v>190.24</v>
      </c>
      <c r="E2775" s="2" t="inlineStr">
        <is>
          <t>Pokemon</t>
        </is>
      </c>
      <c r="F2775" s="2" t="inlineStr">
        <is>
          <t>Pack</t>
        </is>
      </c>
      <c r="G2775" s="2" t="inlineStr">
        <is>
          <t>Dragon Vault</t>
        </is>
      </c>
      <c r="H2775" s="3" t="n">
        <v>278.3</v>
      </c>
      <c r="I2775" s="3" t="n">
        <v>265.25</v>
      </c>
      <c r="J2775" s="3" t="n"/>
      <c r="K2775" s="3" t="n"/>
      <c r="L2775" s="2" t="inlineStr">
        <is>
          <t>PriceCharting + TCGplayer</t>
        </is>
      </c>
      <c r="M2775" s="4" t="inlineStr">
        <is>
          <t>https://www.pricecharting.com/game/pokemon-dragon-vault/booster-pack</t>
        </is>
      </c>
      <c r="N2775" s="4" t="inlineStr">
        <is>
          <t>https://www.tcgplayer.com/product/98948</t>
        </is>
      </c>
    </row>
    <row r="2776">
      <c r="A2776" s="2" t="inlineStr">
        <is>
          <t>Dragons Exalted Booster Pack</t>
        </is>
      </c>
      <c r="B2776" s="3">
        <f>IF(H2776&lt;&gt;"",H2776,IF(I2776&lt;&gt;"",I2776,IF(J2776&lt;&gt;"",J2776,K2776)))</f>
        <v>364.82</v>
      </c>
      <c r="C2776" s="3">
        <f>MEDIAN(H2776:K2776)</f>
        <v>360.11</v>
      </c>
      <c r="D2776" s="3">
        <f>ROUND(C2776*(1-Settings!$B$2),2)</f>
        <v>252.08</v>
      </c>
      <c r="E2776" s="2" t="inlineStr">
        <is>
          <t>Pokemon</t>
        </is>
      </c>
      <c r="F2776" s="2" t="inlineStr">
        <is>
          <t>Pack</t>
        </is>
      </c>
      <c r="G2776" s="2" t="inlineStr">
        <is>
          <t>Dragons Exalted</t>
        </is>
      </c>
      <c r="H2776" s="3" t="n">
        <v>364.82</v>
      </c>
      <c r="I2776" s="3" t="n">
        <v>355.4</v>
      </c>
      <c r="J2776" s="3" t="n">
        <v>399.95</v>
      </c>
      <c r="K2776" s="3" t="n">
        <v>344.99</v>
      </c>
      <c r="L2776" s="2" t="inlineStr">
        <is>
          <t>PriceCharting + TCGplayer</t>
        </is>
      </c>
      <c r="M2776" s="4" t="inlineStr">
        <is>
          <t>https://www.pricecharting.com/game/pokemon-dragons-exalted/booster-pack</t>
        </is>
      </c>
      <c r="N2776" s="4" t="inlineStr">
        <is>
          <t>https://www.tcgplayer.com/product/98541</t>
        </is>
      </c>
    </row>
    <row r="2777">
      <c r="A2777" s="2" t="inlineStr">
        <is>
          <t>Emerald Blister Pack</t>
        </is>
      </c>
      <c r="B2777" s="3">
        <f>IF(H2777&lt;&gt;"",H2777,IF(I2777&lt;&gt;"",I2777,IF(J2777&lt;&gt;"",J2777,K2777)))</f>
        <v>1800.0</v>
      </c>
      <c r="C2777" s="3">
        <f>MEDIAN(H2777:K2777)</f>
        <v>1800.0</v>
      </c>
      <c r="D2777" s="3">
        <f>ROUND(C2777*(1-Settings!$B$2),2)</f>
        <v>1260.0</v>
      </c>
      <c r="E2777" s="2" t="inlineStr">
        <is>
          <t>Pokemon</t>
        </is>
      </c>
      <c r="F2777" s="2" t="inlineStr">
        <is>
          <t>Pack</t>
        </is>
      </c>
      <c r="G2777" s="2" t="inlineStr">
        <is>
          <t>Emerald</t>
        </is>
      </c>
      <c r="H2777" s="3" t="n">
        <v>1800</v>
      </c>
      <c r="I2777" s="3" t="n"/>
      <c r="J2777" s="3" t="n"/>
      <c r="K2777" s="3" t="n"/>
      <c r="L2777" s="2" t="inlineStr">
        <is>
          <t>PriceCharting</t>
        </is>
      </c>
      <c r="M2777" s="4" t="inlineStr">
        <is>
          <t>https://www.pricecharting.com/game/pokemon-emerald/blister-pack</t>
        </is>
      </c>
    </row>
    <row r="2778">
      <c r="A2778" s="2" t="inlineStr">
        <is>
          <t>Emerging Powers Booster Pack</t>
        </is>
      </c>
      <c r="B2778" s="3">
        <f>IF(H2778&lt;&gt;"",H2778,IF(I2778&lt;&gt;"",I2778,IF(J2778&lt;&gt;"",J2778,K2778)))</f>
        <v>97.72</v>
      </c>
      <c r="C2778" s="3">
        <f>MEDIAN(H2778:K2778)</f>
        <v>169.69</v>
      </c>
      <c r="D2778" s="3">
        <f>ROUND(C2778*(1-Settings!$B$2),2)</f>
        <v>118.78</v>
      </c>
      <c r="E2778" s="2" t="inlineStr">
        <is>
          <t>Pokemon</t>
        </is>
      </c>
      <c r="F2778" s="2" t="inlineStr">
        <is>
          <t>Pack</t>
        </is>
      </c>
      <c r="G2778" s="2" t="inlineStr">
        <is>
          <t>Emerging Powers</t>
        </is>
      </c>
      <c r="H2778" s="3" t="n"/>
      <c r="I2778" s="3" t="n">
        <v>97.72</v>
      </c>
      <c r="J2778" s="3" t="n">
        <v>300</v>
      </c>
      <c r="K2778" s="3" t="n">
        <v>169.69</v>
      </c>
      <c r="L2778" s="2" t="inlineStr">
        <is>
          <t>TCGplayer</t>
        </is>
      </c>
      <c r="N2778" s="4" t="inlineStr">
        <is>
          <t>https://www.tcgplayer.com/product/98549</t>
        </is>
      </c>
    </row>
    <row r="2779">
      <c r="A2779" s="2" t="inlineStr">
        <is>
          <t>Evolutions 3 Card Booster Pack</t>
        </is>
      </c>
      <c r="B2779" s="3">
        <f>IF(H2779&lt;&gt;"",H2779,IF(I2779&lt;&gt;"",I2779,IF(J2779&lt;&gt;"",J2779,K2779)))</f>
        <v>24.95</v>
      </c>
      <c r="C2779" s="3">
        <f>MEDIAN(H2779:K2779)</f>
        <v>24.95</v>
      </c>
      <c r="D2779" s="3">
        <f>ROUND(C2779*(1-Settings!$B$2),2)</f>
        <v>17.47</v>
      </c>
      <c r="E2779" s="2" t="inlineStr">
        <is>
          <t>Pokemon</t>
        </is>
      </c>
      <c r="F2779" s="2" t="inlineStr">
        <is>
          <t>Pack</t>
        </is>
      </c>
      <c r="G2779" s="2" t="inlineStr">
        <is>
          <t>Evolutions</t>
        </is>
      </c>
      <c r="H2779" s="3" t="n">
        <v>24.95</v>
      </c>
      <c r="I2779" s="3" t="n"/>
      <c r="J2779" s="3" t="n"/>
      <c r="K2779" s="3" t="n"/>
      <c r="L2779" s="2" t="inlineStr">
        <is>
          <t>PriceCharting</t>
        </is>
      </c>
      <c r="M2779" s="4" t="inlineStr">
        <is>
          <t>https://www.pricecharting.com/game/pokemon-evolutions/3-card-booster-pack</t>
        </is>
      </c>
    </row>
    <row r="2780">
      <c r="A2780" s="2" t="inlineStr">
        <is>
          <t>Evolutions 3 Pack Blister [Black Kyurem]</t>
        </is>
      </c>
      <c r="B2780" s="3">
        <f>IF(H2780&lt;&gt;"",H2780,IF(I2780&lt;&gt;"",I2780,IF(J2780&lt;&gt;"",J2780,K2780)))</f>
        <v>320.0</v>
      </c>
      <c r="C2780" s="3">
        <f>MEDIAN(H2780:K2780)</f>
        <v>320.0</v>
      </c>
      <c r="D2780" s="3">
        <f>ROUND(C2780*(1-Settings!$B$2),2)</f>
        <v>224.0</v>
      </c>
      <c r="E2780" s="2" t="inlineStr">
        <is>
          <t>Pokemon</t>
        </is>
      </c>
      <c r="F2780" s="2" t="inlineStr">
        <is>
          <t>Pack</t>
        </is>
      </c>
      <c r="G2780" s="2" t="inlineStr">
        <is>
          <t>Evolutions</t>
        </is>
      </c>
      <c r="H2780" s="3" t="n">
        <v>320</v>
      </c>
      <c r="I2780" s="3" t="n"/>
      <c r="J2780" s="3" t="n"/>
      <c r="K2780" s="3" t="n"/>
      <c r="L2780" s="2" t="inlineStr">
        <is>
          <t>PriceCharting</t>
        </is>
      </c>
      <c r="M2780" s="4" t="inlineStr">
        <is>
          <t>https://www.pricecharting.com/game/pokemon-evolutions/3-pack-blister-black-kyurem</t>
        </is>
      </c>
    </row>
    <row r="2781">
      <c r="A2781" s="2" t="inlineStr">
        <is>
          <t>Evolutions 3 Pack Blister [Braixen]</t>
        </is>
      </c>
      <c r="B2781" s="3">
        <f>IF(H2781&lt;&gt;"",H2781,IF(I2781&lt;&gt;"",I2781,IF(J2781&lt;&gt;"",J2781,K2781)))</f>
        <v>234.34</v>
      </c>
      <c r="C2781" s="3">
        <f>MEDIAN(H2781:K2781)</f>
        <v>234.34</v>
      </c>
      <c r="D2781" s="3">
        <f>ROUND(C2781*(1-Settings!$B$2),2)</f>
        <v>164.04</v>
      </c>
      <c r="E2781" s="2" t="inlineStr">
        <is>
          <t>Pokemon</t>
        </is>
      </c>
      <c r="F2781" s="2" t="inlineStr">
        <is>
          <t>Pack</t>
        </is>
      </c>
      <c r="G2781" s="2" t="inlineStr">
        <is>
          <t>Evolutions</t>
        </is>
      </c>
      <c r="H2781" s="3" t="n">
        <v>234.34</v>
      </c>
      <c r="I2781" s="3" t="n"/>
      <c r="J2781" s="3" t="n"/>
      <c r="K2781" s="3" t="n"/>
      <c r="L2781" s="2" t="inlineStr">
        <is>
          <t>PriceCharting</t>
        </is>
      </c>
      <c r="M2781" s="4" t="inlineStr">
        <is>
          <t>https://www.pricecharting.com/game/pokemon-evolutions/3-pack-blister-braixen</t>
        </is>
      </c>
    </row>
    <row r="2782">
      <c r="A2782" s="2" t="inlineStr">
        <is>
          <t>Evolutions Mini Booster Pack</t>
        </is>
      </c>
      <c r="B2782" s="3">
        <f>IF(H2782&lt;&gt;"",H2782,IF(I2782&lt;&gt;"",I2782,IF(J2782&lt;&gt;"",J2782,K2782)))</f>
        <v>79.4</v>
      </c>
      <c r="C2782" s="3">
        <f>MEDIAN(H2782:K2782)</f>
        <v>79.4</v>
      </c>
      <c r="D2782" s="3">
        <f>ROUND(C2782*(1-Settings!$B$2),2)</f>
        <v>55.58</v>
      </c>
      <c r="E2782" s="2" t="inlineStr">
        <is>
          <t>Pokemon</t>
        </is>
      </c>
      <c r="F2782" s="2" t="inlineStr">
        <is>
          <t>Pack</t>
        </is>
      </c>
      <c r="G2782" s="2" t="inlineStr">
        <is>
          <t>Evolutions</t>
        </is>
      </c>
      <c r="H2782" s="3" t="n">
        <v>79.40000000000001</v>
      </c>
      <c r="I2782" s="3" t="n"/>
      <c r="J2782" s="3" t="n"/>
      <c r="K2782" s="3" t="n"/>
      <c r="L2782" s="2" t="inlineStr">
        <is>
          <t>PriceCharting</t>
        </is>
      </c>
      <c r="M2782" s="4" t="inlineStr">
        <is>
          <t>https://www.pricecharting.com/game/pokemon-evolutions/mini-booster-pack</t>
        </is>
      </c>
    </row>
    <row r="2783">
      <c r="A2783" s="2" t="inlineStr">
        <is>
          <t>Evolutions Sampling Pack</t>
        </is>
      </c>
      <c r="B2783" s="3">
        <f>IF(H2783&lt;&gt;"",H2783,IF(I2783&lt;&gt;"",I2783,IF(J2783&lt;&gt;"",J2783,K2783)))</f>
        <v>15.93</v>
      </c>
      <c r="C2783" s="3">
        <f>MEDIAN(H2783:K2783)</f>
        <v>15.93</v>
      </c>
      <c r="D2783" s="3">
        <f>ROUND(C2783*(1-Settings!$B$2),2)</f>
        <v>11.15</v>
      </c>
      <c r="E2783" s="2" t="inlineStr">
        <is>
          <t>Pokemon</t>
        </is>
      </c>
      <c r="F2783" s="2" t="inlineStr">
        <is>
          <t>Pack</t>
        </is>
      </c>
      <c r="G2783" s="2" t="inlineStr">
        <is>
          <t>Evolutions</t>
        </is>
      </c>
      <c r="H2783" s="3" t="n">
        <v>15.93</v>
      </c>
      <c r="I2783" s="3" t="n"/>
      <c r="J2783" s="3" t="n"/>
      <c r="K2783" s="3" t="n"/>
      <c r="L2783" s="2" t="inlineStr">
        <is>
          <t>PriceCharting</t>
        </is>
      </c>
      <c r="M2783" s="4" t="inlineStr">
        <is>
          <t>https://www.pricecharting.com/game/pokemon-evolutions/sampling-pack</t>
        </is>
      </c>
    </row>
    <row r="2784">
      <c r="A2784" s="2" t="inlineStr">
        <is>
          <t>Evolutions Single Pack Blister</t>
        </is>
      </c>
      <c r="B2784" s="3">
        <f>IF(H2784&lt;&gt;"",H2784,IF(I2784&lt;&gt;"",I2784,IF(J2784&lt;&gt;"",J2784,K2784)))</f>
        <v>115.09</v>
      </c>
      <c r="C2784" s="3">
        <f>MEDIAN(H2784:K2784)</f>
        <v>115.09</v>
      </c>
      <c r="D2784" s="3">
        <f>ROUND(C2784*(1-Settings!$B$2),2)</f>
        <v>80.56</v>
      </c>
      <c r="E2784" s="2" t="inlineStr">
        <is>
          <t>Pokemon</t>
        </is>
      </c>
      <c r="F2784" s="2" t="inlineStr">
        <is>
          <t>Pack</t>
        </is>
      </c>
      <c r="G2784" s="2" t="inlineStr">
        <is>
          <t>Evolutions</t>
        </is>
      </c>
      <c r="H2784" s="3" t="n">
        <v>115.09</v>
      </c>
      <c r="I2784" s="3" t="n"/>
      <c r="J2784" s="3" t="n"/>
      <c r="K2784" s="3" t="n"/>
      <c r="L2784" s="2" t="inlineStr">
        <is>
          <t>PriceCharting</t>
        </is>
      </c>
      <c r="M2784" s="4" t="inlineStr">
        <is>
          <t>https://www.pricecharting.com/game/pokemon-evolutions/single-pack-blister</t>
        </is>
      </c>
    </row>
    <row r="2785">
      <c r="A2785" s="2" t="inlineStr">
        <is>
          <t>Evolving Skies Blister Pack: Octillery</t>
        </is>
      </c>
      <c r="B2785" s="3">
        <f>IF(H2785&lt;&gt;"",H2785,IF(I2785&lt;&gt;"",I2785,IF(J2785&lt;&gt;"",J2785,K2785)))</f>
        <v>59.83</v>
      </c>
      <c r="C2785" s="3">
        <f>MEDIAN(H2785:K2785)</f>
        <v>59.83</v>
      </c>
      <c r="D2785" s="3">
        <f>ROUND(C2785*(1-Settings!$B$2),2)</f>
        <v>41.88</v>
      </c>
      <c r="E2785" s="2" t="inlineStr">
        <is>
          <t>Pokemon</t>
        </is>
      </c>
      <c r="F2785" s="2" t="inlineStr">
        <is>
          <t>Pack</t>
        </is>
      </c>
      <c r="G2785" s="2" t="inlineStr">
        <is>
          <t>Evolving Skies</t>
        </is>
      </c>
      <c r="H2785" s="3" t="n">
        <v>59.83</v>
      </c>
      <c r="I2785" s="3" t="n"/>
      <c r="J2785" s="3" t="n"/>
      <c r="K2785" s="3" t="n"/>
      <c r="L2785" s="2" t="inlineStr">
        <is>
          <t>PriceCharting</t>
        </is>
      </c>
      <c r="M2785" s="4" t="inlineStr">
        <is>
          <t>https://www.pricecharting.com/game/pokemon-evolving-skies/blister-pack-octillery</t>
        </is>
      </c>
    </row>
    <row r="2786">
      <c r="A2786" s="2" t="inlineStr">
        <is>
          <t>Evolving Skies Booster Pack [Heavy]</t>
        </is>
      </c>
      <c r="B2786" s="3">
        <f>IF(H2786&lt;&gt;"",H2786,IF(I2786&lt;&gt;"",I2786,IF(J2786&lt;&gt;"",J2786,K2786)))</f>
        <v>45.98</v>
      </c>
      <c r="C2786" s="3">
        <f>MEDIAN(H2786:K2786)</f>
        <v>45.98</v>
      </c>
      <c r="D2786" s="3">
        <f>ROUND(C2786*(1-Settings!$B$2),2)</f>
        <v>32.19</v>
      </c>
      <c r="E2786" s="2" t="inlineStr">
        <is>
          <t>Pokemon</t>
        </is>
      </c>
      <c r="F2786" s="2" t="inlineStr">
        <is>
          <t>Pack</t>
        </is>
      </c>
      <c r="G2786" s="2" t="inlineStr">
        <is>
          <t>Evolving Skies</t>
        </is>
      </c>
      <c r="H2786" s="3" t="n">
        <v>45.98</v>
      </c>
      <c r="I2786" s="3" t="n"/>
      <c r="J2786" s="3" t="n"/>
      <c r="K2786" s="3" t="n"/>
      <c r="L2786" s="2" t="inlineStr">
        <is>
          <t>PriceCharting</t>
        </is>
      </c>
      <c r="M2786" s="4" t="inlineStr">
        <is>
          <t>https://www.pricecharting.com/game/pokemon-evolving-skies/booster-pack-heavy</t>
        </is>
      </c>
    </row>
    <row r="2787">
      <c r="A2787" s="2" t="inlineStr">
        <is>
          <t>Evolving Skies Checklane Blister: Eevee</t>
        </is>
      </c>
      <c r="B2787" s="3">
        <f>IF(H2787&lt;&gt;"",H2787,IF(I2787&lt;&gt;"",I2787,IF(J2787&lt;&gt;"",J2787,K2787)))</f>
        <v>78.48</v>
      </c>
      <c r="C2787" s="3">
        <f>MEDIAN(H2787:K2787)</f>
        <v>78.48</v>
      </c>
      <c r="D2787" s="3">
        <f>ROUND(C2787*(1-Settings!$B$2),2)</f>
        <v>54.94</v>
      </c>
      <c r="E2787" s="2" t="inlineStr">
        <is>
          <t>Pokemon</t>
        </is>
      </c>
      <c r="F2787" s="2" t="inlineStr">
        <is>
          <t>Pack</t>
        </is>
      </c>
      <c r="G2787" s="2" t="inlineStr">
        <is>
          <t>Evolving Skies</t>
        </is>
      </c>
      <c r="H2787" s="3" t="n">
        <v>78.48</v>
      </c>
      <c r="I2787" s="3" t="n"/>
      <c r="J2787" s="3" t="n"/>
      <c r="K2787" s="3" t="n"/>
      <c r="L2787" s="2" t="inlineStr">
        <is>
          <t>PriceCharting</t>
        </is>
      </c>
      <c r="M2787" s="4" t="inlineStr">
        <is>
          <t>https://www.pricecharting.com/game/pokemon-evolving-skies/checklane-blister-eevee</t>
        </is>
      </c>
    </row>
    <row r="2788">
      <c r="A2788" s="2" t="inlineStr">
        <is>
          <t>Evolving Skies Checklane Blister: Galarian Slowpoke</t>
        </is>
      </c>
      <c r="B2788" s="3">
        <f>IF(H2788&lt;&gt;"",H2788,IF(I2788&lt;&gt;"",I2788,IF(J2788&lt;&gt;"",J2788,K2788)))</f>
        <v>69.0</v>
      </c>
      <c r="C2788" s="3">
        <f>MEDIAN(H2788:K2788)</f>
        <v>69.0</v>
      </c>
      <c r="D2788" s="3">
        <f>ROUND(C2788*(1-Settings!$B$2),2)</f>
        <v>48.3</v>
      </c>
      <c r="E2788" s="2" t="inlineStr">
        <is>
          <t>Pokemon</t>
        </is>
      </c>
      <c r="F2788" s="2" t="inlineStr">
        <is>
          <t>Pack</t>
        </is>
      </c>
      <c r="G2788" s="2" t="inlineStr">
        <is>
          <t>Evolving Skies</t>
        </is>
      </c>
      <c r="H2788" s="3" t="n">
        <v>69</v>
      </c>
      <c r="I2788" s="3" t="n"/>
      <c r="J2788" s="3" t="n"/>
      <c r="K2788" s="3" t="n"/>
      <c r="L2788" s="2" t="inlineStr">
        <is>
          <t>PriceCharting</t>
        </is>
      </c>
      <c r="M2788" s="4" t="inlineStr">
        <is>
          <t>https://www.pricecharting.com/game/pokemon-evolving-skies/checklane-blister-galarian-slowpoke</t>
        </is>
      </c>
    </row>
    <row r="2789">
      <c r="A2789" s="2" t="inlineStr">
        <is>
          <t>Crystal Guardians Booster Pack</t>
        </is>
      </c>
      <c r="B2789" s="3">
        <f>IF(H2789&lt;&gt;"",H2789,IF(I2789&lt;&gt;"",I2789,IF(J2789&lt;&gt;"",J2789,K2789)))</f>
        <v>869.81</v>
      </c>
      <c r="C2789" s="3">
        <f>MEDIAN(H2789:K2789)</f>
        <v>1799.9899999999998</v>
      </c>
      <c r="D2789" s="3">
        <f>ROUND(C2789*(1-Settings!$B$2),2)</f>
        <v>1259.99</v>
      </c>
      <c r="E2789" s="2" t="inlineStr">
        <is>
          <t>Pokemon</t>
        </is>
      </c>
      <c r="F2789" s="2" t="inlineStr">
        <is>
          <t>Pack</t>
        </is>
      </c>
      <c r="G2789" s="2" t="inlineStr">
        <is>
          <t>EX Crystal Guardians</t>
        </is>
      </c>
      <c r="H2789" s="3" t="n">
        <v>869.8099999999999</v>
      </c>
      <c r="I2789" s="3" t="n">
        <v>1299.99</v>
      </c>
      <c r="J2789" s="3" t="n">
        <v>2299.99</v>
      </c>
      <c r="K2789" s="3" t="n">
        <v>2299.99</v>
      </c>
      <c r="L2789" s="2" t="inlineStr">
        <is>
          <t>PriceCharting + TCGplayer</t>
        </is>
      </c>
      <c r="M2789" s="4" t="inlineStr">
        <is>
          <t>https://www.pricecharting.com/game/pokemon-crystal-guardians/booster-pack</t>
        </is>
      </c>
      <c r="N2789" s="4" t="inlineStr">
        <is>
          <t>https://www.tcgplayer.com/product/98566</t>
        </is>
      </c>
    </row>
    <row r="2790">
      <c r="A2790" s="2" t="inlineStr">
        <is>
          <t>Delta Species Booster Pack</t>
        </is>
      </c>
      <c r="B2790" s="3">
        <f>IF(H2790&lt;&gt;"",H2790,IF(I2790&lt;&gt;"",I2790,IF(J2790&lt;&gt;"",J2790,K2790)))</f>
        <v>1210.08</v>
      </c>
      <c r="C2790" s="3">
        <f>MEDIAN(H2790:K2790)</f>
        <v>1210.08</v>
      </c>
      <c r="D2790" s="3">
        <f>ROUND(C2790*(1-Settings!$B$2),2)</f>
        <v>847.06</v>
      </c>
      <c r="E2790" s="2" t="inlineStr">
        <is>
          <t>Pokemon</t>
        </is>
      </c>
      <c r="F2790" s="2" t="inlineStr">
        <is>
          <t>Pack</t>
        </is>
      </c>
      <c r="G2790" s="2" t="inlineStr">
        <is>
          <t>EX Delta Species</t>
        </is>
      </c>
      <c r="H2790" s="3" t="n">
        <v>1210.08</v>
      </c>
      <c r="I2790" s="3" t="n"/>
      <c r="J2790" s="3" t="n"/>
      <c r="K2790" s="3" t="n"/>
      <c r="L2790" s="2" t="inlineStr">
        <is>
          <t>PriceCharting + TCGplayer</t>
        </is>
      </c>
      <c r="M2790" s="4" t="inlineStr">
        <is>
          <t>https://www.pricecharting.com/game/pokemon-delta-species/booster-pack</t>
        </is>
      </c>
      <c r="N2790" s="4" t="inlineStr">
        <is>
          <t>https://www.tcgplayer.com/product/98944</t>
        </is>
      </c>
    </row>
    <row r="2791">
      <c r="A2791" s="2" t="inlineStr">
        <is>
          <t>Deoxys Booster Pack</t>
        </is>
      </c>
      <c r="B2791" s="3">
        <f>IF(H2791&lt;&gt;"",H2791,IF(I2791&lt;&gt;"",I2791,IF(J2791&lt;&gt;"",J2791,K2791)))</f>
        <v>1525.0</v>
      </c>
      <c r="C2791" s="3">
        <f>MEDIAN(H2791:K2791)</f>
        <v>3999.99</v>
      </c>
      <c r="D2791" s="3">
        <f>ROUND(C2791*(1-Settings!$B$2),2)</f>
        <v>2799.99</v>
      </c>
      <c r="E2791" s="2" t="inlineStr">
        <is>
          <t>Pokemon</t>
        </is>
      </c>
      <c r="F2791" s="2" t="inlineStr">
        <is>
          <t>Pack</t>
        </is>
      </c>
      <c r="G2791" s="2" t="inlineStr">
        <is>
          <t>EX Deoxys</t>
        </is>
      </c>
      <c r="H2791" s="3" t="n">
        <v>1525</v>
      </c>
      <c r="I2791" s="3" t="n"/>
      <c r="J2791" s="3" t="n">
        <v>4499.99</v>
      </c>
      <c r="K2791" s="3" t="n">
        <v>3999.99</v>
      </c>
      <c r="L2791" s="2" t="inlineStr">
        <is>
          <t>PriceCharting + TCGplayer</t>
        </is>
      </c>
      <c r="M2791" s="4" t="inlineStr">
        <is>
          <t>https://www.pricecharting.com/game/pokemon-deoxys/booster-pack</t>
        </is>
      </c>
      <c r="N2791" s="4" t="inlineStr">
        <is>
          <t>https://www.tcgplayer.com/product/98562</t>
        </is>
      </c>
    </row>
    <row r="2792">
      <c r="A2792" s="2" t="inlineStr">
        <is>
          <t>EX Dragon Booster Pack</t>
        </is>
      </c>
      <c r="B2792" s="3">
        <f>IF(H2792&lt;&gt;"",H2792,IF(I2792&lt;&gt;"",I2792,IF(J2792&lt;&gt;"",J2792,K2792)))</f>
        <v>1250.0</v>
      </c>
      <c r="C2792" s="3">
        <f>MEDIAN(H2792:K2792)</f>
        <v>1600.0</v>
      </c>
      <c r="D2792" s="3">
        <f>ROUND(C2792*(1-Settings!$B$2),2)</f>
        <v>1120.0</v>
      </c>
      <c r="E2792" s="2" t="inlineStr">
        <is>
          <t>Pokemon</t>
        </is>
      </c>
      <c r="F2792" s="2" t="inlineStr">
        <is>
          <t>Pack</t>
        </is>
      </c>
      <c r="G2792" s="2" t="inlineStr">
        <is>
          <t>EX Dragon</t>
        </is>
      </c>
      <c r="H2792" s="3" t="n"/>
      <c r="I2792" s="3" t="n">
        <v>1250</v>
      </c>
      <c r="J2792" s="3" t="n">
        <v>2025</v>
      </c>
      <c r="K2792" s="3" t="n">
        <v>1600</v>
      </c>
      <c r="L2792" s="2" t="inlineStr">
        <is>
          <t>TCGplayer</t>
        </is>
      </c>
      <c r="N2792" s="4" t="inlineStr">
        <is>
          <t>https://www.tcgplayer.com/product/98519</t>
        </is>
      </c>
    </row>
    <row r="2793">
      <c r="A2793" s="2" t="inlineStr">
        <is>
          <t>Dragon Frontiers Booster Pack</t>
        </is>
      </c>
      <c r="B2793" s="3">
        <f>IF(H2793&lt;&gt;"",H2793,IF(I2793&lt;&gt;"",I2793,IF(J2793&lt;&gt;"",J2793,K2793)))</f>
        <v>1514.89</v>
      </c>
      <c r="C2793" s="3">
        <f>MEDIAN(H2793:K2793)</f>
        <v>3499.99</v>
      </c>
      <c r="D2793" s="3">
        <f>ROUND(C2793*(1-Settings!$B$2),2)</f>
        <v>2449.99</v>
      </c>
      <c r="E2793" s="2" t="inlineStr">
        <is>
          <t>Pokemon</t>
        </is>
      </c>
      <c r="F2793" s="2" t="inlineStr">
        <is>
          <t>Pack</t>
        </is>
      </c>
      <c r="G2793" s="2" t="inlineStr">
        <is>
          <t>EX Dragon Frontiers</t>
        </is>
      </c>
      <c r="H2793" s="3" t="n">
        <v>1514.89</v>
      </c>
      <c r="I2793" s="3" t="n"/>
      <c r="J2793" s="3" t="n">
        <v>3749.99</v>
      </c>
      <c r="K2793" s="3" t="n">
        <v>3499.99</v>
      </c>
      <c r="L2793" s="2" t="inlineStr">
        <is>
          <t>PriceCharting + TCGplayer</t>
        </is>
      </c>
      <c r="M2793" s="4" t="inlineStr">
        <is>
          <t>https://www.pricecharting.com/game/pokemon-dragon-frontiers/booster-pack</t>
        </is>
      </c>
      <c r="N2793" s="4" t="inlineStr">
        <is>
          <t>https://www.tcgplayer.com/product/98533</t>
        </is>
      </c>
    </row>
    <row r="2794">
      <c r="A2794" s="2" t="inlineStr">
        <is>
          <t>Emerald Booster Pack</t>
        </is>
      </c>
      <c r="B2794" s="3">
        <f>IF(H2794&lt;&gt;"",H2794,IF(I2794&lt;&gt;"",I2794,IF(J2794&lt;&gt;"",J2794,K2794)))</f>
        <v>830.67</v>
      </c>
      <c r="C2794" s="3">
        <f>MEDIAN(H2794:K2794)</f>
        <v>1250.0</v>
      </c>
      <c r="D2794" s="3">
        <f>ROUND(C2794*(1-Settings!$B$2),2)</f>
        <v>875.0</v>
      </c>
      <c r="E2794" s="2" t="inlineStr">
        <is>
          <t>Pokemon</t>
        </is>
      </c>
      <c r="F2794" s="2" t="inlineStr">
        <is>
          <t>Pack</t>
        </is>
      </c>
      <c r="G2794" s="2" t="inlineStr">
        <is>
          <t>EX Emerald</t>
        </is>
      </c>
      <c r="H2794" s="3" t="n">
        <v>830.67</v>
      </c>
      <c r="I2794" s="3" t="n">
        <v>1000</v>
      </c>
      <c r="J2794" s="3" t="n">
        <v>2750</v>
      </c>
      <c r="K2794" s="3" t="n">
        <v>1500</v>
      </c>
      <c r="L2794" s="2" t="inlineStr">
        <is>
          <t>PriceCharting + TCGplayer</t>
        </is>
      </c>
      <c r="M2794" s="4" t="inlineStr">
        <is>
          <t>https://www.pricecharting.com/game/pokemon-emerald/booster-pack</t>
        </is>
      </c>
      <c r="N2794" s="4" t="inlineStr">
        <is>
          <t>https://www.tcgplayer.com/product/98546</t>
        </is>
      </c>
    </row>
    <row r="2795">
      <c r="A2795" s="2" t="inlineStr">
        <is>
          <t>FireRed &amp; LeafGreen Booster Pack</t>
        </is>
      </c>
      <c r="B2795" s="3">
        <f>IF(H2795&lt;&gt;"",H2795,IF(I2795&lt;&gt;"",I2795,IF(J2795&lt;&gt;"",J2795,K2795)))</f>
        <v>1009.96</v>
      </c>
      <c r="C2795" s="3">
        <f>MEDIAN(H2795:K2795)</f>
        <v>1999.99</v>
      </c>
      <c r="D2795" s="3">
        <f>ROUND(C2795*(1-Settings!$B$2),2)</f>
        <v>1399.99</v>
      </c>
      <c r="E2795" s="2" t="inlineStr">
        <is>
          <t>Pokemon</t>
        </is>
      </c>
      <c r="F2795" s="2" t="inlineStr">
        <is>
          <t>Pack</t>
        </is>
      </c>
      <c r="G2795" s="2" t="inlineStr">
        <is>
          <t>EX FireRed &amp; LeafGreen</t>
        </is>
      </c>
      <c r="H2795" s="3" t="n"/>
      <c r="I2795" s="3" t="n">
        <v>1009.96</v>
      </c>
      <c r="J2795" s="3" t="n">
        <v>2099.99</v>
      </c>
      <c r="K2795" s="3" t="n">
        <v>1999.99</v>
      </c>
      <c r="L2795" s="2" t="inlineStr">
        <is>
          <t>TCGplayer</t>
        </is>
      </c>
      <c r="N2795" s="4" t="inlineStr">
        <is>
          <t>https://www.tcgplayer.com/product/98946</t>
        </is>
      </c>
    </row>
    <row r="2796">
      <c r="A2796" s="2" t="inlineStr">
        <is>
          <t>Hidden Legends Booster Pack</t>
        </is>
      </c>
      <c r="B2796" s="3">
        <f>IF(H2796&lt;&gt;"",H2796,IF(I2796&lt;&gt;"",I2796,IF(J2796&lt;&gt;"",J2796,K2796)))</f>
        <v>500.0</v>
      </c>
      <c r="C2796" s="3">
        <f>MEDIAN(H2796:K2796)</f>
        <v>900.0</v>
      </c>
      <c r="D2796" s="3">
        <f>ROUND(C2796*(1-Settings!$B$2),2)</f>
        <v>630.0</v>
      </c>
      <c r="E2796" s="2" t="inlineStr">
        <is>
          <t>Pokemon</t>
        </is>
      </c>
      <c r="F2796" s="2" t="inlineStr">
        <is>
          <t>Pack</t>
        </is>
      </c>
      <c r="G2796" s="2" t="inlineStr">
        <is>
          <t>EX Hidden Legends</t>
        </is>
      </c>
      <c r="H2796" s="3" t="n">
        <v>500</v>
      </c>
      <c r="I2796" s="3" t="n">
        <v>800</v>
      </c>
      <c r="J2796" s="3" t="n">
        <v>1000</v>
      </c>
      <c r="K2796" s="3" t="n">
        <v>1000</v>
      </c>
      <c r="L2796" s="2" t="inlineStr">
        <is>
          <t>PriceCharting + TCGplayer</t>
        </is>
      </c>
      <c r="M2796" s="4" t="inlineStr">
        <is>
          <t>https://www.pricecharting.com/game/pokemon-hidden-legends/booster-pack</t>
        </is>
      </c>
      <c r="N2796" s="4" t="inlineStr">
        <is>
          <t>https://www.tcgplayer.com/product/98595</t>
        </is>
      </c>
    </row>
    <row r="2797">
      <c r="A2797" s="2" t="inlineStr">
        <is>
          <t>Legend Maker Booster Pack</t>
        </is>
      </c>
      <c r="B2797" s="3">
        <f>IF(H2797&lt;&gt;"",H2797,IF(I2797&lt;&gt;"",I2797,IF(J2797&lt;&gt;"",J2797,K2797)))</f>
        <v>1186.59</v>
      </c>
      <c r="C2797" s="3">
        <f>MEDIAN(H2797:K2797)</f>
        <v>1600.0</v>
      </c>
      <c r="D2797" s="3">
        <f>ROUND(C2797*(1-Settings!$B$2),2)</f>
        <v>1120.0</v>
      </c>
      <c r="E2797" s="2" t="inlineStr">
        <is>
          <t>Pokemon</t>
        </is>
      </c>
      <c r="F2797" s="2" t="inlineStr">
        <is>
          <t>Pack</t>
        </is>
      </c>
      <c r="G2797" s="2" t="inlineStr">
        <is>
          <t>EX Legend Maker</t>
        </is>
      </c>
      <c r="H2797" s="3" t="n">
        <v>1186.59</v>
      </c>
      <c r="I2797" s="3" t="n"/>
      <c r="J2797" s="3" t="n">
        <v>2299.99</v>
      </c>
      <c r="K2797" s="3" t="n">
        <v>1600</v>
      </c>
      <c r="L2797" s="2" t="inlineStr">
        <is>
          <t>PriceCharting + TCGplayer</t>
        </is>
      </c>
      <c r="M2797" s="4" t="inlineStr">
        <is>
          <t>https://www.pricecharting.com/game/pokemon-legend-maker/booster-pack</t>
        </is>
      </c>
      <c r="N2797" s="4" t="inlineStr">
        <is>
          <t>https://www.tcgplayer.com/product/98557</t>
        </is>
      </c>
    </row>
    <row r="2798">
      <c r="A2798" s="2" t="inlineStr">
        <is>
          <t>Power Keepers Booster Pack</t>
        </is>
      </c>
      <c r="B2798" s="3">
        <f>IF(H2798&lt;&gt;"",H2798,IF(I2798&lt;&gt;"",I2798,IF(J2798&lt;&gt;"",J2798,K2798)))</f>
        <v>821.17</v>
      </c>
      <c r="C2798" s="3">
        <f>MEDIAN(H2798:K2798)</f>
        <v>1274.99</v>
      </c>
      <c r="D2798" s="3">
        <f>ROUND(C2798*(1-Settings!$B$2),2)</f>
        <v>892.49</v>
      </c>
      <c r="E2798" s="2" t="inlineStr">
        <is>
          <t>Pokemon</t>
        </is>
      </c>
      <c r="F2798" s="2" t="inlineStr">
        <is>
          <t>Pack</t>
        </is>
      </c>
      <c r="G2798" s="2" t="inlineStr">
        <is>
          <t>EX Power Keepers</t>
        </is>
      </c>
      <c r="H2798" s="3" t="n">
        <v>821.17</v>
      </c>
      <c r="I2798" s="3" t="n">
        <v>949.99</v>
      </c>
      <c r="J2798" s="3" t="n">
        <v>1599.99</v>
      </c>
      <c r="K2798" s="3" t="n">
        <v>1599.99</v>
      </c>
      <c r="L2798" s="2" t="inlineStr">
        <is>
          <t>PriceCharting + TCGplayer</t>
        </is>
      </c>
      <c r="M2798" s="4" t="inlineStr">
        <is>
          <t>https://www.pricecharting.com/game/pokemon-power-keepers/booster-pack</t>
        </is>
      </c>
      <c r="N2798" s="4" t="inlineStr">
        <is>
          <t>https://www.tcgplayer.com/product/98529</t>
        </is>
      </c>
    </row>
    <row r="2799">
      <c r="A2799" s="2" t="inlineStr">
        <is>
          <t>Ruby and Sapphire Booster Pack</t>
        </is>
      </c>
      <c r="B2799" s="3">
        <f>IF(H2799&lt;&gt;"",H2799,IF(I2799&lt;&gt;"",I2799,IF(J2799&lt;&gt;"",J2799,K2799)))</f>
        <v>799.99</v>
      </c>
      <c r="C2799" s="3">
        <f>MEDIAN(H2799:K2799)</f>
        <v>999.99</v>
      </c>
      <c r="D2799" s="3">
        <f>ROUND(C2799*(1-Settings!$B$2),2)</f>
        <v>699.99</v>
      </c>
      <c r="E2799" s="2" t="inlineStr">
        <is>
          <t>Pokemon</t>
        </is>
      </c>
      <c r="F2799" s="2" t="inlineStr">
        <is>
          <t>Pack</t>
        </is>
      </c>
      <c r="G2799" s="2" t="inlineStr">
        <is>
          <t>EX Ruby and Sapphire</t>
        </is>
      </c>
      <c r="H2799" s="3" t="n"/>
      <c r="I2799" s="3" t="n">
        <v>799.99</v>
      </c>
      <c r="J2799" s="3" t="n">
        <v>999.99</v>
      </c>
      <c r="K2799" s="3" t="n">
        <v>999.99</v>
      </c>
      <c r="L2799" s="2" t="inlineStr">
        <is>
          <t>TCGplayer</t>
        </is>
      </c>
      <c r="N2799" s="4" t="inlineStr">
        <is>
          <t>https://www.tcgplayer.com/product/98558</t>
        </is>
      </c>
    </row>
    <row r="2800">
      <c r="A2800" s="2" t="inlineStr">
        <is>
          <t>Sandstorm Booster Pack</t>
        </is>
      </c>
      <c r="B2800" s="3">
        <f>IF(H2800&lt;&gt;"",H2800,IF(I2800&lt;&gt;"",I2800,IF(J2800&lt;&gt;"",J2800,K2800)))</f>
        <v>470.19</v>
      </c>
      <c r="C2800" s="3">
        <f>MEDIAN(H2800:K2800)</f>
        <v>484.47</v>
      </c>
      <c r="D2800" s="3">
        <f>ROUND(C2800*(1-Settings!$B$2),2)</f>
        <v>339.13</v>
      </c>
      <c r="E2800" s="2" t="inlineStr">
        <is>
          <t>Pokemon</t>
        </is>
      </c>
      <c r="F2800" s="2" t="inlineStr">
        <is>
          <t>Pack</t>
        </is>
      </c>
      <c r="G2800" s="2" t="inlineStr">
        <is>
          <t>EX Sandstorm</t>
        </is>
      </c>
      <c r="H2800" s="3" t="n">
        <v>470.19</v>
      </c>
      <c r="I2800" s="3" t="n">
        <v>498.75</v>
      </c>
      <c r="J2800" s="3" t="n"/>
      <c r="K2800" s="3" t="n"/>
      <c r="L2800" s="2" t="inlineStr">
        <is>
          <t>PriceCharting + TCGplayer</t>
        </is>
      </c>
      <c r="M2800" s="4" t="inlineStr">
        <is>
          <t>https://www.pricecharting.com/game/pokemon-sandstorm/booster-pack</t>
        </is>
      </c>
      <c r="N2800" s="4" t="inlineStr">
        <is>
          <t>https://www.tcgplayer.com/product/98565</t>
        </is>
      </c>
    </row>
    <row r="2801">
      <c r="A2801" s="2" t="inlineStr">
        <is>
          <t>Team Magma vs Team Aqua Booster Pack</t>
        </is>
      </c>
      <c r="B2801" s="3">
        <f>IF(H2801&lt;&gt;"",H2801,IF(I2801&lt;&gt;"",I2801,IF(J2801&lt;&gt;"",J2801,K2801)))</f>
        <v>1000.0</v>
      </c>
      <c r="C2801" s="3">
        <f>MEDIAN(H2801:K2801)</f>
        <v>899.995</v>
      </c>
      <c r="D2801" s="3">
        <f>ROUND(C2801*(1-Settings!$B$2),2)</f>
        <v>630.0</v>
      </c>
      <c r="E2801" s="2" t="inlineStr">
        <is>
          <t>Pokemon</t>
        </is>
      </c>
      <c r="F2801" s="2" t="inlineStr">
        <is>
          <t>Pack</t>
        </is>
      </c>
      <c r="G2801" s="2" t="inlineStr">
        <is>
          <t>EX Team Magma vs Team Aqua</t>
        </is>
      </c>
      <c r="H2801" s="3" t="n"/>
      <c r="I2801" s="3" t="n"/>
      <c r="J2801" s="3" t="n">
        <v>1000</v>
      </c>
      <c r="K2801" s="3" t="n">
        <v>799.99</v>
      </c>
      <c r="L2801" s="2" t="inlineStr">
        <is>
          <t>TCGplayer</t>
        </is>
      </c>
      <c r="N2801" s="4" t="inlineStr">
        <is>
          <t>https://www.tcgplayer.com/product/98550</t>
        </is>
      </c>
    </row>
    <row r="2802">
      <c r="A2802" s="2" t="inlineStr">
        <is>
          <t>Team Rocket Returns Booster Pack</t>
        </is>
      </c>
      <c r="B2802" s="3">
        <f>IF(H2802&lt;&gt;"",H2802,IF(I2802&lt;&gt;"",I2802,IF(J2802&lt;&gt;"",J2802,K2802)))</f>
        <v>1971.75</v>
      </c>
      <c r="C2802" s="3">
        <f>MEDIAN(H2802:K2802)</f>
        <v>1971.75</v>
      </c>
      <c r="D2802" s="3">
        <f>ROUND(C2802*(1-Settings!$B$2),2)</f>
        <v>1380.23</v>
      </c>
      <c r="E2802" s="2" t="inlineStr">
        <is>
          <t>Pokemon</t>
        </is>
      </c>
      <c r="F2802" s="2" t="inlineStr">
        <is>
          <t>Pack</t>
        </is>
      </c>
      <c r="G2802" s="2" t="inlineStr">
        <is>
          <t>EX Team Rocket Returns</t>
        </is>
      </c>
      <c r="H2802" s="3" t="n">
        <v>1971.75</v>
      </c>
      <c r="I2802" s="3" t="n"/>
      <c r="J2802" s="3" t="n"/>
      <c r="K2802" s="3" t="n"/>
      <c r="L2802" s="2" t="inlineStr">
        <is>
          <t>PriceCharting + TCGplayer</t>
        </is>
      </c>
      <c r="M2802" s="4" t="inlineStr">
        <is>
          <t>https://www.pricecharting.com/game/pokemon-team-rocket-returns/booster-pack</t>
        </is>
      </c>
      <c r="N2802" s="4" t="inlineStr">
        <is>
          <t>https://www.tcgplayer.com/product/98578</t>
        </is>
      </c>
    </row>
    <row r="2803">
      <c r="A2803" s="2" t="inlineStr">
        <is>
          <t>Unseen Forces Booster Pack</t>
        </is>
      </c>
      <c r="B2803" s="3">
        <f>IF(H2803&lt;&gt;"",H2803,IF(I2803&lt;&gt;"",I2803,IF(J2803&lt;&gt;"",J2803,K2803)))</f>
        <v>1352.52</v>
      </c>
      <c r="C2803" s="3">
        <f>MEDIAN(H2803:K2803)</f>
        <v>1352.52</v>
      </c>
      <c r="D2803" s="3">
        <f>ROUND(C2803*(1-Settings!$B$2),2)</f>
        <v>946.76</v>
      </c>
      <c r="E2803" s="2" t="inlineStr">
        <is>
          <t>Pokemon</t>
        </is>
      </c>
      <c r="F2803" s="2" t="inlineStr">
        <is>
          <t>Pack</t>
        </is>
      </c>
      <c r="G2803" s="2" t="inlineStr">
        <is>
          <t>EX Unseen Forces</t>
        </is>
      </c>
      <c r="H2803" s="3" t="n">
        <v>1352.52</v>
      </c>
      <c r="I2803" s="3" t="n"/>
      <c r="J2803" s="3" t="n"/>
      <c r="K2803" s="3" t="n"/>
      <c r="L2803" s="2" t="inlineStr">
        <is>
          <t>PriceCharting + TCGplayer</t>
        </is>
      </c>
      <c r="M2803" s="4" t="inlineStr">
        <is>
          <t>https://www.pricecharting.com/game/pokemon-unseen-forces/booster-pack</t>
        </is>
      </c>
      <c r="N2803" s="4" t="inlineStr">
        <is>
          <t>https://www.tcgplayer.com/product/98577</t>
        </is>
      </c>
    </row>
    <row r="2804">
      <c r="A2804" s="2" t="inlineStr">
        <is>
          <t>Expedition Blister Pack</t>
        </is>
      </c>
      <c r="B2804" s="3">
        <f>IF(H2804&lt;&gt;"",H2804,IF(I2804&lt;&gt;"",I2804,IF(J2804&lt;&gt;"",J2804,K2804)))</f>
        <v>3200.0</v>
      </c>
      <c r="C2804" s="3">
        <f>MEDIAN(H2804:K2804)</f>
        <v>3200.0</v>
      </c>
      <c r="D2804" s="3">
        <f>ROUND(C2804*(1-Settings!$B$2),2)</f>
        <v>2240.0</v>
      </c>
      <c r="E2804" s="2" t="inlineStr">
        <is>
          <t>Pokemon</t>
        </is>
      </c>
      <c r="F2804" s="2" t="inlineStr">
        <is>
          <t>Pack</t>
        </is>
      </c>
      <c r="G2804" s="2" t="inlineStr">
        <is>
          <t>Expedition</t>
        </is>
      </c>
      <c r="H2804" s="3" t="n">
        <v>3200</v>
      </c>
      <c r="I2804" s="3" t="n"/>
      <c r="J2804" s="3" t="n"/>
      <c r="K2804" s="3" t="n"/>
      <c r="L2804" s="2" t="inlineStr">
        <is>
          <t>PriceCharting</t>
        </is>
      </c>
      <c r="M2804" s="4" t="inlineStr">
        <is>
          <t>https://www.pricecharting.com/game/pokemon-expedition/blister-pack</t>
        </is>
      </c>
    </row>
    <row r="2805">
      <c r="A2805" s="2" t="inlineStr">
        <is>
          <t>Expedition Booster Pack</t>
        </is>
      </c>
      <c r="B2805" s="3">
        <f>IF(H2805&lt;&gt;"",H2805,IF(I2805&lt;&gt;"",I2805,IF(J2805&lt;&gt;"",J2805,K2805)))</f>
        <v>2077.26</v>
      </c>
      <c r="C2805" s="3">
        <f>MEDIAN(H2805:K2805)</f>
        <v>2077.26</v>
      </c>
      <c r="D2805" s="3">
        <f>ROUND(C2805*(1-Settings!$B$2),2)</f>
        <v>1454.08</v>
      </c>
      <c r="E2805" s="2" t="inlineStr">
        <is>
          <t>Pokemon</t>
        </is>
      </c>
      <c r="F2805" s="2" t="inlineStr">
        <is>
          <t>Pack</t>
        </is>
      </c>
      <c r="G2805" s="2" t="inlineStr">
        <is>
          <t>Expedition</t>
        </is>
      </c>
      <c r="H2805" s="3" t="n">
        <v>2077.26</v>
      </c>
      <c r="I2805" s="3" t="n"/>
      <c r="J2805" s="3" t="n"/>
      <c r="K2805" s="3" t="n"/>
      <c r="L2805" s="2" t="inlineStr">
        <is>
          <t>PriceCharting</t>
        </is>
      </c>
      <c r="M2805" s="4" t="inlineStr">
        <is>
          <t>https://www.pricecharting.com/game/pokemon-expedition/booster-pack</t>
        </is>
      </c>
    </row>
    <row r="2806">
      <c r="A2806" s="2" t="inlineStr">
        <is>
          <t>Expedition Booster Pack</t>
        </is>
      </c>
      <c r="B2806" s="3">
        <f>IF(H2806&lt;&gt;"",H2806,IF(I2806&lt;&gt;"",I2806,IF(J2806&lt;&gt;"",J2806,K2806)))</f>
        <v>4800.0</v>
      </c>
      <c r="C2806" s="3">
        <f>MEDIAN(H2806:K2806)</f>
        <v>4800.0</v>
      </c>
      <c r="D2806" s="3">
        <f>ROUND(C2806*(1-Settings!$B$2),2)</f>
        <v>3360.0</v>
      </c>
      <c r="E2806" s="2" t="inlineStr">
        <is>
          <t>Pokemon</t>
        </is>
      </c>
      <c r="F2806" s="2" t="inlineStr">
        <is>
          <t>Pack</t>
        </is>
      </c>
      <c r="G2806" s="2" t="inlineStr">
        <is>
          <t>Expedition</t>
        </is>
      </c>
      <c r="H2806" s="3" t="n"/>
      <c r="I2806" s="3" t="n"/>
      <c r="J2806" s="3" t="n">
        <v>4800</v>
      </c>
      <c r="K2806" s="3" t="n">
        <v>4800</v>
      </c>
      <c r="L2806" s="2" t="inlineStr">
        <is>
          <t>TCGplayer</t>
        </is>
      </c>
      <c r="N2806" s="4" t="inlineStr">
        <is>
          <t>https://www.tcgplayer.com/product/138151</t>
        </is>
      </c>
    </row>
    <row r="2807">
      <c r="A2807" s="2" t="inlineStr">
        <is>
          <t>Fates Collide Blister Pack</t>
        </is>
      </c>
      <c r="B2807" s="3">
        <f>IF(H2807&lt;&gt;"",H2807,IF(I2807&lt;&gt;"",I2807,IF(J2807&lt;&gt;"",J2807,K2807)))</f>
        <v>173.09</v>
      </c>
      <c r="C2807" s="3">
        <f>MEDIAN(H2807:K2807)</f>
        <v>173.09</v>
      </c>
      <c r="D2807" s="3">
        <f>ROUND(C2807*(1-Settings!$B$2),2)</f>
        <v>121.16</v>
      </c>
      <c r="E2807" s="2" t="inlineStr">
        <is>
          <t>Pokemon</t>
        </is>
      </c>
      <c r="F2807" s="2" t="inlineStr">
        <is>
          <t>Pack</t>
        </is>
      </c>
      <c r="G2807" s="2" t="inlineStr">
        <is>
          <t>Fates Collide</t>
        </is>
      </c>
      <c r="H2807" s="3" t="n">
        <v>173.09</v>
      </c>
      <c r="I2807" s="3" t="n"/>
      <c r="J2807" s="3" t="n"/>
      <c r="K2807" s="3" t="n"/>
      <c r="L2807" s="2" t="inlineStr">
        <is>
          <t>PriceCharting</t>
        </is>
      </c>
      <c r="M2807" s="4" t="inlineStr">
        <is>
          <t>https://www.pricecharting.com/game/pokemon-fates-collide/blister-pack</t>
        </is>
      </c>
    </row>
    <row r="2808">
      <c r="A2808" s="2" t="inlineStr">
        <is>
          <t>Fates Collide Booster Pack</t>
        </is>
      </c>
      <c r="B2808" s="3">
        <f>IF(H2808&lt;&gt;"",H2808,IF(I2808&lt;&gt;"",I2808,IF(J2808&lt;&gt;"",J2808,K2808)))</f>
        <v>42.0</v>
      </c>
      <c r="C2808" s="3">
        <f>MEDIAN(H2808:K2808)</f>
        <v>42.0</v>
      </c>
      <c r="D2808" s="3">
        <f>ROUND(C2808*(1-Settings!$B$2),2)</f>
        <v>29.4</v>
      </c>
      <c r="E2808" s="2" t="inlineStr">
        <is>
          <t>Pokemon</t>
        </is>
      </c>
      <c r="F2808" s="2" t="inlineStr">
        <is>
          <t>Pack</t>
        </is>
      </c>
      <c r="G2808" s="2" t="inlineStr">
        <is>
          <t>Fates Collide</t>
        </is>
      </c>
      <c r="H2808" s="3" t="n">
        <v>42</v>
      </c>
      <c r="I2808" s="3" t="n"/>
      <c r="J2808" s="3" t="n"/>
      <c r="K2808" s="3" t="n"/>
      <c r="L2808" s="2" t="inlineStr">
        <is>
          <t>PriceCharting</t>
        </is>
      </c>
      <c r="M2808" s="4" t="inlineStr">
        <is>
          <t>https://www.pricecharting.com/game/pokemon-fates-collide/booster-pack</t>
        </is>
      </c>
    </row>
    <row r="2809">
      <c r="A2809" s="2" t="inlineStr">
        <is>
          <t>Fates Collide Mini Booster Pack</t>
        </is>
      </c>
      <c r="B2809" s="3">
        <f>IF(H2809&lt;&gt;"",H2809,IF(I2809&lt;&gt;"",I2809,IF(J2809&lt;&gt;"",J2809,K2809)))</f>
        <v>10.5</v>
      </c>
      <c r="C2809" s="3">
        <f>MEDIAN(H2809:K2809)</f>
        <v>10.5</v>
      </c>
      <c r="D2809" s="3">
        <f>ROUND(C2809*(1-Settings!$B$2),2)</f>
        <v>7.35</v>
      </c>
      <c r="E2809" s="2" t="inlineStr">
        <is>
          <t>Pokemon</t>
        </is>
      </c>
      <c r="F2809" s="2" t="inlineStr">
        <is>
          <t>Pack</t>
        </is>
      </c>
      <c r="G2809" s="2" t="inlineStr">
        <is>
          <t>Fates Collide</t>
        </is>
      </c>
      <c r="H2809" s="3" t="n">
        <v>10.5</v>
      </c>
      <c r="I2809" s="3" t="n"/>
      <c r="J2809" s="3" t="n"/>
      <c r="K2809" s="3" t="n"/>
      <c r="L2809" s="2" t="inlineStr">
        <is>
          <t>PriceCharting</t>
        </is>
      </c>
      <c r="M2809" s="4" t="inlineStr">
        <is>
          <t>https://www.pricecharting.com/game/pokemon-fates-collide/mini-booster-pack</t>
        </is>
      </c>
    </row>
    <row r="2810">
      <c r="A2810" s="2" t="inlineStr">
        <is>
          <t>Fates Collide Sleeved Booster Pack</t>
        </is>
      </c>
      <c r="B2810" s="3">
        <f>IF(H2810&lt;&gt;"",H2810,IF(I2810&lt;&gt;"",I2810,IF(J2810&lt;&gt;"",J2810,K2810)))</f>
        <v>52.29</v>
      </c>
      <c r="C2810" s="3">
        <f>MEDIAN(H2810:K2810)</f>
        <v>52.29</v>
      </c>
      <c r="D2810" s="3">
        <f>ROUND(C2810*(1-Settings!$B$2),2)</f>
        <v>36.6</v>
      </c>
      <c r="E2810" s="2" t="inlineStr">
        <is>
          <t>Pokemon</t>
        </is>
      </c>
      <c r="F2810" s="2" t="inlineStr">
        <is>
          <t>Pack</t>
        </is>
      </c>
      <c r="G2810" s="2" t="inlineStr">
        <is>
          <t>Fates Collide</t>
        </is>
      </c>
      <c r="H2810" s="3" t="n">
        <v>52.29</v>
      </c>
      <c r="I2810" s="3" t="n"/>
      <c r="J2810" s="3" t="n"/>
      <c r="K2810" s="3" t="n"/>
      <c r="L2810" s="2" t="inlineStr">
        <is>
          <t>PriceCharting</t>
        </is>
      </c>
      <c r="M2810" s="4" t="inlineStr">
        <is>
          <t>https://www.pricecharting.com/game/pokemon-fates-collide/sleeved-booster-pack</t>
        </is>
      </c>
    </row>
    <row r="2811">
      <c r="A2811" s="2" t="inlineStr">
        <is>
          <t>First Partner Pack (Alola)</t>
        </is>
      </c>
      <c r="B2811" s="3">
        <f>IF(H2811&lt;&gt;"",H2811,IF(I2811&lt;&gt;"",I2811,IF(J2811&lt;&gt;"",J2811,K2811)))</f>
        <v>23.43</v>
      </c>
      <c r="C2811" s="3">
        <f>MEDIAN(H2811:K2811)</f>
        <v>25.0</v>
      </c>
      <c r="D2811" s="3">
        <f>ROUND(C2811*(1-Settings!$B$2),2)</f>
        <v>17.5</v>
      </c>
      <c r="E2811" s="2" t="inlineStr">
        <is>
          <t>Pokemon</t>
        </is>
      </c>
      <c r="F2811" s="2" t="inlineStr">
        <is>
          <t>Pack</t>
        </is>
      </c>
      <c r="G2811" s="2" t="inlineStr">
        <is>
          <t>First Partner Pack</t>
        </is>
      </c>
      <c r="H2811" s="3" t="n"/>
      <c r="I2811" s="3" t="n">
        <v>23.43</v>
      </c>
      <c r="J2811" s="3" t="n">
        <v>32.98</v>
      </c>
      <c r="K2811" s="3" t="n">
        <v>25</v>
      </c>
      <c r="L2811" s="2" t="inlineStr">
        <is>
          <t>TCGplayer</t>
        </is>
      </c>
      <c r="N2811" s="4" t="inlineStr">
        <is>
          <t>https://www.tcgplayer.com/product/231300</t>
        </is>
      </c>
    </row>
    <row r="2812">
      <c r="A2812" s="2" t="inlineStr">
        <is>
          <t>First Partner Pack (Galar)</t>
        </is>
      </c>
      <c r="B2812" s="3">
        <f>IF(H2812&lt;&gt;"",H2812,IF(I2812&lt;&gt;"",I2812,IF(J2812&lt;&gt;"",J2812,K2812)))</f>
        <v>31.2</v>
      </c>
      <c r="C2812" s="3">
        <f>MEDIAN(H2812:K2812)</f>
        <v>31.2</v>
      </c>
      <c r="D2812" s="3">
        <f>ROUND(C2812*(1-Settings!$B$2),2)</f>
        <v>21.84</v>
      </c>
      <c r="E2812" s="2" t="inlineStr">
        <is>
          <t>Pokemon</t>
        </is>
      </c>
      <c r="F2812" s="2" t="inlineStr">
        <is>
          <t>Pack</t>
        </is>
      </c>
      <c r="G2812" s="2" t="inlineStr">
        <is>
          <t>First Partner Pack</t>
        </is>
      </c>
      <c r="H2812" s="3" t="n"/>
      <c r="I2812" s="3" t="n">
        <v>31.2</v>
      </c>
      <c r="J2812" s="3" t="n">
        <v>36.88</v>
      </c>
      <c r="K2812" s="3" t="n">
        <v>29.99</v>
      </c>
      <c r="L2812" s="2" t="inlineStr">
        <is>
          <t>TCGplayer</t>
        </is>
      </c>
      <c r="N2812" s="4" t="inlineStr">
        <is>
          <t>https://www.tcgplayer.com/product/231299</t>
        </is>
      </c>
    </row>
    <row r="2813">
      <c r="A2813" s="2" t="inlineStr">
        <is>
          <t>First Partner Pack (Hoenn)</t>
        </is>
      </c>
      <c r="B2813" s="3">
        <f>IF(H2813&lt;&gt;"",H2813,IF(I2813&lt;&gt;"",I2813,IF(J2813&lt;&gt;"",J2813,K2813)))</f>
        <v>24.81</v>
      </c>
      <c r="C2813" s="3">
        <f>MEDIAN(H2813:K2813)</f>
        <v>24.81</v>
      </c>
      <c r="D2813" s="3">
        <f>ROUND(C2813*(1-Settings!$B$2),2)</f>
        <v>17.37</v>
      </c>
      <c r="E2813" s="2" t="inlineStr">
        <is>
          <t>Pokemon</t>
        </is>
      </c>
      <c r="F2813" s="2" t="inlineStr">
        <is>
          <t>Pack</t>
        </is>
      </c>
      <c r="G2813" s="2" t="inlineStr">
        <is>
          <t>First Partner Pack</t>
        </is>
      </c>
      <c r="H2813" s="3" t="n"/>
      <c r="I2813" s="3" t="n">
        <v>24.81</v>
      </c>
      <c r="J2813" s="3" t="n">
        <v>29.69</v>
      </c>
      <c r="K2813" s="3" t="n">
        <v>24</v>
      </c>
      <c r="L2813" s="2" t="inlineStr">
        <is>
          <t>TCGplayer</t>
        </is>
      </c>
      <c r="N2813" s="4" t="inlineStr">
        <is>
          <t>https://www.tcgplayer.com/product/231304</t>
        </is>
      </c>
    </row>
    <row r="2814">
      <c r="A2814" s="2" t="inlineStr">
        <is>
          <t>First Partner Pack (Johto)</t>
        </is>
      </c>
      <c r="B2814" s="3">
        <f>IF(H2814&lt;&gt;"",H2814,IF(I2814&lt;&gt;"",I2814,IF(J2814&lt;&gt;"",J2814,K2814)))</f>
        <v>63.52</v>
      </c>
      <c r="C2814" s="3">
        <f>MEDIAN(H2814:K2814)</f>
        <v>69.5</v>
      </c>
      <c r="D2814" s="3">
        <f>ROUND(C2814*(1-Settings!$B$2),2)</f>
        <v>48.65</v>
      </c>
      <c r="E2814" s="2" t="inlineStr">
        <is>
          <t>Pokemon</t>
        </is>
      </c>
      <c r="F2814" s="2" t="inlineStr">
        <is>
          <t>Pack</t>
        </is>
      </c>
      <c r="G2814" s="2" t="inlineStr">
        <is>
          <t>First Partner Pack</t>
        </is>
      </c>
      <c r="H2814" s="3" t="n"/>
      <c r="I2814" s="3" t="n">
        <v>63.52</v>
      </c>
      <c r="J2814" s="3" t="n">
        <v>74.69</v>
      </c>
      <c r="K2814" s="3" t="n">
        <v>69.5</v>
      </c>
      <c r="L2814" s="2" t="inlineStr">
        <is>
          <t>TCGplayer</t>
        </is>
      </c>
      <c r="N2814" s="4" t="inlineStr">
        <is>
          <t>https://www.tcgplayer.com/product/231305</t>
        </is>
      </c>
    </row>
    <row r="2815">
      <c r="A2815" s="2" t="inlineStr">
        <is>
          <t>First Partner Pack (Kalos)</t>
        </is>
      </c>
      <c r="B2815" s="3">
        <f>IF(H2815&lt;&gt;"",H2815,IF(I2815&lt;&gt;"",I2815,IF(J2815&lt;&gt;"",J2815,K2815)))</f>
        <v>26.7</v>
      </c>
      <c r="C2815" s="3">
        <f>MEDIAN(H2815:K2815)</f>
        <v>30.9</v>
      </c>
      <c r="D2815" s="3">
        <f>ROUND(C2815*(1-Settings!$B$2),2)</f>
        <v>21.63</v>
      </c>
      <c r="E2815" s="2" t="inlineStr">
        <is>
          <t>Pokemon</t>
        </is>
      </c>
      <c r="F2815" s="2" t="inlineStr">
        <is>
          <t>Pack</t>
        </is>
      </c>
      <c r="G2815" s="2" t="inlineStr">
        <is>
          <t>First Partner Pack</t>
        </is>
      </c>
      <c r="H2815" s="3" t="n"/>
      <c r="I2815" s="3" t="n">
        <v>26.7</v>
      </c>
      <c r="J2815" s="3" t="n">
        <v>36.49</v>
      </c>
      <c r="K2815" s="3" t="n">
        <v>30.9</v>
      </c>
      <c r="L2815" s="2" t="inlineStr">
        <is>
          <t>TCGplayer</t>
        </is>
      </c>
      <c r="N2815" s="4" t="inlineStr">
        <is>
          <t>https://www.tcgplayer.com/product/231301</t>
        </is>
      </c>
    </row>
    <row r="2816">
      <c r="A2816" s="2" t="inlineStr">
        <is>
          <t>First Partner Pack (Kanto)</t>
        </is>
      </c>
      <c r="B2816" s="3">
        <f>IF(H2816&lt;&gt;"",H2816,IF(I2816&lt;&gt;"",I2816,IF(J2816&lt;&gt;"",J2816,K2816)))</f>
        <v>69.02</v>
      </c>
      <c r="C2816" s="3">
        <f>MEDIAN(H2816:K2816)</f>
        <v>69.02</v>
      </c>
      <c r="D2816" s="3">
        <f>ROUND(C2816*(1-Settings!$B$2),2)</f>
        <v>48.31</v>
      </c>
      <c r="E2816" s="2" t="inlineStr">
        <is>
          <t>Pokemon</t>
        </is>
      </c>
      <c r="F2816" s="2" t="inlineStr">
        <is>
          <t>Pack</t>
        </is>
      </c>
      <c r="G2816" s="2" t="inlineStr">
        <is>
          <t>First Partner Pack</t>
        </is>
      </c>
      <c r="H2816" s="3" t="n"/>
      <c r="I2816" s="3" t="n">
        <v>69.02</v>
      </c>
      <c r="J2816" s="3" t="n">
        <v>72.98999999999999</v>
      </c>
      <c r="K2816" s="3" t="n">
        <v>61.92</v>
      </c>
      <c r="L2816" s="2" t="inlineStr">
        <is>
          <t>TCGplayer</t>
        </is>
      </c>
      <c r="N2816" s="4" t="inlineStr">
        <is>
          <t>https://www.tcgplayer.com/product/231306</t>
        </is>
      </c>
    </row>
    <row r="2817">
      <c r="A2817" s="2" t="inlineStr">
        <is>
          <t>First Partner Pack (Sinnoh)</t>
        </is>
      </c>
      <c r="B2817" s="3">
        <f>IF(H2817&lt;&gt;"",H2817,IF(I2817&lt;&gt;"",I2817,IF(J2817&lt;&gt;"",J2817,K2817)))</f>
        <v>23.3</v>
      </c>
      <c r="C2817" s="3">
        <f>MEDIAN(H2817:K2817)</f>
        <v>24.0</v>
      </c>
      <c r="D2817" s="3">
        <f>ROUND(C2817*(1-Settings!$B$2),2)</f>
        <v>16.8</v>
      </c>
      <c r="E2817" s="2" t="inlineStr">
        <is>
          <t>Pokemon</t>
        </is>
      </c>
      <c r="F2817" s="2" t="inlineStr">
        <is>
          <t>Pack</t>
        </is>
      </c>
      <c r="G2817" s="2" t="inlineStr">
        <is>
          <t>First Partner Pack</t>
        </is>
      </c>
      <c r="H2817" s="3" t="n"/>
      <c r="I2817" s="3" t="n">
        <v>23.3</v>
      </c>
      <c r="J2817" s="3" t="n">
        <v>28.2</v>
      </c>
      <c r="K2817" s="3" t="n">
        <v>24</v>
      </c>
      <c r="L2817" s="2" t="inlineStr">
        <is>
          <t>TCGplayer</t>
        </is>
      </c>
      <c r="N2817" s="4" t="inlineStr">
        <is>
          <t>https://www.tcgplayer.com/product/231303</t>
        </is>
      </c>
    </row>
    <row r="2818">
      <c r="A2818" s="2" t="inlineStr">
        <is>
          <t>First Partner Pack (Unova)</t>
        </is>
      </c>
      <c r="B2818" s="3">
        <f>IF(H2818&lt;&gt;"",H2818,IF(I2818&lt;&gt;"",I2818,IF(J2818&lt;&gt;"",J2818,K2818)))</f>
        <v>22.97</v>
      </c>
      <c r="C2818" s="3">
        <f>MEDIAN(H2818:K2818)</f>
        <v>22.97</v>
      </c>
      <c r="D2818" s="3">
        <f>ROUND(C2818*(1-Settings!$B$2),2)</f>
        <v>16.08</v>
      </c>
      <c r="E2818" s="2" t="inlineStr">
        <is>
          <t>Pokemon</t>
        </is>
      </c>
      <c r="F2818" s="2" t="inlineStr">
        <is>
          <t>Pack</t>
        </is>
      </c>
      <c r="G2818" s="2" t="inlineStr">
        <is>
          <t>First Partner Pack</t>
        </is>
      </c>
      <c r="H2818" s="3" t="n"/>
      <c r="I2818" s="3" t="n">
        <v>22.97</v>
      </c>
      <c r="J2818" s="3" t="n">
        <v>26.38</v>
      </c>
      <c r="K2818" s="3" t="n">
        <v>21.17</v>
      </c>
      <c r="L2818" s="2" t="inlineStr">
        <is>
          <t>TCGplayer</t>
        </is>
      </c>
      <c r="N2818" s="4" t="inlineStr">
        <is>
          <t>https://www.tcgplayer.com/product/231302</t>
        </is>
      </c>
    </row>
    <row r="2819">
      <c r="A2819" s="2" t="inlineStr">
        <is>
          <t>Flashfire Blister Pack</t>
        </is>
      </c>
      <c r="B2819" s="3">
        <f>IF(H2819&lt;&gt;"",H2819,IF(I2819&lt;&gt;"",I2819,IF(J2819&lt;&gt;"",J2819,K2819)))</f>
        <v>463.45</v>
      </c>
      <c r="C2819" s="3">
        <f>MEDIAN(H2819:K2819)</f>
        <v>463.45</v>
      </c>
      <c r="D2819" s="3">
        <f>ROUND(C2819*(1-Settings!$B$2),2)</f>
        <v>324.42</v>
      </c>
      <c r="E2819" s="2" t="inlineStr">
        <is>
          <t>Pokemon</t>
        </is>
      </c>
      <c r="F2819" s="2" t="inlineStr">
        <is>
          <t>Pack</t>
        </is>
      </c>
      <c r="G2819" s="2" t="inlineStr">
        <is>
          <t>Flashfire</t>
        </is>
      </c>
      <c r="H2819" s="3" t="n">
        <v>463.45</v>
      </c>
      <c r="I2819" s="3" t="n"/>
      <c r="J2819" s="3" t="n"/>
      <c r="K2819" s="3" t="n"/>
      <c r="L2819" s="2" t="inlineStr">
        <is>
          <t>PriceCharting</t>
        </is>
      </c>
      <c r="M2819" s="4" t="inlineStr">
        <is>
          <t>https://www.pricecharting.com/game/pokemon-flashfire/blister-pack</t>
        </is>
      </c>
    </row>
    <row r="2820">
      <c r="A2820" s="2" t="inlineStr">
        <is>
          <t>Flashfire Mini Booster Pack</t>
        </is>
      </c>
      <c r="B2820" s="3">
        <f>IF(H2820&lt;&gt;"",H2820,IF(I2820&lt;&gt;"",I2820,IF(J2820&lt;&gt;"",J2820,K2820)))</f>
        <v>29.25</v>
      </c>
      <c r="C2820" s="3">
        <f>MEDIAN(H2820:K2820)</f>
        <v>29.25</v>
      </c>
      <c r="D2820" s="3">
        <f>ROUND(C2820*(1-Settings!$B$2),2)</f>
        <v>20.48</v>
      </c>
      <c r="E2820" s="2" t="inlineStr">
        <is>
          <t>Pokemon</t>
        </is>
      </c>
      <c r="F2820" s="2" t="inlineStr">
        <is>
          <t>Pack</t>
        </is>
      </c>
      <c r="G2820" s="2" t="inlineStr">
        <is>
          <t>Flashfire</t>
        </is>
      </c>
      <c r="H2820" s="3" t="n">
        <v>29.25</v>
      </c>
      <c r="I2820" s="3" t="n"/>
      <c r="J2820" s="3" t="n"/>
      <c r="K2820" s="3" t="n"/>
      <c r="L2820" s="2" t="inlineStr">
        <is>
          <t>PriceCharting</t>
        </is>
      </c>
      <c r="M2820" s="4" t="inlineStr">
        <is>
          <t>https://www.pricecharting.com/game/pokemon-flashfire/mini-booster-pack</t>
        </is>
      </c>
    </row>
    <row r="2821">
      <c r="A2821" s="2" t="inlineStr">
        <is>
          <t>Forbidden Light Blister Pack</t>
        </is>
      </c>
      <c r="B2821" s="3">
        <f>IF(H2821&lt;&gt;"",H2821,IF(I2821&lt;&gt;"",I2821,IF(J2821&lt;&gt;"",J2821,K2821)))</f>
        <v>75.0</v>
      </c>
      <c r="C2821" s="3">
        <f>MEDIAN(H2821:K2821)</f>
        <v>75.0</v>
      </c>
      <c r="D2821" s="3">
        <f>ROUND(C2821*(1-Settings!$B$2),2)</f>
        <v>52.5</v>
      </c>
      <c r="E2821" s="2" t="inlineStr">
        <is>
          <t>Pokemon</t>
        </is>
      </c>
      <c r="F2821" s="2" t="inlineStr">
        <is>
          <t>Pack</t>
        </is>
      </c>
      <c r="G2821" s="2" t="inlineStr">
        <is>
          <t>Forbidden Light</t>
        </is>
      </c>
      <c r="H2821" s="3" t="n">
        <v>75</v>
      </c>
      <c r="I2821" s="3" t="n"/>
      <c r="J2821" s="3" t="n"/>
      <c r="K2821" s="3" t="n"/>
      <c r="L2821" s="2" t="inlineStr">
        <is>
          <t>PriceCharting</t>
        </is>
      </c>
      <c r="M2821" s="4" t="inlineStr">
        <is>
          <t>https://www.pricecharting.com/game/pokemon-forbidden-light/blister-pack</t>
        </is>
      </c>
    </row>
    <row r="2822">
      <c r="A2822" s="2" t="inlineStr">
        <is>
          <t>Forbidden Light Mini Booster Pack</t>
        </is>
      </c>
      <c r="B2822" s="3">
        <f>IF(H2822&lt;&gt;"",H2822,IF(I2822&lt;&gt;"",I2822,IF(J2822&lt;&gt;"",J2822,K2822)))</f>
        <v>55.09</v>
      </c>
      <c r="C2822" s="3">
        <f>MEDIAN(H2822:K2822)</f>
        <v>55.09</v>
      </c>
      <c r="D2822" s="3">
        <f>ROUND(C2822*(1-Settings!$B$2),2)</f>
        <v>38.56</v>
      </c>
      <c r="E2822" s="2" t="inlineStr">
        <is>
          <t>Pokemon</t>
        </is>
      </c>
      <c r="F2822" s="2" t="inlineStr">
        <is>
          <t>Pack</t>
        </is>
      </c>
      <c r="G2822" s="2" t="inlineStr">
        <is>
          <t>Forbidden Light</t>
        </is>
      </c>
      <c r="H2822" s="3" t="n">
        <v>55.09</v>
      </c>
      <c r="I2822" s="3" t="n"/>
      <c r="J2822" s="3" t="n"/>
      <c r="K2822" s="3" t="n"/>
      <c r="L2822" s="2" t="inlineStr">
        <is>
          <t>PriceCharting</t>
        </is>
      </c>
      <c r="M2822" s="4" t="inlineStr">
        <is>
          <t>https://www.pricecharting.com/game/pokemon-forbidden-light/mini-booster-pack</t>
        </is>
      </c>
    </row>
    <row r="2823">
      <c r="A2823" s="2" t="inlineStr">
        <is>
          <t>Forbidden Light Mini Portfolio Double Pack</t>
        </is>
      </c>
      <c r="B2823" s="3">
        <f>IF(H2823&lt;&gt;"",H2823,IF(I2823&lt;&gt;"",I2823,IF(J2823&lt;&gt;"",J2823,K2823)))</f>
        <v>32.35</v>
      </c>
      <c r="C2823" s="3">
        <f>MEDIAN(H2823:K2823)</f>
        <v>32.35</v>
      </c>
      <c r="D2823" s="3">
        <f>ROUND(C2823*(1-Settings!$B$2),2)</f>
        <v>22.65</v>
      </c>
      <c r="E2823" s="2" t="inlineStr">
        <is>
          <t>Pokemon</t>
        </is>
      </c>
      <c r="F2823" s="2" t="inlineStr">
        <is>
          <t>Pack</t>
        </is>
      </c>
      <c r="G2823" s="2" t="inlineStr">
        <is>
          <t>Forbidden Light</t>
        </is>
      </c>
      <c r="H2823" s="3" t="n">
        <v>32.35</v>
      </c>
      <c r="I2823" s="3" t="n"/>
      <c r="J2823" s="3" t="n"/>
      <c r="K2823" s="3" t="n"/>
      <c r="L2823" s="2" t="inlineStr">
        <is>
          <t>PriceCharting</t>
        </is>
      </c>
      <c r="M2823" s="4" t="inlineStr">
        <is>
          <t>https://www.pricecharting.com/game/pokemon-forbidden-light/mini-portfolio-double-pack</t>
        </is>
      </c>
    </row>
    <row r="2824">
      <c r="A2824" s="2" t="inlineStr">
        <is>
          <t>Forbidden Light Sampling Pack</t>
        </is>
      </c>
      <c r="B2824" s="3">
        <f>IF(H2824&lt;&gt;"",H2824,IF(I2824&lt;&gt;"",I2824,IF(J2824&lt;&gt;"",J2824,K2824)))</f>
        <v>9.9</v>
      </c>
      <c r="C2824" s="3">
        <f>MEDIAN(H2824:K2824)</f>
        <v>9.9</v>
      </c>
      <c r="D2824" s="3">
        <f>ROUND(C2824*(1-Settings!$B$2),2)</f>
        <v>6.93</v>
      </c>
      <c r="E2824" s="2" t="inlineStr">
        <is>
          <t>Pokemon</t>
        </is>
      </c>
      <c r="F2824" s="2" t="inlineStr">
        <is>
          <t>Pack</t>
        </is>
      </c>
      <c r="G2824" s="2" t="inlineStr">
        <is>
          <t>Forbidden Light</t>
        </is>
      </c>
      <c r="H2824" s="3" t="n">
        <v>9.9</v>
      </c>
      <c r="I2824" s="3" t="n"/>
      <c r="J2824" s="3" t="n"/>
      <c r="K2824" s="3" t="n"/>
      <c r="L2824" s="2" t="inlineStr">
        <is>
          <t>PriceCharting</t>
        </is>
      </c>
      <c r="M2824" s="4" t="inlineStr">
        <is>
          <t>https://www.pricecharting.com/game/pokemon-forbidden-light/sampling-pack</t>
        </is>
      </c>
    </row>
    <row r="2825">
      <c r="A2825" s="2" t="inlineStr">
        <is>
          <t>Fossil Blister Pack</t>
        </is>
      </c>
      <c r="B2825" s="3">
        <f>IF(H2825&lt;&gt;"",H2825,IF(I2825&lt;&gt;"",I2825,IF(J2825&lt;&gt;"",J2825,K2825)))</f>
        <v>639.2</v>
      </c>
      <c r="C2825" s="3">
        <f>MEDIAN(H2825:K2825)</f>
        <v>639.2</v>
      </c>
      <c r="D2825" s="3">
        <f>ROUND(C2825*(1-Settings!$B$2),2)</f>
        <v>447.44</v>
      </c>
      <c r="E2825" s="2" t="inlineStr">
        <is>
          <t>Pokemon</t>
        </is>
      </c>
      <c r="F2825" s="2" t="inlineStr">
        <is>
          <t>Pack</t>
        </is>
      </c>
      <c r="G2825" s="2" t="inlineStr">
        <is>
          <t>Fossil</t>
        </is>
      </c>
      <c r="H2825" s="3" t="n">
        <v>639.2</v>
      </c>
      <c r="I2825" s="3" t="n"/>
      <c r="J2825" s="3" t="n"/>
      <c r="K2825" s="3" t="n"/>
      <c r="L2825" s="2" t="inlineStr">
        <is>
          <t>PriceCharting + TCGplayer</t>
        </is>
      </c>
      <c r="M2825" s="4" t="inlineStr">
        <is>
          <t>https://www.pricecharting.com/game/pokemon-fossil/blister-pack</t>
        </is>
      </c>
      <c r="N2825" s="4" t="inlineStr">
        <is>
          <t>https://www.tcgplayer.com/product/692399</t>
        </is>
      </c>
    </row>
    <row r="2826">
      <c r="A2826" s="2" t="inlineStr">
        <is>
          <t>Fossil Booster Pack</t>
        </is>
      </c>
      <c r="B2826" s="3">
        <f>IF(H2826&lt;&gt;"",H2826,IF(I2826&lt;&gt;"",I2826,IF(J2826&lt;&gt;"",J2826,K2826)))</f>
        <v>295.0</v>
      </c>
      <c r="C2826" s="3">
        <f>MEDIAN(H2826:K2826)</f>
        <v>295.0</v>
      </c>
      <c r="D2826" s="3">
        <f>ROUND(C2826*(1-Settings!$B$2),2)</f>
        <v>206.5</v>
      </c>
      <c r="E2826" s="2" t="inlineStr">
        <is>
          <t>Pokemon</t>
        </is>
      </c>
      <c r="F2826" s="2" t="inlineStr">
        <is>
          <t>Pack</t>
        </is>
      </c>
      <c r="G2826" s="2" t="inlineStr">
        <is>
          <t>Fossil</t>
        </is>
      </c>
      <c r="H2826" s="3" t="n">
        <v>295</v>
      </c>
      <c r="I2826" s="3" t="n"/>
      <c r="J2826" s="3" t="n"/>
      <c r="K2826" s="3" t="n"/>
      <c r="L2826" s="2" t="inlineStr">
        <is>
          <t>PriceCharting</t>
        </is>
      </c>
      <c r="M2826" s="4" t="inlineStr">
        <is>
          <t>https://www.pricecharting.com/game/pokemon-fossil/booster-pack</t>
        </is>
      </c>
    </row>
    <row r="2827">
      <c r="A2827" s="2" t="inlineStr">
        <is>
          <t>Fossil Booster Pack [1st Edition]</t>
        </is>
      </c>
      <c r="B2827" s="3">
        <f>IF(H2827&lt;&gt;"",H2827,IF(I2827&lt;&gt;"",I2827,IF(J2827&lt;&gt;"",J2827,K2827)))</f>
        <v>460.0</v>
      </c>
      <c r="C2827" s="3">
        <f>MEDIAN(H2827:K2827)</f>
        <v>666.095</v>
      </c>
      <c r="D2827" s="3">
        <f>ROUND(C2827*(1-Settings!$B$2),2)</f>
        <v>466.27</v>
      </c>
      <c r="E2827" s="2" t="inlineStr">
        <is>
          <t>Pokemon</t>
        </is>
      </c>
      <c r="F2827" s="2" t="inlineStr">
        <is>
          <t>Pack</t>
        </is>
      </c>
      <c r="G2827" s="2" t="inlineStr">
        <is>
          <t>Fossil</t>
        </is>
      </c>
      <c r="H2827" s="3" t="n">
        <v>460</v>
      </c>
      <c r="I2827" s="3" t="n">
        <v>672.1900000000001</v>
      </c>
      <c r="J2827" s="3" t="n">
        <v>703.98</v>
      </c>
      <c r="K2827" s="3" t="n">
        <v>660</v>
      </c>
      <c r="L2827" s="2" t="inlineStr">
        <is>
          <t>PriceCharting + TCGplayer</t>
        </is>
      </c>
      <c r="M2827" s="4" t="inlineStr">
        <is>
          <t>https://www.pricecharting.com/game/pokemon-fossil/booster-pack-1st-edition</t>
        </is>
      </c>
      <c r="N2827" s="4" t="inlineStr">
        <is>
          <t>https://www.tcgplayer.com/product/138133</t>
        </is>
      </c>
    </row>
    <row r="2828">
      <c r="A2828" s="2" t="inlineStr">
        <is>
          <t>Fossil Booster Pack [Unlimited Edition]</t>
        </is>
      </c>
      <c r="B2828" s="3">
        <f>IF(H2828&lt;&gt;"",H2828,IF(I2828&lt;&gt;"",I2828,IF(J2828&lt;&gt;"",J2828,K2828)))</f>
        <v>337.65</v>
      </c>
      <c r="C2828" s="3">
        <f>MEDIAN(H2828:K2828)</f>
        <v>343.97</v>
      </c>
      <c r="D2828" s="3">
        <f>ROUND(C2828*(1-Settings!$B$2),2)</f>
        <v>240.78</v>
      </c>
      <c r="E2828" s="2" t="inlineStr">
        <is>
          <t>Pokemon</t>
        </is>
      </c>
      <c r="F2828" s="2" t="inlineStr">
        <is>
          <t>Pack</t>
        </is>
      </c>
      <c r="G2828" s="2" t="inlineStr">
        <is>
          <t>Fossil</t>
        </is>
      </c>
      <c r="H2828" s="3" t="n"/>
      <c r="I2828" s="3" t="n">
        <v>337.65</v>
      </c>
      <c r="J2828" s="3" t="n">
        <v>380</v>
      </c>
      <c r="K2828" s="3" t="n">
        <v>343.97</v>
      </c>
      <c r="L2828" s="2" t="inlineStr">
        <is>
          <t>TCGplayer</t>
        </is>
      </c>
      <c r="N2828" s="4" t="inlineStr">
        <is>
          <t>https://www.tcgplayer.com/product/138134</t>
        </is>
      </c>
    </row>
    <row r="2829">
      <c r="A2829" s="2" t="inlineStr">
        <is>
          <t>Furious Fists Blister Pack [Zoroark]</t>
        </is>
      </c>
      <c r="B2829" s="3">
        <f>IF(H2829&lt;&gt;"",H2829,IF(I2829&lt;&gt;"",I2829,IF(J2829&lt;&gt;"",J2829,K2829)))</f>
        <v>234.16</v>
      </c>
      <c r="C2829" s="3">
        <f>MEDIAN(H2829:K2829)</f>
        <v>234.16</v>
      </c>
      <c r="D2829" s="3">
        <f>ROUND(C2829*(1-Settings!$B$2),2)</f>
        <v>163.91</v>
      </c>
      <c r="E2829" s="2" t="inlineStr">
        <is>
          <t>Pokemon</t>
        </is>
      </c>
      <c r="F2829" s="2" t="inlineStr">
        <is>
          <t>Pack</t>
        </is>
      </c>
      <c r="G2829" s="2" t="inlineStr">
        <is>
          <t>Furious Fists</t>
        </is>
      </c>
      <c r="H2829" s="3" t="n">
        <v>234.16</v>
      </c>
      <c r="I2829" s="3" t="n"/>
      <c r="J2829" s="3" t="n"/>
      <c r="K2829" s="3" t="n"/>
      <c r="L2829" s="2" t="inlineStr">
        <is>
          <t>PriceCharting</t>
        </is>
      </c>
      <c r="M2829" s="4" t="inlineStr">
        <is>
          <t>https://www.pricecharting.com/game/pokemon-furious-fists/blister-pack-zoroark</t>
        </is>
      </c>
    </row>
    <row r="2830">
      <c r="A2830" s="2" t="inlineStr">
        <is>
          <t>Furious Fists Booster Pack</t>
        </is>
      </c>
      <c r="B2830" s="3">
        <f>IF(H2830&lt;&gt;"",H2830,IF(I2830&lt;&gt;"",I2830,IF(J2830&lt;&gt;"",J2830,K2830)))</f>
        <v>60.75</v>
      </c>
      <c r="C2830" s="3">
        <f>MEDIAN(H2830:K2830)</f>
        <v>60.75</v>
      </c>
      <c r="D2830" s="3">
        <f>ROUND(C2830*(1-Settings!$B$2),2)</f>
        <v>42.53</v>
      </c>
      <c r="E2830" s="2" t="inlineStr">
        <is>
          <t>Pokemon</t>
        </is>
      </c>
      <c r="F2830" s="2" t="inlineStr">
        <is>
          <t>Pack</t>
        </is>
      </c>
      <c r="G2830" s="2" t="inlineStr">
        <is>
          <t>Furious Fists</t>
        </is>
      </c>
      <c r="H2830" s="3" t="n">
        <v>60.75</v>
      </c>
      <c r="I2830" s="3" t="n"/>
      <c r="J2830" s="3" t="n"/>
      <c r="K2830" s="3" t="n"/>
      <c r="L2830" s="2" t="inlineStr">
        <is>
          <t>PriceCharting</t>
        </is>
      </c>
      <c r="M2830" s="4" t="inlineStr">
        <is>
          <t>https://www.pricecharting.com/game/pokemon-furious-fists/booster-pack</t>
        </is>
      </c>
    </row>
    <row r="2831">
      <c r="A2831" s="2" t="inlineStr">
        <is>
          <t>Furious Fists Mini Booster Pack</t>
        </is>
      </c>
      <c r="B2831" s="3">
        <f>IF(H2831&lt;&gt;"",H2831,IF(I2831&lt;&gt;"",I2831,IF(J2831&lt;&gt;"",J2831,K2831)))</f>
        <v>12.99</v>
      </c>
      <c r="C2831" s="3">
        <f>MEDIAN(H2831:K2831)</f>
        <v>12.99</v>
      </c>
      <c r="D2831" s="3">
        <f>ROUND(C2831*(1-Settings!$B$2),2)</f>
        <v>9.09</v>
      </c>
      <c r="E2831" s="2" t="inlineStr">
        <is>
          <t>Pokemon</t>
        </is>
      </c>
      <c r="F2831" s="2" t="inlineStr">
        <is>
          <t>Pack</t>
        </is>
      </c>
      <c r="G2831" s="2" t="inlineStr">
        <is>
          <t>Furious Fists</t>
        </is>
      </c>
      <c r="H2831" s="3" t="n">
        <v>12.99</v>
      </c>
      <c r="I2831" s="3" t="n"/>
      <c r="J2831" s="3" t="n"/>
      <c r="K2831" s="3" t="n"/>
      <c r="L2831" s="2" t="inlineStr">
        <is>
          <t>PriceCharting</t>
        </is>
      </c>
      <c r="M2831" s="4" t="inlineStr">
        <is>
          <t>https://www.pricecharting.com/game/pokemon-furious-fists/mini-booster-pack</t>
        </is>
      </c>
    </row>
    <row r="2832">
      <c r="A2832" s="2" t="inlineStr">
        <is>
          <t>Fusion Strike Checklane Blister 2 Pack</t>
        </is>
      </c>
      <c r="B2832" s="3">
        <f>IF(H2832&lt;&gt;"",H2832,IF(I2832&lt;&gt;"",I2832,IF(J2832&lt;&gt;"",J2832,K2832)))</f>
        <v>28.64</v>
      </c>
      <c r="C2832" s="3">
        <f>MEDIAN(H2832:K2832)</f>
        <v>28.64</v>
      </c>
      <c r="D2832" s="3">
        <f>ROUND(C2832*(1-Settings!$B$2),2)</f>
        <v>20.05</v>
      </c>
      <c r="E2832" s="2" t="inlineStr">
        <is>
          <t>Pokemon</t>
        </is>
      </c>
      <c r="F2832" s="2" t="inlineStr">
        <is>
          <t>Pack</t>
        </is>
      </c>
      <c r="G2832" s="2" t="inlineStr">
        <is>
          <t>Fusion Strike</t>
        </is>
      </c>
      <c r="H2832" s="3" t="n">
        <v>28.64</v>
      </c>
      <c r="I2832" s="3" t="n"/>
      <c r="J2832" s="3" t="n"/>
      <c r="K2832" s="3" t="n"/>
      <c r="L2832" s="2" t="inlineStr">
        <is>
          <t>PriceCharting</t>
        </is>
      </c>
      <c r="M2832" s="4" t="inlineStr">
        <is>
          <t>https://www.pricecharting.com/game/pokemon-fusion-strike/checklane-blister-2-pack</t>
        </is>
      </c>
    </row>
    <row r="2833">
      <c r="A2833" s="2" t="inlineStr">
        <is>
          <t>Generations Booster Pack</t>
        </is>
      </c>
      <c r="B2833" s="3">
        <f>IF(H2833&lt;&gt;"",H2833,IF(I2833&lt;&gt;"",I2833,IF(J2833&lt;&gt;"",J2833,K2833)))</f>
        <v>300.64</v>
      </c>
      <c r="C2833" s="3">
        <f>MEDIAN(H2833:K2833)</f>
        <v>321.905</v>
      </c>
      <c r="D2833" s="3">
        <f>ROUND(C2833*(1-Settings!$B$2),2)</f>
        <v>225.33</v>
      </c>
      <c r="E2833" s="2" t="inlineStr">
        <is>
          <t>Pokemon</t>
        </is>
      </c>
      <c r="F2833" s="2" t="inlineStr">
        <is>
          <t>Pack</t>
        </is>
      </c>
      <c r="G2833" s="2" t="inlineStr">
        <is>
          <t>Generations</t>
        </is>
      </c>
      <c r="H2833" s="3" t="n">
        <v>300.64</v>
      </c>
      <c r="I2833" s="3" t="n">
        <v>308.82</v>
      </c>
      <c r="J2833" s="3" t="n">
        <v>355.99</v>
      </c>
      <c r="K2833" s="3" t="n">
        <v>334.99</v>
      </c>
      <c r="L2833" s="2" t="inlineStr">
        <is>
          <t>PriceCharting + TCGplayer</t>
        </is>
      </c>
      <c r="M2833" s="4" t="inlineStr">
        <is>
          <t>https://www.pricecharting.com/game/pokemon-generations/booster-pack</t>
        </is>
      </c>
      <c r="N2833" s="4" t="inlineStr">
        <is>
          <t>https://www.tcgplayer.com/product/187238</t>
        </is>
      </c>
    </row>
    <row r="2834">
      <c r="A2834" s="2" t="inlineStr">
        <is>
          <t>Go Booster Pack</t>
        </is>
      </c>
      <c r="B2834" s="3">
        <f>IF(H2834&lt;&gt;"",H2834,IF(I2834&lt;&gt;"",I2834,IF(J2834&lt;&gt;"",J2834,K2834)))</f>
        <v>12.61</v>
      </c>
      <c r="C2834" s="3">
        <f>MEDIAN(H2834:K2834)</f>
        <v>12.61</v>
      </c>
      <c r="D2834" s="3">
        <f>ROUND(C2834*(1-Settings!$B$2),2)</f>
        <v>8.83</v>
      </c>
      <c r="E2834" s="2" t="inlineStr">
        <is>
          <t>Pokemon</t>
        </is>
      </c>
      <c r="F2834" s="2" t="inlineStr">
        <is>
          <t>Pack</t>
        </is>
      </c>
      <c r="G2834" s="2" t="inlineStr">
        <is>
          <t>Go</t>
        </is>
      </c>
      <c r="H2834" s="3" t="n">
        <v>12.61</v>
      </c>
      <c r="I2834" s="3" t="n"/>
      <c r="J2834" s="3" t="n"/>
      <c r="K2834" s="3" t="n"/>
      <c r="L2834" s="2" t="inlineStr">
        <is>
          <t>PriceCharting</t>
        </is>
      </c>
      <c r="M2834" s="4" t="inlineStr">
        <is>
          <t>https://www.pricecharting.com/game/pokemon-go/booster-pack</t>
        </is>
      </c>
    </row>
    <row r="2835">
      <c r="A2835" s="2" t="inlineStr">
        <is>
          <t>Great Encounters Blister Pack</t>
        </is>
      </c>
      <c r="B2835" s="3">
        <f>IF(H2835&lt;&gt;"",H2835,IF(I2835&lt;&gt;"",I2835,IF(J2835&lt;&gt;"",J2835,K2835)))</f>
        <v>919.03</v>
      </c>
      <c r="C2835" s="3">
        <f>MEDIAN(H2835:K2835)</f>
        <v>919.03</v>
      </c>
      <c r="D2835" s="3">
        <f>ROUND(C2835*(1-Settings!$B$2),2)</f>
        <v>643.32</v>
      </c>
      <c r="E2835" s="2" t="inlineStr">
        <is>
          <t>Pokemon</t>
        </is>
      </c>
      <c r="F2835" s="2" t="inlineStr">
        <is>
          <t>Pack</t>
        </is>
      </c>
      <c r="G2835" s="2" t="inlineStr">
        <is>
          <t>Great Encounters</t>
        </is>
      </c>
      <c r="H2835" s="3" t="n">
        <v>919.03</v>
      </c>
      <c r="I2835" s="3" t="n"/>
      <c r="J2835" s="3" t="n"/>
      <c r="K2835" s="3" t="n"/>
      <c r="L2835" s="2" t="inlineStr">
        <is>
          <t>PriceCharting</t>
        </is>
      </c>
      <c r="M2835" s="4" t="inlineStr">
        <is>
          <t>https://www.pricecharting.com/game/pokemon-great-encounters/blister-pack</t>
        </is>
      </c>
    </row>
    <row r="2836">
      <c r="A2836" s="2" t="inlineStr">
        <is>
          <t>Great Encounters Booster Pack</t>
        </is>
      </c>
      <c r="B2836" s="3">
        <f>IF(H2836&lt;&gt;"",H2836,IF(I2836&lt;&gt;"",I2836,IF(J2836&lt;&gt;"",J2836,K2836)))</f>
        <v>205.09</v>
      </c>
      <c r="C2836" s="3">
        <f>MEDIAN(H2836:K2836)</f>
        <v>461.65999999999997</v>
      </c>
      <c r="D2836" s="3">
        <f>ROUND(C2836*(1-Settings!$B$2),2)</f>
        <v>323.16</v>
      </c>
      <c r="E2836" s="2" t="inlineStr">
        <is>
          <t>Pokemon</t>
        </is>
      </c>
      <c r="F2836" s="2" t="inlineStr">
        <is>
          <t>Pack</t>
        </is>
      </c>
      <c r="G2836" s="2" t="inlineStr">
        <is>
          <t>Great Encounters</t>
        </is>
      </c>
      <c r="H2836" s="3" t="n">
        <v>205.09</v>
      </c>
      <c r="I2836" s="3" t="n">
        <v>323.33</v>
      </c>
      <c r="J2836" s="3" t="n">
        <v>599.99</v>
      </c>
      <c r="K2836" s="3" t="n">
        <v>599.99</v>
      </c>
      <c r="L2836" s="2" t="inlineStr">
        <is>
          <t>PriceCharting + TCGplayer</t>
        </is>
      </c>
      <c r="M2836" s="4" t="inlineStr">
        <is>
          <t>https://www.pricecharting.com/game/pokemon-great-encounters/booster-pack</t>
        </is>
      </c>
      <c r="N2836" s="4" t="inlineStr">
        <is>
          <t>https://www.tcgplayer.com/product/98545</t>
        </is>
      </c>
    </row>
    <row r="2837">
      <c r="A2837" s="2" t="inlineStr">
        <is>
          <t>Guardians Rising Blister Pack [Tsareena]</t>
        </is>
      </c>
      <c r="B2837" s="3">
        <f>IF(H2837&lt;&gt;"",H2837,IF(I2837&lt;&gt;"",I2837,IF(J2837&lt;&gt;"",J2837,K2837)))</f>
        <v>24.5</v>
      </c>
      <c r="C2837" s="3">
        <f>MEDIAN(H2837:K2837)</f>
        <v>24.5</v>
      </c>
      <c r="D2837" s="3">
        <f>ROUND(C2837*(1-Settings!$B$2),2)</f>
        <v>17.15</v>
      </c>
      <c r="E2837" s="2" t="inlineStr">
        <is>
          <t>Pokemon</t>
        </is>
      </c>
      <c r="F2837" s="2" t="inlineStr">
        <is>
          <t>Pack</t>
        </is>
      </c>
      <c r="G2837" s="2" t="inlineStr">
        <is>
          <t>Guardians Rising</t>
        </is>
      </c>
      <c r="H2837" s="3" t="n">
        <v>24.5</v>
      </c>
      <c r="I2837" s="3" t="n"/>
      <c r="J2837" s="3" t="n"/>
      <c r="K2837" s="3" t="n"/>
      <c r="L2837" s="2" t="inlineStr">
        <is>
          <t>PriceCharting</t>
        </is>
      </c>
      <c r="M2837" s="4" t="inlineStr">
        <is>
          <t>https://www.pricecharting.com/game/pokemon-guardians-rising/blister-pack-tsareena</t>
        </is>
      </c>
    </row>
    <row r="2838">
      <c r="A2838" s="2" t="inlineStr">
        <is>
          <t>Guardians Rising Mini Booster Pack</t>
        </is>
      </c>
      <c r="B2838" s="3">
        <f>IF(H2838&lt;&gt;"",H2838,IF(I2838&lt;&gt;"",I2838,IF(J2838&lt;&gt;"",J2838,K2838)))</f>
        <v>9.5</v>
      </c>
      <c r="C2838" s="3">
        <f>MEDIAN(H2838:K2838)</f>
        <v>9.5</v>
      </c>
      <c r="D2838" s="3">
        <f>ROUND(C2838*(1-Settings!$B$2),2)</f>
        <v>6.65</v>
      </c>
      <c r="E2838" s="2" t="inlineStr">
        <is>
          <t>Pokemon</t>
        </is>
      </c>
      <c r="F2838" s="2" t="inlineStr">
        <is>
          <t>Pack</t>
        </is>
      </c>
      <c r="G2838" s="2" t="inlineStr">
        <is>
          <t>Guardians Rising</t>
        </is>
      </c>
      <c r="H2838" s="3" t="n">
        <v>9.5</v>
      </c>
      <c r="I2838" s="3" t="n"/>
      <c r="J2838" s="3" t="n"/>
      <c r="K2838" s="3" t="n"/>
      <c r="L2838" s="2" t="inlineStr">
        <is>
          <t>PriceCharting</t>
        </is>
      </c>
      <c r="M2838" s="4" t="inlineStr">
        <is>
          <t>https://www.pricecharting.com/game/pokemon-guardians-rising/mini-booster-pack</t>
        </is>
      </c>
    </row>
    <row r="2839">
      <c r="A2839" s="2" t="inlineStr">
        <is>
          <t>Gym Challenge Booster Pack</t>
        </is>
      </c>
      <c r="B2839" s="3">
        <f>IF(H2839&lt;&gt;"",H2839,IF(I2839&lt;&gt;"",I2839,IF(J2839&lt;&gt;"",J2839,K2839)))</f>
        <v>419.0</v>
      </c>
      <c r="C2839" s="3">
        <f>MEDIAN(H2839:K2839)</f>
        <v>419.0</v>
      </c>
      <c r="D2839" s="3">
        <f>ROUND(C2839*(1-Settings!$B$2),2)</f>
        <v>293.3</v>
      </c>
      <c r="E2839" s="2" t="inlineStr">
        <is>
          <t>Pokemon</t>
        </is>
      </c>
      <c r="F2839" s="2" t="inlineStr">
        <is>
          <t>Pack</t>
        </is>
      </c>
      <c r="G2839" s="2" t="inlineStr">
        <is>
          <t>Gym Challenge</t>
        </is>
      </c>
      <c r="H2839" s="3" t="n">
        <v>419</v>
      </c>
      <c r="I2839" s="3" t="n"/>
      <c r="J2839" s="3" t="n"/>
      <c r="K2839" s="3" t="n"/>
      <c r="L2839" s="2" t="inlineStr">
        <is>
          <t>PriceCharting</t>
        </is>
      </c>
      <c r="M2839" s="4" t="inlineStr">
        <is>
          <t>https://www.pricecharting.com/game/pokemon-gym-challenge/booster-pack</t>
        </is>
      </c>
    </row>
    <row r="2840">
      <c r="A2840" s="2" t="inlineStr">
        <is>
          <t>Gym Challenge Booster Pack [1st Edition]</t>
        </is>
      </c>
      <c r="B2840" s="3">
        <f>IF(H2840&lt;&gt;"",H2840,IF(I2840&lt;&gt;"",I2840,IF(J2840&lt;&gt;"",J2840,K2840)))</f>
        <v>712.28</v>
      </c>
      <c r="C2840" s="3">
        <f>MEDIAN(H2840:K2840)</f>
        <v>825.0</v>
      </c>
      <c r="D2840" s="3">
        <f>ROUND(C2840*(1-Settings!$B$2),2)</f>
        <v>577.5</v>
      </c>
      <c r="E2840" s="2" t="inlineStr">
        <is>
          <t>Pokemon</t>
        </is>
      </c>
      <c r="F2840" s="2" t="inlineStr">
        <is>
          <t>Pack</t>
        </is>
      </c>
      <c r="G2840" s="2" t="inlineStr">
        <is>
          <t>Gym Challenge</t>
        </is>
      </c>
      <c r="H2840" s="3" t="n">
        <v>712.28</v>
      </c>
      <c r="I2840" s="3" t="n">
        <v>825</v>
      </c>
      <c r="J2840" s="3" t="n">
        <v>837.5</v>
      </c>
      <c r="K2840" s="3" t="n">
        <v>825</v>
      </c>
      <c r="L2840" s="2" t="inlineStr">
        <is>
          <t>PriceCharting + TCGplayer</t>
        </is>
      </c>
      <c r="M2840" s="4" t="inlineStr">
        <is>
          <t>https://www.pricecharting.com/game/pokemon-gym-challenge/booster-pack-1st-edition</t>
        </is>
      </c>
      <c r="N2840" s="4" t="inlineStr">
        <is>
          <t>https://www.tcgplayer.com/product/138140</t>
        </is>
      </c>
    </row>
    <row r="2841">
      <c r="A2841" s="2" t="inlineStr">
        <is>
          <t>Gym Challenge Booster Pack [Unlimited Edition]</t>
        </is>
      </c>
      <c r="B2841" s="3">
        <f>IF(H2841&lt;&gt;"",H2841,IF(I2841&lt;&gt;"",I2841,IF(J2841&lt;&gt;"",J2841,K2841)))</f>
        <v>419.99</v>
      </c>
      <c r="C2841" s="3">
        <f>MEDIAN(H2841:K2841)</f>
        <v>419.99</v>
      </c>
      <c r="D2841" s="3">
        <f>ROUND(C2841*(1-Settings!$B$2),2)</f>
        <v>293.99</v>
      </c>
      <c r="E2841" s="2" t="inlineStr">
        <is>
          <t>Pokemon</t>
        </is>
      </c>
      <c r="F2841" s="2" t="inlineStr">
        <is>
          <t>Pack</t>
        </is>
      </c>
      <c r="G2841" s="2" t="inlineStr">
        <is>
          <t>Gym Challenge</t>
        </is>
      </c>
      <c r="H2841" s="3" t="n"/>
      <c r="I2841" s="3" t="n">
        <v>419.99</v>
      </c>
      <c r="J2841" s="3" t="n">
        <v>425</v>
      </c>
      <c r="K2841" s="3" t="n">
        <v>419.99</v>
      </c>
      <c r="L2841" s="2" t="inlineStr">
        <is>
          <t>TCGplayer</t>
        </is>
      </c>
      <c r="N2841" s="4" t="inlineStr">
        <is>
          <t>https://www.tcgplayer.com/product/138139</t>
        </is>
      </c>
    </row>
    <row r="2842">
      <c r="A2842" s="2" t="inlineStr">
        <is>
          <t>Gym Heroes Booster Pack</t>
        </is>
      </c>
      <c r="B2842" s="3">
        <f>IF(H2842&lt;&gt;"",H2842,IF(I2842&lt;&gt;"",I2842,IF(J2842&lt;&gt;"",J2842,K2842)))</f>
        <v>304.43</v>
      </c>
      <c r="C2842" s="3">
        <f>MEDIAN(H2842:K2842)</f>
        <v>304.43</v>
      </c>
      <c r="D2842" s="3">
        <f>ROUND(C2842*(1-Settings!$B$2),2)</f>
        <v>213.1</v>
      </c>
      <c r="E2842" s="2" t="inlineStr">
        <is>
          <t>Pokemon</t>
        </is>
      </c>
      <c r="F2842" s="2" t="inlineStr">
        <is>
          <t>Pack</t>
        </is>
      </c>
      <c r="G2842" s="2" t="inlineStr">
        <is>
          <t>Gym Heroes</t>
        </is>
      </c>
      <c r="H2842" s="3" t="n">
        <v>304.43</v>
      </c>
      <c r="I2842" s="3" t="n"/>
      <c r="J2842" s="3" t="n"/>
      <c r="K2842" s="3" t="n"/>
      <c r="L2842" s="2" t="inlineStr">
        <is>
          <t>PriceCharting</t>
        </is>
      </c>
      <c r="M2842" s="4" t="inlineStr">
        <is>
          <t>https://www.pricecharting.com/game/pokemon-gym-heroes/booster-pack</t>
        </is>
      </c>
    </row>
    <row r="2843">
      <c r="A2843" s="2" t="inlineStr">
        <is>
          <t>Gym Heroes Booster Pack [1st Edition]</t>
        </is>
      </c>
      <c r="B2843" s="3">
        <f>IF(H2843&lt;&gt;"",H2843,IF(I2843&lt;&gt;"",I2843,IF(J2843&lt;&gt;"",J2843,K2843)))</f>
        <v>468.83</v>
      </c>
      <c r="C2843" s="3">
        <f>MEDIAN(H2843:K2843)</f>
        <v>468.83</v>
      </c>
      <c r="D2843" s="3">
        <f>ROUND(C2843*(1-Settings!$B$2),2)</f>
        <v>328.18</v>
      </c>
      <c r="E2843" s="2" t="inlineStr">
        <is>
          <t>Pokemon</t>
        </is>
      </c>
      <c r="F2843" s="2" t="inlineStr">
        <is>
          <t>Pack</t>
        </is>
      </c>
      <c r="G2843" s="2" t="inlineStr">
        <is>
          <t>Gym Heroes</t>
        </is>
      </c>
      <c r="H2843" s="3" t="n">
        <v>468.83</v>
      </c>
      <c r="I2843" s="3" t="n"/>
      <c r="J2843" s="3" t="n"/>
      <c r="K2843" s="3" t="n"/>
      <c r="L2843" s="2" t="inlineStr">
        <is>
          <t>PriceCharting</t>
        </is>
      </c>
      <c r="M2843" s="4" t="inlineStr">
        <is>
          <t>https://www.pricecharting.com/game/pokemon-gym-heroes/booster-pack-1st-edition</t>
        </is>
      </c>
    </row>
    <row r="2844">
      <c r="A2844" s="2" t="inlineStr">
        <is>
          <t>Gym Heroes Booster Pack [Unlimited Edition]</t>
        </is>
      </c>
      <c r="B2844" s="3">
        <f>IF(H2844&lt;&gt;"",H2844,IF(I2844&lt;&gt;"",I2844,IF(J2844&lt;&gt;"",J2844,K2844)))</f>
        <v>269.72</v>
      </c>
      <c r="C2844" s="3">
        <f>MEDIAN(H2844:K2844)</f>
        <v>350.0</v>
      </c>
      <c r="D2844" s="3">
        <f>ROUND(C2844*(1-Settings!$B$2),2)</f>
        <v>245.0</v>
      </c>
      <c r="E2844" s="2" t="inlineStr">
        <is>
          <t>Pokemon</t>
        </is>
      </c>
      <c r="F2844" s="2" t="inlineStr">
        <is>
          <t>Pack</t>
        </is>
      </c>
      <c r="G2844" s="2" t="inlineStr">
        <is>
          <t>Gym Heroes</t>
        </is>
      </c>
      <c r="H2844" s="3" t="n"/>
      <c r="I2844" s="3" t="n">
        <v>269.72</v>
      </c>
      <c r="J2844" s="3" t="n">
        <v>400</v>
      </c>
      <c r="K2844" s="3" t="n">
        <v>350</v>
      </c>
      <c r="L2844" s="2" t="inlineStr">
        <is>
          <t>TCGplayer</t>
        </is>
      </c>
      <c r="N2844" s="4" t="inlineStr">
        <is>
          <t>https://www.tcgplayer.com/product/138138</t>
        </is>
      </c>
    </row>
    <row r="2845">
      <c r="A2845" s="2" t="inlineStr">
        <is>
          <t>HeartGold SoulSilver Booster Pack</t>
        </is>
      </c>
      <c r="B2845" s="3">
        <f>IF(H2845&lt;&gt;"",H2845,IF(I2845&lt;&gt;"",I2845,IF(J2845&lt;&gt;"",J2845,K2845)))</f>
        <v>466.66</v>
      </c>
      <c r="C2845" s="3">
        <f>MEDIAN(H2845:K2845)</f>
        <v>750.0</v>
      </c>
      <c r="D2845" s="3">
        <f>ROUND(C2845*(1-Settings!$B$2),2)</f>
        <v>525.0</v>
      </c>
      <c r="E2845" s="2" t="inlineStr">
        <is>
          <t>Pokemon</t>
        </is>
      </c>
      <c r="F2845" s="2" t="inlineStr">
        <is>
          <t>Pack</t>
        </is>
      </c>
      <c r="G2845" s="2" t="inlineStr">
        <is>
          <t>HeartGold SoulSilver</t>
        </is>
      </c>
      <c r="H2845" s="3" t="n"/>
      <c r="I2845" s="3" t="n">
        <v>466.66</v>
      </c>
      <c r="J2845" s="3" t="n">
        <v>750</v>
      </c>
      <c r="K2845" s="3" t="n">
        <v>750</v>
      </c>
      <c r="L2845" s="2" t="inlineStr">
        <is>
          <t>TCGplayer</t>
        </is>
      </c>
      <c r="N2845" s="4" t="inlineStr">
        <is>
          <t>https://www.tcgplayer.com/product/98530</t>
        </is>
      </c>
    </row>
    <row r="2846">
      <c r="A2846" s="2" t="inlineStr">
        <is>
          <t>Hidden Fates Booster Pack</t>
        </is>
      </c>
      <c r="B2846" s="3">
        <f>IF(H2846&lt;&gt;"",H2846,IF(I2846&lt;&gt;"",I2846,IF(J2846&lt;&gt;"",J2846,K2846)))</f>
        <v>47.99</v>
      </c>
      <c r="C2846" s="3">
        <f>MEDIAN(H2846:K2846)</f>
        <v>48.36</v>
      </c>
      <c r="D2846" s="3">
        <f>ROUND(C2846*(1-Settings!$B$2),2)</f>
        <v>33.85</v>
      </c>
      <c r="E2846" s="2" t="inlineStr">
        <is>
          <t>Pokemon</t>
        </is>
      </c>
      <c r="F2846" s="2" t="inlineStr">
        <is>
          <t>Pack</t>
        </is>
      </c>
      <c r="G2846" s="2" t="inlineStr">
        <is>
          <t>Hidden Fates</t>
        </is>
      </c>
      <c r="H2846" s="3" t="n">
        <v>47.99</v>
      </c>
      <c r="I2846" s="3" t="n">
        <v>49.15</v>
      </c>
      <c r="J2846" s="3" t="n">
        <v>48.73</v>
      </c>
      <c r="K2846" s="3" t="n">
        <v>45.67</v>
      </c>
      <c r="L2846" s="2" t="inlineStr">
        <is>
          <t>PriceCharting + TCGplayer</t>
        </is>
      </c>
      <c r="M2846" s="4" t="inlineStr">
        <is>
          <t>https://www.pricecharting.com/game/pokemon-hidden-fates/booster-pack</t>
        </is>
      </c>
      <c r="N2846" s="4" t="inlineStr">
        <is>
          <t>https://www.tcgplayer.com/product/198634</t>
        </is>
      </c>
    </row>
    <row r="2847">
      <c r="A2847" s="2" t="inlineStr">
        <is>
          <t>Hidden Legends Blister Pack</t>
        </is>
      </c>
      <c r="B2847" s="3">
        <f>IF(H2847&lt;&gt;"",H2847,IF(I2847&lt;&gt;"",I2847,IF(J2847&lt;&gt;"",J2847,K2847)))</f>
        <v>1050.0</v>
      </c>
      <c r="C2847" s="3">
        <f>MEDIAN(H2847:K2847)</f>
        <v>1050.0</v>
      </c>
      <c r="D2847" s="3">
        <f>ROUND(C2847*(1-Settings!$B$2),2)</f>
        <v>735.0</v>
      </c>
      <c r="E2847" s="2" t="inlineStr">
        <is>
          <t>Pokemon</t>
        </is>
      </c>
      <c r="F2847" s="2" t="inlineStr">
        <is>
          <t>Pack</t>
        </is>
      </c>
      <c r="G2847" s="2" t="inlineStr">
        <is>
          <t>Hidden Legends</t>
        </is>
      </c>
      <c r="H2847" s="3" t="n">
        <v>1050</v>
      </c>
      <c r="I2847" s="3" t="n"/>
      <c r="J2847" s="3" t="n"/>
      <c r="K2847" s="3" t="n"/>
      <c r="L2847" s="2" t="inlineStr">
        <is>
          <t>PriceCharting</t>
        </is>
      </c>
      <c r="M2847" s="4" t="inlineStr">
        <is>
          <t>https://www.pricecharting.com/game/pokemon-hidden-legends/blister-pack</t>
        </is>
      </c>
    </row>
    <row r="2848">
      <c r="A2848" s="2" t="inlineStr">
        <is>
          <t>Holon Phantoms Blister Pack</t>
        </is>
      </c>
      <c r="B2848" s="3">
        <f>IF(H2848&lt;&gt;"",H2848,IF(I2848&lt;&gt;"",I2848,IF(J2848&lt;&gt;"",J2848,K2848)))</f>
        <v>2897.0</v>
      </c>
      <c r="C2848" s="3">
        <f>MEDIAN(H2848:K2848)</f>
        <v>2897.0</v>
      </c>
      <c r="D2848" s="3">
        <f>ROUND(C2848*(1-Settings!$B$2),2)</f>
        <v>2027.9</v>
      </c>
      <c r="E2848" s="2" t="inlineStr">
        <is>
          <t>Pokemon</t>
        </is>
      </c>
      <c r="F2848" s="2" t="inlineStr">
        <is>
          <t>Pack</t>
        </is>
      </c>
      <c r="G2848" s="2" t="inlineStr">
        <is>
          <t>Holon Phantoms</t>
        </is>
      </c>
      <c r="H2848" s="3" t="n">
        <v>2897</v>
      </c>
      <c r="I2848" s="3" t="n"/>
      <c r="J2848" s="3" t="n"/>
      <c r="K2848" s="3" t="n"/>
      <c r="L2848" s="2" t="inlineStr">
        <is>
          <t>PriceCharting</t>
        </is>
      </c>
      <c r="M2848" s="4" t="inlineStr">
        <is>
          <t>https://www.pricecharting.com/game/pokemon-holon-phantoms/blister-pack</t>
        </is>
      </c>
    </row>
    <row r="2849">
      <c r="A2849" s="2" t="inlineStr">
        <is>
          <t>Holon Phantoms Booster Pack</t>
        </is>
      </c>
      <c r="B2849" s="3">
        <f>IF(H2849&lt;&gt;"",H2849,IF(I2849&lt;&gt;"",I2849,IF(J2849&lt;&gt;"",J2849,K2849)))</f>
        <v>1974.67</v>
      </c>
      <c r="C2849" s="3">
        <f>MEDIAN(H2849:K2849)</f>
        <v>1974.67</v>
      </c>
      <c r="D2849" s="3">
        <f>ROUND(C2849*(1-Settings!$B$2),2)</f>
        <v>1382.27</v>
      </c>
      <c r="E2849" s="2" t="inlineStr">
        <is>
          <t>Pokemon</t>
        </is>
      </c>
      <c r="F2849" s="2" t="inlineStr">
        <is>
          <t>Pack</t>
        </is>
      </c>
      <c r="G2849" s="2" t="inlineStr">
        <is>
          <t>Holon Phantoms</t>
        </is>
      </c>
      <c r="H2849" s="3" t="n">
        <v>1974.67</v>
      </c>
      <c r="I2849" s="3" t="n"/>
      <c r="J2849" s="3" t="n"/>
      <c r="K2849" s="3" t="n"/>
      <c r="L2849" s="2" t="inlineStr">
        <is>
          <t>PriceCharting</t>
        </is>
      </c>
      <c r="M2849" s="4" t="inlineStr">
        <is>
          <t>https://www.pricecharting.com/game/pokemon-holon-phantoms/booster-pack</t>
        </is>
      </c>
    </row>
    <row r="2850">
      <c r="A2850" s="2" t="inlineStr">
        <is>
          <t>Japanese 20th Anniversary Booster Pack</t>
        </is>
      </c>
      <c r="B2850" s="3">
        <f>IF(H2850&lt;&gt;"",H2850,IF(I2850&lt;&gt;"",I2850,IF(J2850&lt;&gt;"",J2850,K2850)))</f>
        <v>440.0</v>
      </c>
      <c r="C2850" s="3">
        <f>MEDIAN(H2850:K2850)</f>
        <v>440.0</v>
      </c>
      <c r="D2850" s="3">
        <f>ROUND(C2850*(1-Settings!$B$2),2)</f>
        <v>308.0</v>
      </c>
      <c r="E2850" s="2" t="inlineStr">
        <is>
          <t>Pokemon</t>
        </is>
      </c>
      <c r="F2850" s="2" t="inlineStr">
        <is>
          <t>Pack</t>
        </is>
      </c>
      <c r="G2850" s="2" t="inlineStr">
        <is>
          <t>Japanese 20th Anniversary</t>
        </is>
      </c>
      <c r="H2850" s="3" t="n">
        <v>440</v>
      </c>
      <c r="I2850" s="3" t="n"/>
      <c r="J2850" s="3" t="n"/>
      <c r="K2850" s="3" t="n"/>
      <c r="L2850" s="2" t="inlineStr">
        <is>
          <t>PriceCharting</t>
        </is>
      </c>
      <c r="M2850" s="4" t="inlineStr">
        <is>
          <t>https://www.pricecharting.com/game/pokemon-japanese-20th-anniversary/booster-pack</t>
        </is>
      </c>
    </row>
    <row r="2851">
      <c r="A2851" s="2" t="inlineStr">
        <is>
          <t>Japanese 25th Anniversary Collection Booster Pack</t>
        </is>
      </c>
      <c r="B2851" s="3">
        <f>IF(H2851&lt;&gt;"",H2851,IF(I2851&lt;&gt;"",I2851,IF(J2851&lt;&gt;"",J2851,K2851)))</f>
        <v>23.15</v>
      </c>
      <c r="C2851" s="3">
        <f>MEDIAN(H2851:K2851)</f>
        <v>23.15</v>
      </c>
      <c r="D2851" s="3">
        <f>ROUND(C2851*(1-Settings!$B$2),2)</f>
        <v>16.21</v>
      </c>
      <c r="E2851" s="2" t="inlineStr">
        <is>
          <t>Pokemon</t>
        </is>
      </c>
      <c r="F2851" s="2" t="inlineStr">
        <is>
          <t>Pack</t>
        </is>
      </c>
      <c r="G2851" s="2" t="inlineStr">
        <is>
          <t>Japanese 25th Anniversary Collection</t>
        </is>
      </c>
      <c r="H2851" s="3" t="n">
        <v>23.15</v>
      </c>
      <c r="I2851" s="3" t="n"/>
      <c r="J2851" s="3" t="n"/>
      <c r="K2851" s="3" t="n"/>
      <c r="L2851" s="2" t="inlineStr">
        <is>
          <t>PriceCharting</t>
        </is>
      </c>
      <c r="M2851" s="4" t="inlineStr">
        <is>
          <t>https://www.pricecharting.com/game/pokemon-japanese-25th-anniversary-collection/booster-pack</t>
        </is>
      </c>
    </row>
    <row r="2852">
      <c r="A2852" s="2" t="inlineStr">
        <is>
          <t>Japanese 25th Anniversary Promo Booster Pack</t>
        </is>
      </c>
      <c r="B2852" s="3">
        <f>IF(H2852&lt;&gt;"",H2852,IF(I2852&lt;&gt;"",I2852,IF(J2852&lt;&gt;"",J2852,K2852)))</f>
        <v>148.79</v>
      </c>
      <c r="C2852" s="3">
        <f>MEDIAN(H2852:K2852)</f>
        <v>148.79</v>
      </c>
      <c r="D2852" s="3">
        <f>ROUND(C2852*(1-Settings!$B$2),2)</f>
        <v>104.15</v>
      </c>
      <c r="E2852" s="2" t="inlineStr">
        <is>
          <t>Pokemon</t>
        </is>
      </c>
      <c r="F2852" s="2" t="inlineStr">
        <is>
          <t>Pack</t>
        </is>
      </c>
      <c r="G2852" s="2" t="inlineStr">
        <is>
          <t>Japanese 25th Anniversary Promo</t>
        </is>
      </c>
      <c r="H2852" s="3" t="n">
        <v>148.79</v>
      </c>
      <c r="I2852" s="3" t="n"/>
      <c r="J2852" s="3" t="n"/>
      <c r="K2852" s="3" t="n"/>
      <c r="L2852" s="2" t="inlineStr">
        <is>
          <t>PriceCharting</t>
        </is>
      </c>
      <c r="M2852" s="4" t="inlineStr">
        <is>
          <t>https://www.pricecharting.com/game/pokemon-japanese-25th-anniversary-promo/booster-pack</t>
        </is>
      </c>
    </row>
    <row r="2853">
      <c r="A2853" s="2" t="inlineStr">
        <is>
          <t>Japanese 30th Celebration Booster Pack</t>
        </is>
      </c>
      <c r="B2853" s="3">
        <f>IF(H2853&lt;&gt;"",H2853,IF(I2853&lt;&gt;"",I2853,IF(J2853&lt;&gt;"",J2853,K2853)))</f>
        <v>7.99</v>
      </c>
      <c r="C2853" s="3">
        <f>MEDIAN(H2853:K2853)</f>
        <v>7.99</v>
      </c>
      <c r="D2853" s="3">
        <f>ROUND(C2853*(1-Settings!$B$2),2)</f>
        <v>5.59</v>
      </c>
      <c r="E2853" s="2" t="inlineStr">
        <is>
          <t>Pokemon</t>
        </is>
      </c>
      <c r="F2853" s="2" t="inlineStr">
        <is>
          <t>Pack</t>
        </is>
      </c>
      <c r="G2853" s="2" t="inlineStr">
        <is>
          <t>Japanese 30th Celebration</t>
        </is>
      </c>
      <c r="H2853" s="3" t="n">
        <v>7.99</v>
      </c>
      <c r="I2853" s="3" t="n"/>
      <c r="J2853" s="3" t="n"/>
      <c r="K2853" s="3" t="n"/>
      <c r="L2853" s="2" t="inlineStr">
        <is>
          <t>PriceCharting</t>
        </is>
      </c>
      <c r="M2853" s="4" t="inlineStr">
        <is>
          <t>https://www.pricecharting.com/game/pokemon-japanese-30th-celebration/booster-pack</t>
        </is>
      </c>
    </row>
    <row r="2854">
      <c r="A2854" s="2" t="inlineStr">
        <is>
          <t>Japanese Abyss Eye Booster Pack</t>
        </is>
      </c>
      <c r="B2854" s="3">
        <f>IF(H2854&lt;&gt;"",H2854,IF(I2854&lt;&gt;"",I2854,IF(J2854&lt;&gt;"",J2854,K2854)))</f>
        <v>2.62</v>
      </c>
      <c r="C2854" s="3">
        <f>MEDIAN(H2854:K2854)</f>
        <v>2.62</v>
      </c>
      <c r="D2854" s="3">
        <f>ROUND(C2854*(1-Settings!$B$2),2)</f>
        <v>1.83</v>
      </c>
      <c r="E2854" s="2" t="inlineStr">
        <is>
          <t>Pokemon</t>
        </is>
      </c>
      <c r="F2854" s="2" t="inlineStr">
        <is>
          <t>Pack</t>
        </is>
      </c>
      <c r="G2854" s="2" t="inlineStr">
        <is>
          <t>Japanese Abyss Eye</t>
        </is>
      </c>
      <c r="H2854" s="3" t="n">
        <v>2.62</v>
      </c>
      <c r="I2854" s="3" t="n"/>
      <c r="J2854" s="3" t="n"/>
      <c r="K2854" s="3" t="n"/>
      <c r="L2854" s="2" t="inlineStr">
        <is>
          <t>PriceCharting</t>
        </is>
      </c>
      <c r="M2854" s="4" t="inlineStr">
        <is>
          <t>https://www.pricecharting.com/game/pokemon-japanese-abyss-eye/booster-pack</t>
        </is>
      </c>
    </row>
    <row r="2855">
      <c r="A2855" s="2" t="inlineStr">
        <is>
          <t>Japanese Advent Of Arceus Booster Pack</t>
        </is>
      </c>
      <c r="B2855" s="3">
        <f>IF(H2855&lt;&gt;"",H2855,IF(I2855&lt;&gt;"",I2855,IF(J2855&lt;&gt;"",J2855,K2855)))</f>
        <v>526.77</v>
      </c>
      <c r="C2855" s="3">
        <f>MEDIAN(H2855:K2855)</f>
        <v>526.77</v>
      </c>
      <c r="D2855" s="3">
        <f>ROUND(C2855*(1-Settings!$B$2),2)</f>
        <v>368.74</v>
      </c>
      <c r="E2855" s="2" t="inlineStr">
        <is>
          <t>Pokemon</t>
        </is>
      </c>
      <c r="F2855" s="2" t="inlineStr">
        <is>
          <t>Pack</t>
        </is>
      </c>
      <c r="G2855" s="2" t="inlineStr">
        <is>
          <t>Japanese Advent Of Arceus</t>
        </is>
      </c>
      <c r="H2855" s="3" t="n">
        <v>526.77</v>
      </c>
      <c r="I2855" s="3" t="n"/>
      <c r="J2855" s="3" t="n"/>
      <c r="K2855" s="3" t="n"/>
      <c r="L2855" s="2" t="inlineStr">
        <is>
          <t>PriceCharting</t>
        </is>
      </c>
      <c r="M2855" s="4" t="inlineStr">
        <is>
          <t>https://www.pricecharting.com/game/pokemon-japanese-advent-of-arceus/booster-pack</t>
        </is>
      </c>
    </row>
    <row r="2856">
      <c r="A2856" s="2" t="inlineStr">
        <is>
          <t>Japanese Alolan Moonlight Booster Pack</t>
        </is>
      </c>
      <c r="B2856" s="3">
        <f>IF(H2856&lt;&gt;"",H2856,IF(I2856&lt;&gt;"",I2856,IF(J2856&lt;&gt;"",J2856,K2856)))</f>
        <v>29.99</v>
      </c>
      <c r="C2856" s="3">
        <f>MEDIAN(H2856:K2856)</f>
        <v>29.99</v>
      </c>
      <c r="D2856" s="3">
        <f>ROUND(C2856*(1-Settings!$B$2),2)</f>
        <v>20.99</v>
      </c>
      <c r="E2856" s="2" t="inlineStr">
        <is>
          <t>Pokemon</t>
        </is>
      </c>
      <c r="F2856" s="2" t="inlineStr">
        <is>
          <t>Pack</t>
        </is>
      </c>
      <c r="G2856" s="2" t="inlineStr">
        <is>
          <t>Japanese Alolan Moonlight</t>
        </is>
      </c>
      <c r="H2856" s="3" t="n">
        <v>29.99</v>
      </c>
      <c r="I2856" s="3" t="n"/>
      <c r="J2856" s="3" t="n"/>
      <c r="K2856" s="3" t="n"/>
      <c r="L2856" s="2" t="inlineStr">
        <is>
          <t>PriceCharting</t>
        </is>
      </c>
      <c r="M2856" s="4" t="inlineStr">
        <is>
          <t>https://www.pricecharting.com/game/pokemon-japanese-alolan-moonlight/booster-pack</t>
        </is>
      </c>
    </row>
    <row r="2857">
      <c r="A2857" s="2" t="inlineStr">
        <is>
          <t>Japanese Alter Genesis Booster Pack</t>
        </is>
      </c>
      <c r="B2857" s="3">
        <f>IF(H2857&lt;&gt;"",H2857,IF(I2857&lt;&gt;"",I2857,IF(J2857&lt;&gt;"",J2857,K2857)))</f>
        <v>15.93</v>
      </c>
      <c r="C2857" s="3">
        <f>MEDIAN(H2857:K2857)</f>
        <v>15.93</v>
      </c>
      <c r="D2857" s="3">
        <f>ROUND(C2857*(1-Settings!$B$2),2)</f>
        <v>11.15</v>
      </c>
      <c r="E2857" s="2" t="inlineStr">
        <is>
          <t>Pokemon</t>
        </is>
      </c>
      <c r="F2857" s="2" t="inlineStr">
        <is>
          <t>Pack</t>
        </is>
      </c>
      <c r="G2857" s="2" t="inlineStr">
        <is>
          <t>Japanese Alter Genesis</t>
        </is>
      </c>
      <c r="H2857" s="3" t="n">
        <v>15.93</v>
      </c>
      <c r="I2857" s="3" t="n"/>
      <c r="J2857" s="3" t="n"/>
      <c r="K2857" s="3" t="n"/>
      <c r="L2857" s="2" t="inlineStr">
        <is>
          <t>PriceCharting</t>
        </is>
      </c>
      <c r="M2857" s="4" t="inlineStr">
        <is>
          <t>https://www.pricecharting.com/game/pokemon-japanese-alter-genesis/booster-pack</t>
        </is>
      </c>
    </row>
    <row r="2858">
      <c r="A2858" s="2" t="inlineStr">
        <is>
          <t>Japanese Amazing Volt Tackle Booster Pack</t>
        </is>
      </c>
      <c r="B2858" s="3">
        <f>IF(H2858&lt;&gt;"",H2858,IF(I2858&lt;&gt;"",I2858,IF(J2858&lt;&gt;"",J2858,K2858)))</f>
        <v>9.21</v>
      </c>
      <c r="C2858" s="3">
        <f>MEDIAN(H2858:K2858)</f>
        <v>9.21</v>
      </c>
      <c r="D2858" s="3">
        <f>ROUND(C2858*(1-Settings!$B$2),2)</f>
        <v>6.45</v>
      </c>
      <c r="E2858" s="2" t="inlineStr">
        <is>
          <t>Pokemon</t>
        </is>
      </c>
      <c r="F2858" s="2" t="inlineStr">
        <is>
          <t>Pack</t>
        </is>
      </c>
      <c r="G2858" s="2" t="inlineStr">
        <is>
          <t>Japanese Amazing Volt Tackle</t>
        </is>
      </c>
      <c r="H2858" s="3" t="n">
        <v>9.210000000000001</v>
      </c>
      <c r="I2858" s="3" t="n"/>
      <c r="J2858" s="3" t="n"/>
      <c r="K2858" s="3" t="n"/>
      <c r="L2858" s="2" t="inlineStr">
        <is>
          <t>PriceCharting</t>
        </is>
      </c>
      <c r="M2858" s="4" t="inlineStr">
        <is>
          <t>https://www.pricecharting.com/game/pokemon-japanese-amazing-volt-tackle/booster-pack</t>
        </is>
      </c>
    </row>
    <row r="2859">
      <c r="A2859" s="2" t="inlineStr">
        <is>
          <t>Japanese Ancient Roar Booster Pack</t>
        </is>
      </c>
      <c r="B2859" s="3">
        <f>IF(H2859&lt;&gt;"",H2859,IF(I2859&lt;&gt;"",I2859,IF(J2859&lt;&gt;"",J2859,K2859)))</f>
        <v>8.43</v>
      </c>
      <c r="C2859" s="3">
        <f>MEDIAN(H2859:K2859)</f>
        <v>8.43</v>
      </c>
      <c r="D2859" s="3">
        <f>ROUND(C2859*(1-Settings!$B$2),2)</f>
        <v>5.9</v>
      </c>
      <c r="E2859" s="2" t="inlineStr">
        <is>
          <t>Pokemon</t>
        </is>
      </c>
      <c r="F2859" s="2" t="inlineStr">
        <is>
          <t>Pack</t>
        </is>
      </c>
      <c r="G2859" s="2" t="inlineStr">
        <is>
          <t>Japanese Ancient Roar</t>
        </is>
      </c>
      <c r="H2859" s="3" t="n">
        <v>8.43</v>
      </c>
      <c r="I2859" s="3" t="n"/>
      <c r="J2859" s="3" t="n"/>
      <c r="K2859" s="3" t="n"/>
      <c r="L2859" s="2" t="inlineStr">
        <is>
          <t>PriceCharting</t>
        </is>
      </c>
      <c r="M2859" s="4" t="inlineStr">
        <is>
          <t>https://www.pricecharting.com/game/pokemon-japanese-ancient-roar/booster-pack</t>
        </is>
      </c>
    </row>
    <row r="2860">
      <c r="A2860" s="2" t="inlineStr">
        <is>
          <t>Japanese Awakening Legends Booster Pack</t>
        </is>
      </c>
      <c r="B2860" s="3">
        <f>IF(H2860&lt;&gt;"",H2860,IF(I2860&lt;&gt;"",I2860,IF(J2860&lt;&gt;"",J2860,K2860)))</f>
        <v>1699.5</v>
      </c>
      <c r="C2860" s="3">
        <f>MEDIAN(H2860:K2860)</f>
        <v>1699.5</v>
      </c>
      <c r="D2860" s="3">
        <f>ROUND(C2860*(1-Settings!$B$2),2)</f>
        <v>1189.65</v>
      </c>
      <c r="E2860" s="2" t="inlineStr">
        <is>
          <t>Pokemon</t>
        </is>
      </c>
      <c r="F2860" s="2" t="inlineStr">
        <is>
          <t>Pack</t>
        </is>
      </c>
      <c r="G2860" s="2" t="inlineStr">
        <is>
          <t>Japanese Awakening Legends</t>
        </is>
      </c>
      <c r="H2860" s="3" t="n">
        <v>1699.5</v>
      </c>
      <c r="I2860" s="3" t="n"/>
      <c r="J2860" s="3" t="n"/>
      <c r="K2860" s="3" t="n"/>
      <c r="L2860" s="2" t="inlineStr">
        <is>
          <t>PriceCharting</t>
        </is>
      </c>
      <c r="M2860" s="4" t="inlineStr">
        <is>
          <t>https://www.pricecharting.com/game/pokemon-japanese-awakening-legends/booster-pack</t>
        </is>
      </c>
    </row>
    <row r="2861">
      <c r="A2861" s="2" t="inlineStr">
        <is>
          <t>Japanese Bandit Ring Booster Pack</t>
        </is>
      </c>
      <c r="B2861" s="3">
        <f>IF(H2861&lt;&gt;"",H2861,IF(I2861&lt;&gt;"",I2861,IF(J2861&lt;&gt;"",J2861,K2861)))</f>
        <v>53.17</v>
      </c>
      <c r="C2861" s="3">
        <f>MEDIAN(H2861:K2861)</f>
        <v>53.17</v>
      </c>
      <c r="D2861" s="3">
        <f>ROUND(C2861*(1-Settings!$B$2),2)</f>
        <v>37.22</v>
      </c>
      <c r="E2861" s="2" t="inlineStr">
        <is>
          <t>Pokemon</t>
        </is>
      </c>
      <c r="F2861" s="2" t="inlineStr">
        <is>
          <t>Pack</t>
        </is>
      </c>
      <c r="G2861" s="2" t="inlineStr">
        <is>
          <t>Japanese Bandit Ring</t>
        </is>
      </c>
      <c r="H2861" s="3" t="n">
        <v>53.17</v>
      </c>
      <c r="I2861" s="3" t="n"/>
      <c r="J2861" s="3" t="n"/>
      <c r="K2861" s="3" t="n"/>
      <c r="L2861" s="2" t="inlineStr">
        <is>
          <t>PriceCharting</t>
        </is>
      </c>
      <c r="M2861" s="4" t="inlineStr">
        <is>
          <t>https://www.pricecharting.com/game/pokemon-japanese-bandit-ring/booster-pack</t>
        </is>
      </c>
    </row>
    <row r="2862">
      <c r="A2862" s="2" t="inlineStr">
        <is>
          <t>Japanese Battle Partners Booster Pack</t>
        </is>
      </c>
      <c r="B2862" s="3">
        <f>IF(H2862&lt;&gt;"",H2862,IF(I2862&lt;&gt;"",I2862,IF(J2862&lt;&gt;"",J2862,K2862)))</f>
        <v>7.94</v>
      </c>
      <c r="C2862" s="3">
        <f>MEDIAN(H2862:K2862)</f>
        <v>7.94</v>
      </c>
      <c r="D2862" s="3">
        <f>ROUND(C2862*(1-Settings!$B$2),2)</f>
        <v>5.56</v>
      </c>
      <c r="E2862" s="2" t="inlineStr">
        <is>
          <t>Pokemon</t>
        </is>
      </c>
      <c r="F2862" s="2" t="inlineStr">
        <is>
          <t>Pack</t>
        </is>
      </c>
      <c r="G2862" s="2" t="inlineStr">
        <is>
          <t>Japanese Battle Partners</t>
        </is>
      </c>
      <c r="H2862" s="3" t="n">
        <v>7.94</v>
      </c>
      <c r="I2862" s="3" t="n"/>
      <c r="J2862" s="3" t="n"/>
      <c r="K2862" s="3" t="n"/>
      <c r="L2862" s="2" t="inlineStr">
        <is>
          <t>PriceCharting</t>
        </is>
      </c>
      <c r="M2862" s="4" t="inlineStr">
        <is>
          <t>https://www.pricecharting.com/game/pokemon-japanese-battle-partners/booster-pack</t>
        </is>
      </c>
    </row>
    <row r="2863">
      <c r="A2863" s="2" t="inlineStr">
        <is>
          <t>Japanese Battle Region Booster Pack</t>
        </is>
      </c>
      <c r="B2863" s="3">
        <f>IF(H2863&lt;&gt;"",H2863,IF(I2863&lt;&gt;"",I2863,IF(J2863&lt;&gt;"",J2863,K2863)))</f>
        <v>9.41</v>
      </c>
      <c r="C2863" s="3">
        <f>MEDIAN(H2863:K2863)</f>
        <v>9.41</v>
      </c>
      <c r="D2863" s="3">
        <f>ROUND(C2863*(1-Settings!$B$2),2)</f>
        <v>6.59</v>
      </c>
      <c r="E2863" s="2" t="inlineStr">
        <is>
          <t>Pokemon</t>
        </is>
      </c>
      <c r="F2863" s="2" t="inlineStr">
        <is>
          <t>Pack</t>
        </is>
      </c>
      <c r="G2863" s="2" t="inlineStr">
        <is>
          <t>Japanese Battle Region</t>
        </is>
      </c>
      <c r="H2863" s="3" t="n">
        <v>9.41</v>
      </c>
      <c r="I2863" s="3" t="n"/>
      <c r="J2863" s="3" t="n"/>
      <c r="K2863" s="3" t="n"/>
      <c r="L2863" s="2" t="inlineStr">
        <is>
          <t>PriceCharting</t>
        </is>
      </c>
      <c r="M2863" s="4" t="inlineStr">
        <is>
          <t>https://www.pricecharting.com/game/pokemon-japanese-battle-region/booster-pack</t>
        </is>
      </c>
    </row>
    <row r="2864">
      <c r="A2864" s="2" t="inlineStr">
        <is>
          <t>Japanese Beat Of The Frontier Booster Pack</t>
        </is>
      </c>
      <c r="B2864" s="3">
        <f>IF(H2864&lt;&gt;"",H2864,IF(I2864&lt;&gt;"",I2864,IF(J2864&lt;&gt;"",J2864,K2864)))</f>
        <v>452.59</v>
      </c>
      <c r="C2864" s="3">
        <f>MEDIAN(H2864:K2864)</f>
        <v>452.59</v>
      </c>
      <c r="D2864" s="3">
        <f>ROUND(C2864*(1-Settings!$B$2),2)</f>
        <v>316.81</v>
      </c>
      <c r="E2864" s="2" t="inlineStr">
        <is>
          <t>Pokemon</t>
        </is>
      </c>
      <c r="F2864" s="2" t="inlineStr">
        <is>
          <t>Pack</t>
        </is>
      </c>
      <c r="G2864" s="2" t="inlineStr">
        <is>
          <t>Japanese Beat Of The Frontier</t>
        </is>
      </c>
      <c r="H2864" s="3" t="n">
        <v>452.59</v>
      </c>
      <c r="I2864" s="3" t="n"/>
      <c r="J2864" s="3" t="n"/>
      <c r="K2864" s="3" t="n"/>
      <c r="L2864" s="2" t="inlineStr">
        <is>
          <t>PriceCharting</t>
        </is>
      </c>
      <c r="M2864" s="4" t="inlineStr">
        <is>
          <t>https://www.pricecharting.com/game/pokemon-japanese-beat-of-the-frontier/booster-pack</t>
        </is>
      </c>
    </row>
    <row r="2865">
      <c r="A2865" s="2" t="inlineStr">
        <is>
          <t>Japanese Best Of Xy Booster Pack</t>
        </is>
      </c>
      <c r="B2865" s="3">
        <f>IF(H2865&lt;&gt;"",H2865,IF(I2865&lt;&gt;"",I2865,IF(J2865&lt;&gt;"",J2865,K2865)))</f>
        <v>300.0</v>
      </c>
      <c r="C2865" s="3">
        <f>MEDIAN(H2865:K2865)</f>
        <v>300.0</v>
      </c>
      <c r="D2865" s="3">
        <f>ROUND(C2865*(1-Settings!$B$2),2)</f>
        <v>210.0</v>
      </c>
      <c r="E2865" s="2" t="inlineStr">
        <is>
          <t>Pokemon</t>
        </is>
      </c>
      <c r="F2865" s="2" t="inlineStr">
        <is>
          <t>Pack</t>
        </is>
      </c>
      <c r="G2865" s="2" t="inlineStr">
        <is>
          <t>Japanese Best Of Xy</t>
        </is>
      </c>
      <c r="H2865" s="3" t="n">
        <v>300</v>
      </c>
      <c r="I2865" s="3" t="n"/>
      <c r="J2865" s="3" t="n"/>
      <c r="K2865" s="3" t="n"/>
      <c r="L2865" s="2" t="inlineStr">
        <is>
          <t>PriceCharting</t>
        </is>
      </c>
      <c r="M2865" s="4" t="inlineStr">
        <is>
          <t>https://www.pricecharting.com/game/pokemon-japanese-best-of-xy/booster-pack</t>
        </is>
      </c>
    </row>
    <row r="2866">
      <c r="A2866" s="2" t="inlineStr">
        <is>
          <t>Japanese Black Bolt Booster Pack</t>
        </is>
      </c>
      <c r="B2866" s="3">
        <f>IF(H2866&lt;&gt;"",H2866,IF(I2866&lt;&gt;"",I2866,IF(J2866&lt;&gt;"",J2866,K2866)))</f>
        <v>3.1</v>
      </c>
      <c r="C2866" s="3">
        <f>MEDIAN(H2866:K2866)</f>
        <v>3.1</v>
      </c>
      <c r="D2866" s="3">
        <f>ROUND(C2866*(1-Settings!$B$2),2)</f>
        <v>2.17</v>
      </c>
      <c r="E2866" s="2" t="inlineStr">
        <is>
          <t>Pokemon</t>
        </is>
      </c>
      <c r="F2866" s="2" t="inlineStr">
        <is>
          <t>Pack</t>
        </is>
      </c>
      <c r="G2866" s="2" t="inlineStr">
        <is>
          <t>Japanese Black Bolt</t>
        </is>
      </c>
      <c r="H2866" s="3" t="n">
        <v>3.1</v>
      </c>
      <c r="I2866" s="3" t="n"/>
      <c r="J2866" s="3" t="n"/>
      <c r="K2866" s="3" t="n"/>
      <c r="L2866" s="2" t="inlineStr">
        <is>
          <t>PriceCharting</t>
        </is>
      </c>
      <c r="M2866" s="4" t="inlineStr">
        <is>
          <t>https://www.pricecharting.com/game/pokemon-japanese-black-bolt/booster-pack</t>
        </is>
      </c>
    </row>
    <row r="2867">
      <c r="A2867" s="2" t="inlineStr">
        <is>
          <t>Japanese Black Bolt Deluxe Booster Pack</t>
        </is>
      </c>
      <c r="B2867" s="3">
        <f>IF(H2867&lt;&gt;"",H2867,IF(I2867&lt;&gt;"",I2867,IF(J2867&lt;&gt;"",J2867,K2867)))</f>
        <v>102.13</v>
      </c>
      <c r="C2867" s="3">
        <f>MEDIAN(H2867:K2867)</f>
        <v>102.13</v>
      </c>
      <c r="D2867" s="3">
        <f>ROUND(C2867*(1-Settings!$B$2),2)</f>
        <v>71.49</v>
      </c>
      <c r="E2867" s="2" t="inlineStr">
        <is>
          <t>Pokemon</t>
        </is>
      </c>
      <c r="F2867" s="2" t="inlineStr">
        <is>
          <t>Pack</t>
        </is>
      </c>
      <c r="G2867" s="2" t="inlineStr">
        <is>
          <t>Japanese Black Bolt</t>
        </is>
      </c>
      <c r="H2867" s="3" t="n">
        <v>102.13</v>
      </c>
      <c r="I2867" s="3" t="n"/>
      <c r="J2867" s="3" t="n"/>
      <c r="K2867" s="3" t="n"/>
      <c r="L2867" s="2" t="inlineStr">
        <is>
          <t>PriceCharting</t>
        </is>
      </c>
      <c r="M2867" s="4" t="inlineStr">
        <is>
          <t>https://www.pricecharting.com/game/pokemon-japanese-black-bolt/deluxe-booster-pack</t>
        </is>
      </c>
    </row>
    <row r="2868">
      <c r="A2868" s="2" t="inlineStr">
        <is>
          <t>Japanese Blue Sky Stream Booster Pack</t>
        </is>
      </c>
      <c r="B2868" s="3">
        <f>IF(H2868&lt;&gt;"",H2868,IF(I2868&lt;&gt;"",I2868,IF(J2868&lt;&gt;"",J2868,K2868)))</f>
        <v>13.6</v>
      </c>
      <c r="C2868" s="3">
        <f>MEDIAN(H2868:K2868)</f>
        <v>13.6</v>
      </c>
      <c r="D2868" s="3">
        <f>ROUND(C2868*(1-Settings!$B$2),2)</f>
        <v>9.52</v>
      </c>
      <c r="E2868" s="2" t="inlineStr">
        <is>
          <t>Pokemon</t>
        </is>
      </c>
      <c r="F2868" s="2" t="inlineStr">
        <is>
          <t>Pack</t>
        </is>
      </c>
      <c r="G2868" s="2" t="inlineStr">
        <is>
          <t>Japanese Blue Sky Stream</t>
        </is>
      </c>
      <c r="H2868" s="3" t="n">
        <v>13.6</v>
      </c>
      <c r="I2868" s="3" t="n"/>
      <c r="J2868" s="3" t="n"/>
      <c r="K2868" s="3" t="n"/>
      <c r="L2868" s="2" t="inlineStr">
        <is>
          <t>PriceCharting</t>
        </is>
      </c>
      <c r="M2868" s="4" t="inlineStr">
        <is>
          <t>https://www.pricecharting.com/game/pokemon-japanese-blue-sky-stream/booster-pack</t>
        </is>
      </c>
    </row>
    <row r="2869">
      <c r="A2869" s="2" t="inlineStr">
        <is>
          <t>Japanese Challenge From The Darkness Booster Pack</t>
        </is>
      </c>
      <c r="B2869" s="3">
        <f>IF(H2869&lt;&gt;"",H2869,IF(I2869&lt;&gt;"",I2869,IF(J2869&lt;&gt;"",J2869,K2869)))</f>
        <v>1063.0</v>
      </c>
      <c r="C2869" s="3">
        <f>MEDIAN(H2869:K2869)</f>
        <v>1063.0</v>
      </c>
      <c r="D2869" s="3">
        <f>ROUND(C2869*(1-Settings!$B$2),2)</f>
        <v>744.1</v>
      </c>
      <c r="E2869" s="2" t="inlineStr">
        <is>
          <t>Pokemon</t>
        </is>
      </c>
      <c r="F2869" s="2" t="inlineStr">
        <is>
          <t>Pack</t>
        </is>
      </c>
      <c r="G2869" s="2" t="inlineStr">
        <is>
          <t>Japanese Challenge From The Darkness</t>
        </is>
      </c>
      <c r="H2869" s="3" t="n">
        <v>1063</v>
      </c>
      <c r="I2869" s="3" t="n"/>
      <c r="J2869" s="3" t="n"/>
      <c r="K2869" s="3" t="n"/>
      <c r="L2869" s="2" t="inlineStr">
        <is>
          <t>PriceCharting</t>
        </is>
      </c>
      <c r="M2869" s="4" t="inlineStr">
        <is>
          <t>https://www.pricecharting.com/game/pokemon-japanese-challenge-from-the-darkness/booster-pack</t>
        </is>
      </c>
    </row>
    <row r="2870">
      <c r="A2870" s="2" t="inlineStr">
        <is>
          <t>Japanese Clay Burst Booster Pack</t>
        </is>
      </c>
      <c r="B2870" s="3">
        <f>IF(H2870&lt;&gt;"",H2870,IF(I2870&lt;&gt;"",I2870,IF(J2870&lt;&gt;"",J2870,K2870)))</f>
        <v>6.91</v>
      </c>
      <c r="C2870" s="3">
        <f>MEDIAN(H2870:K2870)</f>
        <v>6.91</v>
      </c>
      <c r="D2870" s="3">
        <f>ROUND(C2870*(1-Settings!$B$2),2)</f>
        <v>4.84</v>
      </c>
      <c r="E2870" s="2" t="inlineStr">
        <is>
          <t>Pokemon</t>
        </is>
      </c>
      <c r="F2870" s="2" t="inlineStr">
        <is>
          <t>Pack</t>
        </is>
      </c>
      <c r="G2870" s="2" t="inlineStr">
        <is>
          <t>Japanese Clay Burst</t>
        </is>
      </c>
      <c r="H2870" s="3" t="n">
        <v>6.91</v>
      </c>
      <c r="I2870" s="3" t="n"/>
      <c r="J2870" s="3" t="n"/>
      <c r="K2870" s="3" t="n"/>
      <c r="L2870" s="2" t="inlineStr">
        <is>
          <t>PriceCharting</t>
        </is>
      </c>
      <c r="M2870" s="4" t="inlineStr">
        <is>
          <t>https://www.pricecharting.com/game/pokemon-japanese-clay-burst/booster-pack</t>
        </is>
      </c>
    </row>
    <row r="2871">
      <c r="A2871" s="2" t="inlineStr">
        <is>
          <t>Japanese Crimson Haze Booster Pack</t>
        </is>
      </c>
      <c r="B2871" s="3">
        <f>IF(H2871&lt;&gt;"",H2871,IF(I2871&lt;&gt;"",I2871,IF(J2871&lt;&gt;"",J2871,K2871)))</f>
        <v>7.0</v>
      </c>
      <c r="C2871" s="3">
        <f>MEDIAN(H2871:K2871)</f>
        <v>7.0</v>
      </c>
      <c r="D2871" s="3">
        <f>ROUND(C2871*(1-Settings!$B$2),2)</f>
        <v>4.9</v>
      </c>
      <c r="E2871" s="2" t="inlineStr">
        <is>
          <t>Pokemon</t>
        </is>
      </c>
      <c r="F2871" s="2" t="inlineStr">
        <is>
          <t>Pack</t>
        </is>
      </c>
      <c r="G2871" s="2" t="inlineStr">
        <is>
          <t>Japanese Crimson Haze</t>
        </is>
      </c>
      <c r="H2871" s="3" t="n">
        <v>7</v>
      </c>
      <c r="I2871" s="3" t="n"/>
      <c r="J2871" s="3" t="n"/>
      <c r="K2871" s="3" t="n"/>
      <c r="L2871" s="2" t="inlineStr">
        <is>
          <t>PriceCharting</t>
        </is>
      </c>
      <c r="M2871" s="4" t="inlineStr">
        <is>
          <t>https://www.pricecharting.com/game/pokemon-japanese-crimson-haze/booster-pack</t>
        </is>
      </c>
    </row>
    <row r="2872">
      <c r="A2872" s="2" t="inlineStr">
        <is>
          <t>Japanese Crossing The Ruins Booster Pack</t>
        </is>
      </c>
      <c r="B2872" s="3">
        <f>IF(H2872&lt;&gt;"",H2872,IF(I2872&lt;&gt;"",I2872,IF(J2872&lt;&gt;"",J2872,K2872)))</f>
        <v>965.8</v>
      </c>
      <c r="C2872" s="3">
        <f>MEDIAN(H2872:K2872)</f>
        <v>965.8</v>
      </c>
      <c r="D2872" s="3">
        <f>ROUND(C2872*(1-Settings!$B$2),2)</f>
        <v>676.06</v>
      </c>
      <c r="E2872" s="2" t="inlineStr">
        <is>
          <t>Pokemon</t>
        </is>
      </c>
      <c r="F2872" s="2" t="inlineStr">
        <is>
          <t>Pack</t>
        </is>
      </c>
      <c r="G2872" s="2" t="inlineStr">
        <is>
          <t>Japanese Crossing The Ruins</t>
        </is>
      </c>
      <c r="H2872" s="3" t="n">
        <v>965.8</v>
      </c>
      <c r="I2872" s="3" t="n"/>
      <c r="J2872" s="3" t="n"/>
      <c r="K2872" s="3" t="n"/>
      <c r="L2872" s="2" t="inlineStr">
        <is>
          <t>PriceCharting</t>
        </is>
      </c>
      <c r="M2872" s="4" t="inlineStr">
        <is>
          <t>https://www.pricecharting.com/game/pokemon-japanese-crossing-the-ruins/booster-pack</t>
        </is>
      </c>
    </row>
    <row r="2873">
      <c r="A2873" s="2" t="inlineStr">
        <is>
          <t>Japanese Cyber Judge Booster Pack</t>
        </is>
      </c>
      <c r="B2873" s="3">
        <f>IF(H2873&lt;&gt;"",H2873,IF(I2873&lt;&gt;"",I2873,IF(J2873&lt;&gt;"",J2873,K2873)))</f>
        <v>5.0</v>
      </c>
      <c r="C2873" s="3">
        <f>MEDIAN(H2873:K2873)</f>
        <v>5.0</v>
      </c>
      <c r="D2873" s="3">
        <f>ROUND(C2873*(1-Settings!$B$2),2)</f>
        <v>3.5</v>
      </c>
      <c r="E2873" s="2" t="inlineStr">
        <is>
          <t>Pokemon</t>
        </is>
      </c>
      <c r="F2873" s="2" t="inlineStr">
        <is>
          <t>Pack</t>
        </is>
      </c>
      <c r="G2873" s="2" t="inlineStr">
        <is>
          <t>Japanese Cyber Judge</t>
        </is>
      </c>
      <c r="H2873" s="3" t="n">
        <v>5</v>
      </c>
      <c r="I2873" s="3" t="n"/>
      <c r="J2873" s="3" t="n"/>
      <c r="K2873" s="3" t="n"/>
      <c r="L2873" s="2" t="inlineStr">
        <is>
          <t>PriceCharting</t>
        </is>
      </c>
      <c r="M2873" s="4" t="inlineStr">
        <is>
          <t>https://www.pricecharting.com/game/pokemon-japanese-cyber-judge/booster-pack</t>
        </is>
      </c>
    </row>
    <row r="2874">
      <c r="A2874" s="2" t="inlineStr">
        <is>
          <t>Japanese Dark Phantasma Booster Pack</t>
        </is>
      </c>
      <c r="B2874" s="3">
        <f>IF(H2874&lt;&gt;"",H2874,IF(I2874&lt;&gt;"",I2874,IF(J2874&lt;&gt;"",J2874,K2874)))</f>
        <v>31.92</v>
      </c>
      <c r="C2874" s="3">
        <f>MEDIAN(H2874:K2874)</f>
        <v>31.92</v>
      </c>
      <c r="D2874" s="3">
        <f>ROUND(C2874*(1-Settings!$B$2),2)</f>
        <v>22.34</v>
      </c>
      <c r="E2874" s="2" t="inlineStr">
        <is>
          <t>Pokemon</t>
        </is>
      </c>
      <c r="F2874" s="2" t="inlineStr">
        <is>
          <t>Pack</t>
        </is>
      </c>
      <c r="G2874" s="2" t="inlineStr">
        <is>
          <t>Japanese Dark Phantasma</t>
        </is>
      </c>
      <c r="H2874" s="3" t="n">
        <v>31.92</v>
      </c>
      <c r="I2874" s="3" t="n"/>
      <c r="J2874" s="3" t="n"/>
      <c r="K2874" s="3" t="n"/>
      <c r="L2874" s="2" t="inlineStr">
        <is>
          <t>PriceCharting</t>
        </is>
      </c>
      <c r="M2874" s="4" t="inlineStr">
        <is>
          <t>https://www.pricecharting.com/game/pokemon-japanese-dark-phantasma/booster-pack</t>
        </is>
      </c>
    </row>
    <row r="2875">
      <c r="A2875" s="2" t="inlineStr">
        <is>
          <t>Japanese Darkness And To Light Booster Pack</t>
        </is>
      </c>
      <c r="B2875" s="3">
        <f>IF(H2875&lt;&gt;"",H2875,IF(I2875&lt;&gt;"",I2875,IF(J2875&lt;&gt;"",J2875,K2875)))</f>
        <v>2736.27</v>
      </c>
      <c r="C2875" s="3">
        <f>MEDIAN(H2875:K2875)</f>
        <v>2736.27</v>
      </c>
      <c r="D2875" s="3">
        <f>ROUND(C2875*(1-Settings!$B$2),2)</f>
        <v>1915.39</v>
      </c>
      <c r="E2875" s="2" t="inlineStr">
        <is>
          <t>Pokemon</t>
        </is>
      </c>
      <c r="F2875" s="2" t="inlineStr">
        <is>
          <t>Pack</t>
        </is>
      </c>
      <c r="G2875" s="2" t="inlineStr">
        <is>
          <t>Japanese Darkness And To Light</t>
        </is>
      </c>
      <c r="H2875" s="3" t="n">
        <v>2736.27</v>
      </c>
      <c r="I2875" s="3" t="n"/>
      <c r="J2875" s="3" t="n"/>
      <c r="K2875" s="3" t="n"/>
      <c r="L2875" s="2" t="inlineStr">
        <is>
          <t>PriceCharting</t>
        </is>
      </c>
      <c r="M2875" s="4" t="inlineStr">
        <is>
          <t>https://www.pricecharting.com/game/pokemon-japanese-darkness-and-to-light/booster-pack</t>
        </is>
      </c>
    </row>
    <row r="2876">
      <c r="A2876" s="2" t="inlineStr">
        <is>
          <t>Japanese Double Blaze Booster Pack</t>
        </is>
      </c>
      <c r="B2876" s="3">
        <f>IF(H2876&lt;&gt;"",H2876,IF(I2876&lt;&gt;"",I2876,IF(J2876&lt;&gt;"",J2876,K2876)))</f>
        <v>12.9</v>
      </c>
      <c r="C2876" s="3">
        <f>MEDIAN(H2876:K2876)</f>
        <v>12.9</v>
      </c>
      <c r="D2876" s="3">
        <f>ROUND(C2876*(1-Settings!$B$2),2)</f>
        <v>9.03</v>
      </c>
      <c r="E2876" s="2" t="inlineStr">
        <is>
          <t>Pokemon</t>
        </is>
      </c>
      <c r="F2876" s="2" t="inlineStr">
        <is>
          <t>Pack</t>
        </is>
      </c>
      <c r="G2876" s="2" t="inlineStr">
        <is>
          <t>Japanese Double Blaze</t>
        </is>
      </c>
      <c r="H2876" s="3" t="n">
        <v>12.9</v>
      </c>
      <c r="I2876" s="3" t="n"/>
      <c r="J2876" s="3" t="n"/>
      <c r="K2876" s="3" t="n"/>
      <c r="L2876" s="2" t="inlineStr">
        <is>
          <t>PriceCharting</t>
        </is>
      </c>
      <c r="M2876" s="4" t="inlineStr">
        <is>
          <t>https://www.pricecharting.com/game/pokemon-japanese-double-blaze/booster-pack</t>
        </is>
      </c>
    </row>
    <row r="2877">
      <c r="A2877" s="2" t="inlineStr">
        <is>
          <t>Japanese Dream League Booster Pack</t>
        </is>
      </c>
      <c r="B2877" s="3">
        <f>IF(H2877&lt;&gt;"",H2877,IF(I2877&lt;&gt;"",I2877,IF(J2877&lt;&gt;"",J2877,K2877)))</f>
        <v>140.53</v>
      </c>
      <c r="C2877" s="3">
        <f>MEDIAN(H2877:K2877)</f>
        <v>140.53</v>
      </c>
      <c r="D2877" s="3">
        <f>ROUND(C2877*(1-Settings!$B$2),2)</f>
        <v>98.37</v>
      </c>
      <c r="E2877" s="2" t="inlineStr">
        <is>
          <t>Pokemon</t>
        </is>
      </c>
      <c r="F2877" s="2" t="inlineStr">
        <is>
          <t>Pack</t>
        </is>
      </c>
      <c r="G2877" s="2" t="inlineStr">
        <is>
          <t>Japanese Dream League</t>
        </is>
      </c>
      <c r="H2877" s="3" t="n">
        <v>140.53</v>
      </c>
      <c r="I2877" s="3" t="n"/>
      <c r="J2877" s="3" t="n"/>
      <c r="K2877" s="3" t="n"/>
      <c r="L2877" s="2" t="inlineStr">
        <is>
          <t>PriceCharting</t>
        </is>
      </c>
      <c r="M2877" s="4" t="inlineStr">
        <is>
          <t>https://www.pricecharting.com/game/pokemon-japanese-dream-league/booster-pack</t>
        </is>
      </c>
    </row>
    <row r="2878">
      <c r="A2878" s="2" t="inlineStr">
        <is>
          <t>Japanese Eevee Heroes Booster Pack</t>
        </is>
      </c>
      <c r="B2878" s="3">
        <f>IF(H2878&lt;&gt;"",H2878,IF(I2878&lt;&gt;"",I2878,IF(J2878&lt;&gt;"",J2878,K2878)))</f>
        <v>85.0</v>
      </c>
      <c r="C2878" s="3">
        <f>MEDIAN(H2878:K2878)</f>
        <v>85.0</v>
      </c>
      <c r="D2878" s="3">
        <f>ROUND(C2878*(1-Settings!$B$2),2)</f>
        <v>59.5</v>
      </c>
      <c r="E2878" s="2" t="inlineStr">
        <is>
          <t>Pokemon</t>
        </is>
      </c>
      <c r="F2878" s="2" t="inlineStr">
        <is>
          <t>Pack</t>
        </is>
      </c>
      <c r="G2878" s="2" t="inlineStr">
        <is>
          <t>Japanese Eevee Heroes</t>
        </is>
      </c>
      <c r="H2878" s="3" t="n">
        <v>85</v>
      </c>
      <c r="I2878" s="3" t="n"/>
      <c r="J2878" s="3" t="n"/>
      <c r="K2878" s="3" t="n"/>
      <c r="L2878" s="2" t="inlineStr">
        <is>
          <t>PriceCharting</t>
        </is>
      </c>
      <c r="M2878" s="4" t="inlineStr">
        <is>
          <t>https://www.pricecharting.com/game/pokemon-japanese-eevee-heroes/booster-pack</t>
        </is>
      </c>
    </row>
    <row r="2879">
      <c r="A2879" s="2" t="inlineStr">
        <is>
          <t>Japanese Expansion Pack Booster Pack</t>
        </is>
      </c>
      <c r="B2879" s="3">
        <f>IF(H2879&lt;&gt;"",H2879,IF(I2879&lt;&gt;"",I2879,IF(J2879&lt;&gt;"",J2879,K2879)))</f>
        <v>1625.0</v>
      </c>
      <c r="C2879" s="3">
        <f>MEDIAN(H2879:K2879)</f>
        <v>1625.0</v>
      </c>
      <c r="D2879" s="3">
        <f>ROUND(C2879*(1-Settings!$B$2),2)</f>
        <v>1137.5</v>
      </c>
      <c r="E2879" s="2" t="inlineStr">
        <is>
          <t>Pokemon</t>
        </is>
      </c>
      <c r="F2879" s="2" t="inlineStr">
        <is>
          <t>Pack</t>
        </is>
      </c>
      <c r="G2879" s="2" t="inlineStr">
        <is>
          <t>Japanese Expansion Pack</t>
        </is>
      </c>
      <c r="H2879" s="3" t="n">
        <v>1625</v>
      </c>
      <c r="I2879" s="3" t="n"/>
      <c r="J2879" s="3" t="n"/>
      <c r="K2879" s="3" t="n"/>
      <c r="L2879" s="2" t="inlineStr">
        <is>
          <t>PriceCharting</t>
        </is>
      </c>
      <c r="M2879" s="4" t="inlineStr">
        <is>
          <t>https://www.pricecharting.com/game/pokemon-japanese-expansion-pack/booster-pack</t>
        </is>
      </c>
    </row>
    <row r="2880">
      <c r="A2880" s="2" t="inlineStr">
        <is>
          <t>Japanese Expansion Pack Booster Pack [Short]</t>
        </is>
      </c>
      <c r="B2880" s="3">
        <f>IF(H2880&lt;&gt;"",H2880,IF(I2880&lt;&gt;"",I2880,IF(J2880&lt;&gt;"",J2880,K2880)))</f>
        <v>1742.5</v>
      </c>
      <c r="C2880" s="3">
        <f>MEDIAN(H2880:K2880)</f>
        <v>1742.5</v>
      </c>
      <c r="D2880" s="3">
        <f>ROUND(C2880*(1-Settings!$B$2),2)</f>
        <v>1219.75</v>
      </c>
      <c r="E2880" s="2" t="inlineStr">
        <is>
          <t>Pokemon</t>
        </is>
      </c>
      <c r="F2880" s="2" t="inlineStr">
        <is>
          <t>Pack</t>
        </is>
      </c>
      <c r="G2880" s="2" t="inlineStr">
        <is>
          <t>Japanese Expansion Pack</t>
        </is>
      </c>
      <c r="H2880" s="3" t="n">
        <v>1742.5</v>
      </c>
      <c r="I2880" s="3" t="n"/>
      <c r="J2880" s="3" t="n"/>
      <c r="K2880" s="3" t="n"/>
      <c r="L2880" s="2" t="inlineStr">
        <is>
          <t>PriceCharting</t>
        </is>
      </c>
      <c r="M2880" s="4" t="inlineStr">
        <is>
          <t>https://www.pricecharting.com/game/pokemon-japanese-expansion-pack/booster-pack-short</t>
        </is>
      </c>
    </row>
    <row r="2881">
      <c r="A2881" s="2" t="inlineStr">
        <is>
          <t>Japanese Fusion Arts Booster Pack</t>
        </is>
      </c>
      <c r="B2881" s="3">
        <f>IF(H2881&lt;&gt;"",H2881,IF(I2881&lt;&gt;"",I2881,IF(J2881&lt;&gt;"",J2881,K2881)))</f>
        <v>8.8</v>
      </c>
      <c r="C2881" s="3">
        <f>MEDIAN(H2881:K2881)</f>
        <v>8.8</v>
      </c>
      <c r="D2881" s="3">
        <f>ROUND(C2881*(1-Settings!$B$2),2)</f>
        <v>6.16</v>
      </c>
      <c r="E2881" s="2" t="inlineStr">
        <is>
          <t>Pokemon</t>
        </is>
      </c>
      <c r="F2881" s="2" t="inlineStr">
        <is>
          <t>Pack</t>
        </is>
      </c>
      <c r="G2881" s="2" t="inlineStr">
        <is>
          <t>Japanese Fusion Arts</t>
        </is>
      </c>
      <c r="H2881" s="3" t="n">
        <v>8.800000000000001</v>
      </c>
      <c r="I2881" s="3" t="n"/>
      <c r="J2881" s="3" t="n"/>
      <c r="K2881" s="3" t="n"/>
      <c r="L2881" s="2" t="inlineStr">
        <is>
          <t>PriceCharting</t>
        </is>
      </c>
      <c r="M2881" s="4" t="inlineStr">
        <is>
          <t>https://www.pricecharting.com/game/pokemon-japanese-fusion-arts/booster-pack</t>
        </is>
      </c>
    </row>
    <row r="2882">
      <c r="A2882" s="2" t="inlineStr">
        <is>
          <t>Japanese Future Flash Booster Pack</t>
        </is>
      </c>
      <c r="B2882" s="3">
        <f>IF(H2882&lt;&gt;"",H2882,IF(I2882&lt;&gt;"",I2882,IF(J2882&lt;&gt;"",J2882,K2882)))</f>
        <v>5.0</v>
      </c>
      <c r="C2882" s="3">
        <f>MEDIAN(H2882:K2882)</f>
        <v>5.0</v>
      </c>
      <c r="D2882" s="3">
        <f>ROUND(C2882*(1-Settings!$B$2),2)</f>
        <v>3.5</v>
      </c>
      <c r="E2882" s="2" t="inlineStr">
        <is>
          <t>Pokemon</t>
        </is>
      </c>
      <c r="F2882" s="2" t="inlineStr">
        <is>
          <t>Pack</t>
        </is>
      </c>
      <c r="G2882" s="2" t="inlineStr">
        <is>
          <t>Japanese Future Flash</t>
        </is>
      </c>
      <c r="H2882" s="3" t="n">
        <v>5</v>
      </c>
      <c r="I2882" s="3" t="n"/>
      <c r="J2882" s="3" t="n"/>
      <c r="K2882" s="3" t="n"/>
      <c r="L2882" s="2" t="inlineStr">
        <is>
          <t>PriceCharting</t>
        </is>
      </c>
      <c r="M2882" s="4" t="inlineStr">
        <is>
          <t>https://www.pricecharting.com/game/pokemon-japanese-future-flash/booster-pack</t>
        </is>
      </c>
    </row>
    <row r="2883">
      <c r="A2883" s="2" t="inlineStr">
        <is>
          <t>Japanese Glory Of Team Rocket Booster Pack</t>
        </is>
      </c>
      <c r="B2883" s="3">
        <f>IF(H2883&lt;&gt;"",H2883,IF(I2883&lt;&gt;"",I2883,IF(J2883&lt;&gt;"",J2883,K2883)))</f>
        <v>5.63</v>
      </c>
      <c r="C2883" s="3">
        <f>MEDIAN(H2883:K2883)</f>
        <v>5.63</v>
      </c>
      <c r="D2883" s="3">
        <f>ROUND(C2883*(1-Settings!$B$2),2)</f>
        <v>3.94</v>
      </c>
      <c r="E2883" s="2" t="inlineStr">
        <is>
          <t>Pokemon</t>
        </is>
      </c>
      <c r="F2883" s="2" t="inlineStr">
        <is>
          <t>Pack</t>
        </is>
      </c>
      <c r="G2883" s="2" t="inlineStr">
        <is>
          <t>Japanese Glory Of Team Rocket</t>
        </is>
      </c>
      <c r="H2883" s="3" t="n">
        <v>5.63</v>
      </c>
      <c r="I2883" s="3" t="n"/>
      <c r="J2883" s="3" t="n"/>
      <c r="K2883" s="3" t="n"/>
      <c r="L2883" s="2" t="inlineStr">
        <is>
          <t>PriceCharting</t>
        </is>
      </c>
      <c r="M2883" s="4" t="inlineStr">
        <is>
          <t>https://www.pricecharting.com/game/pokemon-japanese-glory-of-team-rocket/booster-pack</t>
        </is>
      </c>
    </row>
    <row r="2884">
      <c r="A2884" s="2" t="inlineStr">
        <is>
          <t>Japanese Go Booster Pack</t>
        </is>
      </c>
      <c r="B2884" s="3">
        <f>IF(H2884&lt;&gt;"",H2884,IF(I2884&lt;&gt;"",I2884,IF(J2884&lt;&gt;"",J2884,K2884)))</f>
        <v>8.02</v>
      </c>
      <c r="C2884" s="3">
        <f>MEDIAN(H2884:K2884)</f>
        <v>8.02</v>
      </c>
      <c r="D2884" s="3">
        <f>ROUND(C2884*(1-Settings!$B$2),2)</f>
        <v>5.61</v>
      </c>
      <c r="E2884" s="2" t="inlineStr">
        <is>
          <t>Pokemon</t>
        </is>
      </c>
      <c r="F2884" s="2" t="inlineStr">
        <is>
          <t>Pack</t>
        </is>
      </c>
      <c r="G2884" s="2" t="inlineStr">
        <is>
          <t>Japanese Go</t>
        </is>
      </c>
      <c r="H2884" s="3" t="n">
        <v>8.02</v>
      </c>
      <c r="I2884" s="3" t="n"/>
      <c r="J2884" s="3" t="n"/>
      <c r="K2884" s="3" t="n"/>
      <c r="L2884" s="2" t="inlineStr">
        <is>
          <t>PriceCharting</t>
        </is>
      </c>
      <c r="M2884" s="4" t="inlineStr">
        <is>
          <t>https://www.pricecharting.com/game/pokemon-japanese-go/booster-pack</t>
        </is>
      </c>
    </row>
    <row r="2885">
      <c r="A2885" s="2" t="inlineStr">
        <is>
          <t>Japanese Go Sealed 1 Card Pack</t>
        </is>
      </c>
      <c r="B2885" s="3">
        <f>IF(H2885&lt;&gt;"",H2885,IF(I2885&lt;&gt;"",I2885,IF(J2885&lt;&gt;"",J2885,K2885)))</f>
        <v>4.84</v>
      </c>
      <c r="C2885" s="3">
        <f>MEDIAN(H2885:K2885)</f>
        <v>4.84</v>
      </c>
      <c r="D2885" s="3">
        <f>ROUND(C2885*(1-Settings!$B$2),2)</f>
        <v>3.39</v>
      </c>
      <c r="E2885" s="2" t="inlineStr">
        <is>
          <t>Pokemon</t>
        </is>
      </c>
      <c r="F2885" s="2" t="inlineStr">
        <is>
          <t>Pack</t>
        </is>
      </c>
      <c r="G2885" s="2" t="inlineStr">
        <is>
          <t>Japanese Go</t>
        </is>
      </c>
      <c r="H2885" s="3" t="n">
        <v>4.84</v>
      </c>
      <c r="I2885" s="3" t="n"/>
      <c r="J2885" s="3" t="n"/>
      <c r="K2885" s="3" t="n"/>
      <c r="L2885" s="2" t="inlineStr">
        <is>
          <t>PriceCharting</t>
        </is>
      </c>
      <c r="M2885" s="4" t="inlineStr">
        <is>
          <t>https://www.pricecharting.com/game/pokemon-japanese-go/sealed-1-card-pack</t>
        </is>
      </c>
    </row>
    <row r="2886">
      <c r="A2886" s="2" t="inlineStr">
        <is>
          <t>Japanese Gold Silver New World Booster Pack</t>
        </is>
      </c>
      <c r="B2886" s="3">
        <f>IF(H2886&lt;&gt;"",H2886,IF(I2886&lt;&gt;"",I2886,IF(J2886&lt;&gt;"",J2886,K2886)))</f>
        <v>970.33</v>
      </c>
      <c r="C2886" s="3">
        <f>MEDIAN(H2886:K2886)</f>
        <v>970.33</v>
      </c>
      <c r="D2886" s="3">
        <f>ROUND(C2886*(1-Settings!$B$2),2)</f>
        <v>679.23</v>
      </c>
      <c r="E2886" s="2" t="inlineStr">
        <is>
          <t>Pokemon</t>
        </is>
      </c>
      <c r="F2886" s="2" t="inlineStr">
        <is>
          <t>Pack</t>
        </is>
      </c>
      <c r="G2886" s="2" t="inlineStr">
        <is>
          <t>Japanese Gold Silver New World</t>
        </is>
      </c>
      <c r="H2886" s="3" t="n">
        <v>970.33</v>
      </c>
      <c r="I2886" s="3" t="n"/>
      <c r="J2886" s="3" t="n"/>
      <c r="K2886" s="3" t="n"/>
      <c r="L2886" s="2" t="inlineStr">
        <is>
          <t>PriceCharting</t>
        </is>
      </c>
      <c r="M2886" s="4" t="inlineStr">
        <is>
          <t>https://www.pricecharting.com/game/pokemon-japanese-gold-silver-new-world/booster-pack</t>
        </is>
      </c>
    </row>
    <row r="2887">
      <c r="A2887" s="2" t="inlineStr">
        <is>
          <t>Japanese Gx Battle Boost Booster Pack</t>
        </is>
      </c>
      <c r="B2887" s="3">
        <f>IF(H2887&lt;&gt;"",H2887,IF(I2887&lt;&gt;"",I2887,IF(J2887&lt;&gt;"",J2887,K2887)))</f>
        <v>196.05</v>
      </c>
      <c r="C2887" s="3">
        <f>MEDIAN(H2887:K2887)</f>
        <v>196.05</v>
      </c>
      <c r="D2887" s="3">
        <f>ROUND(C2887*(1-Settings!$B$2),2)</f>
        <v>137.24</v>
      </c>
      <c r="E2887" s="2" t="inlineStr">
        <is>
          <t>Pokemon</t>
        </is>
      </c>
      <c r="F2887" s="2" t="inlineStr">
        <is>
          <t>Pack</t>
        </is>
      </c>
      <c r="G2887" s="2" t="inlineStr">
        <is>
          <t>Japanese Gx Battle Boost</t>
        </is>
      </c>
      <c r="H2887" s="3" t="n">
        <v>196.05</v>
      </c>
      <c r="I2887" s="3" t="n"/>
      <c r="J2887" s="3" t="n"/>
      <c r="K2887" s="3" t="n"/>
      <c r="L2887" s="2" t="inlineStr">
        <is>
          <t>PriceCharting</t>
        </is>
      </c>
      <c r="M2887" s="4" t="inlineStr">
        <is>
          <t>https://www.pricecharting.com/game/pokemon-japanese-gx-battle-boost/booster-pack</t>
        </is>
      </c>
    </row>
    <row r="2888">
      <c r="A2888" s="2" t="inlineStr">
        <is>
          <t>Japanese Gx Ultra Shiny Booster Pack</t>
        </is>
      </c>
      <c r="B2888" s="3">
        <f>IF(H2888&lt;&gt;"",H2888,IF(I2888&lt;&gt;"",I2888,IF(J2888&lt;&gt;"",J2888,K2888)))</f>
        <v>197.49</v>
      </c>
      <c r="C2888" s="3">
        <f>MEDIAN(H2888:K2888)</f>
        <v>197.49</v>
      </c>
      <c r="D2888" s="3">
        <f>ROUND(C2888*(1-Settings!$B$2),2)</f>
        <v>138.24</v>
      </c>
      <c r="E2888" s="2" t="inlineStr">
        <is>
          <t>Pokemon</t>
        </is>
      </c>
      <c r="F2888" s="2" t="inlineStr">
        <is>
          <t>Pack</t>
        </is>
      </c>
      <c r="G2888" s="2" t="inlineStr">
        <is>
          <t>Japanese Gx Ultra Shiny</t>
        </is>
      </c>
      <c r="H2888" s="3" t="n">
        <v>197.49</v>
      </c>
      <c r="I2888" s="3" t="n"/>
      <c r="J2888" s="3" t="n"/>
      <c r="K2888" s="3" t="n"/>
      <c r="L2888" s="2" t="inlineStr">
        <is>
          <t>PriceCharting</t>
        </is>
      </c>
      <c r="M2888" s="4" t="inlineStr">
        <is>
          <t>https://www.pricecharting.com/game/pokemon-japanese-gx-ultra-shiny/booster-pack</t>
        </is>
      </c>
    </row>
    <row r="2889">
      <c r="A2889" s="2" t="inlineStr">
        <is>
          <t>Japanese Heat Wave Arena Booster Pack</t>
        </is>
      </c>
      <c r="B2889" s="3">
        <f>IF(H2889&lt;&gt;"",H2889,IF(I2889&lt;&gt;"",I2889,IF(J2889&lt;&gt;"",J2889,K2889)))</f>
        <v>15.3</v>
      </c>
      <c r="C2889" s="3">
        <f>MEDIAN(H2889:K2889)</f>
        <v>15.3</v>
      </c>
      <c r="D2889" s="3">
        <f>ROUND(C2889*(1-Settings!$B$2),2)</f>
        <v>10.71</v>
      </c>
      <c r="E2889" s="2" t="inlineStr">
        <is>
          <t>Pokemon</t>
        </is>
      </c>
      <c r="F2889" s="2" t="inlineStr">
        <is>
          <t>Pack</t>
        </is>
      </c>
      <c r="G2889" s="2" t="inlineStr">
        <is>
          <t>Japanese Heat Wave Arena</t>
        </is>
      </c>
      <c r="H2889" s="3" t="n">
        <v>15.3</v>
      </c>
      <c r="I2889" s="3" t="n"/>
      <c r="J2889" s="3" t="n"/>
      <c r="K2889" s="3" t="n"/>
      <c r="L2889" s="2" t="inlineStr">
        <is>
          <t>PriceCharting</t>
        </is>
      </c>
      <c r="M2889" s="4" t="inlineStr">
        <is>
          <t>https://www.pricecharting.com/game/pokemon-japanese-heat-wave-arena/booster-pack</t>
        </is>
      </c>
    </row>
    <row r="2890">
      <c r="A2890" s="2" t="inlineStr">
        <is>
          <t>Japanese Incandescent Arcana Booster Pack</t>
        </is>
      </c>
      <c r="B2890" s="3">
        <f>IF(H2890&lt;&gt;"",H2890,IF(I2890&lt;&gt;"",I2890,IF(J2890&lt;&gt;"",J2890,K2890)))</f>
        <v>7.92</v>
      </c>
      <c r="C2890" s="3">
        <f>MEDIAN(H2890:K2890)</f>
        <v>7.92</v>
      </c>
      <c r="D2890" s="3">
        <f>ROUND(C2890*(1-Settings!$B$2),2)</f>
        <v>5.54</v>
      </c>
      <c r="E2890" s="2" t="inlineStr">
        <is>
          <t>Pokemon</t>
        </is>
      </c>
      <c r="F2890" s="2" t="inlineStr">
        <is>
          <t>Pack</t>
        </is>
      </c>
      <c r="G2890" s="2" t="inlineStr">
        <is>
          <t>Japanese Incandescent Arcana</t>
        </is>
      </c>
      <c r="H2890" s="3" t="n">
        <v>7.92</v>
      </c>
      <c r="I2890" s="3" t="n"/>
      <c r="J2890" s="3" t="n"/>
      <c r="K2890" s="3" t="n"/>
      <c r="L2890" s="2" t="inlineStr">
        <is>
          <t>PriceCharting</t>
        </is>
      </c>
      <c r="M2890" s="4" t="inlineStr">
        <is>
          <t>https://www.pricecharting.com/game/pokemon-japanese-incandescent-arcana/booster-pack</t>
        </is>
      </c>
    </row>
    <row r="2891">
      <c r="A2891" s="2" t="inlineStr">
        <is>
          <t>Japanese Inferno X Booster Pack</t>
        </is>
      </c>
      <c r="B2891" s="3">
        <f>IF(H2891&lt;&gt;"",H2891,IF(I2891&lt;&gt;"",I2891,IF(J2891&lt;&gt;"",J2891,K2891)))</f>
        <v>13.37</v>
      </c>
      <c r="C2891" s="3">
        <f>MEDIAN(H2891:K2891)</f>
        <v>13.37</v>
      </c>
      <c r="D2891" s="3">
        <f>ROUND(C2891*(1-Settings!$B$2),2)</f>
        <v>9.36</v>
      </c>
      <c r="E2891" s="2" t="inlineStr">
        <is>
          <t>Pokemon</t>
        </is>
      </c>
      <c r="F2891" s="2" t="inlineStr">
        <is>
          <t>Pack</t>
        </is>
      </c>
      <c r="G2891" s="2" t="inlineStr">
        <is>
          <t>Japanese Inferno X</t>
        </is>
      </c>
      <c r="H2891" s="3" t="n">
        <v>13.37</v>
      </c>
      <c r="I2891" s="3" t="n"/>
      <c r="J2891" s="3" t="n"/>
      <c r="K2891" s="3" t="n"/>
      <c r="L2891" s="2" t="inlineStr">
        <is>
          <t>PriceCharting</t>
        </is>
      </c>
      <c r="M2891" s="4" t="inlineStr">
        <is>
          <t>https://www.pricecharting.com/game/pokemon-japanese-inferno-x/booster-pack</t>
        </is>
      </c>
    </row>
    <row r="2892">
      <c r="A2892" s="2" t="inlineStr">
        <is>
          <t>Japanese Jungle Booster Pack</t>
        </is>
      </c>
      <c r="B2892" s="3">
        <f>IF(H2892&lt;&gt;"",H2892,IF(I2892&lt;&gt;"",I2892,IF(J2892&lt;&gt;"",J2892,K2892)))</f>
        <v>721.0</v>
      </c>
      <c r="C2892" s="3">
        <f>MEDIAN(H2892:K2892)</f>
        <v>721.0</v>
      </c>
      <c r="D2892" s="3">
        <f>ROUND(C2892*(1-Settings!$B$2),2)</f>
        <v>504.7</v>
      </c>
      <c r="E2892" s="2" t="inlineStr">
        <is>
          <t>Pokemon</t>
        </is>
      </c>
      <c r="F2892" s="2" t="inlineStr">
        <is>
          <t>Pack</t>
        </is>
      </c>
      <c r="G2892" s="2" t="inlineStr">
        <is>
          <t>Japanese Jungle</t>
        </is>
      </c>
      <c r="H2892" s="3" t="n">
        <v>721</v>
      </c>
      <c r="I2892" s="3" t="n"/>
      <c r="J2892" s="3" t="n"/>
      <c r="K2892" s="3" t="n"/>
      <c r="L2892" s="2" t="inlineStr">
        <is>
          <t>PriceCharting</t>
        </is>
      </c>
      <c r="M2892" s="4" t="inlineStr">
        <is>
          <t>https://www.pricecharting.com/game/pokemon-japanese-jungle/booster-pack</t>
        </is>
      </c>
    </row>
    <row r="2893">
      <c r="A2893" s="2" t="inlineStr">
        <is>
          <t>Japanese Legendary Shine Collection Booster Pack</t>
        </is>
      </c>
      <c r="B2893" s="3">
        <f>IF(H2893&lt;&gt;"",H2893,IF(I2893&lt;&gt;"",I2893,IF(J2893&lt;&gt;"",J2893,K2893)))</f>
        <v>260.34</v>
      </c>
      <c r="C2893" s="3">
        <f>MEDIAN(H2893:K2893)</f>
        <v>260.34</v>
      </c>
      <c r="D2893" s="3">
        <f>ROUND(C2893*(1-Settings!$B$2),2)</f>
        <v>182.24</v>
      </c>
      <c r="E2893" s="2" t="inlineStr">
        <is>
          <t>Pokemon</t>
        </is>
      </c>
      <c r="F2893" s="2" t="inlineStr">
        <is>
          <t>Pack</t>
        </is>
      </c>
      <c r="G2893" s="2" t="inlineStr">
        <is>
          <t>Japanese Legendary Shine Collection</t>
        </is>
      </c>
      <c r="H2893" s="3" t="n">
        <v>260.34</v>
      </c>
      <c r="I2893" s="3" t="n"/>
      <c r="J2893" s="3" t="n"/>
      <c r="K2893" s="3" t="n"/>
      <c r="L2893" s="2" t="inlineStr">
        <is>
          <t>PriceCharting</t>
        </is>
      </c>
      <c r="M2893" s="4" t="inlineStr">
        <is>
          <t>https://www.pricecharting.com/game/pokemon-japanese-legendary-shine-collection/booster-pack</t>
        </is>
      </c>
    </row>
    <row r="2894">
      <c r="A2894" s="2" t="inlineStr">
        <is>
          <t>Japanese Lost Abyss Booster Pack</t>
        </is>
      </c>
      <c r="B2894" s="3">
        <f>IF(H2894&lt;&gt;"",H2894,IF(I2894&lt;&gt;"",I2894,IF(J2894&lt;&gt;"",J2894,K2894)))</f>
        <v>22.76</v>
      </c>
      <c r="C2894" s="3">
        <f>MEDIAN(H2894:K2894)</f>
        <v>22.76</v>
      </c>
      <c r="D2894" s="3">
        <f>ROUND(C2894*(1-Settings!$B$2),2)</f>
        <v>15.93</v>
      </c>
      <c r="E2894" s="2" t="inlineStr">
        <is>
          <t>Pokemon</t>
        </is>
      </c>
      <c r="F2894" s="2" t="inlineStr">
        <is>
          <t>Pack</t>
        </is>
      </c>
      <c r="G2894" s="2" t="inlineStr">
        <is>
          <t>Japanese Lost Abyss</t>
        </is>
      </c>
      <c r="H2894" s="3" t="n">
        <v>22.76</v>
      </c>
      <c r="I2894" s="3" t="n"/>
      <c r="J2894" s="3" t="n"/>
      <c r="K2894" s="3" t="n"/>
      <c r="L2894" s="2" t="inlineStr">
        <is>
          <t>PriceCharting</t>
        </is>
      </c>
      <c r="M2894" s="4" t="inlineStr">
        <is>
          <t>https://www.pricecharting.com/game/pokemon-japanese-lost-abyss/booster-pack</t>
        </is>
      </c>
    </row>
    <row r="2895">
      <c r="A2895" s="2" t="inlineStr">
        <is>
          <t>Japanese Mask Of Change Booster Pack</t>
        </is>
      </c>
      <c r="B2895" s="3">
        <f>IF(H2895&lt;&gt;"",H2895,IF(I2895&lt;&gt;"",I2895,IF(J2895&lt;&gt;"",J2895,K2895)))</f>
        <v>5.55</v>
      </c>
      <c r="C2895" s="3">
        <f>MEDIAN(H2895:K2895)</f>
        <v>5.55</v>
      </c>
      <c r="D2895" s="3">
        <f>ROUND(C2895*(1-Settings!$B$2),2)</f>
        <v>3.89</v>
      </c>
      <c r="E2895" s="2" t="inlineStr">
        <is>
          <t>Pokemon</t>
        </is>
      </c>
      <c r="F2895" s="2" t="inlineStr">
        <is>
          <t>Pack</t>
        </is>
      </c>
      <c r="G2895" s="2" t="inlineStr">
        <is>
          <t>Japanese Mask Of Change</t>
        </is>
      </c>
      <c r="H2895" s="3" t="n">
        <v>5.55</v>
      </c>
      <c r="I2895" s="3" t="n"/>
      <c r="J2895" s="3" t="n"/>
      <c r="K2895" s="3" t="n"/>
      <c r="L2895" s="2" t="inlineStr">
        <is>
          <t>PriceCharting</t>
        </is>
      </c>
      <c r="M2895" s="4" t="inlineStr">
        <is>
          <t>https://www.pricecharting.com/game/pokemon-japanese-mask-of-change/booster-pack</t>
        </is>
      </c>
    </row>
    <row r="2896">
      <c r="A2896" s="2" t="inlineStr">
        <is>
          <t>Japanese Mega Brave Booster Pack</t>
        </is>
      </c>
      <c r="B2896" s="3">
        <f>IF(H2896&lt;&gt;"",H2896,IF(I2896&lt;&gt;"",I2896,IF(J2896&lt;&gt;"",J2896,K2896)))</f>
        <v>2.49</v>
      </c>
      <c r="C2896" s="3">
        <f>MEDIAN(H2896:K2896)</f>
        <v>2.49</v>
      </c>
      <c r="D2896" s="3">
        <f>ROUND(C2896*(1-Settings!$B$2),2)</f>
        <v>1.74</v>
      </c>
      <c r="E2896" s="2" t="inlineStr">
        <is>
          <t>Pokemon</t>
        </is>
      </c>
      <c r="F2896" s="2" t="inlineStr">
        <is>
          <t>Pack</t>
        </is>
      </c>
      <c r="G2896" s="2" t="inlineStr">
        <is>
          <t>Japanese Mega Brave</t>
        </is>
      </c>
      <c r="H2896" s="3" t="n">
        <v>2.49</v>
      </c>
      <c r="I2896" s="3" t="n"/>
      <c r="J2896" s="3" t="n"/>
      <c r="K2896" s="3" t="n"/>
      <c r="L2896" s="2" t="inlineStr">
        <is>
          <t>PriceCharting</t>
        </is>
      </c>
      <c r="M2896" s="4" t="inlineStr">
        <is>
          <t>https://www.pricecharting.com/game/pokemon-japanese-mega-brave/booster-pack</t>
        </is>
      </c>
    </row>
    <row r="2897">
      <c r="A2897" s="2" t="inlineStr">
        <is>
          <t>Japanese Mega Dream Ex Booster Pack</t>
        </is>
      </c>
      <c r="B2897" s="3">
        <f>IF(H2897&lt;&gt;"",H2897,IF(I2897&lt;&gt;"",I2897,IF(J2897&lt;&gt;"",J2897,K2897)))</f>
        <v>13.67</v>
      </c>
      <c r="C2897" s="3">
        <f>MEDIAN(H2897:K2897)</f>
        <v>13.67</v>
      </c>
      <c r="D2897" s="3">
        <f>ROUND(C2897*(1-Settings!$B$2),2)</f>
        <v>9.57</v>
      </c>
      <c r="E2897" s="2" t="inlineStr">
        <is>
          <t>Pokemon</t>
        </is>
      </c>
      <c r="F2897" s="2" t="inlineStr">
        <is>
          <t>Pack</t>
        </is>
      </c>
      <c r="G2897" s="2" t="inlineStr">
        <is>
          <t>Japanese Mega Dream Ex</t>
        </is>
      </c>
      <c r="H2897" s="3" t="n">
        <v>13.67</v>
      </c>
      <c r="I2897" s="3" t="n"/>
      <c r="J2897" s="3" t="n"/>
      <c r="K2897" s="3" t="n"/>
      <c r="L2897" s="2" t="inlineStr">
        <is>
          <t>PriceCharting</t>
        </is>
      </c>
      <c r="M2897" s="4" t="inlineStr">
        <is>
          <t>https://www.pricecharting.com/game/pokemon-japanese-mega-dream-ex/booster-pack</t>
        </is>
      </c>
    </row>
    <row r="2898">
      <c r="A2898" s="2" t="inlineStr">
        <is>
          <t>Japanese Mega Symphonia Booster Pack</t>
        </is>
      </c>
      <c r="B2898" s="3">
        <f>IF(H2898&lt;&gt;"",H2898,IF(I2898&lt;&gt;"",I2898,IF(J2898&lt;&gt;"",J2898,K2898)))</f>
        <v>2.49</v>
      </c>
      <c r="C2898" s="3">
        <f>MEDIAN(H2898:K2898)</f>
        <v>2.49</v>
      </c>
      <c r="D2898" s="3">
        <f>ROUND(C2898*(1-Settings!$B$2),2)</f>
        <v>1.74</v>
      </c>
      <c r="E2898" s="2" t="inlineStr">
        <is>
          <t>Pokemon</t>
        </is>
      </c>
      <c r="F2898" s="2" t="inlineStr">
        <is>
          <t>Pack</t>
        </is>
      </c>
      <c r="G2898" s="2" t="inlineStr">
        <is>
          <t>Japanese Mega Symphonia</t>
        </is>
      </c>
      <c r="H2898" s="3" t="n">
        <v>2.49</v>
      </c>
      <c r="I2898" s="3" t="n"/>
      <c r="J2898" s="3" t="n"/>
      <c r="K2898" s="3" t="n"/>
      <c r="L2898" s="2" t="inlineStr">
        <is>
          <t>PriceCharting</t>
        </is>
      </c>
      <c r="M2898" s="4" t="inlineStr">
        <is>
          <t>https://www.pricecharting.com/game/pokemon-japanese-mega-symphonia/booster-pack</t>
        </is>
      </c>
    </row>
    <row r="2899">
      <c r="A2899" s="2" t="inlineStr">
        <is>
          <t>Japanese Miracle Twins Booster Pack</t>
        </is>
      </c>
      <c r="B2899" s="3">
        <f>IF(H2899&lt;&gt;"",H2899,IF(I2899&lt;&gt;"",I2899,IF(J2899&lt;&gt;"",J2899,K2899)))</f>
        <v>16.98</v>
      </c>
      <c r="C2899" s="3">
        <f>MEDIAN(H2899:K2899)</f>
        <v>16.98</v>
      </c>
      <c r="D2899" s="3">
        <f>ROUND(C2899*(1-Settings!$B$2),2)</f>
        <v>11.89</v>
      </c>
      <c r="E2899" s="2" t="inlineStr">
        <is>
          <t>Pokemon</t>
        </is>
      </c>
      <c r="F2899" s="2" t="inlineStr">
        <is>
          <t>Pack</t>
        </is>
      </c>
      <c r="G2899" s="2" t="inlineStr">
        <is>
          <t>Japanese Miracle Twins</t>
        </is>
      </c>
      <c r="H2899" s="3" t="n">
        <v>16.98</v>
      </c>
      <c r="I2899" s="3" t="n"/>
      <c r="J2899" s="3" t="n"/>
      <c r="K2899" s="3" t="n"/>
      <c r="L2899" s="2" t="inlineStr">
        <is>
          <t>PriceCharting</t>
        </is>
      </c>
      <c r="M2899" s="4" t="inlineStr">
        <is>
          <t>https://www.pricecharting.com/game/pokemon-japanese-miracle-twins/booster-pack</t>
        </is>
      </c>
    </row>
    <row r="2900">
      <c r="A2900" s="2" t="inlineStr">
        <is>
          <t>Japanese Mysterious Mountains Booster Pack</t>
        </is>
      </c>
      <c r="B2900" s="3">
        <f>IF(H2900&lt;&gt;"",H2900,IF(I2900&lt;&gt;"",I2900,IF(J2900&lt;&gt;"",J2900,K2900)))</f>
        <v>612.47</v>
      </c>
      <c r="C2900" s="3">
        <f>MEDIAN(H2900:K2900)</f>
        <v>612.47</v>
      </c>
      <c r="D2900" s="3">
        <f>ROUND(C2900*(1-Settings!$B$2),2)</f>
        <v>428.73</v>
      </c>
      <c r="E2900" s="2" t="inlineStr">
        <is>
          <t>Pokemon</t>
        </is>
      </c>
      <c r="F2900" s="2" t="inlineStr">
        <is>
          <t>Pack</t>
        </is>
      </c>
      <c r="G2900" s="2" t="inlineStr">
        <is>
          <t>Japanese Mysterious Mountains</t>
        </is>
      </c>
      <c r="H2900" s="3" t="n">
        <v>612.47</v>
      </c>
      <c r="I2900" s="3" t="n"/>
      <c r="J2900" s="3" t="n"/>
      <c r="K2900" s="3" t="n"/>
      <c r="L2900" s="2" t="inlineStr">
        <is>
          <t>PriceCharting</t>
        </is>
      </c>
      <c r="M2900" s="4" t="inlineStr">
        <is>
          <t>https://www.pricecharting.com/game/pokemon-japanese-mysterious-mountains/booster-pack</t>
        </is>
      </c>
    </row>
    <row r="2901">
      <c r="A2901" s="2" t="inlineStr">
        <is>
          <t>Japanese Mystery Of The Fossils Booster Pack</t>
        </is>
      </c>
      <c r="B2901" s="3">
        <f>IF(H2901&lt;&gt;"",H2901,IF(I2901&lt;&gt;"",I2901,IF(J2901&lt;&gt;"",J2901,K2901)))</f>
        <v>972.5</v>
      </c>
      <c r="C2901" s="3">
        <f>MEDIAN(H2901:K2901)</f>
        <v>972.5</v>
      </c>
      <c r="D2901" s="3">
        <f>ROUND(C2901*(1-Settings!$B$2),2)</f>
        <v>680.75</v>
      </c>
      <c r="E2901" s="2" t="inlineStr">
        <is>
          <t>Pokemon</t>
        </is>
      </c>
      <c r="F2901" s="2" t="inlineStr">
        <is>
          <t>Pack</t>
        </is>
      </c>
      <c r="G2901" s="2" t="inlineStr">
        <is>
          <t>Japanese Mystery Of The Fossils</t>
        </is>
      </c>
      <c r="H2901" s="3" t="n">
        <v>972.5</v>
      </c>
      <c r="I2901" s="3" t="n"/>
      <c r="J2901" s="3" t="n"/>
      <c r="K2901" s="3" t="n"/>
      <c r="L2901" s="2" t="inlineStr">
        <is>
          <t>PriceCharting</t>
        </is>
      </c>
      <c r="M2901" s="4" t="inlineStr">
        <is>
          <t>https://www.pricecharting.com/game/pokemon-japanese-mystery-of-the-fossils/booster-pack</t>
        </is>
      </c>
    </row>
    <row r="2902">
      <c r="A2902" s="2" t="inlineStr">
        <is>
          <t>Japanese Night Wanderer Booster Pack</t>
        </is>
      </c>
      <c r="B2902" s="3">
        <f>IF(H2902&lt;&gt;"",H2902,IF(I2902&lt;&gt;"",I2902,IF(J2902&lt;&gt;"",J2902,K2902)))</f>
        <v>3.25</v>
      </c>
      <c r="C2902" s="3">
        <f>MEDIAN(H2902:K2902)</f>
        <v>3.25</v>
      </c>
      <c r="D2902" s="3">
        <f>ROUND(C2902*(1-Settings!$B$2),2)</f>
        <v>2.28</v>
      </c>
      <c r="E2902" s="2" t="inlineStr">
        <is>
          <t>Pokemon</t>
        </is>
      </c>
      <c r="F2902" s="2" t="inlineStr">
        <is>
          <t>Pack</t>
        </is>
      </c>
      <c r="G2902" s="2" t="inlineStr">
        <is>
          <t>Japanese Night Wanderer</t>
        </is>
      </c>
      <c r="H2902" s="3" t="n">
        <v>3.25</v>
      </c>
      <c r="I2902" s="3" t="n"/>
      <c r="J2902" s="3" t="n"/>
      <c r="K2902" s="3" t="n"/>
      <c r="L2902" s="2" t="inlineStr">
        <is>
          <t>PriceCharting</t>
        </is>
      </c>
      <c r="M2902" s="4" t="inlineStr">
        <is>
          <t>https://www.pricecharting.com/game/pokemon-japanese-night-wanderer/booster-pack</t>
        </is>
      </c>
    </row>
    <row r="2903">
      <c r="A2903" s="2" t="inlineStr">
        <is>
          <t>Japanese Nihil Zero Booster Pack</t>
        </is>
      </c>
      <c r="B2903" s="3">
        <f>IF(H2903&lt;&gt;"",H2903,IF(I2903&lt;&gt;"",I2903,IF(J2903&lt;&gt;"",J2903,K2903)))</f>
        <v>6.5</v>
      </c>
      <c r="C2903" s="3">
        <f>MEDIAN(H2903:K2903)</f>
        <v>6.5</v>
      </c>
      <c r="D2903" s="3">
        <f>ROUND(C2903*(1-Settings!$B$2),2)</f>
        <v>4.55</v>
      </c>
      <c r="E2903" s="2" t="inlineStr">
        <is>
          <t>Pokemon</t>
        </is>
      </c>
      <c r="F2903" s="2" t="inlineStr">
        <is>
          <t>Pack</t>
        </is>
      </c>
      <c r="G2903" s="2" t="inlineStr">
        <is>
          <t>Japanese Nihil Zero</t>
        </is>
      </c>
      <c r="H2903" s="3" t="n">
        <v>6.5</v>
      </c>
      <c r="I2903" s="3" t="n"/>
      <c r="J2903" s="3" t="n"/>
      <c r="K2903" s="3" t="n"/>
      <c r="L2903" s="2" t="inlineStr">
        <is>
          <t>PriceCharting</t>
        </is>
      </c>
      <c r="M2903" s="4" t="inlineStr">
        <is>
          <t>https://www.pricecharting.com/game/pokemon-japanese-nihil-zero/booster-pack</t>
        </is>
      </c>
    </row>
    <row r="2904">
      <c r="A2904" s="2" t="inlineStr">
        <is>
          <t>Japanese Ninja Spinner Booster Pack</t>
        </is>
      </c>
      <c r="B2904" s="3">
        <f>IF(H2904&lt;&gt;"",H2904,IF(I2904&lt;&gt;"",I2904,IF(J2904&lt;&gt;"",J2904,K2904)))</f>
        <v>8.8</v>
      </c>
      <c r="C2904" s="3">
        <f>MEDIAN(H2904:K2904)</f>
        <v>8.8</v>
      </c>
      <c r="D2904" s="3">
        <f>ROUND(C2904*(1-Settings!$B$2),2)</f>
        <v>6.16</v>
      </c>
      <c r="E2904" s="2" t="inlineStr">
        <is>
          <t>Pokemon</t>
        </is>
      </c>
      <c r="F2904" s="2" t="inlineStr">
        <is>
          <t>Pack</t>
        </is>
      </c>
      <c r="G2904" s="2" t="inlineStr">
        <is>
          <t>Japanese Ninja Spinner</t>
        </is>
      </c>
      <c r="H2904" s="3" t="n">
        <v>8.800000000000001</v>
      </c>
      <c r="I2904" s="3" t="n"/>
      <c r="J2904" s="3" t="n"/>
      <c r="K2904" s="3" t="n"/>
      <c r="L2904" s="2" t="inlineStr">
        <is>
          <t>PriceCharting</t>
        </is>
      </c>
      <c r="M2904" s="4" t="inlineStr">
        <is>
          <t>https://www.pricecharting.com/game/pokemon-japanese-ninja-spinner/booster-pack</t>
        </is>
      </c>
    </row>
    <row r="2905">
      <c r="A2905" s="2" t="inlineStr">
        <is>
          <t>Japanese Paradigm Trigger Booster Pack</t>
        </is>
      </c>
      <c r="B2905" s="3">
        <f>IF(H2905&lt;&gt;"",H2905,IF(I2905&lt;&gt;"",I2905,IF(J2905&lt;&gt;"",J2905,K2905)))</f>
        <v>31.03</v>
      </c>
      <c r="C2905" s="3">
        <f>MEDIAN(H2905:K2905)</f>
        <v>31.03</v>
      </c>
      <c r="D2905" s="3">
        <f>ROUND(C2905*(1-Settings!$B$2),2)</f>
        <v>21.72</v>
      </c>
      <c r="E2905" s="2" t="inlineStr">
        <is>
          <t>Pokemon</t>
        </is>
      </c>
      <c r="F2905" s="2" t="inlineStr">
        <is>
          <t>Pack</t>
        </is>
      </c>
      <c r="G2905" s="2" t="inlineStr">
        <is>
          <t>Japanese Paradigm Trigger</t>
        </is>
      </c>
      <c r="H2905" s="3" t="n">
        <v>31.03</v>
      </c>
      <c r="I2905" s="3" t="n"/>
      <c r="J2905" s="3" t="n"/>
      <c r="K2905" s="3" t="n"/>
      <c r="L2905" s="2" t="inlineStr">
        <is>
          <t>PriceCharting</t>
        </is>
      </c>
      <c r="M2905" s="4" t="inlineStr">
        <is>
          <t>https://www.pricecharting.com/game/pokemon-japanese-paradigm-trigger/booster-pack</t>
        </is>
      </c>
    </row>
    <row r="2906">
      <c r="A2906" s="2" t="inlineStr">
        <is>
          <t>Japanese Paradise Dragona Booster Pack</t>
        </is>
      </c>
      <c r="B2906" s="3">
        <f>IF(H2906&lt;&gt;"",H2906,IF(I2906&lt;&gt;"",I2906,IF(J2906&lt;&gt;"",J2906,K2906)))</f>
        <v>4.0</v>
      </c>
      <c r="C2906" s="3">
        <f>MEDIAN(H2906:K2906)</f>
        <v>4.0</v>
      </c>
      <c r="D2906" s="3">
        <f>ROUND(C2906*(1-Settings!$B$2),2)</f>
        <v>2.8</v>
      </c>
      <c r="E2906" s="2" t="inlineStr">
        <is>
          <t>Pokemon</t>
        </is>
      </c>
      <c r="F2906" s="2" t="inlineStr">
        <is>
          <t>Pack</t>
        </is>
      </c>
      <c r="G2906" s="2" t="inlineStr">
        <is>
          <t>Japanese Paradise Dragona</t>
        </is>
      </c>
      <c r="H2906" s="3" t="n">
        <v>4</v>
      </c>
      <c r="I2906" s="3" t="n"/>
      <c r="J2906" s="3" t="n"/>
      <c r="K2906" s="3" t="n"/>
      <c r="L2906" s="2" t="inlineStr">
        <is>
          <t>PriceCharting</t>
        </is>
      </c>
      <c r="M2906" s="4" t="inlineStr">
        <is>
          <t>https://www.pricecharting.com/game/pokemon-japanese-paradise-dragona/booster-pack</t>
        </is>
      </c>
    </row>
    <row r="2907">
      <c r="A2907" s="2" t="inlineStr">
        <is>
          <t>Japanese Pokekyun Collection Booster Pack</t>
        </is>
      </c>
      <c r="B2907" s="3">
        <f>IF(H2907&lt;&gt;"",H2907,IF(I2907&lt;&gt;"",I2907,IF(J2907&lt;&gt;"",J2907,K2907)))</f>
        <v>1200.0</v>
      </c>
      <c r="C2907" s="3">
        <f>MEDIAN(H2907:K2907)</f>
        <v>1200.0</v>
      </c>
      <c r="D2907" s="3">
        <f>ROUND(C2907*(1-Settings!$B$2),2)</f>
        <v>840.0</v>
      </c>
      <c r="E2907" s="2" t="inlineStr">
        <is>
          <t>Pokemon</t>
        </is>
      </c>
      <c r="F2907" s="2" t="inlineStr">
        <is>
          <t>Pack</t>
        </is>
      </c>
      <c r="G2907" s="2" t="inlineStr">
        <is>
          <t>Japanese Pokekyun Collection</t>
        </is>
      </c>
      <c r="H2907" s="3" t="n">
        <v>1200</v>
      </c>
      <c r="I2907" s="3" t="n"/>
      <c r="J2907" s="3" t="n"/>
      <c r="K2907" s="3" t="n"/>
      <c r="L2907" s="2" t="inlineStr">
        <is>
          <t>PriceCharting</t>
        </is>
      </c>
      <c r="M2907" s="4" t="inlineStr">
        <is>
          <t>https://www.pricecharting.com/game/pokemon-japanese-pokekyun-collection/booster-pack</t>
        </is>
      </c>
    </row>
    <row r="2908">
      <c r="A2908" s="2" t="inlineStr">
        <is>
          <t>Japanese Promo 2024 Summer Promo Pack</t>
        </is>
      </c>
      <c r="B2908" s="3">
        <f>IF(H2908&lt;&gt;"",H2908,IF(I2908&lt;&gt;"",I2908,IF(J2908&lt;&gt;"",J2908,K2908)))</f>
        <v>24.99</v>
      </c>
      <c r="C2908" s="3">
        <f>MEDIAN(H2908:K2908)</f>
        <v>24.99</v>
      </c>
      <c r="D2908" s="3">
        <f>ROUND(C2908*(1-Settings!$B$2),2)</f>
        <v>17.49</v>
      </c>
      <c r="E2908" s="2" t="inlineStr">
        <is>
          <t>Pokemon</t>
        </is>
      </c>
      <c r="F2908" s="2" t="inlineStr">
        <is>
          <t>Pack</t>
        </is>
      </c>
      <c r="G2908" s="2" t="inlineStr">
        <is>
          <t>Japanese Promo</t>
        </is>
      </c>
      <c r="H2908" s="3" t="n">
        <v>24.99</v>
      </c>
      <c r="I2908" s="3" t="n"/>
      <c r="J2908" s="3" t="n"/>
      <c r="K2908" s="3" t="n"/>
      <c r="L2908" s="2" t="inlineStr">
        <is>
          <t>PriceCharting</t>
        </is>
      </c>
      <c r="M2908" s="4" t="inlineStr">
        <is>
          <t>https://www.pricecharting.com/game/pokemon-japanese-promo/2024-summer-promo-pack</t>
        </is>
      </c>
    </row>
    <row r="2909">
      <c r="A2909" s="2" t="inlineStr">
        <is>
          <t>Japanese Promo Booster Pack [2016 Staff Event Organizer]</t>
        </is>
      </c>
      <c r="B2909" s="3">
        <f>IF(H2909&lt;&gt;"",H2909,IF(I2909&lt;&gt;"",I2909,IF(J2909&lt;&gt;"",J2909,K2909)))</f>
        <v>118.14</v>
      </c>
      <c r="C2909" s="3">
        <f>MEDIAN(H2909:K2909)</f>
        <v>118.14</v>
      </c>
      <c r="D2909" s="3">
        <f>ROUND(C2909*(1-Settings!$B$2),2)</f>
        <v>82.7</v>
      </c>
      <c r="E2909" s="2" t="inlineStr">
        <is>
          <t>Pokemon</t>
        </is>
      </c>
      <c r="F2909" s="2" t="inlineStr">
        <is>
          <t>Pack</t>
        </is>
      </c>
      <c r="G2909" s="2" t="inlineStr">
        <is>
          <t>Japanese Promo</t>
        </is>
      </c>
      <c r="H2909" s="3" t="n">
        <v>118.14</v>
      </c>
      <c r="I2909" s="3" t="n"/>
      <c r="J2909" s="3" t="n"/>
      <c r="K2909" s="3" t="n"/>
      <c r="L2909" s="2" t="inlineStr">
        <is>
          <t>PriceCharting</t>
        </is>
      </c>
      <c r="M2909" s="4" t="inlineStr">
        <is>
          <t>https://www.pricecharting.com/game/pokemon-japanese-promo/booster-pack-2016-staff-event-organizer</t>
        </is>
      </c>
    </row>
    <row r="2910">
      <c r="A2910" s="2" t="inlineStr">
        <is>
          <t>Japanese Promo Booster Pack [2017 Staff Event Organizer]</t>
        </is>
      </c>
      <c r="B2910" s="3">
        <f>IF(H2910&lt;&gt;"",H2910,IF(I2910&lt;&gt;"",I2910,IF(J2910&lt;&gt;"",J2910,K2910)))</f>
        <v>75.2</v>
      </c>
      <c r="C2910" s="3">
        <f>MEDIAN(H2910:K2910)</f>
        <v>75.2</v>
      </c>
      <c r="D2910" s="3">
        <f>ROUND(C2910*(1-Settings!$B$2),2)</f>
        <v>52.64</v>
      </c>
      <c r="E2910" s="2" t="inlineStr">
        <is>
          <t>Pokemon</t>
        </is>
      </c>
      <c r="F2910" s="2" t="inlineStr">
        <is>
          <t>Pack</t>
        </is>
      </c>
      <c r="G2910" s="2" t="inlineStr">
        <is>
          <t>Japanese Promo</t>
        </is>
      </c>
      <c r="H2910" s="3" t="n">
        <v>75.2</v>
      </c>
      <c r="I2910" s="3" t="n"/>
      <c r="J2910" s="3" t="n"/>
      <c r="K2910" s="3" t="n"/>
      <c r="L2910" s="2" t="inlineStr">
        <is>
          <t>PriceCharting</t>
        </is>
      </c>
      <c r="M2910" s="4" t="inlineStr">
        <is>
          <t>https://www.pricecharting.com/game/pokemon-japanese-promo/booster-pack-2017-staff-event-organizer</t>
        </is>
      </c>
    </row>
    <row r="2911">
      <c r="A2911" s="2" t="inlineStr">
        <is>
          <t>Japanese Promo Booster Pack [2025 Staff Event Organizer]</t>
        </is>
      </c>
      <c r="B2911" s="3">
        <f>IF(H2911&lt;&gt;"",H2911,IF(I2911&lt;&gt;"",I2911,IF(J2911&lt;&gt;"",J2911,K2911)))</f>
        <v>8.88</v>
      </c>
      <c r="C2911" s="3">
        <f>MEDIAN(H2911:K2911)</f>
        <v>8.88</v>
      </c>
      <c r="D2911" s="3">
        <f>ROUND(C2911*(1-Settings!$B$2),2)</f>
        <v>6.22</v>
      </c>
      <c r="E2911" s="2" t="inlineStr">
        <is>
          <t>Pokemon</t>
        </is>
      </c>
      <c r="F2911" s="2" t="inlineStr">
        <is>
          <t>Pack</t>
        </is>
      </c>
      <c r="G2911" s="2" t="inlineStr">
        <is>
          <t>Japanese Promo</t>
        </is>
      </c>
      <c r="H2911" s="3" t="n">
        <v>8.880000000000001</v>
      </c>
      <c r="I2911" s="3" t="n"/>
      <c r="J2911" s="3" t="n"/>
      <c r="K2911" s="3" t="n"/>
      <c r="L2911" s="2" t="inlineStr">
        <is>
          <t>PriceCharting</t>
        </is>
      </c>
      <c r="M2911" s="4" t="inlineStr">
        <is>
          <t>https://www.pricecharting.com/game/pokemon-japanese-promo/booster-pack-2025-staff-event-organizer</t>
        </is>
      </c>
    </row>
    <row r="2912">
      <c r="A2912" s="2" t="inlineStr">
        <is>
          <t>Japanese Promo Booster Pack [Dragon Pokemon V Get Challenge]</t>
        </is>
      </c>
      <c r="B2912" s="3">
        <f>IF(H2912&lt;&gt;"",H2912,IF(I2912&lt;&gt;"",I2912,IF(J2912&lt;&gt;"",J2912,K2912)))</f>
        <v>63.93</v>
      </c>
      <c r="C2912" s="3">
        <f>MEDIAN(H2912:K2912)</f>
        <v>63.93</v>
      </c>
      <c r="D2912" s="3">
        <f>ROUND(C2912*(1-Settings!$B$2),2)</f>
        <v>44.75</v>
      </c>
      <c r="E2912" s="2" t="inlineStr">
        <is>
          <t>Pokemon</t>
        </is>
      </c>
      <c r="F2912" s="2" t="inlineStr">
        <is>
          <t>Pack</t>
        </is>
      </c>
      <c r="G2912" s="2" t="inlineStr">
        <is>
          <t>Japanese Promo</t>
        </is>
      </c>
      <c r="H2912" s="3" t="n">
        <v>63.93</v>
      </c>
      <c r="I2912" s="3" t="n"/>
      <c r="J2912" s="3" t="n"/>
      <c r="K2912" s="3" t="n"/>
      <c r="L2912" s="2" t="inlineStr">
        <is>
          <t>PriceCharting</t>
        </is>
      </c>
      <c r="M2912" s="4" t="inlineStr">
        <is>
          <t>https://www.pricecharting.com/game/pokemon-japanese-promo/booster-pack-dragon-pokemon-v-get-challenge</t>
        </is>
      </c>
    </row>
    <row r="2913">
      <c r="A2913" s="2" t="inlineStr">
        <is>
          <t>Japanese Promo Illustration Contest 2024 Sealed Pack</t>
        </is>
      </c>
      <c r="B2913" s="3">
        <f>IF(H2913&lt;&gt;"",H2913,IF(I2913&lt;&gt;"",I2913,IF(J2913&lt;&gt;"",J2913,K2913)))</f>
        <v>24.73</v>
      </c>
      <c r="C2913" s="3">
        <f>MEDIAN(H2913:K2913)</f>
        <v>24.73</v>
      </c>
      <c r="D2913" s="3">
        <f>ROUND(C2913*(1-Settings!$B$2),2)</f>
        <v>17.31</v>
      </c>
      <c r="E2913" s="2" t="inlineStr">
        <is>
          <t>Pokemon</t>
        </is>
      </c>
      <c r="F2913" s="2" t="inlineStr">
        <is>
          <t>Pack</t>
        </is>
      </c>
      <c r="G2913" s="2" t="inlineStr">
        <is>
          <t>Japanese Promo</t>
        </is>
      </c>
      <c r="H2913" s="3" t="n">
        <v>24.73</v>
      </c>
      <c r="I2913" s="3" t="n"/>
      <c r="J2913" s="3" t="n"/>
      <c r="K2913" s="3" t="n"/>
      <c r="L2913" s="2" t="inlineStr">
        <is>
          <t>PriceCharting</t>
        </is>
      </c>
      <c r="M2913" s="4" t="inlineStr">
        <is>
          <t>https://www.pricecharting.com/game/pokemon-japanese-promo/illustration-contest-2024-sealed-pack</t>
        </is>
      </c>
    </row>
    <row r="2914">
      <c r="A2914" s="2" t="inlineStr">
        <is>
          <t>Japanese Promo Masked Pikachu Special Pack</t>
        </is>
      </c>
      <c r="B2914" s="3">
        <f>IF(H2914&lt;&gt;"",H2914,IF(I2914&lt;&gt;"",I2914,IF(J2914&lt;&gt;"",J2914,K2914)))</f>
        <v>2753.0</v>
      </c>
      <c r="C2914" s="3">
        <f>MEDIAN(H2914:K2914)</f>
        <v>2753.0</v>
      </c>
      <c r="D2914" s="3">
        <f>ROUND(C2914*(1-Settings!$B$2),2)</f>
        <v>1927.1</v>
      </c>
      <c r="E2914" s="2" t="inlineStr">
        <is>
          <t>Pokemon</t>
        </is>
      </c>
      <c r="F2914" s="2" t="inlineStr">
        <is>
          <t>Pack</t>
        </is>
      </c>
      <c r="G2914" s="2" t="inlineStr">
        <is>
          <t>Japanese Promo</t>
        </is>
      </c>
      <c r="H2914" s="3" t="n">
        <v>2753</v>
      </c>
      <c r="I2914" s="3" t="n"/>
      <c r="J2914" s="3" t="n"/>
      <c r="K2914" s="3" t="n"/>
      <c r="L2914" s="2" t="inlineStr">
        <is>
          <t>PriceCharting</t>
        </is>
      </c>
      <c r="M2914" s="4" t="inlineStr">
        <is>
          <t>https://www.pricecharting.com/game/pokemon-japanese-promo/masked-pikachu-special-pack</t>
        </is>
      </c>
    </row>
    <row r="2915">
      <c r="A2915" s="2" t="inlineStr">
        <is>
          <t>Japanese Promo Mcdonald's Promo Pack</t>
        </is>
      </c>
      <c r="B2915" s="3">
        <f>IF(H2915&lt;&gt;"",H2915,IF(I2915&lt;&gt;"",I2915,IF(J2915&lt;&gt;"",J2915,K2915)))</f>
        <v>47.49</v>
      </c>
      <c r="C2915" s="3">
        <f>MEDIAN(H2915:K2915)</f>
        <v>47.49</v>
      </c>
      <c r="D2915" s="3">
        <f>ROUND(C2915*(1-Settings!$B$2),2)</f>
        <v>33.24</v>
      </c>
      <c r="E2915" s="2" t="inlineStr">
        <is>
          <t>Pokemon</t>
        </is>
      </c>
      <c r="F2915" s="2" t="inlineStr">
        <is>
          <t>Pack</t>
        </is>
      </c>
      <c r="G2915" s="2" t="inlineStr">
        <is>
          <t>Japanese Promo</t>
        </is>
      </c>
      <c r="H2915" s="3" t="n">
        <v>47.49</v>
      </c>
      <c r="I2915" s="3" t="n"/>
      <c r="J2915" s="3" t="n"/>
      <c r="K2915" s="3" t="n"/>
      <c r="L2915" s="2" t="inlineStr">
        <is>
          <t>PriceCharting</t>
        </is>
      </c>
      <c r="M2915" s="4" t="inlineStr">
        <is>
          <t>https://www.pricecharting.com/game/pokemon-japanese-promo/mcdonald's-promo-pack</t>
        </is>
      </c>
    </row>
    <row r="2916">
      <c r="A2916" s="2" t="inlineStr">
        <is>
          <t>Japanese Promo Movie Commemoration Special Pack</t>
        </is>
      </c>
      <c r="B2916" s="3">
        <f>IF(H2916&lt;&gt;"",H2916,IF(I2916&lt;&gt;"",I2916,IF(J2916&lt;&gt;"",J2916,K2916)))</f>
        <v>30.0</v>
      </c>
      <c r="C2916" s="3">
        <f>MEDIAN(H2916:K2916)</f>
        <v>30.0</v>
      </c>
      <c r="D2916" s="3">
        <f>ROUND(C2916*(1-Settings!$B$2),2)</f>
        <v>21.0</v>
      </c>
      <c r="E2916" s="2" t="inlineStr">
        <is>
          <t>Pokemon</t>
        </is>
      </c>
      <c r="F2916" s="2" t="inlineStr">
        <is>
          <t>Pack</t>
        </is>
      </c>
      <c r="G2916" s="2" t="inlineStr">
        <is>
          <t>Japanese Promo</t>
        </is>
      </c>
      <c r="H2916" s="3" t="n">
        <v>30</v>
      </c>
      <c r="I2916" s="3" t="n"/>
      <c r="J2916" s="3" t="n"/>
      <c r="K2916" s="3" t="n"/>
      <c r="L2916" s="2" t="inlineStr">
        <is>
          <t>PriceCharting</t>
        </is>
      </c>
      <c r="M2916" s="4" t="inlineStr">
        <is>
          <t>https://www.pricecharting.com/game/pokemon-japanese-promo/movie-commemoration-special-pack</t>
        </is>
      </c>
    </row>
    <row r="2917">
      <c r="A2917" s="2" t="inlineStr">
        <is>
          <t>Japanese Promo Nagaba Promo Pack</t>
        </is>
      </c>
      <c r="B2917" s="3">
        <f>IF(H2917&lt;&gt;"",H2917,IF(I2917&lt;&gt;"",I2917,IF(J2917&lt;&gt;"",J2917,K2917)))</f>
        <v>114.91</v>
      </c>
      <c r="C2917" s="3">
        <f>MEDIAN(H2917:K2917)</f>
        <v>114.91</v>
      </c>
      <c r="D2917" s="3">
        <f>ROUND(C2917*(1-Settings!$B$2),2)</f>
        <v>80.44</v>
      </c>
      <c r="E2917" s="2" t="inlineStr">
        <is>
          <t>Pokemon</t>
        </is>
      </c>
      <c r="F2917" s="2" t="inlineStr">
        <is>
          <t>Pack</t>
        </is>
      </c>
      <c r="G2917" s="2" t="inlineStr">
        <is>
          <t>Japanese Promo</t>
        </is>
      </c>
      <c r="H2917" s="3" t="n">
        <v>114.91</v>
      </c>
      <c r="I2917" s="3" t="n"/>
      <c r="J2917" s="3" t="n"/>
      <c r="K2917" s="3" t="n"/>
      <c r="L2917" s="2" t="inlineStr">
        <is>
          <t>PriceCharting</t>
        </is>
      </c>
      <c r="M2917" s="4" t="inlineStr">
        <is>
          <t>https://www.pricecharting.com/game/pokemon-japanese-promo/nagaba-promo-pack</t>
        </is>
      </c>
    </row>
    <row r="2918">
      <c r="A2918" s="2" t="inlineStr">
        <is>
          <t>Japanese Promo Scarlet &amp; Violet GYM Promo Pack Vol.1</t>
        </is>
      </c>
      <c r="B2918" s="3">
        <f>IF(H2918&lt;&gt;"",H2918,IF(I2918&lt;&gt;"",I2918,IF(J2918&lt;&gt;"",J2918,K2918)))</f>
        <v>3.99</v>
      </c>
      <c r="C2918" s="3">
        <f>MEDIAN(H2918:K2918)</f>
        <v>3.99</v>
      </c>
      <c r="D2918" s="3">
        <f>ROUND(C2918*(1-Settings!$B$2),2)</f>
        <v>2.79</v>
      </c>
      <c r="E2918" s="2" t="inlineStr">
        <is>
          <t>Pokemon</t>
        </is>
      </c>
      <c r="F2918" s="2" t="inlineStr">
        <is>
          <t>Pack</t>
        </is>
      </c>
      <c r="G2918" s="2" t="inlineStr">
        <is>
          <t>Japanese Promo</t>
        </is>
      </c>
      <c r="H2918" s="3" t="n">
        <v>3.99</v>
      </c>
      <c r="I2918" s="3" t="n"/>
      <c r="J2918" s="3" t="n"/>
      <c r="K2918" s="3" t="n"/>
      <c r="L2918" s="2" t="inlineStr">
        <is>
          <t>PriceCharting</t>
        </is>
      </c>
      <c r="M2918" s="4" t="inlineStr">
        <is>
          <t>https://www.pricecharting.com/game/pokemon-japanese-promo/scarlet-&amp;-violet-gym-promo-pack-vol1</t>
        </is>
      </c>
    </row>
    <row r="2919">
      <c r="A2919" s="2" t="inlineStr">
        <is>
          <t>Japanese Promo Scarlet &amp; Violet GYM Promo Pack Vol.2</t>
        </is>
      </c>
      <c r="B2919" s="3">
        <f>IF(H2919&lt;&gt;"",H2919,IF(I2919&lt;&gt;"",I2919,IF(J2919&lt;&gt;"",J2919,K2919)))</f>
        <v>4.64</v>
      </c>
      <c r="C2919" s="3">
        <f>MEDIAN(H2919:K2919)</f>
        <v>4.64</v>
      </c>
      <c r="D2919" s="3">
        <f>ROUND(C2919*(1-Settings!$B$2),2)</f>
        <v>3.25</v>
      </c>
      <c r="E2919" s="2" t="inlineStr">
        <is>
          <t>Pokemon</t>
        </is>
      </c>
      <c r="F2919" s="2" t="inlineStr">
        <is>
          <t>Pack</t>
        </is>
      </c>
      <c r="G2919" s="2" t="inlineStr">
        <is>
          <t>Japanese Promo</t>
        </is>
      </c>
      <c r="H2919" s="3" t="n">
        <v>4.64</v>
      </c>
      <c r="I2919" s="3" t="n"/>
      <c r="J2919" s="3" t="n"/>
      <c r="K2919" s="3" t="n"/>
      <c r="L2919" s="2" t="inlineStr">
        <is>
          <t>PriceCharting</t>
        </is>
      </c>
      <c r="M2919" s="4" t="inlineStr">
        <is>
          <t>https://www.pricecharting.com/game/pokemon-japanese-promo/scarlet-&amp;-violet-gym-promo-pack-vol2</t>
        </is>
      </c>
    </row>
    <row r="2920">
      <c r="A2920" s="2" t="inlineStr">
        <is>
          <t>Japanese Promo Scarlet &amp; Violet GYM Promo Pack Vol.3</t>
        </is>
      </c>
      <c r="B2920" s="3">
        <f>IF(H2920&lt;&gt;"",H2920,IF(I2920&lt;&gt;"",I2920,IF(J2920&lt;&gt;"",J2920,K2920)))</f>
        <v>9.97</v>
      </c>
      <c r="C2920" s="3">
        <f>MEDIAN(H2920:K2920)</f>
        <v>9.97</v>
      </c>
      <c r="D2920" s="3">
        <f>ROUND(C2920*(1-Settings!$B$2),2)</f>
        <v>6.98</v>
      </c>
      <c r="E2920" s="2" t="inlineStr">
        <is>
          <t>Pokemon</t>
        </is>
      </c>
      <c r="F2920" s="2" t="inlineStr">
        <is>
          <t>Pack</t>
        </is>
      </c>
      <c r="G2920" s="2" t="inlineStr">
        <is>
          <t>Japanese Promo</t>
        </is>
      </c>
      <c r="H2920" s="3" t="n">
        <v>9.970000000000001</v>
      </c>
      <c r="I2920" s="3" t="n"/>
      <c r="J2920" s="3" t="n"/>
      <c r="K2920" s="3" t="n"/>
      <c r="L2920" s="2" t="inlineStr">
        <is>
          <t>PriceCharting</t>
        </is>
      </c>
      <c r="M2920" s="4" t="inlineStr">
        <is>
          <t>https://www.pricecharting.com/game/pokemon-japanese-promo/scarlet-&amp;-violet-gym-promo-pack-vol3</t>
        </is>
      </c>
    </row>
    <row r="2921">
      <c r="A2921" s="2" t="inlineStr">
        <is>
          <t>Japanese Promo Scarlet &amp; Violet GYM Promo Pack Vol.4</t>
        </is>
      </c>
      <c r="B2921" s="3">
        <f>IF(H2921&lt;&gt;"",H2921,IF(I2921&lt;&gt;"",I2921,IF(J2921&lt;&gt;"",J2921,K2921)))</f>
        <v>3.99</v>
      </c>
      <c r="C2921" s="3">
        <f>MEDIAN(H2921:K2921)</f>
        <v>3.99</v>
      </c>
      <c r="D2921" s="3">
        <f>ROUND(C2921*(1-Settings!$B$2),2)</f>
        <v>2.79</v>
      </c>
      <c r="E2921" s="2" t="inlineStr">
        <is>
          <t>Pokemon</t>
        </is>
      </c>
      <c r="F2921" s="2" t="inlineStr">
        <is>
          <t>Pack</t>
        </is>
      </c>
      <c r="G2921" s="2" t="inlineStr">
        <is>
          <t>Japanese Promo</t>
        </is>
      </c>
      <c r="H2921" s="3" t="n">
        <v>3.99</v>
      </c>
      <c r="I2921" s="3" t="n"/>
      <c r="J2921" s="3" t="n"/>
      <c r="K2921" s="3" t="n"/>
      <c r="L2921" s="2" t="inlineStr">
        <is>
          <t>PriceCharting</t>
        </is>
      </c>
      <c r="M2921" s="4" t="inlineStr">
        <is>
          <t>https://www.pricecharting.com/game/pokemon-japanese-promo/scarlet-&amp;-violet-gym-promo-pack-vol4</t>
        </is>
      </c>
    </row>
    <row r="2922">
      <c r="A2922" s="2" t="inlineStr">
        <is>
          <t>Japanese Promo Scarlet &amp; Violet GYM Promo Pack Vol.5</t>
        </is>
      </c>
      <c r="B2922" s="3">
        <f>IF(H2922&lt;&gt;"",H2922,IF(I2922&lt;&gt;"",I2922,IF(J2922&lt;&gt;"",J2922,K2922)))</f>
        <v>5.67</v>
      </c>
      <c r="C2922" s="3">
        <f>MEDIAN(H2922:K2922)</f>
        <v>5.67</v>
      </c>
      <c r="D2922" s="3">
        <f>ROUND(C2922*(1-Settings!$B$2),2)</f>
        <v>3.97</v>
      </c>
      <c r="E2922" s="2" t="inlineStr">
        <is>
          <t>Pokemon</t>
        </is>
      </c>
      <c r="F2922" s="2" t="inlineStr">
        <is>
          <t>Pack</t>
        </is>
      </c>
      <c r="G2922" s="2" t="inlineStr">
        <is>
          <t>Japanese Promo</t>
        </is>
      </c>
      <c r="H2922" s="3" t="n">
        <v>5.67</v>
      </c>
      <c r="I2922" s="3" t="n"/>
      <c r="J2922" s="3" t="n"/>
      <c r="K2922" s="3" t="n"/>
      <c r="L2922" s="2" t="inlineStr">
        <is>
          <t>PriceCharting</t>
        </is>
      </c>
      <c r="M2922" s="4" t="inlineStr">
        <is>
          <t>https://www.pricecharting.com/game/pokemon-japanese-promo/scarlet-&amp;-violet-gym-promo-pack-vol5</t>
        </is>
      </c>
    </row>
    <row r="2923">
      <c r="A2923" s="2" t="inlineStr">
        <is>
          <t>Japanese Promo Scarlet &amp; Violet GYM Promo Pack Vol.6</t>
        </is>
      </c>
      <c r="B2923" s="3">
        <f>IF(H2923&lt;&gt;"",H2923,IF(I2923&lt;&gt;"",I2923,IF(J2923&lt;&gt;"",J2923,K2923)))</f>
        <v>3.99</v>
      </c>
      <c r="C2923" s="3">
        <f>MEDIAN(H2923:K2923)</f>
        <v>3.99</v>
      </c>
      <c r="D2923" s="3">
        <f>ROUND(C2923*(1-Settings!$B$2),2)</f>
        <v>2.79</v>
      </c>
      <c r="E2923" s="2" t="inlineStr">
        <is>
          <t>Pokemon</t>
        </is>
      </c>
      <c r="F2923" s="2" t="inlineStr">
        <is>
          <t>Pack</t>
        </is>
      </c>
      <c r="G2923" s="2" t="inlineStr">
        <is>
          <t>Japanese Promo</t>
        </is>
      </c>
      <c r="H2923" s="3" t="n">
        <v>3.99</v>
      </c>
      <c r="I2923" s="3" t="n"/>
      <c r="J2923" s="3" t="n"/>
      <c r="K2923" s="3" t="n"/>
      <c r="L2923" s="2" t="inlineStr">
        <is>
          <t>PriceCharting</t>
        </is>
      </c>
      <c r="M2923" s="4" t="inlineStr">
        <is>
          <t>https://www.pricecharting.com/game/pokemon-japanese-promo/scarlet-&amp;-violet-gym-promo-pack-vol6</t>
        </is>
      </c>
    </row>
    <row r="2924">
      <c r="A2924" s="2" t="inlineStr">
        <is>
          <t>Japanese Promo Scarlet &amp; Violet GYM Promo Pack Vol.7</t>
        </is>
      </c>
      <c r="B2924" s="3">
        <f>IF(H2924&lt;&gt;"",H2924,IF(I2924&lt;&gt;"",I2924,IF(J2924&lt;&gt;"",J2924,K2924)))</f>
        <v>6.5</v>
      </c>
      <c r="C2924" s="3">
        <f>MEDIAN(H2924:K2924)</f>
        <v>6.5</v>
      </c>
      <c r="D2924" s="3">
        <f>ROUND(C2924*(1-Settings!$B$2),2)</f>
        <v>4.55</v>
      </c>
      <c r="E2924" s="2" t="inlineStr">
        <is>
          <t>Pokemon</t>
        </is>
      </c>
      <c r="F2924" s="2" t="inlineStr">
        <is>
          <t>Pack</t>
        </is>
      </c>
      <c r="G2924" s="2" t="inlineStr">
        <is>
          <t>Japanese Promo</t>
        </is>
      </c>
      <c r="H2924" s="3" t="n">
        <v>6.5</v>
      </c>
      <c r="I2924" s="3" t="n"/>
      <c r="J2924" s="3" t="n"/>
      <c r="K2924" s="3" t="n"/>
      <c r="L2924" s="2" t="inlineStr">
        <is>
          <t>PriceCharting</t>
        </is>
      </c>
      <c r="M2924" s="4" t="inlineStr">
        <is>
          <t>https://www.pricecharting.com/game/pokemon-japanese-promo/scarlet-&amp;-violet-gym-promo-pack-vol7</t>
        </is>
      </c>
    </row>
    <row r="2925">
      <c r="A2925" s="2" t="inlineStr">
        <is>
          <t>Japanese Promo Scarlet &amp; Violet GYM Promo Pack Vol.8</t>
        </is>
      </c>
      <c r="B2925" s="3">
        <f>IF(H2925&lt;&gt;"",H2925,IF(I2925&lt;&gt;"",I2925,IF(J2925&lt;&gt;"",J2925,K2925)))</f>
        <v>8.5</v>
      </c>
      <c r="C2925" s="3">
        <f>MEDIAN(H2925:K2925)</f>
        <v>8.5</v>
      </c>
      <c r="D2925" s="3">
        <f>ROUND(C2925*(1-Settings!$B$2),2)</f>
        <v>5.95</v>
      </c>
      <c r="E2925" s="2" t="inlineStr">
        <is>
          <t>Pokemon</t>
        </is>
      </c>
      <c r="F2925" s="2" t="inlineStr">
        <is>
          <t>Pack</t>
        </is>
      </c>
      <c r="G2925" s="2" t="inlineStr">
        <is>
          <t>Japanese Promo</t>
        </is>
      </c>
      <c r="H2925" s="3" t="n">
        <v>8.5</v>
      </c>
      <c r="I2925" s="3" t="n"/>
      <c r="J2925" s="3" t="n"/>
      <c r="K2925" s="3" t="n"/>
      <c r="L2925" s="2" t="inlineStr">
        <is>
          <t>PriceCharting</t>
        </is>
      </c>
      <c r="M2925" s="4" t="inlineStr">
        <is>
          <t>https://www.pricecharting.com/game/pokemon-japanese-promo/scarlet-&amp;-violet-gym-promo-pack-vol8</t>
        </is>
      </c>
    </row>
    <row r="2926">
      <c r="A2926" s="2" t="inlineStr">
        <is>
          <t>Japanese Promo Scarlet &amp; Violet GYM Promo Pack Vol.9</t>
        </is>
      </c>
      <c r="B2926" s="3">
        <f>IF(H2926&lt;&gt;"",H2926,IF(I2926&lt;&gt;"",I2926,IF(J2926&lt;&gt;"",J2926,K2926)))</f>
        <v>7.36</v>
      </c>
      <c r="C2926" s="3">
        <f>MEDIAN(H2926:K2926)</f>
        <v>7.36</v>
      </c>
      <c r="D2926" s="3">
        <f>ROUND(C2926*(1-Settings!$B$2),2)</f>
        <v>5.15</v>
      </c>
      <c r="E2926" s="2" t="inlineStr">
        <is>
          <t>Pokemon</t>
        </is>
      </c>
      <c r="F2926" s="2" t="inlineStr">
        <is>
          <t>Pack</t>
        </is>
      </c>
      <c r="G2926" s="2" t="inlineStr">
        <is>
          <t>Japanese Promo</t>
        </is>
      </c>
      <c r="H2926" s="3" t="n">
        <v>7.36</v>
      </c>
      <c r="I2926" s="3" t="n"/>
      <c r="J2926" s="3" t="n"/>
      <c r="K2926" s="3" t="n"/>
      <c r="L2926" s="2" t="inlineStr">
        <is>
          <t>PriceCharting</t>
        </is>
      </c>
      <c r="M2926" s="4" t="inlineStr">
        <is>
          <t>https://www.pricecharting.com/game/pokemon-japanese-promo/scarlet-&amp;-violet-gym-promo-pack-vol9</t>
        </is>
      </c>
    </row>
    <row r="2927">
      <c r="A2927" s="2" t="inlineStr">
        <is>
          <t>Japanese Promo Sealed Pack [2020 Staff Event Organizer]</t>
        </is>
      </c>
      <c r="B2927" s="3">
        <f>IF(H2927&lt;&gt;"",H2927,IF(I2927&lt;&gt;"",I2927,IF(J2927&lt;&gt;"",J2927,K2927)))</f>
        <v>52.23</v>
      </c>
      <c r="C2927" s="3">
        <f>MEDIAN(H2927:K2927)</f>
        <v>52.23</v>
      </c>
      <c r="D2927" s="3">
        <f>ROUND(C2927*(1-Settings!$B$2),2)</f>
        <v>36.56</v>
      </c>
      <c r="E2927" s="2" t="inlineStr">
        <is>
          <t>Pokemon</t>
        </is>
      </c>
      <c r="F2927" s="2" t="inlineStr">
        <is>
          <t>Pack</t>
        </is>
      </c>
      <c r="G2927" s="2" t="inlineStr">
        <is>
          <t>Japanese Promo</t>
        </is>
      </c>
      <c r="H2927" s="3" t="n">
        <v>52.23</v>
      </c>
      <c r="I2927" s="3" t="n"/>
      <c r="J2927" s="3" t="n"/>
      <c r="K2927" s="3" t="n"/>
      <c r="L2927" s="2" t="inlineStr">
        <is>
          <t>PriceCharting</t>
        </is>
      </c>
      <c r="M2927" s="4" t="inlineStr">
        <is>
          <t>https://www.pricecharting.com/game/pokemon-japanese-promo/sealed-pack-2020-staff-event-organizer</t>
        </is>
      </c>
    </row>
    <row r="2928">
      <c r="A2928" s="2" t="inlineStr">
        <is>
          <t>Japanese Promo Sword &amp; Shield Gym Promo Pack Vol.2</t>
        </is>
      </c>
      <c r="B2928" s="3">
        <f>IF(H2928&lt;&gt;"",H2928,IF(I2928&lt;&gt;"",I2928,IF(J2928&lt;&gt;"",J2928,K2928)))</f>
        <v>7.12</v>
      </c>
      <c r="C2928" s="3">
        <f>MEDIAN(H2928:K2928)</f>
        <v>7.12</v>
      </c>
      <c r="D2928" s="3">
        <f>ROUND(C2928*(1-Settings!$B$2),2)</f>
        <v>4.98</v>
      </c>
      <c r="E2928" s="2" t="inlineStr">
        <is>
          <t>Pokemon</t>
        </is>
      </c>
      <c r="F2928" s="2" t="inlineStr">
        <is>
          <t>Pack</t>
        </is>
      </c>
      <c r="G2928" s="2" t="inlineStr">
        <is>
          <t>Japanese Promo</t>
        </is>
      </c>
      <c r="H2928" s="3" t="n">
        <v>7.12</v>
      </c>
      <c r="I2928" s="3" t="n"/>
      <c r="J2928" s="3" t="n"/>
      <c r="K2928" s="3" t="n"/>
      <c r="L2928" s="2" t="inlineStr">
        <is>
          <t>PriceCharting</t>
        </is>
      </c>
      <c r="M2928" s="4" t="inlineStr">
        <is>
          <t>https://www.pricecharting.com/game/pokemon-japanese-promo/sword-&amp;-shield-gym-promo-pack-vol2</t>
        </is>
      </c>
    </row>
    <row r="2929">
      <c r="A2929" s="2" t="inlineStr">
        <is>
          <t>Japanese Raging Surf Booster Pack</t>
        </is>
      </c>
      <c r="B2929" s="3">
        <f>IF(H2929&lt;&gt;"",H2929,IF(I2929&lt;&gt;"",I2929,IF(J2929&lt;&gt;"",J2929,K2929)))</f>
        <v>83.0</v>
      </c>
      <c r="C2929" s="3">
        <f>MEDIAN(H2929:K2929)</f>
        <v>83.0</v>
      </c>
      <c r="D2929" s="3">
        <f>ROUND(C2929*(1-Settings!$B$2),2)</f>
        <v>58.1</v>
      </c>
      <c r="E2929" s="2" t="inlineStr">
        <is>
          <t>Pokemon</t>
        </is>
      </c>
      <c r="F2929" s="2" t="inlineStr">
        <is>
          <t>Pack</t>
        </is>
      </c>
      <c r="G2929" s="2" t="inlineStr">
        <is>
          <t>Japanese Raging Surf</t>
        </is>
      </c>
      <c r="H2929" s="3" t="n">
        <v>83</v>
      </c>
      <c r="I2929" s="3" t="n"/>
      <c r="J2929" s="3" t="n"/>
      <c r="K2929" s="3" t="n"/>
      <c r="L2929" s="2" t="inlineStr">
        <is>
          <t>PriceCharting</t>
        </is>
      </c>
      <c r="M2929" s="4" t="inlineStr">
        <is>
          <t>https://www.pricecharting.com/game/pokemon-japanese-raging-surf/booster-pack</t>
        </is>
      </c>
    </row>
    <row r="2930">
      <c r="A2930" s="2" t="inlineStr">
        <is>
          <t>Japanese Remix Bout Booster Pack</t>
        </is>
      </c>
      <c r="B2930" s="3">
        <f>IF(H2930&lt;&gt;"",H2930,IF(I2930&lt;&gt;"",I2930,IF(J2930&lt;&gt;"",J2930,K2930)))</f>
        <v>70.0</v>
      </c>
      <c r="C2930" s="3">
        <f>MEDIAN(H2930:K2930)</f>
        <v>70.0</v>
      </c>
      <c r="D2930" s="3">
        <f>ROUND(C2930*(1-Settings!$B$2),2)</f>
        <v>49.0</v>
      </c>
      <c r="E2930" s="2" t="inlineStr">
        <is>
          <t>Pokemon</t>
        </is>
      </c>
      <c r="F2930" s="2" t="inlineStr">
        <is>
          <t>Pack</t>
        </is>
      </c>
      <c r="G2930" s="2" t="inlineStr">
        <is>
          <t>Japanese Remix Bout</t>
        </is>
      </c>
      <c r="H2930" s="3" t="n">
        <v>70</v>
      </c>
      <c r="I2930" s="3" t="n"/>
      <c r="J2930" s="3" t="n"/>
      <c r="K2930" s="3" t="n"/>
      <c r="L2930" s="2" t="inlineStr">
        <is>
          <t>PriceCharting</t>
        </is>
      </c>
      <c r="M2930" s="4" t="inlineStr">
        <is>
          <t>https://www.pricecharting.com/game/pokemon-japanese-remix-bout/booster-pack</t>
        </is>
      </c>
    </row>
    <row r="2931">
      <c r="A2931" s="2" t="inlineStr">
        <is>
          <t>Japanese Rocket Gang Booster Pack</t>
        </is>
      </c>
      <c r="B2931" s="3">
        <f>IF(H2931&lt;&gt;"",H2931,IF(I2931&lt;&gt;"",I2931,IF(J2931&lt;&gt;"",J2931,K2931)))</f>
        <v>1062.5</v>
      </c>
      <c r="C2931" s="3">
        <f>MEDIAN(H2931:K2931)</f>
        <v>1062.5</v>
      </c>
      <c r="D2931" s="3">
        <f>ROUND(C2931*(1-Settings!$B$2),2)</f>
        <v>743.75</v>
      </c>
      <c r="E2931" s="2" t="inlineStr">
        <is>
          <t>Pokemon</t>
        </is>
      </c>
      <c r="F2931" s="2" t="inlineStr">
        <is>
          <t>Pack</t>
        </is>
      </c>
      <c r="G2931" s="2" t="inlineStr">
        <is>
          <t>Japanese Rocket Gang</t>
        </is>
      </c>
      <c r="H2931" s="3" t="n">
        <v>1062.5</v>
      </c>
      <c r="I2931" s="3" t="n"/>
      <c r="J2931" s="3" t="n"/>
      <c r="K2931" s="3" t="n"/>
      <c r="L2931" s="2" t="inlineStr">
        <is>
          <t>PriceCharting</t>
        </is>
      </c>
      <c r="M2931" s="4" t="inlineStr">
        <is>
          <t>https://www.pricecharting.com/game/pokemon-japanese-rocket-gang/booster-pack</t>
        </is>
      </c>
    </row>
    <row r="2932">
      <c r="A2932" s="2" t="inlineStr">
        <is>
          <t>Japanese Rocket Gang Strikes Back Booster Pack</t>
        </is>
      </c>
      <c r="B2932" s="3">
        <f>IF(H2932&lt;&gt;"",H2932,IF(I2932&lt;&gt;"",I2932,IF(J2932&lt;&gt;"",J2932,K2932)))</f>
        <v>4100.0</v>
      </c>
      <c r="C2932" s="3">
        <f>MEDIAN(H2932:K2932)</f>
        <v>4100.0</v>
      </c>
      <c r="D2932" s="3">
        <f>ROUND(C2932*(1-Settings!$B$2),2)</f>
        <v>2870.0</v>
      </c>
      <c r="E2932" s="2" t="inlineStr">
        <is>
          <t>Pokemon</t>
        </is>
      </c>
      <c r="F2932" s="2" t="inlineStr">
        <is>
          <t>Pack</t>
        </is>
      </c>
      <c r="G2932" s="2" t="inlineStr">
        <is>
          <t>Japanese Rocket Gang Strikes Back</t>
        </is>
      </c>
      <c r="H2932" s="3" t="n">
        <v>4100</v>
      </c>
      <c r="I2932" s="3" t="n"/>
      <c r="J2932" s="3" t="n"/>
      <c r="K2932" s="3" t="n"/>
      <c r="L2932" s="2" t="inlineStr">
        <is>
          <t>PriceCharting</t>
        </is>
      </c>
      <c r="M2932" s="4" t="inlineStr">
        <is>
          <t>https://www.pricecharting.com/game/pokemon-japanese-rocket-gang-strikes-back/booster-pack</t>
        </is>
      </c>
    </row>
    <row r="2933">
      <c r="A2933" s="2" t="inlineStr">
        <is>
          <t>Japanese Ruler Of The Black Flame Booster Pack</t>
        </is>
      </c>
      <c r="B2933" s="3">
        <f>IF(H2933&lt;&gt;"",H2933,IF(I2933&lt;&gt;"",I2933,IF(J2933&lt;&gt;"",J2933,K2933)))</f>
        <v>6.0</v>
      </c>
      <c r="C2933" s="3">
        <f>MEDIAN(H2933:K2933)</f>
        <v>6.0</v>
      </c>
      <c r="D2933" s="3">
        <f>ROUND(C2933*(1-Settings!$B$2),2)</f>
        <v>4.2</v>
      </c>
      <c r="E2933" s="2" t="inlineStr">
        <is>
          <t>Pokemon</t>
        </is>
      </c>
      <c r="F2933" s="2" t="inlineStr">
        <is>
          <t>Pack</t>
        </is>
      </c>
      <c r="G2933" s="2" t="inlineStr">
        <is>
          <t>Japanese Ruler Of The Black Flame</t>
        </is>
      </c>
      <c r="H2933" s="3" t="n">
        <v>6</v>
      </c>
      <c r="I2933" s="3" t="n"/>
      <c r="J2933" s="3" t="n"/>
      <c r="K2933" s="3" t="n"/>
      <c r="L2933" s="2" t="inlineStr">
        <is>
          <t>PriceCharting</t>
        </is>
      </c>
      <c r="M2933" s="4" t="inlineStr">
        <is>
          <t>https://www.pricecharting.com/game/pokemon-japanese-ruler-of-the-black-flame/booster-pack</t>
        </is>
      </c>
    </row>
    <row r="2934">
      <c r="A2934" s="2" t="inlineStr">
        <is>
          <t>Japanese Scarlet Ex Booster Pack</t>
        </is>
      </c>
      <c r="B2934" s="3">
        <f>IF(H2934&lt;&gt;"",H2934,IF(I2934&lt;&gt;"",I2934,IF(J2934&lt;&gt;"",J2934,K2934)))</f>
        <v>5.96</v>
      </c>
      <c r="C2934" s="3">
        <f>MEDIAN(H2934:K2934)</f>
        <v>5.96</v>
      </c>
      <c r="D2934" s="3">
        <f>ROUND(C2934*(1-Settings!$B$2),2)</f>
        <v>4.17</v>
      </c>
      <c r="E2934" s="2" t="inlineStr">
        <is>
          <t>Pokemon</t>
        </is>
      </c>
      <c r="F2934" s="2" t="inlineStr">
        <is>
          <t>Pack</t>
        </is>
      </c>
      <c r="G2934" s="2" t="inlineStr">
        <is>
          <t>Japanese Scarlet Ex</t>
        </is>
      </c>
      <c r="H2934" s="3" t="n">
        <v>5.96</v>
      </c>
      <c r="I2934" s="3" t="n"/>
      <c r="J2934" s="3" t="n"/>
      <c r="K2934" s="3" t="n"/>
      <c r="L2934" s="2" t="inlineStr">
        <is>
          <t>PriceCharting</t>
        </is>
      </c>
      <c r="M2934" s="4" t="inlineStr">
        <is>
          <t>https://www.pricecharting.com/game/pokemon-japanese-scarlet-ex/booster-pack</t>
        </is>
      </c>
    </row>
    <row r="2935">
      <c r="A2935" s="2" t="inlineStr">
        <is>
          <t>Japanese Shining Legends Booster Pack</t>
        </is>
      </c>
      <c r="B2935" s="3">
        <f>IF(H2935&lt;&gt;"",H2935,IF(I2935&lt;&gt;"",I2935,IF(J2935&lt;&gt;"",J2935,K2935)))</f>
        <v>139.88</v>
      </c>
      <c r="C2935" s="3">
        <f>MEDIAN(H2935:K2935)</f>
        <v>139.88</v>
      </c>
      <c r="D2935" s="3">
        <f>ROUND(C2935*(1-Settings!$B$2),2)</f>
        <v>97.92</v>
      </c>
      <c r="E2935" s="2" t="inlineStr">
        <is>
          <t>Pokemon</t>
        </is>
      </c>
      <c r="F2935" s="2" t="inlineStr">
        <is>
          <t>Pack</t>
        </is>
      </c>
      <c r="G2935" s="2" t="inlineStr">
        <is>
          <t>Japanese Shining Legends</t>
        </is>
      </c>
      <c r="H2935" s="3" t="n">
        <v>139.88</v>
      </c>
      <c r="I2935" s="3" t="n"/>
      <c r="J2935" s="3" t="n"/>
      <c r="K2935" s="3" t="n"/>
      <c r="L2935" s="2" t="inlineStr">
        <is>
          <t>PriceCharting</t>
        </is>
      </c>
      <c r="M2935" s="4" t="inlineStr">
        <is>
          <t>https://www.pricecharting.com/game/pokemon-japanese-shining-legends/booster-pack</t>
        </is>
      </c>
    </row>
    <row r="2936">
      <c r="A2936" s="2" t="inlineStr">
        <is>
          <t>Japanese Shiny Collection Booster Pack</t>
        </is>
      </c>
      <c r="B2936" s="3">
        <f>IF(H2936&lt;&gt;"",H2936,IF(I2936&lt;&gt;"",I2936,IF(J2936&lt;&gt;"",J2936,K2936)))</f>
        <v>465.0</v>
      </c>
      <c r="C2936" s="3">
        <f>MEDIAN(H2936:K2936)</f>
        <v>465.0</v>
      </c>
      <c r="D2936" s="3">
        <f>ROUND(C2936*(1-Settings!$B$2),2)</f>
        <v>325.5</v>
      </c>
      <c r="E2936" s="2" t="inlineStr">
        <is>
          <t>Pokemon</t>
        </is>
      </c>
      <c r="F2936" s="2" t="inlineStr">
        <is>
          <t>Pack</t>
        </is>
      </c>
      <c r="G2936" s="2" t="inlineStr">
        <is>
          <t>Japanese Shiny Collection</t>
        </is>
      </c>
      <c r="H2936" s="3" t="n">
        <v>465</v>
      </c>
      <c r="I2936" s="3" t="n"/>
      <c r="J2936" s="3" t="n"/>
      <c r="K2936" s="3" t="n"/>
      <c r="L2936" s="2" t="inlineStr">
        <is>
          <t>PriceCharting</t>
        </is>
      </c>
      <c r="M2936" s="4" t="inlineStr">
        <is>
          <t>https://www.pricecharting.com/game/pokemon-japanese-shiny-collection/booster-pack</t>
        </is>
      </c>
    </row>
    <row r="2937">
      <c r="A2937" s="2" t="inlineStr">
        <is>
          <t>Japanese Shiny Star V Booster Pack</t>
        </is>
      </c>
      <c r="B2937" s="3">
        <f>IF(H2937&lt;&gt;"",H2937,IF(I2937&lt;&gt;"",I2937,IF(J2937&lt;&gt;"",J2937,K2937)))</f>
        <v>8.01</v>
      </c>
      <c r="C2937" s="3">
        <f>MEDIAN(H2937:K2937)</f>
        <v>8.01</v>
      </c>
      <c r="D2937" s="3">
        <f>ROUND(C2937*(1-Settings!$B$2),2)</f>
        <v>5.61</v>
      </c>
      <c r="E2937" s="2" t="inlineStr">
        <is>
          <t>Pokemon</t>
        </is>
      </c>
      <c r="F2937" s="2" t="inlineStr">
        <is>
          <t>Pack</t>
        </is>
      </c>
      <c r="G2937" s="2" t="inlineStr">
        <is>
          <t>Japanese Shiny Star V</t>
        </is>
      </c>
      <c r="H2937" s="3" t="n">
        <v>8.01</v>
      </c>
      <c r="I2937" s="3" t="n"/>
      <c r="J2937" s="3" t="n"/>
      <c r="K2937" s="3" t="n"/>
      <c r="L2937" s="2" t="inlineStr">
        <is>
          <t>PriceCharting</t>
        </is>
      </c>
      <c r="M2937" s="4" t="inlineStr">
        <is>
          <t>https://www.pricecharting.com/game/pokemon-japanese-shiny-star-v/booster-pack</t>
        </is>
      </c>
    </row>
    <row r="2938">
      <c r="A2938" s="2" t="inlineStr">
        <is>
          <t>Japanese Shiny Treasure Ex Booster Pack</t>
        </is>
      </c>
      <c r="B2938" s="3">
        <f>IF(H2938&lt;&gt;"",H2938,IF(I2938&lt;&gt;"",I2938,IF(J2938&lt;&gt;"",J2938,K2938)))</f>
        <v>28.7</v>
      </c>
      <c r="C2938" s="3">
        <f>MEDIAN(H2938:K2938)</f>
        <v>28.7</v>
      </c>
      <c r="D2938" s="3">
        <f>ROUND(C2938*(1-Settings!$B$2),2)</f>
        <v>20.09</v>
      </c>
      <c r="E2938" s="2" t="inlineStr">
        <is>
          <t>Pokemon</t>
        </is>
      </c>
      <c r="F2938" s="2" t="inlineStr">
        <is>
          <t>Pack</t>
        </is>
      </c>
      <c r="G2938" s="2" t="inlineStr">
        <is>
          <t>Japanese Shiny Treasure Ex</t>
        </is>
      </c>
      <c r="H2938" s="3" t="n">
        <v>28.7</v>
      </c>
      <c r="I2938" s="3" t="n"/>
      <c r="J2938" s="3" t="n"/>
      <c r="K2938" s="3" t="n"/>
      <c r="L2938" s="2" t="inlineStr">
        <is>
          <t>PriceCharting</t>
        </is>
      </c>
      <c r="M2938" s="4" t="inlineStr">
        <is>
          <t>https://www.pricecharting.com/game/pokemon-japanese-shiny-treasure-ex/booster-pack</t>
        </is>
      </c>
    </row>
    <row r="2939">
      <c r="A2939" s="2" t="inlineStr">
        <is>
          <t>Japanese Snow Hazard Booster Pack</t>
        </is>
      </c>
      <c r="B2939" s="3">
        <f>IF(H2939&lt;&gt;"",H2939,IF(I2939&lt;&gt;"",I2939,IF(J2939&lt;&gt;"",J2939,K2939)))</f>
        <v>4.75</v>
      </c>
      <c r="C2939" s="3">
        <f>MEDIAN(H2939:K2939)</f>
        <v>4.75</v>
      </c>
      <c r="D2939" s="3">
        <f>ROUND(C2939*(1-Settings!$B$2),2)</f>
        <v>3.33</v>
      </c>
      <c r="E2939" s="2" t="inlineStr">
        <is>
          <t>Pokemon</t>
        </is>
      </c>
      <c r="F2939" s="2" t="inlineStr">
        <is>
          <t>Pack</t>
        </is>
      </c>
      <c r="G2939" s="2" t="inlineStr">
        <is>
          <t>Japanese Snow Hazard</t>
        </is>
      </c>
      <c r="H2939" s="3" t="n">
        <v>4.75</v>
      </c>
      <c r="I2939" s="3" t="n"/>
      <c r="J2939" s="3" t="n"/>
      <c r="K2939" s="3" t="n"/>
      <c r="L2939" s="2" t="inlineStr">
        <is>
          <t>PriceCharting</t>
        </is>
      </c>
      <c r="M2939" s="4" t="inlineStr">
        <is>
          <t>https://www.pricecharting.com/game/pokemon-japanese-snow-hazard/booster-pack</t>
        </is>
      </c>
    </row>
    <row r="2940">
      <c r="A2940" s="2" t="inlineStr">
        <is>
          <t>Japanese Split Earth Booster Pack</t>
        </is>
      </c>
      <c r="B2940" s="3">
        <f>IF(H2940&lt;&gt;"",H2940,IF(I2940&lt;&gt;"",I2940,IF(J2940&lt;&gt;"",J2940,K2940)))</f>
        <v>1499.99</v>
      </c>
      <c r="C2940" s="3">
        <f>MEDIAN(H2940:K2940)</f>
        <v>1499.99</v>
      </c>
      <c r="D2940" s="3">
        <f>ROUND(C2940*(1-Settings!$B$2),2)</f>
        <v>1049.99</v>
      </c>
      <c r="E2940" s="2" t="inlineStr">
        <is>
          <t>Pokemon</t>
        </is>
      </c>
      <c r="F2940" s="2" t="inlineStr">
        <is>
          <t>Pack</t>
        </is>
      </c>
      <c r="G2940" s="2" t="inlineStr">
        <is>
          <t>Japanese Split Earth</t>
        </is>
      </c>
      <c r="H2940" s="3" t="n">
        <v>1499.99</v>
      </c>
      <c r="I2940" s="3" t="n"/>
      <c r="J2940" s="3" t="n"/>
      <c r="K2940" s="3" t="n"/>
      <c r="L2940" s="2" t="inlineStr">
        <is>
          <t>PriceCharting</t>
        </is>
      </c>
      <c r="M2940" s="4" t="inlineStr">
        <is>
          <t>https://www.pricecharting.com/game/pokemon-japanese-split-earth/booster-pack</t>
        </is>
      </c>
    </row>
    <row r="2941">
      <c r="A2941" s="2" t="inlineStr">
        <is>
          <t>Japanese Split Earth Booster Pack [1st Edition]</t>
        </is>
      </c>
      <c r="B2941" s="3">
        <f>IF(H2941&lt;&gt;"",H2941,IF(I2941&lt;&gt;"",I2941,IF(J2941&lt;&gt;"",J2941,K2941)))</f>
        <v>1591.32</v>
      </c>
      <c r="C2941" s="3">
        <f>MEDIAN(H2941:K2941)</f>
        <v>1591.32</v>
      </c>
      <c r="D2941" s="3">
        <f>ROUND(C2941*(1-Settings!$B$2),2)</f>
        <v>1113.92</v>
      </c>
      <c r="E2941" s="2" t="inlineStr">
        <is>
          <t>Pokemon</t>
        </is>
      </c>
      <c r="F2941" s="2" t="inlineStr">
        <is>
          <t>Pack</t>
        </is>
      </c>
      <c r="G2941" s="2" t="inlineStr">
        <is>
          <t>Japanese Split Earth</t>
        </is>
      </c>
      <c r="H2941" s="3" t="n">
        <v>1591.32</v>
      </c>
      <c r="I2941" s="3" t="n"/>
      <c r="J2941" s="3" t="n"/>
      <c r="K2941" s="3" t="n"/>
      <c r="L2941" s="2" t="inlineStr">
        <is>
          <t>PriceCharting</t>
        </is>
      </c>
      <c r="M2941" s="4" t="inlineStr">
        <is>
          <t>https://www.pricecharting.com/game/pokemon-japanese-split-earth/booster-pack-1st-edition</t>
        </is>
      </c>
    </row>
    <row r="2942">
      <c r="A2942" s="2" t="inlineStr">
        <is>
          <t>Japanese Star Birth Booster Pack</t>
        </is>
      </c>
      <c r="B2942" s="3">
        <f>IF(H2942&lt;&gt;"",H2942,IF(I2942&lt;&gt;"",I2942,IF(J2942&lt;&gt;"",J2942,K2942)))</f>
        <v>4.99</v>
      </c>
      <c r="C2942" s="3">
        <f>MEDIAN(H2942:K2942)</f>
        <v>4.99</v>
      </c>
      <c r="D2942" s="3">
        <f>ROUND(C2942*(1-Settings!$B$2),2)</f>
        <v>3.49</v>
      </c>
      <c r="E2942" s="2" t="inlineStr">
        <is>
          <t>Pokemon</t>
        </is>
      </c>
      <c r="F2942" s="2" t="inlineStr">
        <is>
          <t>Pack</t>
        </is>
      </c>
      <c r="G2942" s="2" t="inlineStr">
        <is>
          <t>Japanese Star Birth</t>
        </is>
      </c>
      <c r="H2942" s="3" t="n">
        <v>4.99</v>
      </c>
      <c r="I2942" s="3" t="n"/>
      <c r="J2942" s="3" t="n"/>
      <c r="K2942" s="3" t="n"/>
      <c r="L2942" s="2" t="inlineStr">
        <is>
          <t>PriceCharting</t>
        </is>
      </c>
      <c r="M2942" s="4" t="inlineStr">
        <is>
          <t>https://www.pricecharting.com/game/pokemon-japanese-star-birth/booster-pack</t>
        </is>
      </c>
    </row>
    <row r="2943">
      <c r="A2943" s="2" t="inlineStr">
        <is>
          <t>Japanese Stellar Miracle Booster Pack</t>
        </is>
      </c>
      <c r="B2943" s="3">
        <f>IF(H2943&lt;&gt;"",H2943,IF(I2943&lt;&gt;"",I2943,IF(J2943&lt;&gt;"",J2943,K2943)))</f>
        <v>2.9</v>
      </c>
      <c r="C2943" s="3">
        <f>MEDIAN(H2943:K2943)</f>
        <v>2.9</v>
      </c>
      <c r="D2943" s="3">
        <f>ROUND(C2943*(1-Settings!$B$2),2)</f>
        <v>2.03</v>
      </c>
      <c r="E2943" s="2" t="inlineStr">
        <is>
          <t>Pokemon</t>
        </is>
      </c>
      <c r="F2943" s="2" t="inlineStr">
        <is>
          <t>Pack</t>
        </is>
      </c>
      <c r="G2943" s="2" t="inlineStr">
        <is>
          <t>Japanese Stellar Miracle</t>
        </is>
      </c>
      <c r="H2943" s="3" t="n">
        <v>2.9</v>
      </c>
      <c r="I2943" s="3" t="n"/>
      <c r="J2943" s="3" t="n"/>
      <c r="K2943" s="3" t="n"/>
      <c r="L2943" s="2" t="inlineStr">
        <is>
          <t>PriceCharting</t>
        </is>
      </c>
      <c r="M2943" s="4" t="inlineStr">
        <is>
          <t>https://www.pricecharting.com/game/pokemon-japanese-stellar-miracle/booster-pack</t>
        </is>
      </c>
    </row>
    <row r="2944">
      <c r="A2944" s="2" t="inlineStr">
        <is>
          <t>Japanese Storm Emeralda Booster Pack</t>
        </is>
      </c>
      <c r="B2944" s="3">
        <f>IF(H2944&lt;&gt;"",H2944,IF(I2944&lt;&gt;"",I2944,IF(J2944&lt;&gt;"",J2944,K2944)))</f>
        <v>4.7</v>
      </c>
      <c r="C2944" s="3">
        <f>MEDIAN(H2944:K2944)</f>
        <v>4.7</v>
      </c>
      <c r="D2944" s="3">
        <f>ROUND(C2944*(1-Settings!$B$2),2)</f>
        <v>3.29</v>
      </c>
      <c r="E2944" s="2" t="inlineStr">
        <is>
          <t>Pokemon</t>
        </is>
      </c>
      <c r="F2944" s="2" t="inlineStr">
        <is>
          <t>Pack</t>
        </is>
      </c>
      <c r="G2944" s="2" t="inlineStr">
        <is>
          <t>Japanese Storm Emeralda</t>
        </is>
      </c>
      <c r="H2944" s="3" t="n">
        <v>4.7</v>
      </c>
      <c r="I2944" s="3" t="n"/>
      <c r="J2944" s="3" t="n"/>
      <c r="K2944" s="3" t="n"/>
      <c r="L2944" s="2" t="inlineStr">
        <is>
          <t>PriceCharting</t>
        </is>
      </c>
      <c r="M2944" s="4" t="inlineStr">
        <is>
          <t>https://www.pricecharting.com/game/pokemon-japanese-storm-emeralda/booster-pack</t>
        </is>
      </c>
    </row>
    <row r="2945">
      <c r="A2945" s="2" t="inlineStr">
        <is>
          <t>Japanese Super Electric Breaker Booster Pack</t>
        </is>
      </c>
      <c r="B2945" s="3">
        <f>IF(H2945&lt;&gt;"",H2945,IF(I2945&lt;&gt;"",I2945,IF(J2945&lt;&gt;"",J2945,K2945)))</f>
        <v>5.63</v>
      </c>
      <c r="C2945" s="3">
        <f>MEDIAN(H2945:K2945)</f>
        <v>5.63</v>
      </c>
      <c r="D2945" s="3">
        <f>ROUND(C2945*(1-Settings!$B$2),2)</f>
        <v>3.94</v>
      </c>
      <c r="E2945" s="2" t="inlineStr">
        <is>
          <t>Pokemon</t>
        </is>
      </c>
      <c r="F2945" s="2" t="inlineStr">
        <is>
          <t>Pack</t>
        </is>
      </c>
      <c r="G2945" s="2" t="inlineStr">
        <is>
          <t>Japanese Super Electric Breaker</t>
        </is>
      </c>
      <c r="H2945" s="3" t="n">
        <v>5.63</v>
      </c>
      <c r="I2945" s="3" t="n"/>
      <c r="J2945" s="3" t="n"/>
      <c r="K2945" s="3" t="n"/>
      <c r="L2945" s="2" t="inlineStr">
        <is>
          <t>PriceCharting</t>
        </is>
      </c>
      <c r="M2945" s="4" t="inlineStr">
        <is>
          <t>https://www.pricecharting.com/game/pokemon-japanese-super-electric-breaker/booster-pack</t>
        </is>
      </c>
    </row>
    <row r="2946">
      <c r="A2946" s="2" t="inlineStr">
        <is>
          <t>Japanese Tag All Stars Booster Pack</t>
        </is>
      </c>
      <c r="B2946" s="3">
        <f>IF(H2946&lt;&gt;"",H2946,IF(I2946&lt;&gt;"",I2946,IF(J2946&lt;&gt;"",J2946,K2946)))</f>
        <v>66.21</v>
      </c>
      <c r="C2946" s="3">
        <f>MEDIAN(H2946:K2946)</f>
        <v>66.21</v>
      </c>
      <c r="D2946" s="3">
        <f>ROUND(C2946*(1-Settings!$B$2),2)</f>
        <v>46.35</v>
      </c>
      <c r="E2946" s="2" t="inlineStr">
        <is>
          <t>Pokemon</t>
        </is>
      </c>
      <c r="F2946" s="2" t="inlineStr">
        <is>
          <t>Pack</t>
        </is>
      </c>
      <c r="G2946" s="2" t="inlineStr">
        <is>
          <t>Japanese Tag All Stars</t>
        </is>
      </c>
      <c r="H2946" s="3" t="n">
        <v>66.20999999999999</v>
      </c>
      <c r="I2946" s="3" t="n"/>
      <c r="J2946" s="3" t="n"/>
      <c r="K2946" s="3" t="n"/>
      <c r="L2946" s="2" t="inlineStr">
        <is>
          <t>PriceCharting</t>
        </is>
      </c>
      <c r="M2946" s="4" t="inlineStr">
        <is>
          <t>https://www.pricecharting.com/game/pokemon-japanese-tag-all-stars/booster-pack</t>
        </is>
      </c>
    </row>
    <row r="2947">
      <c r="A2947" s="2" t="inlineStr">
        <is>
          <t>Japanese Tag Bolt Booster Pack</t>
        </is>
      </c>
      <c r="B2947" s="3">
        <f>IF(H2947&lt;&gt;"",H2947,IF(I2947&lt;&gt;"",I2947,IF(J2947&lt;&gt;"",J2947,K2947)))</f>
        <v>128.34</v>
      </c>
      <c r="C2947" s="3">
        <f>MEDIAN(H2947:K2947)</f>
        <v>128.34</v>
      </c>
      <c r="D2947" s="3">
        <f>ROUND(C2947*(1-Settings!$B$2),2)</f>
        <v>89.84</v>
      </c>
      <c r="E2947" s="2" t="inlineStr">
        <is>
          <t>Pokemon</t>
        </is>
      </c>
      <c r="F2947" s="2" t="inlineStr">
        <is>
          <t>Pack</t>
        </is>
      </c>
      <c r="G2947" s="2" t="inlineStr">
        <is>
          <t>Japanese Tag Bolt</t>
        </is>
      </c>
      <c r="H2947" s="3" t="n">
        <v>128.34</v>
      </c>
      <c r="I2947" s="3" t="n"/>
      <c r="J2947" s="3" t="n"/>
      <c r="K2947" s="3" t="n"/>
      <c r="L2947" s="2" t="inlineStr">
        <is>
          <t>PriceCharting</t>
        </is>
      </c>
      <c r="M2947" s="4" t="inlineStr">
        <is>
          <t>https://www.pricecharting.com/game/pokemon-japanese-tag-bolt/booster-pack</t>
        </is>
      </c>
    </row>
    <row r="2948">
      <c r="A2948" s="2" t="inlineStr">
        <is>
          <t>Japanese Terastal Festival Booster Pack</t>
        </is>
      </c>
      <c r="B2948" s="3">
        <f>IF(H2948&lt;&gt;"",H2948,IF(I2948&lt;&gt;"",I2948,IF(J2948&lt;&gt;"",J2948,K2948)))</f>
        <v>17.22</v>
      </c>
      <c r="C2948" s="3">
        <f>MEDIAN(H2948:K2948)</f>
        <v>17.22</v>
      </c>
      <c r="D2948" s="3">
        <f>ROUND(C2948*(1-Settings!$B$2),2)</f>
        <v>12.05</v>
      </c>
      <c r="E2948" s="2" t="inlineStr">
        <is>
          <t>Pokemon</t>
        </is>
      </c>
      <c r="F2948" s="2" t="inlineStr">
        <is>
          <t>Pack</t>
        </is>
      </c>
      <c r="G2948" s="2" t="inlineStr">
        <is>
          <t>Japanese Terastal Festival</t>
        </is>
      </c>
      <c r="H2948" s="3" t="n">
        <v>17.22</v>
      </c>
      <c r="I2948" s="3" t="n"/>
      <c r="J2948" s="3" t="n"/>
      <c r="K2948" s="3" t="n"/>
      <c r="L2948" s="2" t="inlineStr">
        <is>
          <t>PriceCharting</t>
        </is>
      </c>
      <c r="M2948" s="4" t="inlineStr">
        <is>
          <t>https://www.pricecharting.com/game/pokemon-japanese-terastal-festival/booster-pack</t>
        </is>
      </c>
    </row>
    <row r="2949">
      <c r="A2949" s="2" t="inlineStr">
        <is>
          <t>Japanese The Town On No Map Booster Pack</t>
        </is>
      </c>
      <c r="B2949" s="3">
        <f>IF(H2949&lt;&gt;"",H2949,IF(I2949&lt;&gt;"",I2949,IF(J2949&lt;&gt;"",J2949,K2949)))</f>
        <v>1584.48</v>
      </c>
      <c r="C2949" s="3">
        <f>MEDIAN(H2949:K2949)</f>
        <v>1584.48</v>
      </c>
      <c r="D2949" s="3">
        <f>ROUND(C2949*(1-Settings!$B$2),2)</f>
        <v>1109.14</v>
      </c>
      <c r="E2949" s="2" t="inlineStr">
        <is>
          <t>Pokemon</t>
        </is>
      </c>
      <c r="F2949" s="2" t="inlineStr">
        <is>
          <t>Pack</t>
        </is>
      </c>
      <c r="G2949" s="2" t="inlineStr">
        <is>
          <t>Japanese The Town On No Map</t>
        </is>
      </c>
      <c r="H2949" s="3" t="n">
        <v>1584.48</v>
      </c>
      <c r="I2949" s="3" t="n"/>
      <c r="J2949" s="3" t="n"/>
      <c r="K2949" s="3" t="n"/>
      <c r="L2949" s="2" t="inlineStr">
        <is>
          <t>PriceCharting</t>
        </is>
      </c>
      <c r="M2949" s="4" t="inlineStr">
        <is>
          <t>https://www.pricecharting.com/game/pokemon-japanese-the-town-on-no-map/booster-pack</t>
        </is>
      </c>
    </row>
    <row r="2950">
      <c r="A2950" s="2" t="inlineStr">
        <is>
          <t>Japanese Topsun Booster Pack</t>
        </is>
      </c>
      <c r="B2950" s="3">
        <f>IF(H2950&lt;&gt;"",H2950,IF(I2950&lt;&gt;"",I2950,IF(J2950&lt;&gt;"",J2950,K2950)))</f>
        <v>771.01</v>
      </c>
      <c r="C2950" s="3">
        <f>MEDIAN(H2950:K2950)</f>
        <v>771.01</v>
      </c>
      <c r="D2950" s="3">
        <f>ROUND(C2950*(1-Settings!$B$2),2)</f>
        <v>539.71</v>
      </c>
      <c r="E2950" s="2" t="inlineStr">
        <is>
          <t>Pokemon</t>
        </is>
      </c>
      <c r="F2950" s="2" t="inlineStr">
        <is>
          <t>Pack</t>
        </is>
      </c>
      <c r="G2950" s="2" t="inlineStr">
        <is>
          <t>Japanese Topsun</t>
        </is>
      </c>
      <c r="H2950" s="3" t="n">
        <v>771.01</v>
      </c>
      <c r="I2950" s="3" t="n"/>
      <c r="J2950" s="3" t="n"/>
      <c r="K2950" s="3" t="n"/>
      <c r="L2950" s="2" t="inlineStr">
        <is>
          <t>PriceCharting</t>
        </is>
      </c>
      <c r="M2950" s="4" t="inlineStr">
        <is>
          <t>https://www.pricecharting.com/game/pokemon-japanese-topsun/booster-pack</t>
        </is>
      </c>
    </row>
    <row r="2951">
      <c r="A2951" s="2" t="inlineStr">
        <is>
          <t>Japanese Triplet Beat Booster Pack</t>
        </is>
      </c>
      <c r="B2951" s="3">
        <f>IF(H2951&lt;&gt;"",H2951,IF(I2951&lt;&gt;"",I2951,IF(J2951&lt;&gt;"",J2951,K2951)))</f>
        <v>8.0</v>
      </c>
      <c r="C2951" s="3">
        <f>MEDIAN(H2951:K2951)</f>
        <v>8.0</v>
      </c>
      <c r="D2951" s="3">
        <f>ROUND(C2951*(1-Settings!$B$2),2)</f>
        <v>5.6</v>
      </c>
      <c r="E2951" s="2" t="inlineStr">
        <is>
          <t>Pokemon</t>
        </is>
      </c>
      <c r="F2951" s="2" t="inlineStr">
        <is>
          <t>Pack</t>
        </is>
      </c>
      <c r="G2951" s="2" t="inlineStr">
        <is>
          <t>Japanese Triplet Beat</t>
        </is>
      </c>
      <c r="H2951" s="3" t="n">
        <v>8</v>
      </c>
      <c r="I2951" s="3" t="n"/>
      <c r="J2951" s="3" t="n"/>
      <c r="K2951" s="3" t="n"/>
      <c r="L2951" s="2" t="inlineStr">
        <is>
          <t>PriceCharting</t>
        </is>
      </c>
      <c r="M2951" s="4" t="inlineStr">
        <is>
          <t>https://www.pricecharting.com/game/pokemon-japanese-triplet-beat/booster-pack</t>
        </is>
      </c>
    </row>
    <row r="2952">
      <c r="A2952" s="2" t="inlineStr">
        <is>
          <t>Japanese Violet Ex Booster Pack</t>
        </is>
      </c>
      <c r="B2952" s="3">
        <f>IF(H2952&lt;&gt;"",H2952,IF(I2952&lt;&gt;"",I2952,IF(J2952&lt;&gt;"",J2952,K2952)))</f>
        <v>2.6</v>
      </c>
      <c r="C2952" s="3">
        <f>MEDIAN(H2952:K2952)</f>
        <v>2.6</v>
      </c>
      <c r="D2952" s="3">
        <f>ROUND(C2952*(1-Settings!$B$2),2)</f>
        <v>1.82</v>
      </c>
      <c r="E2952" s="2" t="inlineStr">
        <is>
          <t>Pokemon</t>
        </is>
      </c>
      <c r="F2952" s="2" t="inlineStr">
        <is>
          <t>Pack</t>
        </is>
      </c>
      <c r="G2952" s="2" t="inlineStr">
        <is>
          <t>Japanese Violet Ex</t>
        </is>
      </c>
      <c r="H2952" s="3" t="n">
        <v>2.6</v>
      </c>
      <c r="I2952" s="3" t="n"/>
      <c r="J2952" s="3" t="n"/>
      <c r="K2952" s="3" t="n"/>
      <c r="L2952" s="2" t="inlineStr">
        <is>
          <t>PriceCharting</t>
        </is>
      </c>
      <c r="M2952" s="4" t="inlineStr">
        <is>
          <t>https://www.pricecharting.com/game/pokemon-japanese-violet-ex/booster-pack</t>
        </is>
      </c>
    </row>
    <row r="2953">
      <c r="A2953" s="2" t="inlineStr">
        <is>
          <t>Japanese Vmax Climax Booster Pack</t>
        </is>
      </c>
      <c r="B2953" s="3">
        <f>IF(H2953&lt;&gt;"",H2953,IF(I2953&lt;&gt;"",I2953,IF(J2953&lt;&gt;"",J2953,K2953)))</f>
        <v>9.16</v>
      </c>
      <c r="C2953" s="3">
        <f>MEDIAN(H2953:K2953)</f>
        <v>9.16</v>
      </c>
      <c r="D2953" s="3">
        <f>ROUND(C2953*(1-Settings!$B$2),2)</f>
        <v>6.41</v>
      </c>
      <c r="E2953" s="2" t="inlineStr">
        <is>
          <t>Pokemon</t>
        </is>
      </c>
      <c r="F2953" s="2" t="inlineStr">
        <is>
          <t>Pack</t>
        </is>
      </c>
      <c r="G2953" s="2" t="inlineStr">
        <is>
          <t>Japanese Vmax Climax</t>
        </is>
      </c>
      <c r="H2953" s="3" t="n">
        <v>9.16</v>
      </c>
      <c r="I2953" s="3" t="n"/>
      <c r="J2953" s="3" t="n"/>
      <c r="K2953" s="3" t="n"/>
      <c r="L2953" s="2" t="inlineStr">
        <is>
          <t>PriceCharting</t>
        </is>
      </c>
      <c r="M2953" s="4" t="inlineStr">
        <is>
          <t>https://www.pricecharting.com/game/pokemon-japanese-vmax-climax/booster-pack</t>
        </is>
      </c>
    </row>
    <row r="2954">
      <c r="A2954" s="2" t="inlineStr">
        <is>
          <t>Japanese Vs Booster Pack [Fighting/Psychic]</t>
        </is>
      </c>
      <c r="B2954" s="3">
        <f>IF(H2954&lt;&gt;"",H2954,IF(I2954&lt;&gt;"",I2954,IF(J2954&lt;&gt;"",J2954,K2954)))</f>
        <v>2827.0</v>
      </c>
      <c r="C2954" s="3">
        <f>MEDIAN(H2954:K2954)</f>
        <v>2827.0</v>
      </c>
      <c r="D2954" s="3">
        <f>ROUND(C2954*(1-Settings!$B$2),2)</f>
        <v>1978.9</v>
      </c>
      <c r="E2954" s="2" t="inlineStr">
        <is>
          <t>Pokemon</t>
        </is>
      </c>
      <c r="F2954" s="2" t="inlineStr">
        <is>
          <t>Pack</t>
        </is>
      </c>
      <c r="G2954" s="2" t="inlineStr">
        <is>
          <t>Japanese Vs</t>
        </is>
      </c>
      <c r="H2954" s="3" t="n">
        <v>2827</v>
      </c>
      <c r="I2954" s="3" t="n"/>
      <c r="J2954" s="3" t="n"/>
      <c r="K2954" s="3" t="n"/>
      <c r="L2954" s="2" t="inlineStr">
        <is>
          <t>PriceCharting</t>
        </is>
      </c>
      <c r="M2954" s="4" t="inlineStr">
        <is>
          <t>https://www.pricecharting.com/game/pokemon-japanese-vs/booster-pack-fightingpsychic</t>
        </is>
      </c>
    </row>
    <row r="2955">
      <c r="A2955" s="2" t="inlineStr">
        <is>
          <t>Japanese Vs Booster Pack [Grass/Lightning]</t>
        </is>
      </c>
      <c r="B2955" s="3">
        <f>IF(H2955&lt;&gt;"",H2955,IF(I2955&lt;&gt;"",I2955,IF(J2955&lt;&gt;"",J2955,K2955)))</f>
        <v>1874.46</v>
      </c>
      <c r="C2955" s="3">
        <f>MEDIAN(H2955:K2955)</f>
        <v>1874.46</v>
      </c>
      <c r="D2955" s="3">
        <f>ROUND(C2955*(1-Settings!$B$2),2)</f>
        <v>1312.12</v>
      </c>
      <c r="E2955" s="2" t="inlineStr">
        <is>
          <t>Pokemon</t>
        </is>
      </c>
      <c r="F2955" s="2" t="inlineStr">
        <is>
          <t>Pack</t>
        </is>
      </c>
      <c r="G2955" s="2" t="inlineStr">
        <is>
          <t>Japanese Vs</t>
        </is>
      </c>
      <c r="H2955" s="3" t="n">
        <v>1874.46</v>
      </c>
      <c r="I2955" s="3" t="n"/>
      <c r="J2955" s="3" t="n"/>
      <c r="K2955" s="3" t="n"/>
      <c r="L2955" s="2" t="inlineStr">
        <is>
          <t>PriceCharting</t>
        </is>
      </c>
      <c r="M2955" s="4" t="inlineStr">
        <is>
          <t>https://www.pricecharting.com/game/pokemon-japanese-vs/booster-pack-grasslightning</t>
        </is>
      </c>
    </row>
    <row r="2956">
      <c r="A2956" s="2" t="inlineStr">
        <is>
          <t>Japanese Vs Booster Pack [Water/Fire]</t>
        </is>
      </c>
      <c r="B2956" s="3">
        <f>IF(H2956&lt;&gt;"",H2956,IF(I2956&lt;&gt;"",I2956,IF(J2956&lt;&gt;"",J2956,K2956)))</f>
        <v>4800.0</v>
      </c>
      <c r="C2956" s="3">
        <f>MEDIAN(H2956:K2956)</f>
        <v>4800.0</v>
      </c>
      <c r="D2956" s="3">
        <f>ROUND(C2956*(1-Settings!$B$2),2)</f>
        <v>3360.0</v>
      </c>
      <c r="E2956" s="2" t="inlineStr">
        <is>
          <t>Pokemon</t>
        </is>
      </c>
      <c r="F2956" s="2" t="inlineStr">
        <is>
          <t>Pack</t>
        </is>
      </c>
      <c r="G2956" s="2" t="inlineStr">
        <is>
          <t>Japanese Vs</t>
        </is>
      </c>
      <c r="H2956" s="3" t="n">
        <v>4800</v>
      </c>
      <c r="I2956" s="3" t="n"/>
      <c r="J2956" s="3" t="n"/>
      <c r="K2956" s="3" t="n"/>
      <c r="L2956" s="2" t="inlineStr">
        <is>
          <t>PriceCharting</t>
        </is>
      </c>
      <c r="M2956" s="4" t="inlineStr">
        <is>
          <t>https://www.pricecharting.com/game/pokemon-japanese-vs/booster-pack-waterfire</t>
        </is>
      </c>
    </row>
    <row r="2957">
      <c r="A2957" s="2" t="inlineStr">
        <is>
          <t>Japanese Vstar Universe Booster Pack</t>
        </is>
      </c>
      <c r="B2957" s="3">
        <f>IF(H2957&lt;&gt;"",H2957,IF(I2957&lt;&gt;"",I2957,IF(J2957&lt;&gt;"",J2957,K2957)))</f>
        <v>19.35</v>
      </c>
      <c r="C2957" s="3">
        <f>MEDIAN(H2957:K2957)</f>
        <v>19.35</v>
      </c>
      <c r="D2957" s="3">
        <f>ROUND(C2957*(1-Settings!$B$2),2)</f>
        <v>13.55</v>
      </c>
      <c r="E2957" s="2" t="inlineStr">
        <is>
          <t>Pokemon</t>
        </is>
      </c>
      <c r="F2957" s="2" t="inlineStr">
        <is>
          <t>Pack</t>
        </is>
      </c>
      <c r="G2957" s="2" t="inlineStr">
        <is>
          <t>Japanese Vstar Universe</t>
        </is>
      </c>
      <c r="H2957" s="3" t="n">
        <v>19.35</v>
      </c>
      <c r="I2957" s="3" t="n"/>
      <c r="J2957" s="3" t="n"/>
      <c r="K2957" s="3" t="n"/>
      <c r="L2957" s="2" t="inlineStr">
        <is>
          <t>PriceCharting</t>
        </is>
      </c>
      <c r="M2957" s="4" t="inlineStr">
        <is>
          <t>https://www.pricecharting.com/game/pokemon-japanese-vstar-universe/booster-pack</t>
        </is>
      </c>
    </row>
    <row r="2958">
      <c r="A2958" s="2" t="inlineStr">
        <is>
          <t>Japanese White Flare Booster Pack</t>
        </is>
      </c>
      <c r="B2958" s="3">
        <f>IF(H2958&lt;&gt;"",H2958,IF(I2958&lt;&gt;"",I2958,IF(J2958&lt;&gt;"",J2958,K2958)))</f>
        <v>4.25</v>
      </c>
      <c r="C2958" s="3">
        <f>MEDIAN(H2958:K2958)</f>
        <v>4.25</v>
      </c>
      <c r="D2958" s="3">
        <f>ROUND(C2958*(1-Settings!$B$2),2)</f>
        <v>2.98</v>
      </c>
      <c r="E2958" s="2" t="inlineStr">
        <is>
          <t>Pokemon</t>
        </is>
      </c>
      <c r="F2958" s="2" t="inlineStr">
        <is>
          <t>Pack</t>
        </is>
      </c>
      <c r="G2958" s="2" t="inlineStr">
        <is>
          <t>Japanese White Flare</t>
        </is>
      </c>
      <c r="H2958" s="3" t="n">
        <v>4.25</v>
      </c>
      <c r="I2958" s="3" t="n"/>
      <c r="J2958" s="3" t="n"/>
      <c r="K2958" s="3" t="n"/>
      <c r="L2958" s="2" t="inlineStr">
        <is>
          <t>PriceCharting</t>
        </is>
      </c>
      <c r="M2958" s="4" t="inlineStr">
        <is>
          <t>https://www.pricecharting.com/game/pokemon-japanese-white-flare/booster-pack</t>
        </is>
      </c>
    </row>
    <row r="2959">
      <c r="A2959" s="2" t="inlineStr">
        <is>
          <t>Japanese White Flare Deluxe Booster Pack</t>
        </is>
      </c>
      <c r="B2959" s="3">
        <f>IF(H2959&lt;&gt;"",H2959,IF(I2959&lt;&gt;"",I2959,IF(J2959&lt;&gt;"",J2959,K2959)))</f>
        <v>150.02</v>
      </c>
      <c r="C2959" s="3">
        <f>MEDIAN(H2959:K2959)</f>
        <v>150.02</v>
      </c>
      <c r="D2959" s="3">
        <f>ROUND(C2959*(1-Settings!$B$2),2)</f>
        <v>105.01</v>
      </c>
      <c r="E2959" s="2" t="inlineStr">
        <is>
          <t>Pokemon</t>
        </is>
      </c>
      <c r="F2959" s="2" t="inlineStr">
        <is>
          <t>Pack</t>
        </is>
      </c>
      <c r="G2959" s="2" t="inlineStr">
        <is>
          <t>Japanese White Flare</t>
        </is>
      </c>
      <c r="H2959" s="3" t="n">
        <v>150.02</v>
      </c>
      <c r="I2959" s="3" t="n"/>
      <c r="J2959" s="3" t="n"/>
      <c r="K2959" s="3" t="n"/>
      <c r="L2959" s="2" t="inlineStr">
        <is>
          <t>PriceCharting</t>
        </is>
      </c>
      <c r="M2959" s="4" t="inlineStr">
        <is>
          <t>https://www.pricecharting.com/game/pokemon-japanese-white-flare/deluxe-booster-pack</t>
        </is>
      </c>
    </row>
    <row r="2960">
      <c r="A2960" s="2" t="inlineStr">
        <is>
          <t>Japanese Wild Force Booster Pack</t>
        </is>
      </c>
      <c r="B2960" s="3">
        <f>IF(H2960&lt;&gt;"",H2960,IF(I2960&lt;&gt;"",I2960,IF(J2960&lt;&gt;"",J2960,K2960)))</f>
        <v>3.18</v>
      </c>
      <c r="C2960" s="3">
        <f>MEDIAN(H2960:K2960)</f>
        <v>3.18</v>
      </c>
      <c r="D2960" s="3">
        <f>ROUND(C2960*(1-Settings!$B$2),2)</f>
        <v>2.23</v>
      </c>
      <c r="E2960" s="2" t="inlineStr">
        <is>
          <t>Pokemon</t>
        </is>
      </c>
      <c r="F2960" s="2" t="inlineStr">
        <is>
          <t>Pack</t>
        </is>
      </c>
      <c r="G2960" s="2" t="inlineStr">
        <is>
          <t>Japanese Wild Force</t>
        </is>
      </c>
      <c r="H2960" s="3" t="n">
        <v>3.18</v>
      </c>
      <c r="I2960" s="3" t="n"/>
      <c r="J2960" s="3" t="n"/>
      <c r="K2960" s="3" t="n"/>
      <c r="L2960" s="2" t="inlineStr">
        <is>
          <t>PriceCharting</t>
        </is>
      </c>
      <c r="M2960" s="4" t="inlineStr">
        <is>
          <t>https://www.pricecharting.com/game/pokemon-japanese-wild-force/booster-pack</t>
        </is>
      </c>
    </row>
    <row r="2961">
      <c r="A2961" s="2" t="inlineStr">
        <is>
          <t>Japanese Wind From The Sea Booster Pack</t>
        </is>
      </c>
      <c r="B2961" s="3">
        <f>IF(H2961&lt;&gt;"",H2961,IF(I2961&lt;&gt;"",I2961,IF(J2961&lt;&gt;"",J2961,K2961)))</f>
        <v>1982.03</v>
      </c>
      <c r="C2961" s="3">
        <f>MEDIAN(H2961:K2961)</f>
        <v>1982.03</v>
      </c>
      <c r="D2961" s="3">
        <f>ROUND(C2961*(1-Settings!$B$2),2)</f>
        <v>1387.42</v>
      </c>
      <c r="E2961" s="2" t="inlineStr">
        <is>
          <t>Pokemon</t>
        </is>
      </c>
      <c r="F2961" s="2" t="inlineStr">
        <is>
          <t>Pack</t>
        </is>
      </c>
      <c r="G2961" s="2" t="inlineStr">
        <is>
          <t>Japanese Wind From The Sea</t>
        </is>
      </c>
      <c r="H2961" s="3" t="n">
        <v>1982.03</v>
      </c>
      <c r="I2961" s="3" t="n"/>
      <c r="J2961" s="3" t="n"/>
      <c r="K2961" s="3" t="n"/>
      <c r="L2961" s="2" t="inlineStr">
        <is>
          <t>PriceCharting</t>
        </is>
      </c>
      <c r="M2961" s="4" t="inlineStr">
        <is>
          <t>https://www.pricecharting.com/game/pokemon-japanese-wind-from-the-sea/booster-pack</t>
        </is>
      </c>
    </row>
    <row r="2962">
      <c r="A2962" s="2" t="inlineStr">
        <is>
          <t>Journey Together Blister Pack: Archaludon</t>
        </is>
      </c>
      <c r="B2962" s="3">
        <f>IF(H2962&lt;&gt;"",H2962,IF(I2962&lt;&gt;"",I2962,IF(J2962&lt;&gt;"",J2962,K2962)))</f>
        <v>10.8</v>
      </c>
      <c r="C2962" s="3">
        <f>MEDIAN(H2962:K2962)</f>
        <v>10.8</v>
      </c>
      <c r="D2962" s="3">
        <f>ROUND(C2962*(1-Settings!$B$2),2)</f>
        <v>7.56</v>
      </c>
      <c r="E2962" s="2" t="inlineStr">
        <is>
          <t>Pokemon</t>
        </is>
      </c>
      <c r="F2962" s="2" t="inlineStr">
        <is>
          <t>Pack</t>
        </is>
      </c>
      <c r="G2962" s="2" t="inlineStr">
        <is>
          <t>Journey Together</t>
        </is>
      </c>
      <c r="H2962" s="3" t="n">
        <v>10.8</v>
      </c>
      <c r="I2962" s="3" t="n"/>
      <c r="J2962" s="3" t="n"/>
      <c r="K2962" s="3" t="n"/>
      <c r="L2962" s="2" t="inlineStr">
        <is>
          <t>PriceCharting</t>
        </is>
      </c>
      <c r="M2962" s="4" t="inlineStr">
        <is>
          <t>https://www.pricecharting.com/game/pokemon-journey-together/blister-pack-archaludon</t>
        </is>
      </c>
    </row>
    <row r="2963">
      <c r="A2963" s="2" t="inlineStr">
        <is>
          <t>Journey Together Blister Pack: Melmetal</t>
        </is>
      </c>
      <c r="B2963" s="3">
        <f>IF(H2963&lt;&gt;"",H2963,IF(I2963&lt;&gt;"",I2963,IF(J2963&lt;&gt;"",J2963,K2963)))</f>
        <v>34.49</v>
      </c>
      <c r="C2963" s="3">
        <f>MEDIAN(H2963:K2963)</f>
        <v>34.49</v>
      </c>
      <c r="D2963" s="3">
        <f>ROUND(C2963*(1-Settings!$B$2),2)</f>
        <v>24.14</v>
      </c>
      <c r="E2963" s="2" t="inlineStr">
        <is>
          <t>Pokemon</t>
        </is>
      </c>
      <c r="F2963" s="2" t="inlineStr">
        <is>
          <t>Pack</t>
        </is>
      </c>
      <c r="G2963" s="2" t="inlineStr">
        <is>
          <t>Journey Together</t>
        </is>
      </c>
      <c r="H2963" s="3" t="n">
        <v>34.49</v>
      </c>
      <c r="I2963" s="3" t="n"/>
      <c r="J2963" s="3" t="n"/>
      <c r="K2963" s="3" t="n"/>
      <c r="L2963" s="2" t="inlineStr">
        <is>
          <t>PriceCharting</t>
        </is>
      </c>
      <c r="M2963" s="4" t="inlineStr">
        <is>
          <t>https://www.pricecharting.com/game/pokemon-journey-together/blister-pack-melmetal</t>
        </is>
      </c>
    </row>
    <row r="2964">
      <c r="A2964" s="2" t="inlineStr">
        <is>
          <t>Journey Together Blister Pack: Scraggy</t>
        </is>
      </c>
      <c r="B2964" s="3">
        <f>IF(H2964&lt;&gt;"",H2964,IF(I2964&lt;&gt;"",I2964,IF(J2964&lt;&gt;"",J2964,K2964)))</f>
        <v>9.89</v>
      </c>
      <c r="C2964" s="3">
        <f>MEDIAN(H2964:K2964)</f>
        <v>9.89</v>
      </c>
      <c r="D2964" s="3">
        <f>ROUND(C2964*(1-Settings!$B$2),2)</f>
        <v>6.92</v>
      </c>
      <c r="E2964" s="2" t="inlineStr">
        <is>
          <t>Pokemon</t>
        </is>
      </c>
      <c r="F2964" s="2" t="inlineStr">
        <is>
          <t>Pack</t>
        </is>
      </c>
      <c r="G2964" s="2" t="inlineStr">
        <is>
          <t>Journey Together</t>
        </is>
      </c>
      <c r="H2964" s="3" t="n">
        <v>9.890000000000001</v>
      </c>
      <c r="I2964" s="3" t="n"/>
      <c r="J2964" s="3" t="n"/>
      <c r="K2964" s="3" t="n"/>
      <c r="L2964" s="2" t="inlineStr">
        <is>
          <t>PriceCharting</t>
        </is>
      </c>
      <c r="M2964" s="4" t="inlineStr">
        <is>
          <t>https://www.pricecharting.com/game/pokemon-journey-together/blister-pack-scraggy</t>
        </is>
      </c>
    </row>
    <row r="2965">
      <c r="A2965" s="2" t="inlineStr">
        <is>
          <t>Journey Together Blister Pack: Yanma</t>
        </is>
      </c>
      <c r="B2965" s="3">
        <f>IF(H2965&lt;&gt;"",H2965,IF(I2965&lt;&gt;"",I2965,IF(J2965&lt;&gt;"",J2965,K2965)))</f>
        <v>12.18</v>
      </c>
      <c r="C2965" s="3">
        <f>MEDIAN(H2965:K2965)</f>
        <v>12.18</v>
      </c>
      <c r="D2965" s="3">
        <f>ROUND(C2965*(1-Settings!$B$2),2)</f>
        <v>8.53</v>
      </c>
      <c r="E2965" s="2" t="inlineStr">
        <is>
          <t>Pokemon</t>
        </is>
      </c>
      <c r="F2965" s="2" t="inlineStr">
        <is>
          <t>Pack</t>
        </is>
      </c>
      <c r="G2965" s="2" t="inlineStr">
        <is>
          <t>Journey Together</t>
        </is>
      </c>
      <c r="H2965" s="3" t="n">
        <v>12.18</v>
      </c>
      <c r="I2965" s="3" t="n"/>
      <c r="J2965" s="3" t="n"/>
      <c r="K2965" s="3" t="n"/>
      <c r="L2965" s="2" t="inlineStr">
        <is>
          <t>PriceCharting</t>
        </is>
      </c>
      <c r="M2965" s="4" t="inlineStr">
        <is>
          <t>https://www.pricecharting.com/game/pokemon-journey-together/blister-pack-yanma</t>
        </is>
      </c>
    </row>
    <row r="2966">
      <c r="A2966" s="2" t="inlineStr">
        <is>
          <t>Journey Together Checklane Blister: Klinklang</t>
        </is>
      </c>
      <c r="B2966" s="3">
        <f>IF(H2966&lt;&gt;"",H2966,IF(I2966&lt;&gt;"",I2966,IF(J2966&lt;&gt;"",J2966,K2966)))</f>
        <v>22.12</v>
      </c>
      <c r="C2966" s="3">
        <f>MEDIAN(H2966:K2966)</f>
        <v>22.12</v>
      </c>
      <c r="D2966" s="3">
        <f>ROUND(C2966*(1-Settings!$B$2),2)</f>
        <v>15.48</v>
      </c>
      <c r="E2966" s="2" t="inlineStr">
        <is>
          <t>Pokemon</t>
        </is>
      </c>
      <c r="F2966" s="2" t="inlineStr">
        <is>
          <t>Pack</t>
        </is>
      </c>
      <c r="G2966" s="2" t="inlineStr">
        <is>
          <t>Journey Together</t>
        </is>
      </c>
      <c r="H2966" s="3" t="n">
        <v>22.12</v>
      </c>
      <c r="I2966" s="3" t="n"/>
      <c r="J2966" s="3" t="n"/>
      <c r="K2966" s="3" t="n"/>
      <c r="L2966" s="2" t="inlineStr">
        <is>
          <t>PriceCharting</t>
        </is>
      </c>
      <c r="M2966" s="4" t="inlineStr">
        <is>
          <t>https://www.pricecharting.com/game/pokemon-journey-together/checklane-blister-klinklang</t>
        </is>
      </c>
    </row>
    <row r="2967">
      <c r="A2967" s="2" t="inlineStr">
        <is>
          <t>Journey Together Checklane Blister: Yanma</t>
        </is>
      </c>
      <c r="B2967" s="3">
        <f>IF(H2967&lt;&gt;"",H2967,IF(I2967&lt;&gt;"",I2967,IF(J2967&lt;&gt;"",J2967,K2967)))</f>
        <v>13.22</v>
      </c>
      <c r="C2967" s="3">
        <f>MEDIAN(H2967:K2967)</f>
        <v>13.22</v>
      </c>
      <c r="D2967" s="3">
        <f>ROUND(C2967*(1-Settings!$B$2),2)</f>
        <v>9.25</v>
      </c>
      <c r="E2967" s="2" t="inlineStr">
        <is>
          <t>Pokemon</t>
        </is>
      </c>
      <c r="F2967" s="2" t="inlineStr">
        <is>
          <t>Pack</t>
        </is>
      </c>
      <c r="G2967" s="2" t="inlineStr">
        <is>
          <t>Journey Together</t>
        </is>
      </c>
      <c r="H2967" s="3" t="n">
        <v>13.22</v>
      </c>
      <c r="I2967" s="3" t="n"/>
      <c r="J2967" s="3" t="n"/>
      <c r="K2967" s="3" t="n"/>
      <c r="L2967" s="2" t="inlineStr">
        <is>
          <t>PriceCharting</t>
        </is>
      </c>
      <c r="M2967" s="4" t="inlineStr">
        <is>
          <t>https://www.pricecharting.com/game/pokemon-journey-together/checklane-blister-yanma</t>
        </is>
      </c>
    </row>
    <row r="2968">
      <c r="A2968" s="2" t="inlineStr">
        <is>
          <t>Journey Together Sealed Fun Pack</t>
        </is>
      </c>
      <c r="B2968" s="3">
        <f>IF(H2968&lt;&gt;"",H2968,IF(I2968&lt;&gt;"",I2968,IF(J2968&lt;&gt;"",J2968,K2968)))</f>
        <v>3.99</v>
      </c>
      <c r="C2968" s="3">
        <f>MEDIAN(H2968:K2968)</f>
        <v>3.99</v>
      </c>
      <c r="D2968" s="3">
        <f>ROUND(C2968*(1-Settings!$B$2),2)</f>
        <v>2.79</v>
      </c>
      <c r="E2968" s="2" t="inlineStr">
        <is>
          <t>Pokemon</t>
        </is>
      </c>
      <c r="F2968" s="2" t="inlineStr">
        <is>
          <t>Pack</t>
        </is>
      </c>
      <c r="G2968" s="2" t="inlineStr">
        <is>
          <t>Journey Together</t>
        </is>
      </c>
      <c r="H2968" s="3" t="n">
        <v>3.99</v>
      </c>
      <c r="I2968" s="3" t="n"/>
      <c r="J2968" s="3" t="n"/>
      <c r="K2968" s="3" t="n"/>
      <c r="L2968" s="2" t="inlineStr">
        <is>
          <t>PriceCharting</t>
        </is>
      </c>
      <c r="M2968" s="4" t="inlineStr">
        <is>
          <t>https://www.pricecharting.com/game/pokemon-journey-together/sealed-fun-pack</t>
        </is>
      </c>
    </row>
    <row r="2969">
      <c r="A2969" s="2" t="inlineStr">
        <is>
          <t>Jungle Blister Pack</t>
        </is>
      </c>
      <c r="B2969" s="3">
        <f>IF(H2969&lt;&gt;"",H2969,IF(I2969&lt;&gt;"",I2969,IF(J2969&lt;&gt;"",J2969,K2969)))</f>
        <v>563.75</v>
      </c>
      <c r="C2969" s="3">
        <f>MEDIAN(H2969:K2969)</f>
        <v>563.75</v>
      </c>
      <c r="D2969" s="3">
        <f>ROUND(C2969*(1-Settings!$B$2),2)</f>
        <v>394.63</v>
      </c>
      <c r="E2969" s="2" t="inlineStr">
        <is>
          <t>Pokemon</t>
        </is>
      </c>
      <c r="F2969" s="2" t="inlineStr">
        <is>
          <t>Pack</t>
        </is>
      </c>
      <c r="G2969" s="2" t="inlineStr">
        <is>
          <t>Jungle</t>
        </is>
      </c>
      <c r="H2969" s="3" t="n">
        <v>563.75</v>
      </c>
      <c r="I2969" s="3" t="n"/>
      <c r="J2969" s="3" t="n"/>
      <c r="K2969" s="3" t="n"/>
      <c r="L2969" s="2" t="inlineStr">
        <is>
          <t>PriceCharting</t>
        </is>
      </c>
      <c r="M2969" s="4" t="inlineStr">
        <is>
          <t>https://www.pricecharting.com/game/pokemon-jungle/blister-pack</t>
        </is>
      </c>
    </row>
    <row r="2970">
      <c r="A2970" s="2" t="inlineStr">
        <is>
          <t>Jungle Booster Pack</t>
        </is>
      </c>
      <c r="B2970" s="3">
        <f>IF(H2970&lt;&gt;"",H2970,IF(I2970&lt;&gt;"",I2970,IF(J2970&lt;&gt;"",J2970,K2970)))</f>
        <v>375.0</v>
      </c>
      <c r="C2970" s="3">
        <f>MEDIAN(H2970:K2970)</f>
        <v>375.0</v>
      </c>
      <c r="D2970" s="3">
        <f>ROUND(C2970*(1-Settings!$B$2),2)</f>
        <v>262.5</v>
      </c>
      <c r="E2970" s="2" t="inlineStr">
        <is>
          <t>Pokemon</t>
        </is>
      </c>
      <c r="F2970" s="2" t="inlineStr">
        <is>
          <t>Pack</t>
        </is>
      </c>
      <c r="G2970" s="2" t="inlineStr">
        <is>
          <t>Jungle</t>
        </is>
      </c>
      <c r="H2970" s="3" t="n">
        <v>375</v>
      </c>
      <c r="I2970" s="3" t="n"/>
      <c r="J2970" s="3" t="n"/>
      <c r="K2970" s="3" t="n"/>
      <c r="L2970" s="2" t="inlineStr">
        <is>
          <t>PriceCharting</t>
        </is>
      </c>
      <c r="M2970" s="4" t="inlineStr">
        <is>
          <t>https://www.pricecharting.com/game/pokemon-jungle/booster-pack</t>
        </is>
      </c>
    </row>
    <row r="2971">
      <c r="A2971" s="2" t="inlineStr">
        <is>
          <t>Jungle Booster Pack [1st Edition]</t>
        </is>
      </c>
      <c r="B2971" s="3">
        <f>IF(H2971&lt;&gt;"",H2971,IF(I2971&lt;&gt;"",I2971,IF(J2971&lt;&gt;"",J2971,K2971)))</f>
        <v>502.55</v>
      </c>
      <c r="C2971" s="3">
        <f>MEDIAN(H2971:K2971)</f>
        <v>743.8050000000001</v>
      </c>
      <c r="D2971" s="3">
        <f>ROUND(C2971*(1-Settings!$B$2),2)</f>
        <v>520.66</v>
      </c>
      <c r="E2971" s="2" t="inlineStr">
        <is>
          <t>Pokemon</t>
        </is>
      </c>
      <c r="F2971" s="2" t="inlineStr">
        <is>
          <t>Pack</t>
        </is>
      </c>
      <c r="G2971" s="2" t="inlineStr">
        <is>
          <t>Jungle</t>
        </is>
      </c>
      <c r="H2971" s="3" t="n">
        <v>502.55</v>
      </c>
      <c r="I2971" s="3" t="n">
        <v>747.62</v>
      </c>
      <c r="J2971" s="3" t="n">
        <v>800</v>
      </c>
      <c r="K2971" s="3" t="n">
        <v>739.99</v>
      </c>
      <c r="L2971" s="2" t="inlineStr">
        <is>
          <t>PriceCharting + TCGplayer</t>
        </is>
      </c>
      <c r="M2971" s="4" t="inlineStr">
        <is>
          <t>https://www.pricecharting.com/game/pokemon-jungle/booster-pack-1st-edition</t>
        </is>
      </c>
      <c r="N2971" s="4" t="inlineStr">
        <is>
          <t>https://www.tcgplayer.com/product/138128</t>
        </is>
      </c>
    </row>
    <row r="2972">
      <c r="A2972" s="2" t="inlineStr">
        <is>
          <t>Jungle Booster Pack [Unlimited Edition]</t>
        </is>
      </c>
      <c r="B2972" s="3">
        <f>IF(H2972&lt;&gt;"",H2972,IF(I2972&lt;&gt;"",I2972,IF(J2972&lt;&gt;"",J2972,K2972)))</f>
        <v>331.55</v>
      </c>
      <c r="C2972" s="3">
        <f>MEDIAN(H2972:K2972)</f>
        <v>331.55</v>
      </c>
      <c r="D2972" s="3">
        <f>ROUND(C2972*(1-Settings!$B$2),2)</f>
        <v>232.09</v>
      </c>
      <c r="E2972" s="2" t="inlineStr">
        <is>
          <t>Pokemon</t>
        </is>
      </c>
      <c r="F2972" s="2" t="inlineStr">
        <is>
          <t>Pack</t>
        </is>
      </c>
      <c r="G2972" s="2" t="inlineStr">
        <is>
          <t>Jungle</t>
        </is>
      </c>
      <c r="H2972" s="3" t="n"/>
      <c r="I2972" s="3" t="n">
        <v>331.55</v>
      </c>
      <c r="J2972" s="3" t="n">
        <v>379.99</v>
      </c>
      <c r="K2972" s="3" t="n">
        <v>320</v>
      </c>
      <c r="L2972" s="2" t="inlineStr">
        <is>
          <t>TCGplayer</t>
        </is>
      </c>
      <c r="N2972" s="4" t="inlineStr">
        <is>
          <t>https://www.tcgplayer.com/product/138129</t>
        </is>
      </c>
    </row>
    <row r="2973">
      <c r="A2973" s="2" t="inlineStr">
        <is>
          <t>Legendary Collection Blister Pack</t>
        </is>
      </c>
      <c r="B2973" s="3">
        <f>IF(H2973&lt;&gt;"",H2973,IF(I2973&lt;&gt;"",I2973,IF(J2973&lt;&gt;"",J2973,K2973)))</f>
        <v>2498.99</v>
      </c>
      <c r="C2973" s="3">
        <f>MEDIAN(H2973:K2973)</f>
        <v>2498.99</v>
      </c>
      <c r="D2973" s="3">
        <f>ROUND(C2973*(1-Settings!$B$2),2)</f>
        <v>1749.29</v>
      </c>
      <c r="E2973" s="2" t="inlineStr">
        <is>
          <t>Pokemon</t>
        </is>
      </c>
      <c r="F2973" s="2" t="inlineStr">
        <is>
          <t>Pack</t>
        </is>
      </c>
      <c r="G2973" s="2" t="inlineStr">
        <is>
          <t>Legendary Collection</t>
        </is>
      </c>
      <c r="H2973" s="3" t="n">
        <v>2498.99</v>
      </c>
      <c r="I2973" s="3" t="n"/>
      <c r="J2973" s="3" t="n"/>
      <c r="K2973" s="3" t="n"/>
      <c r="L2973" s="2" t="inlineStr">
        <is>
          <t>PriceCharting</t>
        </is>
      </c>
      <c r="M2973" s="4" t="inlineStr">
        <is>
          <t>https://www.pricecharting.com/game/pokemon-legendary-collection/blister-pack</t>
        </is>
      </c>
    </row>
    <row r="2974">
      <c r="A2974" s="2" t="inlineStr">
        <is>
          <t>Legendary Collection Booster Pack</t>
        </is>
      </c>
      <c r="B2974" s="3">
        <f>IF(H2974&lt;&gt;"",H2974,IF(I2974&lt;&gt;"",I2974,IF(J2974&lt;&gt;"",J2974,K2974)))</f>
        <v>5275.55</v>
      </c>
      <c r="C2974" s="3">
        <f>MEDIAN(H2974:K2974)</f>
        <v>7000.0</v>
      </c>
      <c r="D2974" s="3">
        <f>ROUND(C2974*(1-Settings!$B$2),2)</f>
        <v>4900.0</v>
      </c>
      <c r="E2974" s="2" t="inlineStr">
        <is>
          <t>Pokemon</t>
        </is>
      </c>
      <c r="F2974" s="2" t="inlineStr">
        <is>
          <t>Pack</t>
        </is>
      </c>
      <c r="G2974" s="2" t="inlineStr">
        <is>
          <t>Legendary Collection</t>
        </is>
      </c>
      <c r="H2974" s="3" t="n">
        <v>5275.55</v>
      </c>
      <c r="I2974" s="3" t="n"/>
      <c r="J2974" s="3" t="n">
        <v>7000</v>
      </c>
      <c r="K2974" s="3" t="n">
        <v>7000</v>
      </c>
      <c r="L2974" s="2" t="inlineStr">
        <is>
          <t>PriceCharting + TCGplayer</t>
        </is>
      </c>
      <c r="M2974" s="4" t="inlineStr">
        <is>
          <t>https://www.pricecharting.com/game/pokemon-legendary-collection/booster-pack</t>
        </is>
      </c>
      <c r="N2974" s="4" t="inlineStr">
        <is>
          <t>https://www.tcgplayer.com/product/138150</t>
        </is>
      </c>
    </row>
    <row r="2975">
      <c r="A2975" s="2" t="inlineStr">
        <is>
          <t>Legendary Treasures Booster Pack</t>
        </is>
      </c>
      <c r="B2975" s="3">
        <f>IF(H2975&lt;&gt;"",H2975,IF(I2975&lt;&gt;"",I2975,IF(J2975&lt;&gt;"",J2975,K2975)))</f>
        <v>352.38</v>
      </c>
      <c r="C2975" s="3">
        <f>MEDIAN(H2975:K2975)</f>
        <v>691.21</v>
      </c>
      <c r="D2975" s="3">
        <f>ROUND(C2975*(1-Settings!$B$2),2)</f>
        <v>483.85</v>
      </c>
      <c r="E2975" s="2" t="inlineStr">
        <is>
          <t>Pokemon</t>
        </is>
      </c>
      <c r="F2975" s="2" t="inlineStr">
        <is>
          <t>Pack</t>
        </is>
      </c>
      <c r="G2975" s="2" t="inlineStr">
        <is>
          <t>Legendary Treasures</t>
        </is>
      </c>
      <c r="H2975" s="3" t="n">
        <v>352.38</v>
      </c>
      <c r="I2975" s="3" t="n">
        <v>382.43</v>
      </c>
      <c r="J2975" s="3" t="n">
        <v>999.99</v>
      </c>
      <c r="K2975" s="3" t="n">
        <v>999.99</v>
      </c>
      <c r="L2975" s="2" t="inlineStr">
        <is>
          <t>PriceCharting + TCGplayer</t>
        </is>
      </c>
      <c r="M2975" s="4" t="inlineStr">
        <is>
          <t>https://www.pricecharting.com/game/pokemon-legendary-treasures/booster-pack</t>
        </is>
      </c>
      <c r="N2975" s="4" t="inlineStr">
        <is>
          <t>https://www.tcgplayer.com/product/98581</t>
        </is>
      </c>
    </row>
    <row r="2976">
      <c r="A2976" s="2" t="inlineStr">
        <is>
          <t>Legends Awakened Booster Pack</t>
        </is>
      </c>
      <c r="B2976" s="3">
        <f>IF(H2976&lt;&gt;"",H2976,IF(I2976&lt;&gt;"",I2976,IF(J2976&lt;&gt;"",J2976,K2976)))</f>
        <v>381.33</v>
      </c>
      <c r="C2976" s="3">
        <f>MEDIAN(H2976:K2976)</f>
        <v>560.86</v>
      </c>
      <c r="D2976" s="3">
        <f>ROUND(C2976*(1-Settings!$B$2),2)</f>
        <v>392.6</v>
      </c>
      <c r="E2976" s="2" t="inlineStr">
        <is>
          <t>Pokemon</t>
        </is>
      </c>
      <c r="F2976" s="2" t="inlineStr">
        <is>
          <t>Pack</t>
        </is>
      </c>
      <c r="G2976" s="2" t="inlineStr">
        <is>
          <t>Legends Awakened</t>
        </is>
      </c>
      <c r="H2976" s="3" t="n">
        <v>381.33</v>
      </c>
      <c r="I2976" s="3" t="n">
        <v>423.77</v>
      </c>
      <c r="J2976" s="3" t="n">
        <v>697.95</v>
      </c>
      <c r="K2976" s="3" t="n">
        <v>697.95</v>
      </c>
      <c r="L2976" s="2" t="inlineStr">
        <is>
          <t>PriceCharting + TCGplayer</t>
        </is>
      </c>
      <c r="M2976" s="4" t="inlineStr">
        <is>
          <t>https://www.pricecharting.com/game/pokemon-legends-awakened/booster-pack</t>
        </is>
      </c>
      <c r="N2976" s="4" t="inlineStr">
        <is>
          <t>https://www.tcgplayer.com/product/98537</t>
        </is>
      </c>
    </row>
    <row r="2977">
      <c r="A2977" s="2" t="inlineStr">
        <is>
          <t>Legends Awakened Mothim Blister Pack</t>
        </is>
      </c>
      <c r="B2977" s="3">
        <f>IF(H2977&lt;&gt;"",H2977,IF(I2977&lt;&gt;"",I2977,IF(J2977&lt;&gt;"",J2977,K2977)))</f>
        <v>931.42</v>
      </c>
      <c r="C2977" s="3">
        <f>MEDIAN(H2977:K2977)</f>
        <v>931.42</v>
      </c>
      <c r="D2977" s="3">
        <f>ROUND(C2977*(1-Settings!$B$2),2)</f>
        <v>651.99</v>
      </c>
      <c r="E2977" s="2" t="inlineStr">
        <is>
          <t>Pokemon</t>
        </is>
      </c>
      <c r="F2977" s="2" t="inlineStr">
        <is>
          <t>Pack</t>
        </is>
      </c>
      <c r="G2977" s="2" t="inlineStr">
        <is>
          <t>Legends Awakened</t>
        </is>
      </c>
      <c r="H2977" s="3" t="n">
        <v>931.42</v>
      </c>
      <c r="I2977" s="3" t="n"/>
      <c r="J2977" s="3" t="n"/>
      <c r="K2977" s="3" t="n"/>
      <c r="L2977" s="2" t="inlineStr">
        <is>
          <t>PriceCharting</t>
        </is>
      </c>
      <c r="M2977" s="4" t="inlineStr">
        <is>
          <t>https://www.pricecharting.com/game/pokemon-legends-awakened/mothim-blister-pack</t>
        </is>
      </c>
    </row>
    <row r="2978">
      <c r="A2978" s="2" t="inlineStr">
        <is>
          <t>Lost Origin Arceus &amp; Darkrai Pin Blister Pack</t>
        </is>
      </c>
      <c r="B2978" s="3">
        <f>IF(H2978&lt;&gt;"",H2978,IF(I2978&lt;&gt;"",I2978,IF(J2978&lt;&gt;"",J2978,K2978)))</f>
        <v>65.29</v>
      </c>
      <c r="C2978" s="3">
        <f>MEDIAN(H2978:K2978)</f>
        <v>65.29</v>
      </c>
      <c r="D2978" s="3">
        <f>ROUND(C2978*(1-Settings!$B$2),2)</f>
        <v>45.7</v>
      </c>
      <c r="E2978" s="2" t="inlineStr">
        <is>
          <t>Pokemon</t>
        </is>
      </c>
      <c r="F2978" s="2" t="inlineStr">
        <is>
          <t>Pack</t>
        </is>
      </c>
      <c r="G2978" s="2" t="inlineStr">
        <is>
          <t>Lost Origin</t>
        </is>
      </c>
      <c r="H2978" s="3" t="n">
        <v>65.29000000000001</v>
      </c>
      <c r="I2978" s="3" t="n"/>
      <c r="J2978" s="3" t="n"/>
      <c r="K2978" s="3" t="n"/>
      <c r="L2978" s="2" t="inlineStr">
        <is>
          <t>PriceCharting</t>
        </is>
      </c>
      <c r="M2978" s="4" t="inlineStr">
        <is>
          <t>https://www.pricecharting.com/game/pokemon-lost-origin/arceus-&amp;-darkrai-pin-blister-pack</t>
        </is>
      </c>
    </row>
    <row r="2979">
      <c r="A2979" s="2" t="inlineStr">
        <is>
          <t>Lost Origin Booster Pack [Heavy]</t>
        </is>
      </c>
      <c r="B2979" s="3">
        <f>IF(H2979&lt;&gt;"",H2979,IF(I2979&lt;&gt;"",I2979,IF(J2979&lt;&gt;"",J2979,K2979)))</f>
        <v>14.28</v>
      </c>
      <c r="C2979" s="3">
        <f>MEDIAN(H2979:K2979)</f>
        <v>14.28</v>
      </c>
      <c r="D2979" s="3">
        <f>ROUND(C2979*(1-Settings!$B$2),2)</f>
        <v>10.0</v>
      </c>
      <c r="E2979" s="2" t="inlineStr">
        <is>
          <t>Pokemon</t>
        </is>
      </c>
      <c r="F2979" s="2" t="inlineStr">
        <is>
          <t>Pack</t>
        </is>
      </c>
      <c r="G2979" s="2" t="inlineStr">
        <is>
          <t>Lost Origin</t>
        </is>
      </c>
      <c r="H2979" s="3" t="n">
        <v>14.28</v>
      </c>
      <c r="I2979" s="3" t="n"/>
      <c r="J2979" s="3" t="n"/>
      <c r="K2979" s="3" t="n"/>
      <c r="L2979" s="2" t="inlineStr">
        <is>
          <t>PriceCharting</t>
        </is>
      </c>
      <c r="M2979" s="4" t="inlineStr">
        <is>
          <t>https://www.pricecharting.com/game/pokemon-lost-origin/booster-pack-heavy</t>
        </is>
      </c>
    </row>
    <row r="2980">
      <c r="A2980" s="2" t="inlineStr">
        <is>
          <t>Lost Origin Fun Pack</t>
        </is>
      </c>
      <c r="B2980" s="3">
        <f>IF(H2980&lt;&gt;"",H2980,IF(I2980&lt;&gt;"",I2980,IF(J2980&lt;&gt;"",J2980,K2980)))</f>
        <v>8.96</v>
      </c>
      <c r="C2980" s="3">
        <f>MEDIAN(H2980:K2980)</f>
        <v>8.96</v>
      </c>
      <c r="D2980" s="3">
        <f>ROUND(C2980*(1-Settings!$B$2),2)</f>
        <v>6.27</v>
      </c>
      <c r="E2980" s="2" t="inlineStr">
        <is>
          <t>Pokemon</t>
        </is>
      </c>
      <c r="F2980" s="2" t="inlineStr">
        <is>
          <t>Pack</t>
        </is>
      </c>
      <c r="G2980" s="2" t="inlineStr">
        <is>
          <t>Lost Origin</t>
        </is>
      </c>
      <c r="H2980" s="3" t="n">
        <v>8.960000000000001</v>
      </c>
      <c r="I2980" s="3" t="n"/>
      <c r="J2980" s="3" t="n"/>
      <c r="K2980" s="3" t="n"/>
      <c r="L2980" s="2" t="inlineStr">
        <is>
          <t>PriceCharting</t>
        </is>
      </c>
      <c r="M2980" s="4" t="inlineStr">
        <is>
          <t>https://www.pricecharting.com/game/pokemon-lost-origin/fun-pack</t>
        </is>
      </c>
    </row>
    <row r="2981">
      <c r="A2981" s="2" t="inlineStr">
        <is>
          <t>Lost Origin Infernape Premium Checklane Blister</t>
        </is>
      </c>
      <c r="B2981" s="3">
        <f>IF(H2981&lt;&gt;"",H2981,IF(I2981&lt;&gt;"",I2981,IF(J2981&lt;&gt;"",J2981,K2981)))</f>
        <v>10.32</v>
      </c>
      <c r="C2981" s="3">
        <f>MEDIAN(H2981:K2981)</f>
        <v>10.32</v>
      </c>
      <c r="D2981" s="3">
        <f>ROUND(C2981*(1-Settings!$B$2),2)</f>
        <v>7.22</v>
      </c>
      <c r="E2981" s="2" t="inlineStr">
        <is>
          <t>Pokemon</t>
        </is>
      </c>
      <c r="F2981" s="2" t="inlineStr">
        <is>
          <t>Pack</t>
        </is>
      </c>
      <c r="G2981" s="2" t="inlineStr">
        <is>
          <t>Lost Origin</t>
        </is>
      </c>
      <c r="H2981" s="3" t="n">
        <v>10.32</v>
      </c>
      <c r="I2981" s="3" t="n"/>
      <c r="J2981" s="3" t="n"/>
      <c r="K2981" s="3" t="n"/>
      <c r="L2981" s="2" t="inlineStr">
        <is>
          <t>PriceCharting</t>
        </is>
      </c>
      <c r="M2981" s="4" t="inlineStr">
        <is>
          <t>https://www.pricecharting.com/game/pokemon-lost-origin/infernape-premium-checklane-blister</t>
        </is>
      </c>
    </row>
    <row r="2982">
      <c r="A2982" s="2" t="inlineStr">
        <is>
          <t>Lost Origin Scorbunny Checklane Blister</t>
        </is>
      </c>
      <c r="B2982" s="3">
        <f>IF(H2982&lt;&gt;"",H2982,IF(I2982&lt;&gt;"",I2982,IF(J2982&lt;&gt;"",J2982,K2982)))</f>
        <v>19.99</v>
      </c>
      <c r="C2982" s="3">
        <f>MEDIAN(H2982:K2982)</f>
        <v>19.99</v>
      </c>
      <c r="D2982" s="3">
        <f>ROUND(C2982*(1-Settings!$B$2),2)</f>
        <v>13.99</v>
      </c>
      <c r="E2982" s="2" t="inlineStr">
        <is>
          <t>Pokemon</t>
        </is>
      </c>
      <c r="F2982" s="2" t="inlineStr">
        <is>
          <t>Pack</t>
        </is>
      </c>
      <c r="G2982" s="2" t="inlineStr">
        <is>
          <t>Lost Origin</t>
        </is>
      </c>
      <c r="H2982" s="3" t="n">
        <v>19.99</v>
      </c>
      <c r="I2982" s="3" t="n"/>
      <c r="J2982" s="3" t="n"/>
      <c r="K2982" s="3" t="n"/>
      <c r="L2982" s="2" t="inlineStr">
        <is>
          <t>PriceCharting</t>
        </is>
      </c>
      <c r="M2982" s="4" t="inlineStr">
        <is>
          <t>https://www.pricecharting.com/game/pokemon-lost-origin/scorbunny-checklane-blister</t>
        </is>
      </c>
    </row>
    <row r="2983">
      <c r="A2983" s="2" t="inlineStr">
        <is>
          <t>Lost Origin Torterra Premium Checklane Blister</t>
        </is>
      </c>
      <c r="B2983" s="3">
        <f>IF(H2983&lt;&gt;"",H2983,IF(I2983&lt;&gt;"",I2983,IF(J2983&lt;&gt;"",J2983,K2983)))</f>
        <v>24.99</v>
      </c>
      <c r="C2983" s="3">
        <f>MEDIAN(H2983:K2983)</f>
        <v>24.99</v>
      </c>
      <c r="D2983" s="3">
        <f>ROUND(C2983*(1-Settings!$B$2),2)</f>
        <v>17.49</v>
      </c>
      <c r="E2983" s="2" t="inlineStr">
        <is>
          <t>Pokemon</t>
        </is>
      </c>
      <c r="F2983" s="2" t="inlineStr">
        <is>
          <t>Pack</t>
        </is>
      </c>
      <c r="G2983" s="2" t="inlineStr">
        <is>
          <t>Lost Origin</t>
        </is>
      </c>
      <c r="H2983" s="3" t="n">
        <v>24.99</v>
      </c>
      <c r="I2983" s="3" t="n"/>
      <c r="J2983" s="3" t="n"/>
      <c r="K2983" s="3" t="n"/>
      <c r="L2983" s="2" t="inlineStr">
        <is>
          <t>PriceCharting</t>
        </is>
      </c>
      <c r="M2983" s="4" t="inlineStr">
        <is>
          <t>https://www.pricecharting.com/game/pokemon-lost-origin/torterra-premium-checklane-blister</t>
        </is>
      </c>
    </row>
    <row r="2984">
      <c r="A2984" s="2" t="inlineStr">
        <is>
          <t>Lost Thunder Mini Booster Pack</t>
        </is>
      </c>
      <c r="B2984" s="3">
        <f>IF(H2984&lt;&gt;"",H2984,IF(I2984&lt;&gt;"",I2984,IF(J2984&lt;&gt;"",J2984,K2984)))</f>
        <v>47.22</v>
      </c>
      <c r="C2984" s="3">
        <f>MEDIAN(H2984:K2984)</f>
        <v>47.22</v>
      </c>
      <c r="D2984" s="3">
        <f>ROUND(C2984*(1-Settings!$B$2),2)</f>
        <v>33.05</v>
      </c>
      <c r="E2984" s="2" t="inlineStr">
        <is>
          <t>Pokemon</t>
        </is>
      </c>
      <c r="F2984" s="2" t="inlineStr">
        <is>
          <t>Pack</t>
        </is>
      </c>
      <c r="G2984" s="2" t="inlineStr">
        <is>
          <t>Lost Thunder</t>
        </is>
      </c>
      <c r="H2984" s="3" t="n">
        <v>47.22</v>
      </c>
      <c r="I2984" s="3" t="n"/>
      <c r="J2984" s="3" t="n"/>
      <c r="K2984" s="3" t="n"/>
      <c r="L2984" s="2" t="inlineStr">
        <is>
          <t>PriceCharting</t>
        </is>
      </c>
      <c r="M2984" s="4" t="inlineStr">
        <is>
          <t>https://www.pricecharting.com/game/pokemon-lost-thunder/mini-booster-pack</t>
        </is>
      </c>
    </row>
    <row r="2985">
      <c r="A2985" s="2" t="inlineStr">
        <is>
          <t>Mega Brave Booster Pack</t>
        </is>
      </c>
      <c r="B2985" s="3">
        <f>IF(H2985&lt;&gt;"",H2985,IF(I2985&lt;&gt;"",I2985,IF(J2985&lt;&gt;"",J2985,K2985)))</f>
        <v>3.39</v>
      </c>
      <c r="C2985" s="3">
        <f>MEDIAN(H2985:K2985)</f>
        <v>2.81</v>
      </c>
      <c r="D2985" s="3">
        <f>ROUND(C2985*(1-Settings!$B$2),2)</f>
        <v>1.97</v>
      </c>
      <c r="E2985" s="2" t="inlineStr">
        <is>
          <t>Pokemon</t>
        </is>
      </c>
      <c r="F2985" s="2" t="inlineStr">
        <is>
          <t>Pack</t>
        </is>
      </c>
      <c r="G2985" s="2" t="inlineStr">
        <is>
          <t>m1L: Mega Brave</t>
        </is>
      </c>
      <c r="H2985" s="3" t="n"/>
      <c r="I2985" s="3" t="n">
        <v>3.39</v>
      </c>
      <c r="J2985" s="3" t="n"/>
      <c r="K2985" s="3" t="n">
        <v>2.23</v>
      </c>
      <c r="L2985" s="2" t="inlineStr">
        <is>
          <t>TCGplayer</t>
        </is>
      </c>
      <c r="N2985" s="4" t="inlineStr">
        <is>
          <t>https://www.tcgplayer.com/product/647498</t>
        </is>
      </c>
    </row>
    <row r="2986">
      <c r="A2986" s="2" t="inlineStr">
        <is>
          <t>Mega Symphonia Booster Pack</t>
        </is>
      </c>
      <c r="B2986" s="3">
        <f>IF(H2986&lt;&gt;"",H2986,IF(I2986&lt;&gt;"",I2986,IF(J2986&lt;&gt;"",J2986,K2986)))</f>
        <v>3.0</v>
      </c>
      <c r="C2986" s="3">
        <f>MEDIAN(H2986:K2986)</f>
        <v>2.145</v>
      </c>
      <c r="D2986" s="3">
        <f>ROUND(C2986*(1-Settings!$B$2),2)</f>
        <v>1.5</v>
      </c>
      <c r="E2986" s="2" t="inlineStr">
        <is>
          <t>Pokemon</t>
        </is>
      </c>
      <c r="F2986" s="2" t="inlineStr">
        <is>
          <t>Pack</t>
        </is>
      </c>
      <c r="G2986" s="2" t="inlineStr">
        <is>
          <t>m1S: Mega Symphonia</t>
        </is>
      </c>
      <c r="H2986" s="3" t="n"/>
      <c r="I2986" s="3" t="n">
        <v>3</v>
      </c>
      <c r="J2986" s="3" t="n"/>
      <c r="K2986" s="3" t="n">
        <v>1.29</v>
      </c>
      <c r="L2986" s="2" t="inlineStr">
        <is>
          <t>TCGplayer</t>
        </is>
      </c>
      <c r="N2986" s="4" t="inlineStr">
        <is>
          <t>https://www.tcgplayer.com/product/647499</t>
        </is>
      </c>
    </row>
    <row r="2987">
      <c r="A2987" s="2" t="inlineStr">
        <is>
          <t>Inferno X Booster Pack</t>
        </is>
      </c>
      <c r="B2987" s="3">
        <f>IF(H2987&lt;&gt;"",H2987,IF(I2987&lt;&gt;"",I2987,IF(J2987&lt;&gt;"",J2987,K2987)))</f>
        <v>3.91</v>
      </c>
      <c r="C2987" s="3">
        <f>MEDIAN(H2987:K2987)</f>
        <v>3.0949999999999998</v>
      </c>
      <c r="D2987" s="3">
        <f>ROUND(C2987*(1-Settings!$B$2),2)</f>
        <v>2.17</v>
      </c>
      <c r="E2987" s="2" t="inlineStr">
        <is>
          <t>Pokemon</t>
        </is>
      </c>
      <c r="F2987" s="2" t="inlineStr">
        <is>
          <t>Pack</t>
        </is>
      </c>
      <c r="G2987" s="2" t="inlineStr">
        <is>
          <t>M2: Inferno X</t>
        </is>
      </c>
      <c r="H2987" s="3" t="n"/>
      <c r="I2987" s="3" t="n">
        <v>3.91</v>
      </c>
      <c r="J2987" s="3" t="n"/>
      <c r="K2987" s="3" t="n">
        <v>2.28</v>
      </c>
      <c r="L2987" s="2" t="inlineStr">
        <is>
          <t>TCGplayer</t>
        </is>
      </c>
      <c r="N2987" s="4" t="inlineStr">
        <is>
          <t>https://www.tcgplayer.com/product/655970</t>
        </is>
      </c>
    </row>
    <row r="2988">
      <c r="A2988" s="2" t="inlineStr">
        <is>
          <t>Mega Dream ex Booster Pack</t>
        </is>
      </c>
      <c r="B2988" s="3">
        <f>IF(H2988&lt;&gt;"",H2988,IF(I2988&lt;&gt;"",I2988,IF(J2988&lt;&gt;"",J2988,K2988)))</f>
        <v>10.95</v>
      </c>
      <c r="C2988" s="3">
        <f>MEDIAN(H2988:K2988)</f>
        <v>10.225</v>
      </c>
      <c r="D2988" s="3">
        <f>ROUND(C2988*(1-Settings!$B$2),2)</f>
        <v>7.16</v>
      </c>
      <c r="E2988" s="2" t="inlineStr">
        <is>
          <t>Pokemon</t>
        </is>
      </c>
      <c r="F2988" s="2" t="inlineStr">
        <is>
          <t>Pack</t>
        </is>
      </c>
      <c r="G2988" s="2" t="inlineStr">
        <is>
          <t>M2a: High Class Pack: MEGA Dream ex</t>
        </is>
      </c>
      <c r="H2988" s="3" t="n"/>
      <c r="I2988" s="3" t="n">
        <v>10.95</v>
      </c>
      <c r="J2988" s="3" t="n"/>
      <c r="K2988" s="3" t="n">
        <v>9.5</v>
      </c>
      <c r="L2988" s="2" t="inlineStr">
        <is>
          <t>TCGplayer</t>
        </is>
      </c>
      <c r="N2988" s="4" t="inlineStr">
        <is>
          <t>https://www.tcgplayer.com/product/666255</t>
        </is>
      </c>
    </row>
    <row r="2989">
      <c r="A2989" s="2" t="inlineStr">
        <is>
          <t>Nihil Zero Booster Pack</t>
        </is>
      </c>
      <c r="B2989" s="3">
        <f>IF(H2989&lt;&gt;"",H2989,IF(I2989&lt;&gt;"",I2989,IF(J2989&lt;&gt;"",J2989,K2989)))</f>
        <v>2.31</v>
      </c>
      <c r="C2989" s="3">
        <f>MEDIAN(H2989:K2989)</f>
        <v>1.9</v>
      </c>
      <c r="D2989" s="3">
        <f>ROUND(C2989*(1-Settings!$B$2),2)</f>
        <v>1.33</v>
      </c>
      <c r="E2989" s="2" t="inlineStr">
        <is>
          <t>Pokemon</t>
        </is>
      </c>
      <c r="F2989" s="2" t="inlineStr">
        <is>
          <t>Pack</t>
        </is>
      </c>
      <c r="G2989" s="2" t="inlineStr">
        <is>
          <t>M3: Nihil Zero</t>
        </is>
      </c>
      <c r="H2989" s="3" t="n"/>
      <c r="I2989" s="3" t="n">
        <v>2.31</v>
      </c>
      <c r="J2989" s="3" t="n"/>
      <c r="K2989" s="3" t="n">
        <v>1.49</v>
      </c>
      <c r="L2989" s="2" t="inlineStr">
        <is>
          <t>TCGplayer</t>
        </is>
      </c>
      <c r="N2989" s="4" t="inlineStr">
        <is>
          <t>https://www.tcgplayer.com/product/674454</t>
        </is>
      </c>
    </row>
    <row r="2990">
      <c r="A2990" s="2" t="inlineStr">
        <is>
          <t>Ninja Spinner Booster Pack</t>
        </is>
      </c>
      <c r="B2990" s="3">
        <f>IF(H2990&lt;&gt;"",H2990,IF(I2990&lt;&gt;"",I2990,IF(J2990&lt;&gt;"",J2990,K2990)))</f>
        <v>2.47</v>
      </c>
      <c r="C2990" s="3">
        <f>MEDIAN(H2990:K2990)</f>
        <v>2.16</v>
      </c>
      <c r="D2990" s="3">
        <f>ROUND(C2990*(1-Settings!$B$2),2)</f>
        <v>1.51</v>
      </c>
      <c r="E2990" s="2" t="inlineStr">
        <is>
          <t>Pokemon</t>
        </is>
      </c>
      <c r="F2990" s="2" t="inlineStr">
        <is>
          <t>Pack</t>
        </is>
      </c>
      <c r="G2990" s="2" t="inlineStr">
        <is>
          <t>M4: Ninja Spinner</t>
        </is>
      </c>
      <c r="H2990" s="3" t="n"/>
      <c r="I2990" s="3" t="n">
        <v>2.47</v>
      </c>
      <c r="J2990" s="3" t="n"/>
      <c r="K2990" s="3" t="n">
        <v>1.85</v>
      </c>
      <c r="L2990" s="2" t="inlineStr">
        <is>
          <t>TCGplayer</t>
        </is>
      </c>
      <c r="N2990" s="4" t="inlineStr">
        <is>
          <t>https://www.tcgplayer.com/product/683776</t>
        </is>
      </c>
    </row>
    <row r="2991">
      <c r="A2991" s="2" t="inlineStr">
        <is>
          <t>Abyss Eye Booster Pack</t>
        </is>
      </c>
      <c r="B2991" s="3">
        <f>IF(H2991&lt;&gt;"",H2991,IF(I2991&lt;&gt;"",I2991,IF(J2991&lt;&gt;"",J2991,K2991)))</f>
        <v>2.41</v>
      </c>
      <c r="C2991" s="3">
        <f>MEDIAN(H2991:K2991)</f>
        <v>1.9500000000000002</v>
      </c>
      <c r="D2991" s="3">
        <f>ROUND(C2991*(1-Settings!$B$2),2)</f>
        <v>1.37</v>
      </c>
      <c r="E2991" s="2" t="inlineStr">
        <is>
          <t>Pokemon</t>
        </is>
      </c>
      <c r="F2991" s="2" t="inlineStr">
        <is>
          <t>Pack</t>
        </is>
      </c>
      <c r="G2991" s="2" t="inlineStr">
        <is>
          <t>M5: Abyss Eye</t>
        </is>
      </c>
      <c r="H2991" s="3" t="n"/>
      <c r="I2991" s="3" t="n">
        <v>2.41</v>
      </c>
      <c r="J2991" s="3" t="n"/>
      <c r="K2991" s="3" t="n">
        <v>1.49</v>
      </c>
      <c r="L2991" s="2" t="inlineStr">
        <is>
          <t>TCGplayer</t>
        </is>
      </c>
      <c r="N2991" s="4" t="inlineStr">
        <is>
          <t>https://www.tcgplayer.com/product/695111</t>
        </is>
      </c>
    </row>
    <row r="2992">
      <c r="A2992" s="2" t="inlineStr">
        <is>
          <t>Storm Emeralda Booster Pack</t>
        </is>
      </c>
      <c r="B2992" s="3">
        <f>IF(H2992&lt;&gt;"",H2992,IF(I2992&lt;&gt;"",I2992,IF(J2992&lt;&gt;"",J2992,K2992)))</f>
        <v>3.08</v>
      </c>
      <c r="C2992" s="3">
        <f>MEDIAN(H2992:K2992)</f>
        <v>3.08</v>
      </c>
      <c r="D2992" s="3">
        <f>ROUND(C2992*(1-Settings!$B$2),2)</f>
        <v>2.16</v>
      </c>
      <c r="E2992" s="2" t="inlineStr">
        <is>
          <t>Pokemon</t>
        </is>
      </c>
      <c r="F2992" s="2" t="inlineStr">
        <is>
          <t>Pack</t>
        </is>
      </c>
      <c r="G2992" s="2" t="inlineStr">
        <is>
          <t>M6: Storm Emeralda</t>
        </is>
      </c>
      <c r="H2992" s="3" t="n"/>
      <c r="I2992" s="3" t="n">
        <v>3.08</v>
      </c>
      <c r="J2992" s="3" t="n"/>
      <c r="K2992" s="3" t="n"/>
      <c r="L2992" s="2" t="inlineStr">
        <is>
          <t>TCGplayer</t>
        </is>
      </c>
      <c r="N2992" s="4" t="inlineStr">
        <is>
          <t>https://www.tcgplayer.com/product/709111</t>
        </is>
      </c>
    </row>
    <row r="2993">
      <c r="A2993" s="2" t="inlineStr">
        <is>
          <t>MEGA Expansion 30th Celebration Booster Pack</t>
        </is>
      </c>
      <c r="B2993" s="3">
        <f>IF(H2993&lt;&gt;"",H2993,IF(I2993&lt;&gt;"",I2993,IF(J2993&lt;&gt;"",J2993,K2993)))</f>
        <v>10.84</v>
      </c>
      <c r="C2993" s="3">
        <f>MEDIAN(H2993:K2993)</f>
        <v>10.84</v>
      </c>
      <c r="D2993" s="3">
        <f>ROUND(C2993*(1-Settings!$B$2),2)</f>
        <v>7.59</v>
      </c>
      <c r="E2993" s="2" t="inlineStr">
        <is>
          <t>Pokemon</t>
        </is>
      </c>
      <c r="F2993" s="2" t="inlineStr">
        <is>
          <t>Pack</t>
        </is>
      </c>
      <c r="G2993" s="2" t="inlineStr">
        <is>
          <t>M6a: MEGA Expansion 30th Celebration</t>
        </is>
      </c>
      <c r="H2993" s="3" t="n"/>
      <c r="I2993" s="3" t="n">
        <v>10.84</v>
      </c>
      <c r="J2993" s="3" t="n"/>
      <c r="K2993" s="3" t="n"/>
      <c r="L2993" s="2" t="inlineStr">
        <is>
          <t>TCGplayer</t>
        </is>
      </c>
      <c r="N2993" s="4" t="inlineStr">
        <is>
          <t>https://www.tcgplayer.com/product/718621</t>
        </is>
      </c>
    </row>
    <row r="2994">
      <c r="A2994" s="2" t="inlineStr">
        <is>
          <t>Majestic Dawn Booster Pack</t>
        </is>
      </c>
      <c r="B2994" s="3">
        <f>IF(H2994&lt;&gt;"",H2994,IF(I2994&lt;&gt;"",I2994,IF(J2994&lt;&gt;"",J2994,K2994)))</f>
        <v>475.0</v>
      </c>
      <c r="C2994" s="3">
        <f>MEDIAN(H2994:K2994)</f>
        <v>662.495</v>
      </c>
      <c r="D2994" s="3">
        <f>ROUND(C2994*(1-Settings!$B$2),2)</f>
        <v>463.75</v>
      </c>
      <c r="E2994" s="2" t="inlineStr">
        <is>
          <t>Pokemon</t>
        </is>
      </c>
      <c r="F2994" s="2" t="inlineStr">
        <is>
          <t>Pack</t>
        </is>
      </c>
      <c r="G2994" s="2" t="inlineStr">
        <is>
          <t>Majestic Dawn</t>
        </is>
      </c>
      <c r="H2994" s="3" t="n">
        <v>475</v>
      </c>
      <c r="I2994" s="3" t="n"/>
      <c r="J2994" s="3" t="n"/>
      <c r="K2994" s="3" t="n">
        <v>849.99</v>
      </c>
      <c r="L2994" s="2" t="inlineStr">
        <is>
          <t>PriceCharting + TCGplayer</t>
        </is>
      </c>
      <c r="M2994" s="4" t="inlineStr">
        <is>
          <t>https://www.pricecharting.com/game/pokemon-majestic-dawn/booster-pack</t>
        </is>
      </c>
      <c r="N2994" s="4" t="inlineStr">
        <is>
          <t>https://www.tcgplayer.com/product/98585</t>
        </is>
      </c>
    </row>
    <row r="2995">
      <c r="A2995" s="2" t="inlineStr">
        <is>
          <t>McDonald's 25th Anniversary Booster Pack</t>
        </is>
      </c>
      <c r="B2995" s="3">
        <f>IF(H2995&lt;&gt;"",H2995,IF(I2995&lt;&gt;"",I2995,IF(J2995&lt;&gt;"",J2995,K2995)))</f>
        <v>8.66</v>
      </c>
      <c r="C2995" s="3">
        <f>MEDIAN(H2995:K2995)</f>
        <v>8.66</v>
      </c>
      <c r="D2995" s="3">
        <f>ROUND(C2995*(1-Settings!$B$2),2)</f>
        <v>6.06</v>
      </c>
      <c r="E2995" s="2" t="inlineStr">
        <is>
          <t>Pokemon</t>
        </is>
      </c>
      <c r="F2995" s="2" t="inlineStr">
        <is>
          <t>Pack</t>
        </is>
      </c>
      <c r="G2995" s="2" t="inlineStr">
        <is>
          <t>McDonald's 25th Anniversary Promos</t>
        </is>
      </c>
      <c r="H2995" s="3" t="n"/>
      <c r="I2995" s="3" t="n">
        <v>8.66</v>
      </c>
      <c r="J2995" s="3" t="n">
        <v>9.279999999999999</v>
      </c>
      <c r="K2995" s="3" t="n">
        <v>7</v>
      </c>
      <c r="L2995" s="2" t="inlineStr">
        <is>
          <t>TCGplayer</t>
        </is>
      </c>
      <c r="N2995" s="4" t="inlineStr">
        <is>
          <t>https://www.tcgplayer.com/product/232748</t>
        </is>
      </c>
    </row>
    <row r="2996">
      <c r="A2996" s="2" t="inlineStr">
        <is>
          <t>McDonald's 2022 Match &amp; Battle Pack</t>
        </is>
      </c>
      <c r="B2996" s="3">
        <f>IF(H2996&lt;&gt;"",H2996,IF(I2996&lt;&gt;"",I2996,IF(J2996&lt;&gt;"",J2996,K2996)))</f>
        <v>7.98</v>
      </c>
      <c r="C2996" s="3">
        <f>MEDIAN(H2996:K2996)</f>
        <v>7.98</v>
      </c>
      <c r="D2996" s="3">
        <f>ROUND(C2996*(1-Settings!$B$2),2)</f>
        <v>5.59</v>
      </c>
      <c r="E2996" s="2" t="inlineStr">
        <is>
          <t>Pokemon</t>
        </is>
      </c>
      <c r="F2996" s="2" t="inlineStr">
        <is>
          <t>Pack</t>
        </is>
      </c>
      <c r="G2996" s="2" t="inlineStr">
        <is>
          <t>McDonald's Promos 2022</t>
        </is>
      </c>
      <c r="H2996" s="3" t="n"/>
      <c r="I2996" s="3" t="n">
        <v>7.98</v>
      </c>
      <c r="J2996" s="3" t="n">
        <v>9.609999999999999</v>
      </c>
      <c r="K2996" s="3" t="n">
        <v>5.92</v>
      </c>
      <c r="L2996" s="2" t="inlineStr">
        <is>
          <t>TCGplayer</t>
        </is>
      </c>
      <c r="N2996" s="4" t="inlineStr">
        <is>
          <t>https://www.tcgplayer.com/product/282530</t>
        </is>
      </c>
    </row>
    <row r="2997">
      <c r="A2997" s="2" t="inlineStr">
        <is>
          <t>McDonald's 2023 Match &amp; Battle Pack</t>
        </is>
      </c>
      <c r="B2997" s="3">
        <f>IF(H2997&lt;&gt;"",H2997,IF(I2997&lt;&gt;"",I2997,IF(J2997&lt;&gt;"",J2997,K2997)))</f>
        <v>6.4</v>
      </c>
      <c r="C2997" s="3">
        <f>MEDIAN(H2997:K2997)</f>
        <v>6.4</v>
      </c>
      <c r="D2997" s="3">
        <f>ROUND(C2997*(1-Settings!$B$2),2)</f>
        <v>4.48</v>
      </c>
      <c r="E2997" s="2" t="inlineStr">
        <is>
          <t>Pokemon</t>
        </is>
      </c>
      <c r="F2997" s="2" t="inlineStr">
        <is>
          <t>Pack</t>
        </is>
      </c>
      <c r="G2997" s="2" t="inlineStr">
        <is>
          <t>McDonald's Promos 2023</t>
        </is>
      </c>
      <c r="H2997" s="3" t="n"/>
      <c r="I2997" s="3" t="n">
        <v>6.4</v>
      </c>
      <c r="J2997" s="3" t="n">
        <v>7.64</v>
      </c>
      <c r="K2997" s="3" t="n">
        <v>3.99</v>
      </c>
      <c r="L2997" s="2" t="inlineStr">
        <is>
          <t>TCGplayer</t>
        </is>
      </c>
      <c r="N2997" s="4" t="inlineStr">
        <is>
          <t>https://www.tcgplayer.com/product/516527</t>
        </is>
      </c>
    </row>
    <row r="2998">
      <c r="A2998" s="2" t="inlineStr">
        <is>
          <t>McDonald's 2024 Match &amp; Battle Pack</t>
        </is>
      </c>
      <c r="B2998" s="3">
        <f>IF(H2998&lt;&gt;"",H2998,IF(I2998&lt;&gt;"",I2998,IF(J2998&lt;&gt;"",J2998,K2998)))</f>
        <v>8.98</v>
      </c>
      <c r="C2998" s="3">
        <f>MEDIAN(H2998:K2998)</f>
        <v>8.98</v>
      </c>
      <c r="D2998" s="3">
        <f>ROUND(C2998*(1-Settings!$B$2),2)</f>
        <v>6.29</v>
      </c>
      <c r="E2998" s="2" t="inlineStr">
        <is>
          <t>Pokemon</t>
        </is>
      </c>
      <c r="F2998" s="2" t="inlineStr">
        <is>
          <t>Pack</t>
        </is>
      </c>
      <c r="G2998" s="2" t="inlineStr">
        <is>
          <t>McDonald's Promos 2024</t>
        </is>
      </c>
      <c r="H2998" s="3" t="n"/>
      <c r="I2998" s="3" t="n">
        <v>8.98</v>
      </c>
      <c r="J2998" s="3" t="n">
        <v>10.25</v>
      </c>
      <c r="K2998" s="3" t="n">
        <v>7.98</v>
      </c>
      <c r="L2998" s="2" t="inlineStr">
        <is>
          <t>TCGplayer</t>
        </is>
      </c>
      <c r="N2998" s="4" t="inlineStr">
        <is>
          <t>https://www.tcgplayer.com/product/615609</t>
        </is>
      </c>
    </row>
    <row r="2999">
      <c r="A2999" s="2" t="inlineStr">
        <is>
          <t>Mcdonalds 2021 Booster Pack</t>
        </is>
      </c>
      <c r="B2999" s="3">
        <f>IF(H2999&lt;&gt;"",H2999,IF(I2999&lt;&gt;"",I2999,IF(J2999&lt;&gt;"",J2999,K2999)))</f>
        <v>7.96</v>
      </c>
      <c r="C2999" s="3">
        <f>MEDIAN(H2999:K2999)</f>
        <v>7.96</v>
      </c>
      <c r="D2999" s="3">
        <f>ROUND(C2999*(1-Settings!$B$2),2)</f>
        <v>5.57</v>
      </c>
      <c r="E2999" s="2" t="inlineStr">
        <is>
          <t>Pokemon</t>
        </is>
      </c>
      <c r="F2999" s="2" t="inlineStr">
        <is>
          <t>Pack</t>
        </is>
      </c>
      <c r="G2999" s="2" t="inlineStr">
        <is>
          <t>Mcdonalds 2021</t>
        </is>
      </c>
      <c r="H2999" s="3" t="n">
        <v>7.96</v>
      </c>
      <c r="I2999" s="3" t="n"/>
      <c r="J2999" s="3" t="n"/>
      <c r="K2999" s="3" t="n"/>
      <c r="L2999" s="2" t="inlineStr">
        <is>
          <t>PriceCharting</t>
        </is>
      </c>
      <c r="M2999" s="4" t="inlineStr">
        <is>
          <t>https://www.pricecharting.com/game/pokemon-mcdonalds-2021/booster-pack</t>
        </is>
      </c>
    </row>
    <row r="3000">
      <c r="A3000" s="2" t="inlineStr">
        <is>
          <t>Mcdonalds 2022 Booster Pack</t>
        </is>
      </c>
      <c r="B3000" s="3">
        <f>IF(H3000&lt;&gt;"",H3000,IF(I3000&lt;&gt;"",I3000,IF(J3000&lt;&gt;"",J3000,K3000)))</f>
        <v>6.47</v>
      </c>
      <c r="C3000" s="3">
        <f>MEDIAN(H3000:K3000)</f>
        <v>6.47</v>
      </c>
      <c r="D3000" s="3">
        <f>ROUND(C3000*(1-Settings!$B$2),2)</f>
        <v>4.53</v>
      </c>
      <c r="E3000" s="2" t="inlineStr">
        <is>
          <t>Pokemon</t>
        </is>
      </c>
      <c r="F3000" s="2" t="inlineStr">
        <is>
          <t>Pack</t>
        </is>
      </c>
      <c r="G3000" s="2" t="inlineStr">
        <is>
          <t>Mcdonalds 2022</t>
        </is>
      </c>
      <c r="H3000" s="3" t="n">
        <v>6.47</v>
      </c>
      <c r="I3000" s="3" t="n"/>
      <c r="J3000" s="3" t="n"/>
      <c r="K3000" s="3" t="n"/>
      <c r="L3000" s="2" t="inlineStr">
        <is>
          <t>PriceCharting</t>
        </is>
      </c>
      <c r="M3000" s="4" t="inlineStr">
        <is>
          <t>https://www.pricecharting.com/game/pokemon-mcdonalds-2022/booster-pack</t>
        </is>
      </c>
    </row>
    <row r="3001">
      <c r="A3001" s="2" t="inlineStr">
        <is>
          <t>Mcdonalds 2022 Match Battle Pack</t>
        </is>
      </c>
      <c r="B3001" s="3">
        <f>IF(H3001&lt;&gt;"",H3001,IF(I3001&lt;&gt;"",I3001,IF(J3001&lt;&gt;"",J3001,K3001)))</f>
        <v>5.04</v>
      </c>
      <c r="C3001" s="3">
        <f>MEDIAN(H3001:K3001)</f>
        <v>5.04</v>
      </c>
      <c r="D3001" s="3">
        <f>ROUND(C3001*(1-Settings!$B$2),2)</f>
        <v>3.53</v>
      </c>
      <c r="E3001" s="2" t="inlineStr">
        <is>
          <t>Pokemon</t>
        </is>
      </c>
      <c r="F3001" s="2" t="inlineStr">
        <is>
          <t>Pack</t>
        </is>
      </c>
      <c r="G3001" s="2" t="inlineStr">
        <is>
          <t>Mcdonalds 2022</t>
        </is>
      </c>
      <c r="H3001" s="3" t="n">
        <v>5.04</v>
      </c>
      <c r="I3001" s="3" t="n"/>
      <c r="J3001" s="3" t="n"/>
      <c r="K3001" s="3" t="n"/>
      <c r="L3001" s="2" t="inlineStr">
        <is>
          <t>PriceCharting</t>
        </is>
      </c>
      <c r="M3001" s="4" t="inlineStr">
        <is>
          <t>https://www.pricecharting.com/game/pokemon-mcdonalds-2022/match-battle-pack</t>
        </is>
      </c>
    </row>
    <row r="3002">
      <c r="A3002" s="2" t="inlineStr">
        <is>
          <t>Mcdonalds 2023 Match Battle Pack</t>
        </is>
      </c>
      <c r="B3002" s="3">
        <f>IF(H3002&lt;&gt;"",H3002,IF(I3002&lt;&gt;"",I3002,IF(J3002&lt;&gt;"",J3002,K3002)))</f>
        <v>6.61</v>
      </c>
      <c r="C3002" s="3">
        <f>MEDIAN(H3002:K3002)</f>
        <v>6.61</v>
      </c>
      <c r="D3002" s="3">
        <f>ROUND(C3002*(1-Settings!$B$2),2)</f>
        <v>4.63</v>
      </c>
      <c r="E3002" s="2" t="inlineStr">
        <is>
          <t>Pokemon</t>
        </is>
      </c>
      <c r="F3002" s="2" t="inlineStr">
        <is>
          <t>Pack</t>
        </is>
      </c>
      <c r="G3002" s="2" t="inlineStr">
        <is>
          <t>Mcdonalds 2023</t>
        </is>
      </c>
      <c r="H3002" s="3" t="n">
        <v>6.61</v>
      </c>
      <c r="I3002" s="3" t="n"/>
      <c r="J3002" s="3" t="n"/>
      <c r="K3002" s="3" t="n"/>
      <c r="L3002" s="2" t="inlineStr">
        <is>
          <t>PriceCharting</t>
        </is>
      </c>
      <c r="M3002" s="4" t="inlineStr">
        <is>
          <t>https://www.pricecharting.com/game/pokemon-mcdonalds-2023/match-battle-pack</t>
        </is>
      </c>
    </row>
    <row r="3003">
      <c r="A3003" s="2" t="inlineStr">
        <is>
          <t>Mcdonalds 2024 Booster Pack</t>
        </is>
      </c>
      <c r="B3003" s="3">
        <f>IF(H3003&lt;&gt;"",H3003,IF(I3003&lt;&gt;"",I3003,IF(J3003&lt;&gt;"",J3003,K3003)))</f>
        <v>7.08</v>
      </c>
      <c r="C3003" s="3">
        <f>MEDIAN(H3003:K3003)</f>
        <v>7.08</v>
      </c>
      <c r="D3003" s="3">
        <f>ROUND(C3003*(1-Settings!$B$2),2)</f>
        <v>4.96</v>
      </c>
      <c r="E3003" s="2" t="inlineStr">
        <is>
          <t>Pokemon</t>
        </is>
      </c>
      <c r="F3003" s="2" t="inlineStr">
        <is>
          <t>Pack</t>
        </is>
      </c>
      <c r="G3003" s="2" t="inlineStr">
        <is>
          <t>Mcdonalds 2024</t>
        </is>
      </c>
      <c r="H3003" s="3" t="n">
        <v>7.08</v>
      </c>
      <c r="I3003" s="3" t="n"/>
      <c r="J3003" s="3" t="n"/>
      <c r="K3003" s="3" t="n"/>
      <c r="L3003" s="2" t="inlineStr">
        <is>
          <t>PriceCharting</t>
        </is>
      </c>
      <c r="M3003" s="4" t="inlineStr">
        <is>
          <t>https://www.pricecharting.com/game/pokemon-mcdonalds-2024/booster-pack</t>
        </is>
      </c>
    </row>
    <row r="3004">
      <c r="A3004" s="2" t="inlineStr">
        <is>
          <t>Mega Evolution 3 Pack Blister [Golduck]</t>
        </is>
      </c>
      <c r="B3004" s="3">
        <f>IF(H3004&lt;&gt;"",H3004,IF(I3004&lt;&gt;"",I3004,IF(J3004&lt;&gt;"",J3004,K3004)))</f>
        <v>34.03</v>
      </c>
      <c r="C3004" s="3">
        <f>MEDIAN(H3004:K3004)</f>
        <v>34.03</v>
      </c>
      <c r="D3004" s="3">
        <f>ROUND(C3004*(1-Settings!$B$2),2)</f>
        <v>23.82</v>
      </c>
      <c r="E3004" s="2" t="inlineStr">
        <is>
          <t>Pokemon</t>
        </is>
      </c>
      <c r="F3004" s="2" t="inlineStr">
        <is>
          <t>Pack</t>
        </is>
      </c>
      <c r="G3004" s="2" t="inlineStr">
        <is>
          <t>ME01: Mega Evolution</t>
        </is>
      </c>
      <c r="H3004" s="3" t="n"/>
      <c r="I3004" s="3" t="n">
        <v>34.03</v>
      </c>
      <c r="J3004" s="3" t="n">
        <v>39.69</v>
      </c>
      <c r="K3004" s="3" t="n">
        <v>33.99</v>
      </c>
      <c r="L3004" s="2" t="inlineStr">
        <is>
          <t>TCGplayer</t>
        </is>
      </c>
      <c r="N3004" s="4" t="inlineStr">
        <is>
          <t>https://www.tcgplayer.com/product/644356</t>
        </is>
      </c>
    </row>
    <row r="3005">
      <c r="A3005" s="2" t="inlineStr">
        <is>
          <t>Mega Evolution 3 Pack Blister [Psyduck]</t>
        </is>
      </c>
      <c r="B3005" s="3">
        <f>IF(H3005&lt;&gt;"",H3005,IF(I3005&lt;&gt;"",I3005,IF(J3005&lt;&gt;"",J3005,K3005)))</f>
        <v>45.46</v>
      </c>
      <c r="C3005" s="3">
        <f>MEDIAN(H3005:K3005)</f>
        <v>45.46</v>
      </c>
      <c r="D3005" s="3">
        <f>ROUND(C3005*(1-Settings!$B$2),2)</f>
        <v>31.82</v>
      </c>
      <c r="E3005" s="2" t="inlineStr">
        <is>
          <t>Pokemon</t>
        </is>
      </c>
      <c r="F3005" s="2" t="inlineStr">
        <is>
          <t>Pack</t>
        </is>
      </c>
      <c r="G3005" s="2" t="inlineStr">
        <is>
          <t>ME01: Mega Evolution</t>
        </is>
      </c>
      <c r="H3005" s="3" t="n"/>
      <c r="I3005" s="3" t="n">
        <v>45.46</v>
      </c>
      <c r="J3005" s="3" t="n">
        <v>46.98</v>
      </c>
      <c r="K3005" s="3" t="n">
        <v>41.25</v>
      </c>
      <c r="L3005" s="2" t="inlineStr">
        <is>
          <t>TCGplayer</t>
        </is>
      </c>
      <c r="N3005" s="4" t="inlineStr">
        <is>
          <t>https://www.tcgplayer.com/product/644357</t>
        </is>
      </c>
    </row>
    <row r="3006">
      <c r="A3006" s="2" t="inlineStr">
        <is>
          <t>Mega Evolution Booster Pack</t>
        </is>
      </c>
      <c r="B3006" s="3">
        <f>IF(H3006&lt;&gt;"",H3006,IF(I3006&lt;&gt;"",I3006,IF(J3006&lt;&gt;"",J3006,K3006)))</f>
        <v>8.11</v>
      </c>
      <c r="C3006" s="3">
        <f>MEDIAN(H3006:K3006)</f>
        <v>8.11</v>
      </c>
      <c r="D3006" s="3">
        <f>ROUND(C3006*(1-Settings!$B$2),2)</f>
        <v>5.68</v>
      </c>
      <c r="E3006" s="2" t="inlineStr">
        <is>
          <t>Pokemon</t>
        </is>
      </c>
      <c r="F3006" s="2" t="inlineStr">
        <is>
          <t>Pack</t>
        </is>
      </c>
      <c r="G3006" s="2" t="inlineStr">
        <is>
          <t>ME01: Mega Evolution</t>
        </is>
      </c>
      <c r="H3006" s="3" t="n"/>
      <c r="I3006" s="3" t="n">
        <v>8.109999999999999</v>
      </c>
      <c r="J3006" s="3" t="n">
        <v>8.960000000000001</v>
      </c>
      <c r="K3006" s="3" t="n">
        <v>3.98</v>
      </c>
      <c r="L3006" s="2" t="inlineStr">
        <is>
          <t>TCGplayer</t>
        </is>
      </c>
      <c r="N3006" s="4" t="inlineStr">
        <is>
          <t>https://www.tcgplayer.com/product/644352</t>
        </is>
      </c>
    </row>
    <row r="3007">
      <c r="A3007" s="2" t="inlineStr">
        <is>
          <t>Mega Evolution Premium Checklane Blister [Meowscarada]</t>
        </is>
      </c>
      <c r="B3007" s="3">
        <f>IF(H3007&lt;&gt;"",H3007,IF(I3007&lt;&gt;"",I3007,IF(J3007&lt;&gt;"",J3007,K3007)))</f>
        <v>26.57</v>
      </c>
      <c r="C3007" s="3">
        <f>MEDIAN(H3007:K3007)</f>
        <v>26.57</v>
      </c>
      <c r="D3007" s="3">
        <f>ROUND(C3007*(1-Settings!$B$2),2)</f>
        <v>18.6</v>
      </c>
      <c r="E3007" s="2" t="inlineStr">
        <is>
          <t>Pokemon</t>
        </is>
      </c>
      <c r="F3007" s="2" t="inlineStr">
        <is>
          <t>Pack</t>
        </is>
      </c>
      <c r="G3007" s="2" t="inlineStr">
        <is>
          <t>ME01: Mega Evolution</t>
        </is>
      </c>
      <c r="H3007" s="3" t="n"/>
      <c r="I3007" s="3" t="n">
        <v>26.57</v>
      </c>
      <c r="J3007" s="3" t="n">
        <v>26.57</v>
      </c>
      <c r="K3007" s="3" t="n">
        <v>25.99</v>
      </c>
      <c r="L3007" s="2" t="inlineStr">
        <is>
          <t>TCGplayer</t>
        </is>
      </c>
      <c r="N3007" s="4" t="inlineStr">
        <is>
          <t>https://www.tcgplayer.com/product/644361</t>
        </is>
      </c>
    </row>
    <row r="3008">
      <c r="A3008" s="2" t="inlineStr">
        <is>
          <t>Mega Evolution Single Pack Blister [Drifblim</t>
        </is>
      </c>
      <c r="B3008" s="3">
        <f>IF(H3008&lt;&gt;"",H3008,IF(I3008&lt;&gt;"",I3008,IF(J3008&lt;&gt;"",J3008,K3008)))</f>
        <v>13.41</v>
      </c>
      <c r="C3008" s="3">
        <f>MEDIAN(H3008:K3008)</f>
        <v>12.94</v>
      </c>
      <c r="D3008" s="3">
        <f>ROUND(C3008*(1-Settings!$B$2),2)</f>
        <v>9.06</v>
      </c>
      <c r="E3008" s="2" t="inlineStr">
        <is>
          <t>Pokemon</t>
        </is>
      </c>
      <c r="F3008" s="2" t="inlineStr">
        <is>
          <t>Pack</t>
        </is>
      </c>
      <c r="G3008" s="2" t="inlineStr">
        <is>
          <t>ME01: Mega Evolution</t>
        </is>
      </c>
      <c r="H3008" s="3" t="n"/>
      <c r="I3008" s="3" t="n">
        <v>13.41</v>
      </c>
      <c r="J3008" s="3" t="n">
        <v>12.94</v>
      </c>
      <c r="K3008" s="3" t="n">
        <v>11</v>
      </c>
      <c r="L3008" s="2" t="inlineStr">
        <is>
          <t>TCGplayer</t>
        </is>
      </c>
      <c r="N3008" s="4" t="inlineStr">
        <is>
          <t>https://www.tcgplayer.com/product/644359</t>
        </is>
      </c>
    </row>
    <row r="3009">
      <c r="A3009" s="2" t="inlineStr">
        <is>
          <t>Mega Evolution Single Pack Blister [Drifloon]</t>
        </is>
      </c>
      <c r="B3009" s="3">
        <f>IF(H3009&lt;&gt;"",H3009,IF(I3009&lt;&gt;"",I3009,IF(J3009&lt;&gt;"",J3009,K3009)))</f>
        <v>13.79</v>
      </c>
      <c r="C3009" s="3">
        <f>MEDIAN(H3009:K3009)</f>
        <v>13.12</v>
      </c>
      <c r="D3009" s="3">
        <f>ROUND(C3009*(1-Settings!$B$2),2)</f>
        <v>9.18</v>
      </c>
      <c r="E3009" s="2" t="inlineStr">
        <is>
          <t>Pokemon</t>
        </is>
      </c>
      <c r="F3009" s="2" t="inlineStr">
        <is>
          <t>Pack</t>
        </is>
      </c>
      <c r="G3009" s="2" t="inlineStr">
        <is>
          <t>ME01: Mega Evolution</t>
        </is>
      </c>
      <c r="H3009" s="3" t="n"/>
      <c r="I3009" s="3" t="n">
        <v>13.79</v>
      </c>
      <c r="J3009" s="3" t="n">
        <v>13.12</v>
      </c>
      <c r="K3009" s="3" t="n">
        <v>11</v>
      </c>
      <c r="L3009" s="2" t="inlineStr">
        <is>
          <t>TCGplayer</t>
        </is>
      </c>
      <c r="N3009" s="4" t="inlineStr">
        <is>
          <t>https://www.tcgplayer.com/product/644358</t>
        </is>
      </c>
    </row>
    <row r="3010">
      <c r="A3010" s="2" t="inlineStr">
        <is>
          <t>Mega Evolution Single Pack Blister [Lycanroc]</t>
        </is>
      </c>
      <c r="B3010" s="3">
        <f>IF(H3010&lt;&gt;"",H3010,IF(I3010&lt;&gt;"",I3010,IF(J3010&lt;&gt;"",J3010,K3010)))</f>
        <v>14.03</v>
      </c>
      <c r="C3010" s="3">
        <f>MEDIAN(H3010:K3010)</f>
        <v>14.03</v>
      </c>
      <c r="D3010" s="3">
        <f>ROUND(C3010*(1-Settings!$B$2),2)</f>
        <v>9.82</v>
      </c>
      <c r="E3010" s="2" t="inlineStr">
        <is>
          <t>Pokemon</t>
        </is>
      </c>
      <c r="F3010" s="2" t="inlineStr">
        <is>
          <t>Pack</t>
        </is>
      </c>
      <c r="G3010" s="2" t="inlineStr">
        <is>
          <t>ME01: Mega Evolution</t>
        </is>
      </c>
      <c r="H3010" s="3" t="n"/>
      <c r="I3010" s="3" t="n">
        <v>14.03</v>
      </c>
      <c r="J3010" s="3" t="n">
        <v>14.38</v>
      </c>
      <c r="K3010" s="3" t="n">
        <v>12.99</v>
      </c>
      <c r="L3010" s="2" t="inlineStr">
        <is>
          <t>TCGplayer</t>
        </is>
      </c>
      <c r="N3010" s="4" t="inlineStr">
        <is>
          <t>https://www.tcgplayer.com/product/657490</t>
        </is>
      </c>
    </row>
    <row r="3011">
      <c r="A3011" s="2" t="inlineStr">
        <is>
          <t>Mega Evolution Single Pack Blister [Wailord]</t>
        </is>
      </c>
      <c r="B3011" s="3">
        <f>IF(H3011&lt;&gt;"",H3011,IF(I3011&lt;&gt;"",I3011,IF(J3011&lt;&gt;"",J3011,K3011)))</f>
        <v>16.28</v>
      </c>
      <c r="C3011" s="3">
        <f>MEDIAN(H3011:K3011)</f>
        <v>16.28</v>
      </c>
      <c r="D3011" s="3">
        <f>ROUND(C3011*(1-Settings!$B$2),2)</f>
        <v>11.4</v>
      </c>
      <c r="E3011" s="2" t="inlineStr">
        <is>
          <t>Pokemon</t>
        </is>
      </c>
      <c r="F3011" s="2" t="inlineStr">
        <is>
          <t>Pack</t>
        </is>
      </c>
      <c r="G3011" s="2" t="inlineStr">
        <is>
          <t>ME01: Mega Evolution</t>
        </is>
      </c>
      <c r="H3011" s="3" t="n"/>
      <c r="I3011" s="3" t="n">
        <v>16.28</v>
      </c>
      <c r="J3011" s="3" t="n">
        <v>17.45</v>
      </c>
      <c r="K3011" s="3" t="n">
        <v>14.99</v>
      </c>
      <c r="L3011" s="2" t="inlineStr">
        <is>
          <t>TCGplayer</t>
        </is>
      </c>
      <c r="N3011" s="4" t="inlineStr">
        <is>
          <t>https://www.tcgplayer.com/product/657489</t>
        </is>
      </c>
    </row>
    <row r="3012">
      <c r="A3012" s="2" t="inlineStr">
        <is>
          <t>Mega Evolution Sleeved Booster Pack</t>
        </is>
      </c>
      <c r="B3012" s="3">
        <f>IF(H3012&lt;&gt;"",H3012,IF(I3012&lt;&gt;"",I3012,IF(J3012&lt;&gt;"",J3012,K3012)))</f>
        <v>10.44</v>
      </c>
      <c r="C3012" s="3">
        <f>MEDIAN(H3012:K3012)</f>
        <v>10.44</v>
      </c>
      <c r="D3012" s="3">
        <f>ROUND(C3012*(1-Settings!$B$2),2)</f>
        <v>7.31</v>
      </c>
      <c r="E3012" s="2" t="inlineStr">
        <is>
          <t>Pokemon</t>
        </is>
      </c>
      <c r="F3012" s="2" t="inlineStr">
        <is>
          <t>Pack</t>
        </is>
      </c>
      <c r="G3012" s="2" t="inlineStr">
        <is>
          <t>ME01: Mega Evolution</t>
        </is>
      </c>
      <c r="H3012" s="3" t="n"/>
      <c r="I3012" s="3" t="n">
        <v>10.44</v>
      </c>
      <c r="J3012" s="3" t="n">
        <v>11</v>
      </c>
      <c r="K3012" s="3" t="n">
        <v>0.01</v>
      </c>
      <c r="L3012" s="2" t="inlineStr">
        <is>
          <t>TCGplayer</t>
        </is>
      </c>
      <c r="N3012" s="4" t="inlineStr">
        <is>
          <t>https://www.tcgplayer.com/product/644354</t>
        </is>
      </c>
    </row>
    <row r="3013">
      <c r="A3013" s="2" t="inlineStr">
        <is>
          <t>Phantasmal Flames 3 Pack Blister [Sneasel]</t>
        </is>
      </c>
      <c r="B3013" s="3">
        <f>IF(H3013&lt;&gt;"",H3013,IF(I3013&lt;&gt;"",I3013,IF(J3013&lt;&gt;"",J3013,K3013)))</f>
        <v>42.66</v>
      </c>
      <c r="C3013" s="3">
        <f>MEDIAN(H3013:K3013)</f>
        <v>42.66</v>
      </c>
      <c r="D3013" s="3">
        <f>ROUND(C3013*(1-Settings!$B$2),2)</f>
        <v>29.86</v>
      </c>
      <c r="E3013" s="2" t="inlineStr">
        <is>
          <t>Pokemon</t>
        </is>
      </c>
      <c r="F3013" s="2" t="inlineStr">
        <is>
          <t>Pack</t>
        </is>
      </c>
      <c r="G3013" s="2" t="inlineStr">
        <is>
          <t>ME02: Phantasmal Flames</t>
        </is>
      </c>
      <c r="H3013" s="3" t="n"/>
      <c r="I3013" s="3" t="n">
        <v>42.66</v>
      </c>
      <c r="J3013" s="3" t="n">
        <v>45</v>
      </c>
      <c r="K3013" s="3" t="n">
        <v>39.99</v>
      </c>
      <c r="L3013" s="2" t="inlineStr">
        <is>
          <t>TCGplayer</t>
        </is>
      </c>
      <c r="N3013" s="4" t="inlineStr">
        <is>
          <t>https://www.tcgplayer.com/product/654154</t>
        </is>
      </c>
    </row>
    <row r="3014">
      <c r="A3014" s="2" t="inlineStr">
        <is>
          <t>Phantasmal Flames 3 Pack Blister [Weavile]</t>
        </is>
      </c>
      <c r="B3014" s="3">
        <f>IF(H3014&lt;&gt;"",H3014,IF(I3014&lt;&gt;"",I3014,IF(J3014&lt;&gt;"",J3014,K3014)))</f>
        <v>43.58</v>
      </c>
      <c r="C3014" s="3">
        <f>MEDIAN(H3014:K3014)</f>
        <v>43.58</v>
      </c>
      <c r="D3014" s="3">
        <f>ROUND(C3014*(1-Settings!$B$2),2)</f>
        <v>30.51</v>
      </c>
      <c r="E3014" s="2" t="inlineStr">
        <is>
          <t>Pokemon</t>
        </is>
      </c>
      <c r="F3014" s="2" t="inlineStr">
        <is>
          <t>Pack</t>
        </is>
      </c>
      <c r="G3014" s="2" t="inlineStr">
        <is>
          <t>ME02: Phantasmal Flames</t>
        </is>
      </c>
      <c r="H3014" s="3" t="n"/>
      <c r="I3014" s="3" t="n">
        <v>43.58</v>
      </c>
      <c r="J3014" s="3" t="n">
        <v>48.49</v>
      </c>
      <c r="K3014" s="3" t="n">
        <v>39</v>
      </c>
      <c r="L3014" s="2" t="inlineStr">
        <is>
          <t>TCGplayer</t>
        </is>
      </c>
      <c r="N3014" s="4" t="inlineStr">
        <is>
          <t>https://www.tcgplayer.com/product/654156</t>
        </is>
      </c>
    </row>
    <row r="3015">
      <c r="A3015" s="2" t="inlineStr">
        <is>
          <t>Phantasmal Flames Booster Pack</t>
        </is>
      </c>
      <c r="B3015" s="3">
        <f>IF(H3015&lt;&gt;"",H3015,IF(I3015&lt;&gt;"",I3015,IF(J3015&lt;&gt;"",J3015,K3015)))</f>
        <v>11.59</v>
      </c>
      <c r="C3015" s="3">
        <f>MEDIAN(H3015:K3015)</f>
        <v>11.59</v>
      </c>
      <c r="D3015" s="3">
        <f>ROUND(C3015*(1-Settings!$B$2),2)</f>
        <v>8.11</v>
      </c>
      <c r="E3015" s="2" t="inlineStr">
        <is>
          <t>Pokemon</t>
        </is>
      </c>
      <c r="F3015" s="2" t="inlineStr">
        <is>
          <t>Pack</t>
        </is>
      </c>
      <c r="G3015" s="2" t="inlineStr">
        <is>
          <t>ME02: Phantasmal Flames</t>
        </is>
      </c>
      <c r="H3015" s="3" t="n"/>
      <c r="I3015" s="3" t="n">
        <v>11.59</v>
      </c>
      <c r="J3015" s="3" t="n">
        <v>12.98</v>
      </c>
      <c r="K3015" s="3" t="n">
        <v>2.38</v>
      </c>
      <c r="L3015" s="2" t="inlineStr">
        <is>
          <t>TCGplayer</t>
        </is>
      </c>
      <c r="N3015" s="4" t="inlineStr">
        <is>
          <t>https://www.tcgplayer.com/product/654144</t>
        </is>
      </c>
    </row>
    <row r="3016">
      <c r="A3016" s="2" t="inlineStr">
        <is>
          <t>Phantasmal Flames Fun Pack</t>
        </is>
      </c>
      <c r="B3016" s="3">
        <f>IF(H3016&lt;&gt;"",H3016,IF(I3016&lt;&gt;"",I3016,IF(J3016&lt;&gt;"",J3016,K3016)))</f>
        <v>7.69</v>
      </c>
      <c r="C3016" s="3">
        <f>MEDIAN(H3016:K3016)</f>
        <v>7.69</v>
      </c>
      <c r="D3016" s="3">
        <f>ROUND(C3016*(1-Settings!$B$2),2)</f>
        <v>5.38</v>
      </c>
      <c r="E3016" s="2" t="inlineStr">
        <is>
          <t>Pokemon</t>
        </is>
      </c>
      <c r="F3016" s="2" t="inlineStr">
        <is>
          <t>Pack</t>
        </is>
      </c>
      <c r="G3016" s="2" t="inlineStr">
        <is>
          <t>ME02: Phantasmal Flames</t>
        </is>
      </c>
      <c r="H3016" s="3" t="n"/>
      <c r="I3016" s="3" t="n">
        <v>7.69</v>
      </c>
      <c r="J3016" s="3" t="n"/>
      <c r="K3016" s="3" t="n"/>
      <c r="L3016" s="2" t="inlineStr">
        <is>
          <t>TCGplayer</t>
        </is>
      </c>
      <c r="N3016" s="4" t="inlineStr">
        <is>
          <t>https://www.tcgplayer.com/product/715708</t>
        </is>
      </c>
    </row>
    <row r="3017">
      <c r="A3017" s="2" t="inlineStr">
        <is>
          <t>Phantasmal Flames Premium Checklane Blister [Arven's Greedent]</t>
        </is>
      </c>
      <c r="B3017" s="3">
        <f>IF(H3017&lt;&gt;"",H3017,IF(I3017&lt;&gt;"",I3017,IF(J3017&lt;&gt;"",J3017,K3017)))</f>
        <v>14.34</v>
      </c>
      <c r="C3017" s="3">
        <f>MEDIAN(H3017:K3017)</f>
        <v>14.34</v>
      </c>
      <c r="D3017" s="3">
        <f>ROUND(C3017*(1-Settings!$B$2),2)</f>
        <v>10.04</v>
      </c>
      <c r="E3017" s="2" t="inlineStr">
        <is>
          <t>Pokemon</t>
        </is>
      </c>
      <c r="F3017" s="2" t="inlineStr">
        <is>
          <t>Pack</t>
        </is>
      </c>
      <c r="G3017" s="2" t="inlineStr">
        <is>
          <t>ME02: Phantasmal Flames</t>
        </is>
      </c>
      <c r="H3017" s="3" t="n"/>
      <c r="I3017" s="3" t="n">
        <v>14.34</v>
      </c>
      <c r="J3017" s="3" t="n">
        <v>15</v>
      </c>
      <c r="K3017" s="3" t="n">
        <v>12.99</v>
      </c>
      <c r="L3017" s="2" t="inlineStr">
        <is>
          <t>TCGplayer</t>
        </is>
      </c>
      <c r="N3017" s="4" t="inlineStr">
        <is>
          <t>https://www.tcgplayer.com/product/668931</t>
        </is>
      </c>
    </row>
    <row r="3018">
      <c r="A3018" s="2" t="inlineStr">
        <is>
          <t>Phantasmal Flames Premium Checklane Blister [Blaziken]</t>
        </is>
      </c>
      <c r="B3018" s="3">
        <f>IF(H3018&lt;&gt;"",H3018,IF(I3018&lt;&gt;"",I3018,IF(J3018&lt;&gt;"",J3018,K3018)))</f>
        <v>31.55</v>
      </c>
      <c r="C3018" s="3">
        <f>MEDIAN(H3018:K3018)</f>
        <v>31.25</v>
      </c>
      <c r="D3018" s="3">
        <f>ROUND(C3018*(1-Settings!$B$2),2)</f>
        <v>21.88</v>
      </c>
      <c r="E3018" s="2" t="inlineStr">
        <is>
          <t>Pokemon</t>
        </is>
      </c>
      <c r="F3018" s="2" t="inlineStr">
        <is>
          <t>Pack</t>
        </is>
      </c>
      <c r="G3018" s="2" t="inlineStr">
        <is>
          <t>ME02: Phantasmal Flames</t>
        </is>
      </c>
      <c r="H3018" s="3" t="n"/>
      <c r="I3018" s="3" t="n">
        <v>31.55</v>
      </c>
      <c r="J3018" s="3" t="n">
        <v>31.25</v>
      </c>
      <c r="K3018" s="3" t="n">
        <v>26.99</v>
      </c>
      <c r="L3018" s="2" t="inlineStr">
        <is>
          <t>TCGplayer</t>
        </is>
      </c>
      <c r="N3018" s="4" t="inlineStr">
        <is>
          <t>https://www.tcgplayer.com/product/654147</t>
        </is>
      </c>
    </row>
    <row r="3019">
      <c r="A3019" s="2" t="inlineStr">
        <is>
          <t>Phantasmal Flames Premium Checklane Blister [Ethan's Magcargo]</t>
        </is>
      </c>
      <c r="B3019" s="3">
        <f>IF(H3019&lt;&gt;"",H3019,IF(I3019&lt;&gt;"",I3019,IF(J3019&lt;&gt;"",J3019,K3019)))</f>
        <v>16.23</v>
      </c>
      <c r="C3019" s="3">
        <f>MEDIAN(H3019:K3019)</f>
        <v>16.2</v>
      </c>
      <c r="D3019" s="3">
        <f>ROUND(C3019*(1-Settings!$B$2),2)</f>
        <v>11.34</v>
      </c>
      <c r="E3019" s="2" t="inlineStr">
        <is>
          <t>Pokemon</t>
        </is>
      </c>
      <c r="F3019" s="2" t="inlineStr">
        <is>
          <t>Pack</t>
        </is>
      </c>
      <c r="G3019" s="2" t="inlineStr">
        <is>
          <t>ME02: Phantasmal Flames</t>
        </is>
      </c>
      <c r="H3019" s="3" t="n"/>
      <c r="I3019" s="3" t="n">
        <v>16.23</v>
      </c>
      <c r="J3019" s="3" t="n">
        <v>16.2</v>
      </c>
      <c r="K3019" s="3" t="n">
        <v>12.99</v>
      </c>
      <c r="L3019" s="2" t="inlineStr">
        <is>
          <t>TCGplayer</t>
        </is>
      </c>
      <c r="N3019" s="4" t="inlineStr">
        <is>
          <t>https://www.tcgplayer.com/product/672588</t>
        </is>
      </c>
    </row>
    <row r="3020">
      <c r="A3020" s="2" t="inlineStr">
        <is>
          <t>Phantasmal Flames Premium Checklane Blister [Hydrapple]</t>
        </is>
      </c>
      <c r="B3020" s="3">
        <f>IF(H3020&lt;&gt;"",H3020,IF(I3020&lt;&gt;"",I3020,IF(J3020&lt;&gt;"",J3020,K3020)))</f>
        <v>32.69</v>
      </c>
      <c r="C3020" s="3">
        <f>MEDIAN(H3020:K3020)</f>
        <v>26.99</v>
      </c>
      <c r="D3020" s="3">
        <f>ROUND(C3020*(1-Settings!$B$2),2)</f>
        <v>18.89</v>
      </c>
      <c r="E3020" s="2" t="inlineStr">
        <is>
          <t>Pokemon</t>
        </is>
      </c>
      <c r="F3020" s="2" t="inlineStr">
        <is>
          <t>Pack</t>
        </is>
      </c>
      <c r="G3020" s="2" t="inlineStr">
        <is>
          <t>ME02: Phantasmal Flames</t>
        </is>
      </c>
      <c r="H3020" s="3" t="n"/>
      <c r="I3020" s="3" t="n">
        <v>32.69</v>
      </c>
      <c r="J3020" s="3" t="n">
        <v>26.99</v>
      </c>
      <c r="K3020" s="3" t="n">
        <v>22</v>
      </c>
      <c r="L3020" s="2" t="inlineStr">
        <is>
          <t>TCGplayer</t>
        </is>
      </c>
      <c r="N3020" s="4" t="inlineStr">
        <is>
          <t>https://www.tcgplayer.com/product/654146</t>
        </is>
      </c>
    </row>
    <row r="3021">
      <c r="A3021" s="2" t="inlineStr">
        <is>
          <t>Phantasmal Flames Single Pack Blister [Cottonee]</t>
        </is>
      </c>
      <c r="B3021" s="3">
        <f>IF(H3021&lt;&gt;"",H3021,IF(I3021&lt;&gt;"",I3021,IF(J3021&lt;&gt;"",J3021,K3021)))</f>
        <v>12.98</v>
      </c>
      <c r="C3021" s="3">
        <f>MEDIAN(H3021:K3021)</f>
        <v>12.98</v>
      </c>
      <c r="D3021" s="3">
        <f>ROUND(C3021*(1-Settings!$B$2),2)</f>
        <v>9.09</v>
      </c>
      <c r="E3021" s="2" t="inlineStr">
        <is>
          <t>Pokemon</t>
        </is>
      </c>
      <c r="F3021" s="2" t="inlineStr">
        <is>
          <t>Pack</t>
        </is>
      </c>
      <c r="G3021" s="2" t="inlineStr">
        <is>
          <t>ME02: Phantasmal Flames</t>
        </is>
      </c>
      <c r="H3021" s="3" t="n"/>
      <c r="I3021" s="3" t="n">
        <v>12.98</v>
      </c>
      <c r="J3021" s="3" t="n">
        <v>13</v>
      </c>
      <c r="K3021" s="3" t="n">
        <v>1.5</v>
      </c>
      <c r="L3021" s="2" t="inlineStr">
        <is>
          <t>TCGplayer</t>
        </is>
      </c>
      <c r="N3021" s="4" t="inlineStr">
        <is>
          <t>https://www.tcgplayer.com/product/654151</t>
        </is>
      </c>
    </row>
    <row r="3022">
      <c r="A3022" s="2" t="inlineStr">
        <is>
          <t>Phantasmal Flames Single Pack Blister [Whimsicott]</t>
        </is>
      </c>
      <c r="B3022" s="3">
        <f>IF(H3022&lt;&gt;"",H3022,IF(I3022&lt;&gt;"",I3022,IF(J3022&lt;&gt;"",J3022,K3022)))</f>
        <v>12.7</v>
      </c>
      <c r="C3022" s="3">
        <f>MEDIAN(H3022:K3022)</f>
        <v>12.7</v>
      </c>
      <c r="D3022" s="3">
        <f>ROUND(C3022*(1-Settings!$B$2),2)</f>
        <v>8.89</v>
      </c>
      <c r="E3022" s="2" t="inlineStr">
        <is>
          <t>Pokemon</t>
        </is>
      </c>
      <c r="F3022" s="2" t="inlineStr">
        <is>
          <t>Pack</t>
        </is>
      </c>
      <c r="G3022" s="2" t="inlineStr">
        <is>
          <t>ME02: Phantasmal Flames</t>
        </is>
      </c>
      <c r="H3022" s="3" t="n"/>
      <c r="I3022" s="3" t="n">
        <v>12.7</v>
      </c>
      <c r="J3022" s="3" t="n">
        <v>13.24</v>
      </c>
      <c r="K3022" s="3" t="n">
        <v>1.5</v>
      </c>
      <c r="L3022" s="2" t="inlineStr">
        <is>
          <t>TCGplayer</t>
        </is>
      </c>
      <c r="N3022" s="4" t="inlineStr">
        <is>
          <t>https://www.tcgplayer.com/product/654150</t>
        </is>
      </c>
    </row>
    <row r="3023">
      <c r="A3023" s="2" t="inlineStr">
        <is>
          <t>Phantasmal Flames Sleeved Booster Pack</t>
        </is>
      </c>
      <c r="B3023" s="3">
        <f>IF(H3023&lt;&gt;"",H3023,IF(I3023&lt;&gt;"",I3023,IF(J3023&lt;&gt;"",J3023,K3023)))</f>
        <v>14.26</v>
      </c>
      <c r="C3023" s="3">
        <f>MEDIAN(H3023:K3023)</f>
        <v>14.26</v>
      </c>
      <c r="D3023" s="3">
        <f>ROUND(C3023*(1-Settings!$B$2),2)</f>
        <v>9.98</v>
      </c>
      <c r="E3023" s="2" t="inlineStr">
        <is>
          <t>Pokemon</t>
        </is>
      </c>
      <c r="F3023" s="2" t="inlineStr">
        <is>
          <t>Pack</t>
        </is>
      </c>
      <c r="G3023" s="2" t="inlineStr">
        <is>
          <t>ME02: Phantasmal Flames</t>
        </is>
      </c>
      <c r="H3023" s="3" t="n"/>
      <c r="I3023" s="3" t="n">
        <v>14.26</v>
      </c>
      <c r="J3023" s="3" t="n">
        <v>15</v>
      </c>
      <c r="K3023" s="3" t="n">
        <v>3.71</v>
      </c>
      <c r="L3023" s="2" t="inlineStr">
        <is>
          <t>TCGplayer</t>
        </is>
      </c>
      <c r="N3023" s="4" t="inlineStr">
        <is>
          <t>https://www.tcgplayer.com/product/654145</t>
        </is>
      </c>
    </row>
    <row r="3024">
      <c r="A3024" s="2" t="inlineStr">
        <is>
          <t>Perfect Order 3 Pack Blister [Chikorita]</t>
        </is>
      </c>
      <c r="B3024" s="3">
        <f>IF(H3024&lt;&gt;"",H3024,IF(I3024&lt;&gt;"",I3024,IF(J3024&lt;&gt;"",J3024,K3024)))</f>
        <v>20.79</v>
      </c>
      <c r="C3024" s="3">
        <f>MEDIAN(H3024:K3024)</f>
        <v>20.79</v>
      </c>
      <c r="D3024" s="3">
        <f>ROUND(C3024*(1-Settings!$B$2),2)</f>
        <v>14.55</v>
      </c>
      <c r="E3024" s="2" t="inlineStr">
        <is>
          <t>Pokemon</t>
        </is>
      </c>
      <c r="F3024" s="2" t="inlineStr">
        <is>
          <t>Pack</t>
        </is>
      </c>
      <c r="G3024" s="2" t="inlineStr">
        <is>
          <t>ME03: Perfect Order</t>
        </is>
      </c>
      <c r="H3024" s="3" t="n"/>
      <c r="I3024" s="3" t="n">
        <v>20.79</v>
      </c>
      <c r="J3024" s="3" t="n">
        <v>22.99</v>
      </c>
      <c r="K3024" s="3" t="n">
        <v>13.75</v>
      </c>
      <c r="L3024" s="2" t="inlineStr">
        <is>
          <t>TCGplayer</t>
        </is>
      </c>
      <c r="N3024" s="4" t="inlineStr">
        <is>
          <t>https://www.tcgplayer.com/product/672393</t>
        </is>
      </c>
    </row>
    <row r="3025">
      <c r="A3025" s="2" t="inlineStr">
        <is>
          <t>Perfect Order Booster Pack</t>
        </is>
      </c>
      <c r="B3025" s="3">
        <f>IF(H3025&lt;&gt;"",H3025,IF(I3025&lt;&gt;"",I3025,IF(J3025&lt;&gt;"",J3025,K3025)))</f>
        <v>5.79</v>
      </c>
      <c r="C3025" s="3">
        <f>MEDIAN(H3025:K3025)</f>
        <v>5.79</v>
      </c>
      <c r="D3025" s="3">
        <f>ROUND(C3025*(1-Settings!$B$2),2)</f>
        <v>4.05</v>
      </c>
      <c r="E3025" s="2" t="inlineStr">
        <is>
          <t>Pokemon</t>
        </is>
      </c>
      <c r="F3025" s="2" t="inlineStr">
        <is>
          <t>Pack</t>
        </is>
      </c>
      <c r="G3025" s="2" t="inlineStr">
        <is>
          <t>ME03: Perfect Order</t>
        </is>
      </c>
      <c r="H3025" s="3" t="n"/>
      <c r="I3025" s="3" t="n">
        <v>5.79</v>
      </c>
      <c r="J3025" s="3" t="n">
        <v>6.47</v>
      </c>
      <c r="K3025" s="3" t="n">
        <v>0.99</v>
      </c>
      <c r="L3025" s="2" t="inlineStr">
        <is>
          <t>TCGplayer</t>
        </is>
      </c>
      <c r="N3025" s="4" t="inlineStr">
        <is>
          <t>https://www.tcgplayer.com/product/672398</t>
        </is>
      </c>
    </row>
    <row r="3026">
      <c r="A3026" s="2" t="inlineStr">
        <is>
          <t>Perfect Order Premium Checklane Blister [Cinderace Line]</t>
        </is>
      </c>
      <c r="B3026" s="3">
        <f>IF(H3026&lt;&gt;"",H3026,IF(I3026&lt;&gt;"",I3026,IF(J3026&lt;&gt;"",J3026,K3026)))</f>
        <v>16.32</v>
      </c>
      <c r="C3026" s="3">
        <f>MEDIAN(H3026:K3026)</f>
        <v>16.32</v>
      </c>
      <c r="D3026" s="3">
        <f>ROUND(C3026*(1-Settings!$B$2),2)</f>
        <v>11.42</v>
      </c>
      <c r="E3026" s="2" t="inlineStr">
        <is>
          <t>Pokemon</t>
        </is>
      </c>
      <c r="F3026" s="2" t="inlineStr">
        <is>
          <t>Pack</t>
        </is>
      </c>
      <c r="G3026" s="2" t="inlineStr">
        <is>
          <t>ME03: Perfect Order</t>
        </is>
      </c>
      <c r="H3026" s="3" t="n"/>
      <c r="I3026" s="3" t="n">
        <v>16.32</v>
      </c>
      <c r="J3026" s="3" t="n">
        <v>17.49</v>
      </c>
      <c r="K3026" s="3" t="n">
        <v>1</v>
      </c>
      <c r="L3026" s="2" t="inlineStr">
        <is>
          <t>TCGplayer</t>
        </is>
      </c>
      <c r="N3026" s="4" t="inlineStr">
        <is>
          <t>https://www.tcgplayer.com/product/672407</t>
        </is>
      </c>
    </row>
    <row r="3027">
      <c r="A3027" s="2" t="inlineStr">
        <is>
          <t>Perfect Order Premium Checklane Blister [Clawitzer Line]</t>
        </is>
      </c>
      <c r="B3027" s="3">
        <f>IF(H3027&lt;&gt;"",H3027,IF(I3027&lt;&gt;"",I3027,IF(J3027&lt;&gt;"",J3027,K3027)))</f>
        <v>14.64</v>
      </c>
      <c r="C3027" s="3">
        <f>MEDIAN(H3027:K3027)</f>
        <v>14.64</v>
      </c>
      <c r="D3027" s="3">
        <f>ROUND(C3027*(1-Settings!$B$2),2)</f>
        <v>10.25</v>
      </c>
      <c r="E3027" s="2" t="inlineStr">
        <is>
          <t>Pokemon</t>
        </is>
      </c>
      <c r="F3027" s="2" t="inlineStr">
        <is>
          <t>Pack</t>
        </is>
      </c>
      <c r="G3027" s="2" t="inlineStr">
        <is>
          <t>ME03: Perfect Order</t>
        </is>
      </c>
      <c r="H3027" s="3" t="n"/>
      <c r="I3027" s="3" t="n">
        <v>14.64</v>
      </c>
      <c r="J3027" s="3" t="n">
        <v>14.99</v>
      </c>
      <c r="K3027" s="3" t="n">
        <v>8</v>
      </c>
      <c r="L3027" s="2" t="inlineStr">
        <is>
          <t>TCGplayer</t>
        </is>
      </c>
      <c r="N3027" s="4" t="inlineStr">
        <is>
          <t>https://www.tcgplayer.com/product/672409</t>
        </is>
      </c>
    </row>
    <row r="3028">
      <c r="A3028" s="2" t="inlineStr">
        <is>
          <t>Perfect Order Premium Checklane Blister [Meganium Line]</t>
        </is>
      </c>
      <c r="B3028" s="3">
        <f>IF(H3028&lt;&gt;"",H3028,IF(I3028&lt;&gt;"",I3028,IF(J3028&lt;&gt;"",J3028,K3028)))</f>
        <v>18.46</v>
      </c>
      <c r="C3028" s="3">
        <f>MEDIAN(H3028:K3028)</f>
        <v>18.32</v>
      </c>
      <c r="D3028" s="3">
        <f>ROUND(C3028*(1-Settings!$B$2),2)</f>
        <v>12.82</v>
      </c>
      <c r="E3028" s="2" t="inlineStr">
        <is>
          <t>Pokemon</t>
        </is>
      </c>
      <c r="F3028" s="2" t="inlineStr">
        <is>
          <t>Pack</t>
        </is>
      </c>
      <c r="G3028" s="2" t="inlineStr">
        <is>
          <t>ME03: Perfect Order</t>
        </is>
      </c>
      <c r="H3028" s="3" t="n"/>
      <c r="I3028" s="3" t="n">
        <v>18.46</v>
      </c>
      <c r="J3028" s="3" t="n">
        <v>18.32</v>
      </c>
      <c r="K3028" s="3" t="n">
        <v>13.49</v>
      </c>
      <c r="L3028" s="2" t="inlineStr">
        <is>
          <t>TCGplayer</t>
        </is>
      </c>
      <c r="N3028" s="4" t="inlineStr">
        <is>
          <t>https://www.tcgplayer.com/product/672406</t>
        </is>
      </c>
    </row>
    <row r="3029">
      <c r="A3029" s="2" t="inlineStr">
        <is>
          <t>Perfect Order Premium Checklane Blister [Steelix Line]</t>
        </is>
      </c>
      <c r="B3029" s="3">
        <f>IF(H3029&lt;&gt;"",H3029,IF(I3029&lt;&gt;"",I3029,IF(J3029&lt;&gt;"",J3029,K3029)))</f>
        <v>15.54</v>
      </c>
      <c r="C3029" s="3">
        <f>MEDIAN(H3029:K3029)</f>
        <v>14.99</v>
      </c>
      <c r="D3029" s="3">
        <f>ROUND(C3029*(1-Settings!$B$2),2)</f>
        <v>10.49</v>
      </c>
      <c r="E3029" s="2" t="inlineStr">
        <is>
          <t>Pokemon</t>
        </is>
      </c>
      <c r="F3029" s="2" t="inlineStr">
        <is>
          <t>Pack</t>
        </is>
      </c>
      <c r="G3029" s="2" t="inlineStr">
        <is>
          <t>ME03: Perfect Order</t>
        </is>
      </c>
      <c r="H3029" s="3" t="n"/>
      <c r="I3029" s="3" t="n">
        <v>15.54</v>
      </c>
      <c r="J3029" s="3" t="n">
        <v>14.99</v>
      </c>
      <c r="K3029" s="3" t="n">
        <v>9.710000000000001</v>
      </c>
      <c r="L3029" s="2" t="inlineStr">
        <is>
          <t>TCGplayer</t>
        </is>
      </c>
      <c r="N3029" s="4" t="inlineStr">
        <is>
          <t>https://www.tcgplayer.com/product/672408</t>
        </is>
      </c>
    </row>
    <row r="3030">
      <c r="A3030" s="2" t="inlineStr">
        <is>
          <t>Perfect Order Single Pack Blister [Makuhita]</t>
        </is>
      </c>
      <c r="B3030" s="3">
        <f>IF(H3030&lt;&gt;"",H3030,IF(I3030&lt;&gt;"",I3030,IF(J3030&lt;&gt;"",J3030,K3030)))</f>
        <v>7.68</v>
      </c>
      <c r="C3030" s="3">
        <f>MEDIAN(H3030:K3030)</f>
        <v>7.68</v>
      </c>
      <c r="D3030" s="3">
        <f>ROUND(C3030*(1-Settings!$B$2),2)</f>
        <v>5.38</v>
      </c>
      <c r="E3030" s="2" t="inlineStr">
        <is>
          <t>Pokemon</t>
        </is>
      </c>
      <c r="F3030" s="2" t="inlineStr">
        <is>
          <t>Pack</t>
        </is>
      </c>
      <c r="G3030" s="2" t="inlineStr">
        <is>
          <t>ME03: Perfect Order</t>
        </is>
      </c>
      <c r="H3030" s="3" t="n"/>
      <c r="I3030" s="3" t="n">
        <v>7.68</v>
      </c>
      <c r="J3030" s="3" t="n">
        <v>8.99</v>
      </c>
      <c r="K3030" s="3" t="n">
        <v>6</v>
      </c>
      <c r="L3030" s="2" t="inlineStr">
        <is>
          <t>TCGplayer</t>
        </is>
      </c>
      <c r="N3030" s="4" t="inlineStr">
        <is>
          <t>https://www.tcgplayer.com/product/672410</t>
        </is>
      </c>
    </row>
    <row r="3031">
      <c r="A3031" s="2" t="inlineStr">
        <is>
          <t>Perfect Order Sleeved Booster Pack</t>
        </is>
      </c>
      <c r="B3031" s="3">
        <f>IF(H3031&lt;&gt;"",H3031,IF(I3031&lt;&gt;"",I3031,IF(J3031&lt;&gt;"",J3031,K3031)))</f>
        <v>7.7</v>
      </c>
      <c r="C3031" s="3">
        <f>MEDIAN(H3031:K3031)</f>
        <v>7.7</v>
      </c>
      <c r="D3031" s="3">
        <f>ROUND(C3031*(1-Settings!$B$2),2)</f>
        <v>5.39</v>
      </c>
      <c r="E3031" s="2" t="inlineStr">
        <is>
          <t>Pokemon</t>
        </is>
      </c>
      <c r="F3031" s="2" t="inlineStr">
        <is>
          <t>Pack</t>
        </is>
      </c>
      <c r="G3031" s="2" t="inlineStr">
        <is>
          <t>ME03: Perfect Order</t>
        </is>
      </c>
      <c r="H3031" s="3" t="n"/>
      <c r="I3031" s="3" t="n">
        <v>7.7</v>
      </c>
      <c r="J3031" s="3" t="n">
        <v>7.97</v>
      </c>
      <c r="K3031" s="3" t="n">
        <v>2.23</v>
      </c>
      <c r="L3031" s="2" t="inlineStr">
        <is>
          <t>TCGplayer</t>
        </is>
      </c>
      <c r="N3031" s="4" t="inlineStr">
        <is>
          <t>https://www.tcgplayer.com/product/672412</t>
        </is>
      </c>
    </row>
    <row r="3032">
      <c r="A3032" s="2" t="inlineStr">
        <is>
          <t>Chaos Rising Booster Pack</t>
        </is>
      </c>
      <c r="B3032" s="3">
        <f>IF(H3032&lt;&gt;"",H3032,IF(I3032&lt;&gt;"",I3032,IF(J3032&lt;&gt;"",J3032,K3032)))</f>
        <v>5.71</v>
      </c>
      <c r="C3032" s="3">
        <f>MEDIAN(H3032:K3032)</f>
        <v>5.71</v>
      </c>
      <c r="D3032" s="3">
        <f>ROUND(C3032*(1-Settings!$B$2),2)</f>
        <v>4.0</v>
      </c>
      <c r="E3032" s="2" t="inlineStr">
        <is>
          <t>Pokemon</t>
        </is>
      </c>
      <c r="F3032" s="2" t="inlineStr">
        <is>
          <t>Pack</t>
        </is>
      </c>
      <c r="G3032" s="2" t="inlineStr">
        <is>
          <t>ME04: Chaos Rising</t>
        </is>
      </c>
      <c r="H3032" s="3" t="n"/>
      <c r="I3032" s="3" t="n">
        <v>5.71</v>
      </c>
      <c r="J3032" s="3" t="n">
        <v>6.55</v>
      </c>
      <c r="K3032" s="3" t="n">
        <v>2.49</v>
      </c>
      <c r="L3032" s="2" t="inlineStr">
        <is>
          <t>TCGplayer</t>
        </is>
      </c>
      <c r="N3032" s="4" t="inlineStr">
        <is>
          <t>https://www.tcgplayer.com/product/684446</t>
        </is>
      </c>
    </row>
    <row r="3033">
      <c r="A3033" s="2" t="inlineStr">
        <is>
          <t>Chaos Rising Premium Checklane Blister [Flygon Line]</t>
        </is>
      </c>
      <c r="B3033" s="3">
        <f>IF(H3033&lt;&gt;"",H3033,IF(I3033&lt;&gt;"",I3033,IF(J3033&lt;&gt;"",J3033,K3033)))</f>
        <v>15.26</v>
      </c>
      <c r="C3033" s="3">
        <f>MEDIAN(H3033:K3033)</f>
        <v>15.26</v>
      </c>
      <c r="D3033" s="3">
        <f>ROUND(C3033*(1-Settings!$B$2),2)</f>
        <v>10.68</v>
      </c>
      <c r="E3033" s="2" t="inlineStr">
        <is>
          <t>Pokemon</t>
        </is>
      </c>
      <c r="F3033" s="2" t="inlineStr">
        <is>
          <t>Pack</t>
        </is>
      </c>
      <c r="G3033" s="2" t="inlineStr">
        <is>
          <t>ME04: Chaos Rising</t>
        </is>
      </c>
      <c r="H3033" s="3" t="n"/>
      <c r="I3033" s="3" t="n">
        <v>15.26</v>
      </c>
      <c r="J3033" s="3" t="n">
        <v>17</v>
      </c>
      <c r="K3033" s="3" t="n">
        <v>8.710000000000001</v>
      </c>
      <c r="L3033" s="2" t="inlineStr">
        <is>
          <t>TCGplayer</t>
        </is>
      </c>
      <c r="N3033" s="4" t="inlineStr">
        <is>
          <t>https://www.tcgplayer.com/product/684460</t>
        </is>
      </c>
    </row>
    <row r="3034">
      <c r="A3034" s="2" t="inlineStr">
        <is>
          <t>Chaos Rising Premium Checklane Blister [Pawmot Line]</t>
        </is>
      </c>
      <c r="B3034" s="3">
        <f>IF(H3034&lt;&gt;"",H3034,IF(I3034&lt;&gt;"",I3034,IF(J3034&lt;&gt;"",J3034,K3034)))</f>
        <v>14.66</v>
      </c>
      <c r="C3034" s="3">
        <f>MEDIAN(H3034:K3034)</f>
        <v>14.66</v>
      </c>
      <c r="D3034" s="3">
        <f>ROUND(C3034*(1-Settings!$B$2),2)</f>
        <v>10.26</v>
      </c>
      <c r="E3034" s="2" t="inlineStr">
        <is>
          <t>Pokemon</t>
        </is>
      </c>
      <c r="F3034" s="2" t="inlineStr">
        <is>
          <t>Pack</t>
        </is>
      </c>
      <c r="G3034" s="2" t="inlineStr">
        <is>
          <t>ME04: Chaos Rising</t>
        </is>
      </c>
      <c r="H3034" s="3" t="n"/>
      <c r="I3034" s="3" t="n">
        <v>14.66</v>
      </c>
      <c r="J3034" s="3" t="n">
        <v>16.59</v>
      </c>
      <c r="K3034" s="3" t="n">
        <v>7</v>
      </c>
      <c r="L3034" s="2" t="inlineStr">
        <is>
          <t>TCGplayer</t>
        </is>
      </c>
      <c r="N3034" s="4" t="inlineStr">
        <is>
          <t>https://www.tcgplayer.com/product/684459</t>
        </is>
      </c>
    </row>
    <row r="3035">
      <c r="A3035" s="2" t="inlineStr">
        <is>
          <t>Chaos Rising Single Pack Blister [Reshiram/Moltres]</t>
        </is>
      </c>
      <c r="B3035" s="3">
        <f>IF(H3035&lt;&gt;"",H3035,IF(I3035&lt;&gt;"",I3035,IF(J3035&lt;&gt;"",J3035,K3035)))</f>
        <v>24.3</v>
      </c>
      <c r="C3035" s="3">
        <f>MEDIAN(H3035:K3035)</f>
        <v>22.0</v>
      </c>
      <c r="D3035" s="3">
        <f>ROUND(C3035*(1-Settings!$B$2),2)</f>
        <v>15.4</v>
      </c>
      <c r="E3035" s="2" t="inlineStr">
        <is>
          <t>Pokemon</t>
        </is>
      </c>
      <c r="F3035" s="2" t="inlineStr">
        <is>
          <t>Pack</t>
        </is>
      </c>
      <c r="G3035" s="2" t="inlineStr">
        <is>
          <t>ME04: Chaos Rising</t>
        </is>
      </c>
      <c r="H3035" s="3" t="n"/>
      <c r="I3035" s="3" t="n">
        <v>24.3</v>
      </c>
      <c r="J3035" s="3" t="n">
        <v>22</v>
      </c>
      <c r="K3035" s="3" t="n">
        <v>14</v>
      </c>
      <c r="L3035" s="2" t="inlineStr">
        <is>
          <t>TCGplayer</t>
        </is>
      </c>
      <c r="N3035" s="4" t="inlineStr">
        <is>
          <t>https://www.tcgplayer.com/product/696150</t>
        </is>
      </c>
    </row>
    <row r="3036">
      <c r="A3036" s="2" t="inlineStr">
        <is>
          <t>Chaos Rising Single Pack Blister [Toxel]</t>
        </is>
      </c>
      <c r="B3036" s="3">
        <f>IF(H3036&lt;&gt;"",H3036,IF(I3036&lt;&gt;"",I3036,IF(J3036&lt;&gt;"",J3036,K3036)))</f>
        <v>6.71</v>
      </c>
      <c r="C3036" s="3">
        <f>MEDIAN(H3036:K3036)</f>
        <v>6.71</v>
      </c>
      <c r="D3036" s="3">
        <f>ROUND(C3036*(1-Settings!$B$2),2)</f>
        <v>4.7</v>
      </c>
      <c r="E3036" s="2" t="inlineStr">
        <is>
          <t>Pokemon</t>
        </is>
      </c>
      <c r="F3036" s="2" t="inlineStr">
        <is>
          <t>Pack</t>
        </is>
      </c>
      <c r="G3036" s="2" t="inlineStr">
        <is>
          <t>ME04: Chaos Rising</t>
        </is>
      </c>
      <c r="H3036" s="3" t="n"/>
      <c r="I3036" s="3" t="n">
        <v>6.71</v>
      </c>
      <c r="J3036" s="3" t="n">
        <v>8</v>
      </c>
      <c r="K3036" s="3" t="n">
        <v>2</v>
      </c>
      <c r="L3036" s="2" t="inlineStr">
        <is>
          <t>TCGplayer</t>
        </is>
      </c>
      <c r="N3036" s="4" t="inlineStr">
        <is>
          <t>https://www.tcgplayer.com/product/684457</t>
        </is>
      </c>
    </row>
    <row r="3037">
      <c r="A3037" s="2" t="inlineStr">
        <is>
          <t>Chaos Rising Single Pack Blister [Zacian/Mimikyu]</t>
        </is>
      </c>
      <c r="B3037" s="3">
        <f>IF(H3037&lt;&gt;"",H3037,IF(I3037&lt;&gt;"",I3037,IF(J3037&lt;&gt;"",J3037,K3037)))</f>
        <v>22.89</v>
      </c>
      <c r="C3037" s="3">
        <f>MEDIAN(H3037:K3037)</f>
        <v>22.0</v>
      </c>
      <c r="D3037" s="3">
        <f>ROUND(C3037*(1-Settings!$B$2),2)</f>
        <v>15.4</v>
      </c>
      <c r="E3037" s="2" t="inlineStr">
        <is>
          <t>Pokemon</t>
        </is>
      </c>
      <c r="F3037" s="2" t="inlineStr">
        <is>
          <t>Pack</t>
        </is>
      </c>
      <c r="G3037" s="2" t="inlineStr">
        <is>
          <t>ME04: Chaos Rising</t>
        </is>
      </c>
      <c r="H3037" s="3" t="n"/>
      <c r="I3037" s="3" t="n">
        <v>22.89</v>
      </c>
      <c r="J3037" s="3" t="n">
        <v>22</v>
      </c>
      <c r="K3037" s="3" t="n">
        <v>12.99</v>
      </c>
      <c r="L3037" s="2" t="inlineStr">
        <is>
          <t>TCGplayer</t>
        </is>
      </c>
      <c r="N3037" s="4" t="inlineStr">
        <is>
          <t>https://www.tcgplayer.com/product/696144</t>
        </is>
      </c>
    </row>
    <row r="3038">
      <c r="A3038" s="2" t="inlineStr">
        <is>
          <t>Chaos Rising Sleeved Booster Pack</t>
        </is>
      </c>
      <c r="B3038" s="3">
        <f>IF(H3038&lt;&gt;"",H3038,IF(I3038&lt;&gt;"",I3038,IF(J3038&lt;&gt;"",J3038,K3038)))</f>
        <v>6.9</v>
      </c>
      <c r="C3038" s="3">
        <f>MEDIAN(H3038:K3038)</f>
        <v>6.9</v>
      </c>
      <c r="D3038" s="3">
        <f>ROUND(C3038*(1-Settings!$B$2),2)</f>
        <v>4.83</v>
      </c>
      <c r="E3038" s="2" t="inlineStr">
        <is>
          <t>Pokemon</t>
        </is>
      </c>
      <c r="F3038" s="2" t="inlineStr">
        <is>
          <t>Pack</t>
        </is>
      </c>
      <c r="G3038" s="2" t="inlineStr">
        <is>
          <t>ME04: Chaos Rising</t>
        </is>
      </c>
      <c r="H3038" s="3" t="n"/>
      <c r="I3038" s="3" t="n">
        <v>6.9</v>
      </c>
      <c r="J3038" s="3" t="n">
        <v>8</v>
      </c>
      <c r="K3038" s="3" t="n">
        <v>2.55</v>
      </c>
      <c r="L3038" s="2" t="inlineStr">
        <is>
          <t>TCGplayer</t>
        </is>
      </c>
      <c r="N3038" s="4" t="inlineStr">
        <is>
          <t>https://www.tcgplayer.com/product/684448</t>
        </is>
      </c>
    </row>
    <row r="3039">
      <c r="A3039" s="2" t="inlineStr">
        <is>
          <t>Pitch Black Booster Pack</t>
        </is>
      </c>
      <c r="B3039" s="3">
        <f>IF(H3039&lt;&gt;"",H3039,IF(I3039&lt;&gt;"",I3039,IF(J3039&lt;&gt;"",J3039,K3039)))</f>
        <v>6.07</v>
      </c>
      <c r="C3039" s="3">
        <f>MEDIAN(H3039:K3039)</f>
        <v>6.07</v>
      </c>
      <c r="D3039" s="3">
        <f>ROUND(C3039*(1-Settings!$B$2),2)</f>
        <v>4.25</v>
      </c>
      <c r="E3039" s="2" t="inlineStr">
        <is>
          <t>Pokemon</t>
        </is>
      </c>
      <c r="F3039" s="2" t="inlineStr">
        <is>
          <t>Pack</t>
        </is>
      </c>
      <c r="G3039" s="2" t="inlineStr">
        <is>
          <t>ME05: Pitch Black</t>
        </is>
      </c>
      <c r="H3039" s="3" t="n"/>
      <c r="I3039" s="3" t="n">
        <v>6.07</v>
      </c>
      <c r="J3039" s="3" t="n">
        <v>6.5</v>
      </c>
      <c r="K3039" s="3" t="n">
        <v>4.75</v>
      </c>
      <c r="L3039" s="2" t="inlineStr">
        <is>
          <t>TCGplayer</t>
        </is>
      </c>
      <c r="N3039" s="4" t="inlineStr">
        <is>
          <t>https://www.tcgplayer.com/product/692944</t>
        </is>
      </c>
    </row>
    <row r="3040">
      <c r="A3040" s="2" t="inlineStr">
        <is>
          <t>Pitch Black Premium Checklane Blister [Amaura, Aurorus] (Target Exclusive)</t>
        </is>
      </c>
      <c r="B3040" s="3">
        <f>IF(H3040&lt;&gt;"",H3040,IF(I3040&lt;&gt;"",I3040,IF(J3040&lt;&gt;"",J3040,K3040)))</f>
        <v>17.07</v>
      </c>
      <c r="C3040" s="3">
        <f>MEDIAN(H3040:K3040)</f>
        <v>17.07</v>
      </c>
      <c r="D3040" s="3">
        <f>ROUND(C3040*(1-Settings!$B$2),2)</f>
        <v>11.95</v>
      </c>
      <c r="E3040" s="2" t="inlineStr">
        <is>
          <t>Pokemon</t>
        </is>
      </c>
      <c r="F3040" s="2" t="inlineStr">
        <is>
          <t>Pack</t>
        </is>
      </c>
      <c r="G3040" s="2" t="inlineStr">
        <is>
          <t>ME05: Pitch Black</t>
        </is>
      </c>
      <c r="H3040" s="3" t="n"/>
      <c r="I3040" s="3" t="n">
        <v>17.07</v>
      </c>
      <c r="J3040" s="3" t="n">
        <v>17.07</v>
      </c>
      <c r="K3040" s="3" t="n">
        <v>13.49</v>
      </c>
      <c r="L3040" s="2" t="inlineStr">
        <is>
          <t>TCGplayer</t>
        </is>
      </c>
      <c r="N3040" s="4" t="inlineStr">
        <is>
          <t>https://www.tcgplayer.com/product/692954</t>
        </is>
      </c>
    </row>
    <row r="3041">
      <c r="A3041" s="2" t="inlineStr">
        <is>
          <t>Pitch Black Premium Checklane Blister [Gengar Line]</t>
        </is>
      </c>
      <c r="B3041" s="3">
        <f>IF(H3041&lt;&gt;"",H3041,IF(I3041&lt;&gt;"",I3041,IF(J3041&lt;&gt;"",J3041,K3041)))</f>
        <v>22.95</v>
      </c>
      <c r="C3041" s="3">
        <f>MEDIAN(H3041:K3041)</f>
        <v>22.95</v>
      </c>
      <c r="D3041" s="3">
        <f>ROUND(C3041*(1-Settings!$B$2),2)</f>
        <v>16.07</v>
      </c>
      <c r="E3041" s="2" t="inlineStr">
        <is>
          <t>Pokemon</t>
        </is>
      </c>
      <c r="F3041" s="2" t="inlineStr">
        <is>
          <t>Pack</t>
        </is>
      </c>
      <c r="G3041" s="2" t="inlineStr">
        <is>
          <t>ME05: Pitch Black</t>
        </is>
      </c>
      <c r="H3041" s="3" t="n"/>
      <c r="I3041" s="3" t="n">
        <v>22.95</v>
      </c>
      <c r="J3041" s="3" t="n">
        <v>25.25</v>
      </c>
      <c r="K3041" s="3" t="n">
        <v>20</v>
      </c>
      <c r="L3041" s="2" t="inlineStr">
        <is>
          <t>TCGplayer</t>
        </is>
      </c>
      <c r="N3041" s="4" t="inlineStr">
        <is>
          <t>https://www.tcgplayer.com/product/692951</t>
        </is>
      </c>
    </row>
    <row r="3042">
      <c r="A3042" s="2" t="inlineStr">
        <is>
          <t>Pitch Black Premium Checklane Blister [Luxray Line]</t>
        </is>
      </c>
      <c r="B3042" s="3">
        <f>IF(H3042&lt;&gt;"",H3042,IF(I3042&lt;&gt;"",I3042,IF(J3042&lt;&gt;"",J3042,K3042)))</f>
        <v>18.14</v>
      </c>
      <c r="C3042" s="3">
        <f>MEDIAN(H3042:K3042)</f>
        <v>18.14</v>
      </c>
      <c r="D3042" s="3">
        <f>ROUND(C3042*(1-Settings!$B$2),2)</f>
        <v>12.7</v>
      </c>
      <c r="E3042" s="2" t="inlineStr">
        <is>
          <t>Pokemon</t>
        </is>
      </c>
      <c r="F3042" s="2" t="inlineStr">
        <is>
          <t>Pack</t>
        </is>
      </c>
      <c r="G3042" s="2" t="inlineStr">
        <is>
          <t>ME05: Pitch Black</t>
        </is>
      </c>
      <c r="H3042" s="3" t="n"/>
      <c r="I3042" s="3" t="n">
        <v>18.14</v>
      </c>
      <c r="J3042" s="3" t="n">
        <v>18.14</v>
      </c>
      <c r="K3042" s="3" t="n">
        <v>13.95</v>
      </c>
      <c r="L3042" s="2" t="inlineStr">
        <is>
          <t>TCGplayer</t>
        </is>
      </c>
      <c r="N3042" s="4" t="inlineStr">
        <is>
          <t>https://www.tcgplayer.com/product/692952</t>
        </is>
      </c>
    </row>
    <row r="3043">
      <c r="A3043" s="2" t="inlineStr">
        <is>
          <t>Pitch Black Premium Checklane Blister [Tyrunt, Tyrantrum] (Target Exclusive)</t>
        </is>
      </c>
      <c r="B3043" s="3">
        <f>IF(H3043&lt;&gt;"",H3043,IF(I3043&lt;&gt;"",I3043,IF(J3043&lt;&gt;"",J3043,K3043)))</f>
        <v>19.0</v>
      </c>
      <c r="C3043" s="3">
        <f>MEDIAN(H3043:K3043)</f>
        <v>18.0</v>
      </c>
      <c r="D3043" s="3">
        <f>ROUND(C3043*(1-Settings!$B$2),2)</f>
        <v>12.6</v>
      </c>
      <c r="E3043" s="2" t="inlineStr">
        <is>
          <t>Pokemon</t>
        </is>
      </c>
      <c r="F3043" s="2" t="inlineStr">
        <is>
          <t>Pack</t>
        </is>
      </c>
      <c r="G3043" s="2" t="inlineStr">
        <is>
          <t>ME05: Pitch Black</t>
        </is>
      </c>
      <c r="H3043" s="3" t="n"/>
      <c r="I3043" s="3" t="n">
        <v>19</v>
      </c>
      <c r="J3043" s="3" t="n">
        <v>18</v>
      </c>
      <c r="K3043" s="3" t="n">
        <v>12</v>
      </c>
      <c r="L3043" s="2" t="inlineStr">
        <is>
          <t>TCGplayer</t>
        </is>
      </c>
      <c r="N3043" s="4" t="inlineStr">
        <is>
          <t>https://www.tcgplayer.com/product/692953</t>
        </is>
      </c>
    </row>
    <row r="3044">
      <c r="A3044" s="2" t="inlineStr">
        <is>
          <t>Pitch Black Single Pack Blister [Slowpoke]</t>
        </is>
      </c>
      <c r="B3044" s="3">
        <f>IF(H3044&lt;&gt;"",H3044,IF(I3044&lt;&gt;"",I3044,IF(J3044&lt;&gt;"",J3044,K3044)))</f>
        <v>9.02</v>
      </c>
      <c r="C3044" s="3">
        <f>MEDIAN(H3044:K3044)</f>
        <v>9.02</v>
      </c>
      <c r="D3044" s="3">
        <f>ROUND(C3044*(1-Settings!$B$2),2)</f>
        <v>6.31</v>
      </c>
      <c r="E3044" s="2" t="inlineStr">
        <is>
          <t>Pokemon</t>
        </is>
      </c>
      <c r="F3044" s="2" t="inlineStr">
        <is>
          <t>Pack</t>
        </is>
      </c>
      <c r="G3044" s="2" t="inlineStr">
        <is>
          <t>ME05: Pitch Black</t>
        </is>
      </c>
      <c r="H3044" s="3" t="n"/>
      <c r="I3044" s="3" t="n">
        <v>9.02</v>
      </c>
      <c r="J3044" s="3" t="n">
        <v>9.94</v>
      </c>
      <c r="K3044" s="3" t="n">
        <v>5</v>
      </c>
      <c r="L3044" s="2" t="inlineStr">
        <is>
          <t>TCGplayer</t>
        </is>
      </c>
      <c r="N3044" s="4" t="inlineStr">
        <is>
          <t>https://www.tcgplayer.com/product/692955</t>
        </is>
      </c>
    </row>
    <row r="3045">
      <c r="A3045" s="2" t="inlineStr">
        <is>
          <t>Pitch Black Sleeved Booster Pack</t>
        </is>
      </c>
      <c r="B3045" s="3">
        <f>IF(H3045&lt;&gt;"",H3045,IF(I3045&lt;&gt;"",I3045,IF(J3045&lt;&gt;"",J3045,K3045)))</f>
        <v>7.14</v>
      </c>
      <c r="C3045" s="3">
        <f>MEDIAN(H3045:K3045)</f>
        <v>7.14</v>
      </c>
      <c r="D3045" s="3">
        <f>ROUND(C3045*(1-Settings!$B$2),2)</f>
        <v>5.0</v>
      </c>
      <c r="E3045" s="2" t="inlineStr">
        <is>
          <t>Pokemon</t>
        </is>
      </c>
      <c r="F3045" s="2" t="inlineStr">
        <is>
          <t>Pack</t>
        </is>
      </c>
      <c r="G3045" s="2" t="inlineStr">
        <is>
          <t>ME05: Pitch Black</t>
        </is>
      </c>
      <c r="H3045" s="3" t="n"/>
      <c r="I3045" s="3" t="n">
        <v>7.14</v>
      </c>
      <c r="J3045" s="3" t="n">
        <v>8</v>
      </c>
      <c r="K3045" s="3" t="n">
        <v>5.5</v>
      </c>
      <c r="L3045" s="2" t="inlineStr">
        <is>
          <t>TCGplayer</t>
        </is>
      </c>
      <c r="N3045" s="4" t="inlineStr">
        <is>
          <t>https://www.tcgplayer.com/product/692957</t>
        </is>
      </c>
    </row>
    <row r="3046">
      <c r="A3046" s="2" t="inlineStr">
        <is>
          <t>Delta Reign 3 Pack Blister [Seel]</t>
        </is>
      </c>
      <c r="B3046" s="3">
        <f>IF(H3046&lt;&gt;"",H3046,IF(I3046&lt;&gt;"",I3046,IF(J3046&lt;&gt;"",J3046,K3046)))</f>
        <v>48.68</v>
      </c>
      <c r="C3046" s="3">
        <f>MEDIAN(H3046:K3046)</f>
        <v>44.92</v>
      </c>
      <c r="D3046" s="3">
        <f>ROUND(C3046*(1-Settings!$B$2),2)</f>
        <v>31.44</v>
      </c>
      <c r="E3046" s="2" t="inlineStr">
        <is>
          <t>Pokemon</t>
        </is>
      </c>
      <c r="F3046" s="2" t="inlineStr">
        <is>
          <t>Pack</t>
        </is>
      </c>
      <c r="G3046" s="2" t="inlineStr">
        <is>
          <t>ME06: Delta Reign</t>
        </is>
      </c>
      <c r="H3046" s="3" t="n"/>
      <c r="I3046" s="3" t="n">
        <v>48.68</v>
      </c>
      <c r="J3046" s="3" t="n">
        <v>44.92</v>
      </c>
      <c r="K3046" s="3" t="n">
        <v>34.99</v>
      </c>
      <c r="L3046" s="2" t="inlineStr">
        <is>
          <t>TCGplayer</t>
        </is>
      </c>
      <c r="N3046" s="4" t="inlineStr">
        <is>
          <t>https://www.tcgplayer.com/product/712093</t>
        </is>
      </c>
    </row>
    <row r="3047">
      <c r="A3047" s="2" t="inlineStr">
        <is>
          <t>Delta Reign Single Pack Blister [Spitzee]</t>
        </is>
      </c>
      <c r="B3047" s="3">
        <f>IF(H3047&lt;&gt;"",H3047,IF(I3047&lt;&gt;"",I3047,IF(J3047&lt;&gt;"",J3047,K3047)))</f>
        <v>29.7</v>
      </c>
      <c r="C3047" s="3">
        <f>MEDIAN(H3047:K3047)</f>
        <v>29.7</v>
      </c>
      <c r="D3047" s="3">
        <f>ROUND(C3047*(1-Settings!$B$2),2)</f>
        <v>20.79</v>
      </c>
      <c r="E3047" s="2" t="inlineStr">
        <is>
          <t>Pokemon</t>
        </is>
      </c>
      <c r="F3047" s="2" t="inlineStr">
        <is>
          <t>Pack</t>
        </is>
      </c>
      <c r="G3047" s="2" t="inlineStr">
        <is>
          <t>ME06: Delta Reign</t>
        </is>
      </c>
      <c r="H3047" s="3" t="n"/>
      <c r="I3047" s="3" t="n">
        <v>29.7</v>
      </c>
      <c r="J3047" s="3" t="n">
        <v>29.71</v>
      </c>
      <c r="K3047" s="3" t="n">
        <v>14.99</v>
      </c>
      <c r="L3047" s="2" t="inlineStr">
        <is>
          <t>TCGplayer</t>
        </is>
      </c>
      <c r="N3047" s="4" t="inlineStr">
        <is>
          <t>https://www.tcgplayer.com/product/712108</t>
        </is>
      </c>
    </row>
    <row r="3048">
      <c r="A3048" s="2" t="inlineStr">
        <is>
          <t>Delta Reign Sleeved Booster Pack</t>
        </is>
      </c>
      <c r="B3048" s="3">
        <f>IF(H3048&lt;&gt;"",H3048,IF(I3048&lt;&gt;"",I3048,IF(J3048&lt;&gt;"",J3048,K3048)))</f>
        <v>32.76</v>
      </c>
      <c r="C3048" s="3">
        <f>MEDIAN(H3048:K3048)</f>
        <v>29.94</v>
      </c>
      <c r="D3048" s="3">
        <f>ROUND(C3048*(1-Settings!$B$2),2)</f>
        <v>20.96</v>
      </c>
      <c r="E3048" s="2" t="inlineStr">
        <is>
          <t>Pokemon</t>
        </is>
      </c>
      <c r="F3048" s="2" t="inlineStr">
        <is>
          <t>Pack</t>
        </is>
      </c>
      <c r="G3048" s="2" t="inlineStr">
        <is>
          <t>ME06: Delta Reign</t>
        </is>
      </c>
      <c r="H3048" s="3" t="n"/>
      <c r="I3048" s="3" t="n">
        <v>32.76</v>
      </c>
      <c r="J3048" s="3" t="n">
        <v>29.94</v>
      </c>
      <c r="K3048" s="3" t="n">
        <v>14.99</v>
      </c>
      <c r="L3048" s="2" t="inlineStr">
        <is>
          <t>TCGplayer</t>
        </is>
      </c>
      <c r="N3048" s="4" t="inlineStr">
        <is>
          <t>https://www.tcgplayer.com/product/712112</t>
        </is>
      </c>
    </row>
    <row r="3049">
      <c r="A3049" s="2" t="inlineStr">
        <is>
          <t>30th Celebration Booster Pack</t>
        </is>
      </c>
      <c r="B3049" s="3">
        <f>IF(H3049&lt;&gt;"",H3049,IF(I3049&lt;&gt;"",I3049,IF(J3049&lt;&gt;"",J3049,K3049)))</f>
        <v>16.92</v>
      </c>
      <c r="C3049" s="3">
        <f>MEDIAN(H3049:K3049)</f>
        <v>16.765</v>
      </c>
      <c r="D3049" s="3">
        <f>ROUND(C3049*(1-Settings!$B$2),2)</f>
        <v>11.74</v>
      </c>
      <c r="E3049" s="2" t="inlineStr">
        <is>
          <t>Pokemon</t>
        </is>
      </c>
      <c r="F3049" s="2" t="inlineStr">
        <is>
          <t>Pack</t>
        </is>
      </c>
      <c r="G3049" s="2" t="inlineStr">
        <is>
          <t>ME: 30th Celebration</t>
        </is>
      </c>
      <c r="H3049" s="3" t="n">
        <v>16.92</v>
      </c>
      <c r="I3049" s="3" t="n">
        <v>16.61</v>
      </c>
      <c r="J3049" s="3" t="n">
        <v>16.99</v>
      </c>
      <c r="K3049" s="3" t="n">
        <v>14.99</v>
      </c>
      <c r="L3049" s="2" t="inlineStr">
        <is>
          <t>PriceCharting + TCGplayer</t>
        </is>
      </c>
      <c r="M3049" s="4" t="inlineStr">
        <is>
          <t>https://www.pricecharting.com/game/pokemon-30th-celebration/booster-pack</t>
        </is>
      </c>
      <c r="N3049" s="4" t="inlineStr">
        <is>
          <t>https://www.tcgplayer.com/product/696613</t>
        </is>
      </c>
    </row>
    <row r="3050">
      <c r="A3050" s="2" t="inlineStr">
        <is>
          <t>Ascended Heroes Booster Pack</t>
        </is>
      </c>
      <c r="B3050" s="3">
        <f>IF(H3050&lt;&gt;"",H3050,IF(I3050&lt;&gt;"",I3050,IF(J3050&lt;&gt;"",J3050,K3050)))</f>
        <v>14.47</v>
      </c>
      <c r="C3050" s="3">
        <f>MEDIAN(H3050:K3050)</f>
        <v>13.425</v>
      </c>
      <c r="D3050" s="3">
        <f>ROUND(C3050*(1-Settings!$B$2),2)</f>
        <v>9.4</v>
      </c>
      <c r="E3050" s="2" t="inlineStr">
        <is>
          <t>Pokemon</t>
        </is>
      </c>
      <c r="F3050" s="2" t="inlineStr">
        <is>
          <t>Pack</t>
        </is>
      </c>
      <c r="G3050" s="2" t="inlineStr">
        <is>
          <t>ME: Ascended Heroes</t>
        </is>
      </c>
      <c r="H3050" s="3" t="n">
        <v>14.47</v>
      </c>
      <c r="I3050" s="3" t="n">
        <v>12.86</v>
      </c>
      <c r="J3050" s="3" t="n">
        <v>13.99</v>
      </c>
      <c r="K3050" s="3" t="n">
        <v>9.630000000000001</v>
      </c>
      <c r="L3050" s="2" t="inlineStr">
        <is>
          <t>PriceCharting + TCGplayer</t>
        </is>
      </c>
      <c r="M3050" s="4" t="inlineStr">
        <is>
          <t>https://www.pricecharting.com/game/pokemon-ascended-heroes/booster-pack</t>
        </is>
      </c>
      <c r="N3050" s="4" t="inlineStr">
        <is>
          <t>https://www.tcgplayer.com/product/672434</t>
        </is>
      </c>
    </row>
    <row r="3051">
      <c r="A3051" s="2" t="inlineStr">
        <is>
          <t>Mega Evolution 3 Pack Blister: Golduck</t>
        </is>
      </c>
      <c r="B3051" s="3">
        <f>IF(H3051&lt;&gt;"",H3051,IF(I3051&lt;&gt;"",I3051,IF(J3051&lt;&gt;"",J3051,K3051)))</f>
        <v>34.89</v>
      </c>
      <c r="C3051" s="3">
        <f>MEDIAN(H3051:K3051)</f>
        <v>34.89</v>
      </c>
      <c r="D3051" s="3">
        <f>ROUND(C3051*(1-Settings!$B$2),2)</f>
        <v>24.42</v>
      </c>
      <c r="E3051" s="2" t="inlineStr">
        <is>
          <t>Pokemon</t>
        </is>
      </c>
      <c r="F3051" s="2" t="inlineStr">
        <is>
          <t>Pack</t>
        </is>
      </c>
      <c r="G3051" s="2" t="inlineStr">
        <is>
          <t>Mega Evolution</t>
        </is>
      </c>
      <c r="H3051" s="3" t="n">
        <v>34.89</v>
      </c>
      <c r="I3051" s="3" t="n"/>
      <c r="J3051" s="3" t="n"/>
      <c r="K3051" s="3" t="n"/>
      <c r="L3051" s="2" t="inlineStr">
        <is>
          <t>PriceCharting</t>
        </is>
      </c>
      <c r="M3051" s="4" t="inlineStr">
        <is>
          <t>https://www.pricecharting.com/game/pokemon-mega-evolution/3-pack-blister-golduck</t>
        </is>
      </c>
    </row>
    <row r="3052">
      <c r="A3052" s="2" t="inlineStr">
        <is>
          <t>Mega Evolution 3 Pack Blister: Psyduck</t>
        </is>
      </c>
      <c r="B3052" s="3">
        <f>IF(H3052&lt;&gt;"",H3052,IF(I3052&lt;&gt;"",I3052,IF(J3052&lt;&gt;"",J3052,K3052)))</f>
        <v>42.47</v>
      </c>
      <c r="C3052" s="3">
        <f>MEDIAN(H3052:K3052)</f>
        <v>42.47</v>
      </c>
      <c r="D3052" s="3">
        <f>ROUND(C3052*(1-Settings!$B$2),2)</f>
        <v>29.73</v>
      </c>
      <c r="E3052" s="2" t="inlineStr">
        <is>
          <t>Pokemon</t>
        </is>
      </c>
      <c r="F3052" s="2" t="inlineStr">
        <is>
          <t>Pack</t>
        </is>
      </c>
      <c r="G3052" s="2" t="inlineStr">
        <is>
          <t>Mega Evolution</t>
        </is>
      </c>
      <c r="H3052" s="3" t="n">
        <v>42.47</v>
      </c>
      <c r="I3052" s="3" t="n"/>
      <c r="J3052" s="3" t="n"/>
      <c r="K3052" s="3" t="n"/>
      <c r="L3052" s="2" t="inlineStr">
        <is>
          <t>PriceCharting</t>
        </is>
      </c>
      <c r="M3052" s="4" t="inlineStr">
        <is>
          <t>https://www.pricecharting.com/game/pokemon-mega-evolution/3-pack-blister-psyduck</t>
        </is>
      </c>
    </row>
    <row r="3053">
      <c r="A3053" s="2" t="inlineStr">
        <is>
          <t>Mega Evolution Booster Pack</t>
        </is>
      </c>
      <c r="B3053" s="3">
        <f>IF(H3053&lt;&gt;"",H3053,IF(I3053&lt;&gt;"",I3053,IF(J3053&lt;&gt;"",J3053,K3053)))</f>
        <v>8.43</v>
      </c>
      <c r="C3053" s="3">
        <f>MEDIAN(H3053:K3053)</f>
        <v>8.43</v>
      </c>
      <c r="D3053" s="3">
        <f>ROUND(C3053*(1-Settings!$B$2),2)</f>
        <v>5.9</v>
      </c>
      <c r="E3053" s="2" t="inlineStr">
        <is>
          <t>Pokemon</t>
        </is>
      </c>
      <c r="F3053" s="2" t="inlineStr">
        <is>
          <t>Pack</t>
        </is>
      </c>
      <c r="G3053" s="2" t="inlineStr">
        <is>
          <t>Mega Evolution</t>
        </is>
      </c>
      <c r="H3053" s="3" t="n">
        <v>8.43</v>
      </c>
      <c r="I3053" s="3" t="n"/>
      <c r="J3053" s="3" t="n"/>
      <c r="K3053" s="3" t="n"/>
      <c r="L3053" s="2" t="inlineStr">
        <is>
          <t>PriceCharting</t>
        </is>
      </c>
      <c r="M3053" s="4" t="inlineStr">
        <is>
          <t>https://www.pricecharting.com/game/pokemon-mega-evolution/booster-pack</t>
        </is>
      </c>
    </row>
    <row r="3054">
      <c r="A3054" s="2" t="inlineStr">
        <is>
          <t>Mega Evolution Checklane Blister: Lycanroc</t>
        </is>
      </c>
      <c r="B3054" s="3">
        <f>IF(H3054&lt;&gt;"",H3054,IF(I3054&lt;&gt;"",I3054,IF(J3054&lt;&gt;"",J3054,K3054)))</f>
        <v>13.4</v>
      </c>
      <c r="C3054" s="3">
        <f>MEDIAN(H3054:K3054)</f>
        <v>13.4</v>
      </c>
      <c r="D3054" s="3">
        <f>ROUND(C3054*(1-Settings!$B$2),2)</f>
        <v>9.38</v>
      </c>
      <c r="E3054" s="2" t="inlineStr">
        <is>
          <t>Pokemon</t>
        </is>
      </c>
      <c r="F3054" s="2" t="inlineStr">
        <is>
          <t>Pack</t>
        </is>
      </c>
      <c r="G3054" s="2" t="inlineStr">
        <is>
          <t>Mega Evolution</t>
        </is>
      </c>
      <c r="H3054" s="3" t="n">
        <v>13.4</v>
      </c>
      <c r="I3054" s="3" t="n"/>
      <c r="J3054" s="3" t="n"/>
      <c r="K3054" s="3" t="n"/>
      <c r="L3054" s="2" t="inlineStr">
        <is>
          <t>PriceCharting</t>
        </is>
      </c>
      <c r="M3054" s="4" t="inlineStr">
        <is>
          <t>https://www.pricecharting.com/game/pokemon-mega-evolution/checklane-blister-lycanroc</t>
        </is>
      </c>
    </row>
    <row r="3055">
      <c r="A3055" s="2" t="inlineStr">
        <is>
          <t>Mega Evolution Checklane Blister: Wailord</t>
        </is>
      </c>
      <c r="B3055" s="3">
        <f>IF(H3055&lt;&gt;"",H3055,IF(I3055&lt;&gt;"",I3055,IF(J3055&lt;&gt;"",J3055,K3055)))</f>
        <v>17.23</v>
      </c>
      <c r="C3055" s="3">
        <f>MEDIAN(H3055:K3055)</f>
        <v>17.23</v>
      </c>
      <c r="D3055" s="3">
        <f>ROUND(C3055*(1-Settings!$B$2),2)</f>
        <v>12.06</v>
      </c>
      <c r="E3055" s="2" t="inlineStr">
        <is>
          <t>Pokemon</t>
        </is>
      </c>
      <c r="F3055" s="2" t="inlineStr">
        <is>
          <t>Pack</t>
        </is>
      </c>
      <c r="G3055" s="2" t="inlineStr">
        <is>
          <t>Mega Evolution</t>
        </is>
      </c>
      <c r="H3055" s="3" t="n">
        <v>17.23</v>
      </c>
      <c r="I3055" s="3" t="n"/>
      <c r="J3055" s="3" t="n"/>
      <c r="K3055" s="3" t="n"/>
      <c r="L3055" s="2" t="inlineStr">
        <is>
          <t>PriceCharting</t>
        </is>
      </c>
      <c r="M3055" s="4" t="inlineStr">
        <is>
          <t>https://www.pricecharting.com/game/pokemon-mega-evolution/checklane-blister-wailord</t>
        </is>
      </c>
    </row>
    <row r="3056">
      <c r="A3056" s="2" t="inlineStr">
        <is>
          <t>Mega Evolution Premium Checklane Blister: Meowscarada</t>
        </is>
      </c>
      <c r="B3056" s="3">
        <f>IF(H3056&lt;&gt;"",H3056,IF(I3056&lt;&gt;"",I3056,IF(J3056&lt;&gt;"",J3056,K3056)))</f>
        <v>27.64</v>
      </c>
      <c r="C3056" s="3">
        <f>MEDIAN(H3056:K3056)</f>
        <v>27.64</v>
      </c>
      <c r="D3056" s="3">
        <f>ROUND(C3056*(1-Settings!$B$2),2)</f>
        <v>19.35</v>
      </c>
      <c r="E3056" s="2" t="inlineStr">
        <is>
          <t>Pokemon</t>
        </is>
      </c>
      <c r="F3056" s="2" t="inlineStr">
        <is>
          <t>Pack</t>
        </is>
      </c>
      <c r="G3056" s="2" t="inlineStr">
        <is>
          <t>Mega Evolution</t>
        </is>
      </c>
      <c r="H3056" s="3" t="n">
        <v>27.64</v>
      </c>
      <c r="I3056" s="3" t="n"/>
      <c r="J3056" s="3" t="n"/>
      <c r="K3056" s="3" t="n"/>
      <c r="L3056" s="2" t="inlineStr">
        <is>
          <t>PriceCharting</t>
        </is>
      </c>
      <c r="M3056" s="4" t="inlineStr">
        <is>
          <t>https://www.pricecharting.com/game/pokemon-mega-evolution/premium-checklane-blister-meowscarada</t>
        </is>
      </c>
    </row>
    <row r="3057">
      <c r="A3057" s="2" t="inlineStr">
        <is>
          <t>Mega Evolution Premium Checklane Blister: Tyranitar</t>
        </is>
      </c>
      <c r="B3057" s="3">
        <f>IF(H3057&lt;&gt;"",H3057,IF(I3057&lt;&gt;"",I3057,IF(J3057&lt;&gt;"",J3057,K3057)))</f>
        <v>35.12</v>
      </c>
      <c r="C3057" s="3">
        <f>MEDIAN(H3057:K3057)</f>
        <v>35.12</v>
      </c>
      <c r="D3057" s="3">
        <f>ROUND(C3057*(1-Settings!$B$2),2)</f>
        <v>24.58</v>
      </c>
      <c r="E3057" s="2" t="inlineStr">
        <is>
          <t>Pokemon</t>
        </is>
      </c>
      <c r="F3057" s="2" t="inlineStr">
        <is>
          <t>Pack</t>
        </is>
      </c>
      <c r="G3057" s="2" t="inlineStr">
        <is>
          <t>Mega Evolution</t>
        </is>
      </c>
      <c r="H3057" s="3" t="n">
        <v>35.12</v>
      </c>
      <c r="I3057" s="3" t="n"/>
      <c r="J3057" s="3" t="n"/>
      <c r="K3057" s="3" t="n"/>
      <c r="L3057" s="2" t="inlineStr">
        <is>
          <t>PriceCharting</t>
        </is>
      </c>
      <c r="M3057" s="4" t="inlineStr">
        <is>
          <t>https://www.pricecharting.com/game/pokemon-mega-evolution/premium-checklane-blister-tyranitar</t>
        </is>
      </c>
    </row>
    <row r="3058">
      <c r="A3058" s="2" t="inlineStr">
        <is>
          <t>Mega Evolution Single Pack Blister: Drifblim</t>
        </is>
      </c>
      <c r="B3058" s="3">
        <f>IF(H3058&lt;&gt;"",H3058,IF(I3058&lt;&gt;"",I3058,IF(J3058&lt;&gt;"",J3058,K3058)))</f>
        <v>14.93</v>
      </c>
      <c r="C3058" s="3">
        <f>MEDIAN(H3058:K3058)</f>
        <v>14.93</v>
      </c>
      <c r="D3058" s="3">
        <f>ROUND(C3058*(1-Settings!$B$2),2)</f>
        <v>10.45</v>
      </c>
      <c r="E3058" s="2" t="inlineStr">
        <is>
          <t>Pokemon</t>
        </is>
      </c>
      <c r="F3058" s="2" t="inlineStr">
        <is>
          <t>Pack</t>
        </is>
      </c>
      <c r="G3058" s="2" t="inlineStr">
        <is>
          <t>Mega Evolution</t>
        </is>
      </c>
      <c r="H3058" s="3" t="n">
        <v>14.93</v>
      </c>
      <c r="I3058" s="3" t="n"/>
      <c r="J3058" s="3" t="n"/>
      <c r="K3058" s="3" t="n"/>
      <c r="L3058" s="2" t="inlineStr">
        <is>
          <t>PriceCharting</t>
        </is>
      </c>
      <c r="M3058" s="4" t="inlineStr">
        <is>
          <t>https://www.pricecharting.com/game/pokemon-mega-evolution/single-pack-blister-drifblim</t>
        </is>
      </c>
    </row>
    <row r="3059">
      <c r="A3059" s="2" t="inlineStr">
        <is>
          <t>Mega Evolution Single Pack Blister: Drifloon</t>
        </is>
      </c>
      <c r="B3059" s="3">
        <f>IF(H3059&lt;&gt;"",H3059,IF(I3059&lt;&gt;"",I3059,IF(J3059&lt;&gt;"",J3059,K3059)))</f>
        <v>14.97</v>
      </c>
      <c r="C3059" s="3">
        <f>MEDIAN(H3059:K3059)</f>
        <v>14.97</v>
      </c>
      <c r="D3059" s="3">
        <f>ROUND(C3059*(1-Settings!$B$2),2)</f>
        <v>10.48</v>
      </c>
      <c r="E3059" s="2" t="inlineStr">
        <is>
          <t>Pokemon</t>
        </is>
      </c>
      <c r="F3059" s="2" t="inlineStr">
        <is>
          <t>Pack</t>
        </is>
      </c>
      <c r="G3059" s="2" t="inlineStr">
        <is>
          <t>Mega Evolution</t>
        </is>
      </c>
      <c r="H3059" s="3" t="n">
        <v>14.97</v>
      </c>
      <c r="I3059" s="3" t="n"/>
      <c r="J3059" s="3" t="n"/>
      <c r="K3059" s="3" t="n"/>
      <c r="L3059" s="2" t="inlineStr">
        <is>
          <t>PriceCharting</t>
        </is>
      </c>
      <c r="M3059" s="4" t="inlineStr">
        <is>
          <t>https://www.pricecharting.com/game/pokemon-mega-evolution/single-pack-blister-drifloon</t>
        </is>
      </c>
    </row>
    <row r="3060">
      <c r="A3060" s="2" t="inlineStr">
        <is>
          <t>Mega Evolution Sleeved Booster Pack</t>
        </is>
      </c>
      <c r="B3060" s="3">
        <f>IF(H3060&lt;&gt;"",H3060,IF(I3060&lt;&gt;"",I3060,IF(J3060&lt;&gt;"",J3060,K3060)))</f>
        <v>10.63</v>
      </c>
      <c r="C3060" s="3">
        <f>MEDIAN(H3060:K3060)</f>
        <v>10.63</v>
      </c>
      <c r="D3060" s="3">
        <f>ROUND(C3060*(1-Settings!$B$2),2)</f>
        <v>7.44</v>
      </c>
      <c r="E3060" s="2" t="inlineStr">
        <is>
          <t>Pokemon</t>
        </is>
      </c>
      <c r="F3060" s="2" t="inlineStr">
        <is>
          <t>Pack</t>
        </is>
      </c>
      <c r="G3060" s="2" t="inlineStr">
        <is>
          <t>Mega Evolution</t>
        </is>
      </c>
      <c r="H3060" s="3" t="n">
        <v>10.63</v>
      </c>
      <c r="I3060" s="3" t="n"/>
      <c r="J3060" s="3" t="n"/>
      <c r="K3060" s="3" t="n"/>
      <c r="L3060" s="2" t="inlineStr">
        <is>
          <t>PriceCharting</t>
        </is>
      </c>
      <c r="M3060" s="4" t="inlineStr">
        <is>
          <t>https://www.pricecharting.com/game/pokemon-mega-evolution/sleeved-booster-pack</t>
        </is>
      </c>
    </row>
    <row r="3061">
      <c r="A3061" s="2" t="inlineStr">
        <is>
          <t>2 Pack Blister [Snorlax, Morpeko &amp; Applin Cards]</t>
        </is>
      </c>
      <c r="B3061" s="3">
        <f>IF(H3061&lt;&gt;"",H3061,IF(I3061&lt;&gt;"",I3061,IF(J3061&lt;&gt;"",J3061,K3061)))</f>
        <v>31.64</v>
      </c>
      <c r="C3061" s="3">
        <f>MEDIAN(H3061:K3061)</f>
        <v>31.64</v>
      </c>
      <c r="D3061" s="3">
        <f>ROUND(C3061*(1-Settings!$B$2),2)</f>
        <v>22.15</v>
      </c>
      <c r="E3061" s="2" t="inlineStr">
        <is>
          <t>Pokemon</t>
        </is>
      </c>
      <c r="F3061" s="2" t="inlineStr">
        <is>
          <t>Pack</t>
        </is>
      </c>
      <c r="G3061" s="2" t="inlineStr">
        <is>
          <t>Miscellaneous Cards &amp; Products</t>
        </is>
      </c>
      <c r="H3061" s="3" t="n"/>
      <c r="I3061" s="3" t="n">
        <v>31.64</v>
      </c>
      <c r="J3061" s="3" t="n">
        <v>39.49</v>
      </c>
      <c r="K3061" s="3" t="n">
        <v>27.77</v>
      </c>
      <c r="L3061" s="2" t="inlineStr">
        <is>
          <t>TCGplayer</t>
        </is>
      </c>
      <c r="N3061" s="4" t="inlineStr">
        <is>
          <t>https://www.tcgplayer.com/product/248714</t>
        </is>
      </c>
    </row>
    <row r="3062">
      <c r="A3062" s="2" t="inlineStr">
        <is>
          <t>2 Pack Blister [Tornadus, Thundurus &amp; Landorus]</t>
        </is>
      </c>
      <c r="B3062" s="3">
        <f>IF(H3062&lt;&gt;"",H3062,IF(I3062&lt;&gt;"",I3062,IF(J3062&lt;&gt;"",J3062,K3062)))</f>
        <v>27.37</v>
      </c>
      <c r="C3062" s="3">
        <f>MEDIAN(H3062:K3062)</f>
        <v>36.0</v>
      </c>
      <c r="D3062" s="3">
        <f>ROUND(C3062*(1-Settings!$B$2),2)</f>
        <v>25.2</v>
      </c>
      <c r="E3062" s="2" t="inlineStr">
        <is>
          <t>Pokemon</t>
        </is>
      </c>
      <c r="F3062" s="2" t="inlineStr">
        <is>
          <t>Pack</t>
        </is>
      </c>
      <c r="G3062" s="2" t="inlineStr">
        <is>
          <t>Miscellaneous Cards &amp; Products</t>
        </is>
      </c>
      <c r="H3062" s="3" t="n"/>
      <c r="I3062" s="3" t="n">
        <v>27.37</v>
      </c>
      <c r="J3062" s="3" t="n">
        <v>48.99</v>
      </c>
      <c r="K3062" s="3" t="n">
        <v>36</v>
      </c>
      <c r="L3062" s="2" t="inlineStr">
        <is>
          <t>TCGplayer</t>
        </is>
      </c>
      <c r="N3062" s="4" t="inlineStr">
        <is>
          <t>https://www.tcgplayer.com/product/634329</t>
        </is>
      </c>
    </row>
    <row r="3063">
      <c r="A3063" s="2" t="inlineStr">
        <is>
          <t>Alola Trio Pin Blister</t>
        </is>
      </c>
      <c r="B3063" s="3">
        <f>IF(H3063&lt;&gt;"",H3063,IF(I3063&lt;&gt;"",I3063,IF(J3063&lt;&gt;"",J3063,K3063)))</f>
        <v>1199.99</v>
      </c>
      <c r="C3063" s="3">
        <f>MEDIAN(H3063:K3063)</f>
        <v>1199.99</v>
      </c>
      <c r="D3063" s="3">
        <f>ROUND(C3063*(1-Settings!$B$2),2)</f>
        <v>839.99</v>
      </c>
      <c r="E3063" s="2" t="inlineStr">
        <is>
          <t>Pokemon</t>
        </is>
      </c>
      <c r="F3063" s="2" t="inlineStr">
        <is>
          <t>Pack</t>
        </is>
      </c>
      <c r="G3063" s="2" t="inlineStr">
        <is>
          <t>Miscellaneous Cards &amp; Products</t>
        </is>
      </c>
      <c r="H3063" s="3" t="n"/>
      <c r="I3063" s="3" t="n"/>
      <c r="J3063" s="3" t="n">
        <v>1199.99</v>
      </c>
      <c r="K3063" s="3" t="n">
        <v>1199.99</v>
      </c>
      <c r="L3063" s="2" t="inlineStr">
        <is>
          <t>TCGplayer</t>
        </is>
      </c>
      <c r="N3063" s="4" t="inlineStr">
        <is>
          <t>https://www.tcgplayer.com/product/668362</t>
        </is>
      </c>
    </row>
    <row r="3064">
      <c r="A3064" s="2" t="inlineStr">
        <is>
          <t>Checklane 2 Mini-Pack Blister [Dragonite]</t>
        </is>
      </c>
      <c r="B3064" s="3">
        <f>IF(H3064&lt;&gt;"",H3064,IF(I3064&lt;&gt;"",I3064,IF(J3064&lt;&gt;"",J3064,K3064)))</f>
        <v>37.5</v>
      </c>
      <c r="C3064" s="3">
        <f>MEDIAN(H3064:K3064)</f>
        <v>37.5</v>
      </c>
      <c r="D3064" s="3">
        <f>ROUND(C3064*(1-Settings!$B$2),2)</f>
        <v>26.25</v>
      </c>
      <c r="E3064" s="2" t="inlineStr">
        <is>
          <t>Pokemon</t>
        </is>
      </c>
      <c r="F3064" s="2" t="inlineStr">
        <is>
          <t>Pack</t>
        </is>
      </c>
      <c r="G3064" s="2" t="inlineStr">
        <is>
          <t>Miscellaneous Cards &amp; Products</t>
        </is>
      </c>
      <c r="H3064" s="3" t="n"/>
      <c r="I3064" s="3" t="n">
        <v>37.5</v>
      </c>
      <c r="J3064" s="3" t="n"/>
      <c r="K3064" s="3" t="n"/>
      <c r="L3064" s="2" t="inlineStr">
        <is>
          <t>TCGplayer</t>
        </is>
      </c>
      <c r="N3064" s="4" t="inlineStr">
        <is>
          <t>https://www.tcgplayer.com/product/237105</t>
        </is>
      </c>
    </row>
    <row r="3065">
      <c r="A3065" s="2" t="inlineStr">
        <is>
          <t>Checklane 2 Mini-Pack Blister [Machamp]</t>
        </is>
      </c>
      <c r="B3065" s="3">
        <f>IF(H3065&lt;&gt;"",H3065,IF(I3065&lt;&gt;"",I3065,IF(J3065&lt;&gt;"",J3065,K3065)))</f>
        <v>52.5</v>
      </c>
      <c r="C3065" s="3">
        <f>MEDIAN(H3065:K3065)</f>
        <v>51.25</v>
      </c>
      <c r="D3065" s="3">
        <f>ROUND(C3065*(1-Settings!$B$2),2)</f>
        <v>35.88</v>
      </c>
      <c r="E3065" s="2" t="inlineStr">
        <is>
          <t>Pokemon</t>
        </is>
      </c>
      <c r="F3065" s="2" t="inlineStr">
        <is>
          <t>Pack</t>
        </is>
      </c>
      <c r="G3065" s="2" t="inlineStr">
        <is>
          <t>Miscellaneous Cards &amp; Products</t>
        </is>
      </c>
      <c r="H3065" s="3" t="n"/>
      <c r="I3065" s="3" t="n"/>
      <c r="J3065" s="3" t="n">
        <v>52.5</v>
      </c>
      <c r="K3065" s="3" t="n">
        <v>50</v>
      </c>
      <c r="L3065" s="2" t="inlineStr">
        <is>
          <t>TCGplayer</t>
        </is>
      </c>
      <c r="N3065" s="4" t="inlineStr">
        <is>
          <t>https://www.tcgplayer.com/product/237106</t>
        </is>
      </c>
    </row>
    <row r="3066">
      <c r="A3066" s="2" t="inlineStr">
        <is>
          <t>Collector's Pin Two Pack Blisters [Charizard]</t>
        </is>
      </c>
      <c r="B3066" s="3">
        <f>IF(H3066&lt;&gt;"",H3066,IF(I3066&lt;&gt;"",I3066,IF(J3066&lt;&gt;"",J3066,K3066)))</f>
        <v>90.75</v>
      </c>
      <c r="C3066" s="3">
        <f>MEDIAN(H3066:K3066)</f>
        <v>90.75</v>
      </c>
      <c r="D3066" s="3">
        <f>ROUND(C3066*(1-Settings!$B$2),2)</f>
        <v>63.53</v>
      </c>
      <c r="E3066" s="2" t="inlineStr">
        <is>
          <t>Pokemon</t>
        </is>
      </c>
      <c r="F3066" s="2" t="inlineStr">
        <is>
          <t>Pack</t>
        </is>
      </c>
      <c r="G3066" s="2" t="inlineStr">
        <is>
          <t>Miscellaneous Cards &amp; Products</t>
        </is>
      </c>
      <c r="H3066" s="3" t="n"/>
      <c r="I3066" s="3" t="n">
        <v>90.75</v>
      </c>
      <c r="J3066" s="3" t="n"/>
      <c r="K3066" s="3" t="n"/>
      <c r="L3066" s="2" t="inlineStr">
        <is>
          <t>TCGplayer</t>
        </is>
      </c>
      <c r="N3066" s="4" t="inlineStr">
        <is>
          <t>https://www.tcgplayer.com/product/235709</t>
        </is>
      </c>
    </row>
    <row r="3067">
      <c r="A3067" s="2" t="inlineStr">
        <is>
          <t>Collector's Pin Two Pack Blisters [Mimikyu]</t>
        </is>
      </c>
      <c r="B3067" s="3">
        <f>IF(H3067&lt;&gt;"",H3067,IF(I3067&lt;&gt;"",I3067,IF(J3067&lt;&gt;"",J3067,K3067)))</f>
        <v>107.0</v>
      </c>
      <c r="C3067" s="3">
        <f>MEDIAN(H3067:K3067)</f>
        <v>128.5</v>
      </c>
      <c r="D3067" s="3">
        <f>ROUND(C3067*(1-Settings!$B$2),2)</f>
        <v>89.95</v>
      </c>
      <c r="E3067" s="2" t="inlineStr">
        <is>
          <t>Pokemon</t>
        </is>
      </c>
      <c r="F3067" s="2" t="inlineStr">
        <is>
          <t>Pack</t>
        </is>
      </c>
      <c r="G3067" s="2" t="inlineStr">
        <is>
          <t>Miscellaneous Cards &amp; Products</t>
        </is>
      </c>
      <c r="H3067" s="3" t="n"/>
      <c r="I3067" s="3" t="n">
        <v>107</v>
      </c>
      <c r="J3067" s="3" t="n"/>
      <c r="K3067" s="3" t="n">
        <v>150</v>
      </c>
      <c r="L3067" s="2" t="inlineStr">
        <is>
          <t>TCGplayer</t>
        </is>
      </c>
      <c r="N3067" s="4" t="inlineStr">
        <is>
          <t>https://www.tcgplayer.com/product/235710</t>
        </is>
      </c>
    </row>
    <row r="3068">
      <c r="A3068" s="2" t="inlineStr">
        <is>
          <t>Collector's Pin Two Pack Blisters [Umbreon]</t>
        </is>
      </c>
      <c r="B3068" s="3">
        <f>IF(H3068&lt;&gt;"",H3068,IF(I3068&lt;&gt;"",I3068,IF(J3068&lt;&gt;"",J3068,K3068)))</f>
        <v>250.0</v>
      </c>
      <c r="C3068" s="3">
        <f>MEDIAN(H3068:K3068)</f>
        <v>250.0</v>
      </c>
      <c r="D3068" s="3">
        <f>ROUND(C3068*(1-Settings!$B$2),2)</f>
        <v>175.0</v>
      </c>
      <c r="E3068" s="2" t="inlineStr">
        <is>
          <t>Pokemon</t>
        </is>
      </c>
      <c r="F3068" s="2" t="inlineStr">
        <is>
          <t>Pack</t>
        </is>
      </c>
      <c r="G3068" s="2" t="inlineStr">
        <is>
          <t>Miscellaneous Cards &amp; Products</t>
        </is>
      </c>
      <c r="H3068" s="3" t="n"/>
      <c r="I3068" s="3" t="n"/>
      <c r="J3068" s="3" t="n">
        <v>250</v>
      </c>
      <c r="K3068" s="3" t="n">
        <v>250</v>
      </c>
      <c r="L3068" s="2" t="inlineStr">
        <is>
          <t>TCGplayer</t>
        </is>
      </c>
      <c r="N3068" s="4" t="inlineStr">
        <is>
          <t>https://www.tcgplayer.com/product/230086</t>
        </is>
      </c>
    </row>
    <row r="3069">
      <c r="A3069" s="2" t="inlineStr">
        <is>
          <t>General Mills 25th Anniversary Booster Pack</t>
        </is>
      </c>
      <c r="B3069" s="3">
        <f>IF(H3069&lt;&gt;"",H3069,IF(I3069&lt;&gt;"",I3069,IF(J3069&lt;&gt;"",J3069,K3069)))</f>
        <v>13.77</v>
      </c>
      <c r="C3069" s="3">
        <f>MEDIAN(H3069:K3069)</f>
        <v>13.77</v>
      </c>
      <c r="D3069" s="3">
        <f>ROUND(C3069*(1-Settings!$B$2),2)</f>
        <v>9.64</v>
      </c>
      <c r="E3069" s="2" t="inlineStr">
        <is>
          <t>Pokemon</t>
        </is>
      </c>
      <c r="F3069" s="2" t="inlineStr">
        <is>
          <t>Pack</t>
        </is>
      </c>
      <c r="G3069" s="2" t="inlineStr">
        <is>
          <t>Miscellaneous Cards &amp; Products</t>
        </is>
      </c>
      <c r="H3069" s="3" t="n"/>
      <c r="I3069" s="3" t="n">
        <v>13.77</v>
      </c>
      <c r="J3069" s="3" t="n">
        <v>15.5</v>
      </c>
      <c r="K3069" s="3" t="n">
        <v>12</v>
      </c>
      <c r="L3069" s="2" t="inlineStr">
        <is>
          <t>TCGplayer</t>
        </is>
      </c>
      <c r="N3069" s="4" t="inlineStr">
        <is>
          <t>https://www.tcgplayer.com/product/232770</t>
        </is>
      </c>
    </row>
    <row r="3070">
      <c r="A3070" s="2" t="inlineStr">
        <is>
          <t>General Mills Promo Booster Pack [Kanto]</t>
        </is>
      </c>
      <c r="B3070" s="3">
        <f>IF(H3070&lt;&gt;"",H3070,IF(I3070&lt;&gt;"",I3070,IF(J3070&lt;&gt;"",J3070,K3070)))</f>
        <v>31.48</v>
      </c>
      <c r="C3070" s="3">
        <f>MEDIAN(H3070:K3070)</f>
        <v>31.48</v>
      </c>
      <c r="D3070" s="3">
        <f>ROUND(C3070*(1-Settings!$B$2),2)</f>
        <v>22.04</v>
      </c>
      <c r="E3070" s="2" t="inlineStr">
        <is>
          <t>Pokemon</t>
        </is>
      </c>
      <c r="F3070" s="2" t="inlineStr">
        <is>
          <t>Pack</t>
        </is>
      </c>
      <c r="G3070" s="2" t="inlineStr">
        <is>
          <t>Miscellaneous Cards &amp; Products</t>
        </is>
      </c>
      <c r="H3070" s="3" t="n"/>
      <c r="I3070" s="3" t="n">
        <v>31.48</v>
      </c>
      <c r="J3070" s="3" t="n">
        <v>33</v>
      </c>
      <c r="K3070" s="3" t="n">
        <v>31</v>
      </c>
      <c r="L3070" s="2" t="inlineStr">
        <is>
          <t>TCGplayer</t>
        </is>
      </c>
      <c r="N3070" s="4" t="inlineStr">
        <is>
          <t>https://www.tcgplayer.com/product/190359</t>
        </is>
      </c>
    </row>
    <row r="3071">
      <c r="A3071" s="2" t="inlineStr">
        <is>
          <t>General Mills Promo Booster Pack [Sun &amp; Moon]</t>
        </is>
      </c>
      <c r="B3071" s="3">
        <f>IF(H3071&lt;&gt;"",H3071,IF(I3071&lt;&gt;"",I3071,IF(J3071&lt;&gt;"",J3071,K3071)))</f>
        <v>32.56</v>
      </c>
      <c r="C3071" s="3">
        <f>MEDIAN(H3071:K3071)</f>
        <v>32.56</v>
      </c>
      <c r="D3071" s="3">
        <f>ROUND(C3071*(1-Settings!$B$2),2)</f>
        <v>22.79</v>
      </c>
      <c r="E3071" s="2" t="inlineStr">
        <is>
          <t>Pokemon</t>
        </is>
      </c>
      <c r="F3071" s="2" t="inlineStr">
        <is>
          <t>Pack</t>
        </is>
      </c>
      <c r="G3071" s="2" t="inlineStr">
        <is>
          <t>Miscellaneous Cards &amp; Products</t>
        </is>
      </c>
      <c r="H3071" s="3" t="n"/>
      <c r="I3071" s="3" t="n">
        <v>32.56</v>
      </c>
      <c r="J3071" s="3" t="n">
        <v>39.66</v>
      </c>
      <c r="K3071" s="3" t="n">
        <v>11.99</v>
      </c>
      <c r="L3071" s="2" t="inlineStr">
        <is>
          <t>TCGplayer</t>
        </is>
      </c>
      <c r="N3071" s="4" t="inlineStr">
        <is>
          <t>https://www.tcgplayer.com/product/190360</t>
        </is>
      </c>
    </row>
    <row r="3072">
      <c r="A3072" s="2" t="inlineStr">
        <is>
          <t>Legendary Beasts Collector Pin 3 Pack Blister [Entei]</t>
        </is>
      </c>
      <c r="B3072" s="3">
        <f>IF(H3072&lt;&gt;"",H3072,IF(I3072&lt;&gt;"",I3072,IF(J3072&lt;&gt;"",J3072,K3072)))</f>
        <v>116.95</v>
      </c>
      <c r="C3072" s="3">
        <f>MEDIAN(H3072:K3072)</f>
        <v>185.01</v>
      </c>
      <c r="D3072" s="3">
        <f>ROUND(C3072*(1-Settings!$B$2),2)</f>
        <v>129.51</v>
      </c>
      <c r="E3072" s="2" t="inlineStr">
        <is>
          <t>Pokemon</t>
        </is>
      </c>
      <c r="F3072" s="2" t="inlineStr">
        <is>
          <t>Pack</t>
        </is>
      </c>
      <c r="G3072" s="2" t="inlineStr">
        <is>
          <t>Miscellaneous Cards &amp; Products</t>
        </is>
      </c>
      <c r="H3072" s="3" t="n"/>
      <c r="I3072" s="3" t="n">
        <v>116.95</v>
      </c>
      <c r="J3072" s="3" t="n">
        <v>192.5</v>
      </c>
      <c r="K3072" s="3" t="n">
        <v>185.01</v>
      </c>
      <c r="L3072" s="2" t="inlineStr">
        <is>
          <t>TCGplayer</t>
        </is>
      </c>
      <c r="N3072" s="4" t="inlineStr">
        <is>
          <t>https://www.tcgplayer.com/product/265945</t>
        </is>
      </c>
    </row>
    <row r="3073">
      <c r="A3073" s="2" t="inlineStr">
        <is>
          <t>Legendary Beasts Collector Pin 3 Pack Blister [Raikou]</t>
        </is>
      </c>
      <c r="B3073" s="3">
        <f>IF(H3073&lt;&gt;"",H3073,IF(I3073&lt;&gt;"",I3073,IF(J3073&lt;&gt;"",J3073,K3073)))</f>
        <v>192.5</v>
      </c>
      <c r="C3073" s="3">
        <f>MEDIAN(H3073:K3073)</f>
        <v>188.755</v>
      </c>
      <c r="D3073" s="3">
        <f>ROUND(C3073*(1-Settings!$B$2),2)</f>
        <v>132.13</v>
      </c>
      <c r="E3073" s="2" t="inlineStr">
        <is>
          <t>Pokemon</t>
        </is>
      </c>
      <c r="F3073" s="2" t="inlineStr">
        <is>
          <t>Pack</t>
        </is>
      </c>
      <c r="G3073" s="2" t="inlineStr">
        <is>
          <t>Miscellaneous Cards &amp; Products</t>
        </is>
      </c>
      <c r="H3073" s="3" t="n"/>
      <c r="I3073" s="3" t="n"/>
      <c r="J3073" s="3" t="n">
        <v>192.5</v>
      </c>
      <c r="K3073" s="3" t="n">
        <v>185.01</v>
      </c>
      <c r="L3073" s="2" t="inlineStr">
        <is>
          <t>TCGplayer</t>
        </is>
      </c>
      <c r="N3073" s="4" t="inlineStr">
        <is>
          <t>https://www.tcgplayer.com/product/265943</t>
        </is>
      </c>
    </row>
    <row r="3074">
      <c r="A3074" s="2" t="inlineStr">
        <is>
          <t>Legendary Beasts Collector Pin 3 Pack Blister [Suicune]</t>
        </is>
      </c>
      <c r="B3074" s="3">
        <f>IF(H3074&lt;&gt;"",H3074,IF(I3074&lt;&gt;"",I3074,IF(J3074&lt;&gt;"",J3074,K3074)))</f>
        <v>192.5</v>
      </c>
      <c r="C3074" s="3">
        <f>MEDIAN(H3074:K3074)</f>
        <v>188.755</v>
      </c>
      <c r="D3074" s="3">
        <f>ROUND(C3074*(1-Settings!$B$2),2)</f>
        <v>132.13</v>
      </c>
      <c r="E3074" s="2" t="inlineStr">
        <is>
          <t>Pokemon</t>
        </is>
      </c>
      <c r="F3074" s="2" t="inlineStr">
        <is>
          <t>Pack</t>
        </is>
      </c>
      <c r="G3074" s="2" t="inlineStr">
        <is>
          <t>Miscellaneous Cards &amp; Products</t>
        </is>
      </c>
      <c r="H3074" s="3" t="n"/>
      <c r="I3074" s="3" t="n"/>
      <c r="J3074" s="3" t="n">
        <v>192.5</v>
      </c>
      <c r="K3074" s="3" t="n">
        <v>185.01</v>
      </c>
      <c r="L3074" s="2" t="inlineStr">
        <is>
          <t>TCGplayer</t>
        </is>
      </c>
      <c r="N3074" s="4" t="inlineStr">
        <is>
          <t>https://www.tcgplayer.com/product/265946</t>
        </is>
      </c>
    </row>
    <row r="3075">
      <c r="A3075" s="2" t="inlineStr">
        <is>
          <t>Pokemon TCG: Back to School Eraser Blister 2023 [Set of 2]</t>
        </is>
      </c>
      <c r="B3075" s="3">
        <f>IF(H3075&lt;&gt;"",H3075,IF(I3075&lt;&gt;"",I3075,IF(J3075&lt;&gt;"",J3075,K3075)))</f>
        <v>63.8</v>
      </c>
      <c r="C3075" s="3">
        <f>MEDIAN(H3075:K3075)</f>
        <v>61.9</v>
      </c>
      <c r="D3075" s="3">
        <f>ROUND(C3075*(1-Settings!$B$2),2)</f>
        <v>43.33</v>
      </c>
      <c r="E3075" s="2" t="inlineStr">
        <is>
          <t>Pokemon</t>
        </is>
      </c>
      <c r="F3075" s="2" t="inlineStr">
        <is>
          <t>Pack</t>
        </is>
      </c>
      <c r="G3075" s="2" t="inlineStr">
        <is>
          <t>Miscellaneous Cards &amp; Products</t>
        </is>
      </c>
      <c r="H3075" s="3" t="n"/>
      <c r="I3075" s="3" t="n"/>
      <c r="J3075" s="3" t="n">
        <v>63.8</v>
      </c>
      <c r="K3075" s="3" t="n">
        <v>60</v>
      </c>
      <c r="L3075" s="2" t="inlineStr">
        <is>
          <t>TCGplayer</t>
        </is>
      </c>
      <c r="N3075" s="4" t="inlineStr">
        <is>
          <t>https://www.tcgplayer.com/product/497966</t>
        </is>
      </c>
    </row>
    <row r="3076">
      <c r="A3076" s="2" t="inlineStr">
        <is>
          <t>Pokemon TCG: Back to School Eraser Blister 2024 [Bellibolt]</t>
        </is>
      </c>
      <c r="B3076" s="3">
        <f>IF(H3076&lt;&gt;"",H3076,IF(I3076&lt;&gt;"",I3076,IF(J3076&lt;&gt;"",J3076,K3076)))</f>
        <v>24.67</v>
      </c>
      <c r="C3076" s="3">
        <f>MEDIAN(H3076:K3076)</f>
        <v>34.99</v>
      </c>
      <c r="D3076" s="3">
        <f>ROUND(C3076*(1-Settings!$B$2),2)</f>
        <v>24.49</v>
      </c>
      <c r="E3076" s="2" t="inlineStr">
        <is>
          <t>Pokemon</t>
        </is>
      </c>
      <c r="F3076" s="2" t="inlineStr">
        <is>
          <t>Pack</t>
        </is>
      </c>
      <c r="G3076" s="2" t="inlineStr">
        <is>
          <t>Miscellaneous Cards &amp; Products</t>
        </is>
      </c>
      <c r="H3076" s="3" t="n"/>
      <c r="I3076" s="3" t="n">
        <v>24.67</v>
      </c>
      <c r="J3076" s="3" t="n">
        <v>34.99</v>
      </c>
      <c r="K3076" s="3" t="n">
        <v>34.99</v>
      </c>
      <c r="L3076" s="2" t="inlineStr">
        <is>
          <t>TCGplayer</t>
        </is>
      </c>
      <c r="N3076" s="4" t="inlineStr">
        <is>
          <t>https://www.tcgplayer.com/product/549453</t>
        </is>
      </c>
    </row>
    <row r="3077">
      <c r="A3077" s="2" t="inlineStr">
        <is>
          <t>Pokemon TCG: Back to School Eraser Blister 2024 [Gengar]</t>
        </is>
      </c>
      <c r="B3077" s="3">
        <f>IF(H3077&lt;&gt;"",H3077,IF(I3077&lt;&gt;"",I3077,IF(J3077&lt;&gt;"",J3077,K3077)))</f>
        <v>31.91</v>
      </c>
      <c r="C3077" s="3">
        <f>MEDIAN(H3077:K3077)</f>
        <v>39.95</v>
      </c>
      <c r="D3077" s="3">
        <f>ROUND(C3077*(1-Settings!$B$2),2)</f>
        <v>27.97</v>
      </c>
      <c r="E3077" s="2" t="inlineStr">
        <is>
          <t>Pokemon</t>
        </is>
      </c>
      <c r="F3077" s="2" t="inlineStr">
        <is>
          <t>Pack</t>
        </is>
      </c>
      <c r="G3077" s="2" t="inlineStr">
        <is>
          <t>Miscellaneous Cards &amp; Products</t>
        </is>
      </c>
      <c r="H3077" s="3" t="n"/>
      <c r="I3077" s="3" t="n">
        <v>31.91</v>
      </c>
      <c r="J3077" s="3" t="n">
        <v>39.99</v>
      </c>
      <c r="K3077" s="3" t="n">
        <v>39.95</v>
      </c>
      <c r="L3077" s="2" t="inlineStr">
        <is>
          <t>TCGplayer</t>
        </is>
      </c>
      <c r="N3077" s="4" t="inlineStr">
        <is>
          <t>https://www.tcgplayer.com/product/549452</t>
        </is>
      </c>
    </row>
    <row r="3078">
      <c r="A3078" s="2" t="inlineStr">
        <is>
          <t>Pokemon TCG: Back to School Eraser Blister 2024 [Set of 2]</t>
        </is>
      </c>
      <c r="B3078" s="3">
        <f>IF(H3078&lt;&gt;"",H3078,IF(I3078&lt;&gt;"",I3078,IF(J3078&lt;&gt;"",J3078,K3078)))</f>
        <v>44.93</v>
      </c>
      <c r="C3078" s="3">
        <f>MEDIAN(H3078:K3078)</f>
        <v>99.99</v>
      </c>
      <c r="D3078" s="3">
        <f>ROUND(C3078*(1-Settings!$B$2),2)</f>
        <v>69.99</v>
      </c>
      <c r="E3078" s="2" t="inlineStr">
        <is>
          <t>Pokemon</t>
        </is>
      </c>
      <c r="F3078" s="2" t="inlineStr">
        <is>
          <t>Pack</t>
        </is>
      </c>
      <c r="G3078" s="2" t="inlineStr">
        <is>
          <t>Miscellaneous Cards &amp; Products</t>
        </is>
      </c>
      <c r="H3078" s="3" t="n"/>
      <c r="I3078" s="3" t="n">
        <v>44.93</v>
      </c>
      <c r="J3078" s="3" t="n">
        <v>115</v>
      </c>
      <c r="K3078" s="3" t="n">
        <v>99.98999999999999</v>
      </c>
      <c r="L3078" s="2" t="inlineStr">
        <is>
          <t>TCGplayer</t>
        </is>
      </c>
      <c r="N3078" s="4" t="inlineStr">
        <is>
          <t>https://www.tcgplayer.com/product/549451</t>
        </is>
      </c>
    </row>
    <row r="3079">
      <c r="A3079" s="2" t="inlineStr">
        <is>
          <t>Pokemon TCG: Back to School Eraser Blister [Eevee]</t>
        </is>
      </c>
      <c r="B3079" s="3">
        <f>IF(H3079&lt;&gt;"",H3079,IF(I3079&lt;&gt;"",I3079,IF(J3079&lt;&gt;"",J3079,K3079)))</f>
        <v>64.9</v>
      </c>
      <c r="C3079" s="3">
        <f>MEDIAN(H3079:K3079)</f>
        <v>64.9</v>
      </c>
      <c r="D3079" s="3">
        <f>ROUND(C3079*(1-Settings!$B$2),2)</f>
        <v>45.43</v>
      </c>
      <c r="E3079" s="2" t="inlineStr">
        <is>
          <t>Pokemon</t>
        </is>
      </c>
      <c r="F3079" s="2" t="inlineStr">
        <is>
          <t>Pack</t>
        </is>
      </c>
      <c r="G3079" s="2" t="inlineStr">
        <is>
          <t>Miscellaneous Cards &amp; Products</t>
        </is>
      </c>
      <c r="H3079" s="3" t="n"/>
      <c r="I3079" s="3" t="n"/>
      <c r="J3079" s="3" t="n"/>
      <c r="K3079" s="3" t="n">
        <v>64.90000000000001</v>
      </c>
      <c r="L3079" s="2" t="inlineStr">
        <is>
          <t>TCGplayer</t>
        </is>
      </c>
      <c r="N3079" s="4" t="inlineStr">
        <is>
          <t>https://www.tcgplayer.com/product/273609</t>
        </is>
      </c>
    </row>
    <row r="3080">
      <c r="A3080" s="2" t="inlineStr">
        <is>
          <t>Pokemon TCG: Back to School Eraser Blister [Lechonk]</t>
        </is>
      </c>
      <c r="B3080" s="3">
        <f>IF(H3080&lt;&gt;"",H3080,IF(I3080&lt;&gt;"",I3080,IF(J3080&lt;&gt;"",J3080,K3080)))</f>
        <v>33.95</v>
      </c>
      <c r="C3080" s="3">
        <f>MEDIAN(H3080:K3080)</f>
        <v>34.4</v>
      </c>
      <c r="D3080" s="3">
        <f>ROUND(C3080*(1-Settings!$B$2),2)</f>
        <v>24.08</v>
      </c>
      <c r="E3080" s="2" t="inlineStr">
        <is>
          <t>Pokemon</t>
        </is>
      </c>
      <c r="F3080" s="2" t="inlineStr">
        <is>
          <t>Pack</t>
        </is>
      </c>
      <c r="G3080" s="2" t="inlineStr">
        <is>
          <t>Miscellaneous Cards &amp; Products</t>
        </is>
      </c>
      <c r="H3080" s="3" t="n"/>
      <c r="I3080" s="3" t="n">
        <v>33.95</v>
      </c>
      <c r="J3080" s="3" t="n">
        <v>40</v>
      </c>
      <c r="K3080" s="3" t="n">
        <v>34.4</v>
      </c>
      <c r="L3080" s="2" t="inlineStr">
        <is>
          <t>TCGplayer</t>
        </is>
      </c>
      <c r="N3080" s="4" t="inlineStr">
        <is>
          <t>https://www.tcgplayer.com/product/497853</t>
        </is>
      </c>
    </row>
    <row r="3081">
      <c r="A3081" s="2" t="inlineStr">
        <is>
          <t>Pokemon TCG: Back to School Eraser Blister [Pikachu]</t>
        </is>
      </c>
      <c r="B3081" s="3">
        <f>IF(H3081&lt;&gt;"",H3081,IF(I3081&lt;&gt;"",I3081,IF(J3081&lt;&gt;"",J3081,K3081)))</f>
        <v>80.0</v>
      </c>
      <c r="C3081" s="3">
        <f>MEDIAN(H3081:K3081)</f>
        <v>80.0</v>
      </c>
      <c r="D3081" s="3">
        <f>ROUND(C3081*(1-Settings!$B$2),2)</f>
        <v>56.0</v>
      </c>
      <c r="E3081" s="2" t="inlineStr">
        <is>
          <t>Pokemon</t>
        </is>
      </c>
      <c r="F3081" s="2" t="inlineStr">
        <is>
          <t>Pack</t>
        </is>
      </c>
      <c r="G3081" s="2" t="inlineStr">
        <is>
          <t>Miscellaneous Cards &amp; Products</t>
        </is>
      </c>
      <c r="H3081" s="3" t="n"/>
      <c r="I3081" s="3" t="n"/>
      <c r="J3081" s="3" t="n"/>
      <c r="K3081" s="3" t="n">
        <v>80</v>
      </c>
      <c r="L3081" s="2" t="inlineStr">
        <is>
          <t>TCGplayer</t>
        </is>
      </c>
      <c r="N3081" s="4" t="inlineStr">
        <is>
          <t>https://www.tcgplayer.com/product/273608</t>
        </is>
      </c>
    </row>
    <row r="3082">
      <c r="A3082" s="2" t="inlineStr">
        <is>
          <t>Pokemon TCG: Back to School Eraser Blister [Set of 2]</t>
        </is>
      </c>
      <c r="B3082" s="3">
        <f>IF(H3082&lt;&gt;"",H3082,IF(I3082&lt;&gt;"",I3082,IF(J3082&lt;&gt;"",J3082,K3082)))</f>
        <v>250.0</v>
      </c>
      <c r="C3082" s="3">
        <f>MEDIAN(H3082:K3082)</f>
        <v>250.0</v>
      </c>
      <c r="D3082" s="3">
        <f>ROUND(C3082*(1-Settings!$B$2),2)</f>
        <v>175.0</v>
      </c>
      <c r="E3082" s="2" t="inlineStr">
        <is>
          <t>Pokemon</t>
        </is>
      </c>
      <c r="F3082" s="2" t="inlineStr">
        <is>
          <t>Pack</t>
        </is>
      </c>
      <c r="G3082" s="2" t="inlineStr">
        <is>
          <t>Miscellaneous Cards &amp; Products</t>
        </is>
      </c>
      <c r="H3082" s="3" t="n"/>
      <c r="I3082" s="3" t="n"/>
      <c r="J3082" s="3" t="n"/>
      <c r="K3082" s="3" t="n">
        <v>250</v>
      </c>
      <c r="L3082" s="2" t="inlineStr">
        <is>
          <t>TCGplayer</t>
        </is>
      </c>
      <c r="N3082" s="4" t="inlineStr">
        <is>
          <t>https://www.tcgplayer.com/product/273610</t>
        </is>
      </c>
    </row>
    <row r="3083">
      <c r="A3083" s="2" t="inlineStr">
        <is>
          <t>Pokemon TCG: Back to School Eraser Blister [Smoliv]</t>
        </is>
      </c>
      <c r="B3083" s="3">
        <f>IF(H3083&lt;&gt;"",H3083,IF(I3083&lt;&gt;"",I3083,IF(J3083&lt;&gt;"",J3083,K3083)))</f>
        <v>28.4</v>
      </c>
      <c r="C3083" s="3">
        <f>MEDIAN(H3083:K3083)</f>
        <v>33.93</v>
      </c>
      <c r="D3083" s="3">
        <f>ROUND(C3083*(1-Settings!$B$2),2)</f>
        <v>23.75</v>
      </c>
      <c r="E3083" s="2" t="inlineStr">
        <is>
          <t>Pokemon</t>
        </is>
      </c>
      <c r="F3083" s="2" t="inlineStr">
        <is>
          <t>Pack</t>
        </is>
      </c>
      <c r="G3083" s="2" t="inlineStr">
        <is>
          <t>Miscellaneous Cards &amp; Products</t>
        </is>
      </c>
      <c r="H3083" s="3" t="n"/>
      <c r="I3083" s="3" t="n">
        <v>28.4</v>
      </c>
      <c r="J3083" s="3" t="n">
        <v>35</v>
      </c>
      <c r="K3083" s="3" t="n">
        <v>33.93</v>
      </c>
      <c r="L3083" s="2" t="inlineStr">
        <is>
          <t>TCGplayer</t>
        </is>
      </c>
      <c r="N3083" s="4" t="inlineStr">
        <is>
          <t>https://www.tcgplayer.com/product/497856</t>
        </is>
      </c>
    </row>
    <row r="3084">
      <c r="A3084" s="2" t="inlineStr">
        <is>
          <t>Premium Checklane Blister [Gallade]</t>
        </is>
      </c>
      <c r="B3084" s="3">
        <f>IF(H3084&lt;&gt;"",H3084,IF(I3084&lt;&gt;"",I3084,IF(J3084&lt;&gt;"",J3084,K3084)))</f>
        <v>122.5</v>
      </c>
      <c r="C3084" s="3">
        <f>MEDIAN(H3084:K3084)</f>
        <v>121.25</v>
      </c>
      <c r="D3084" s="3">
        <f>ROUND(C3084*(1-Settings!$B$2),2)</f>
        <v>84.88</v>
      </c>
      <c r="E3084" s="2" t="inlineStr">
        <is>
          <t>Pokemon</t>
        </is>
      </c>
      <c r="F3084" s="2" t="inlineStr">
        <is>
          <t>Pack</t>
        </is>
      </c>
      <c r="G3084" s="2" t="inlineStr">
        <is>
          <t>Miscellaneous Cards &amp; Products</t>
        </is>
      </c>
      <c r="H3084" s="3" t="n"/>
      <c r="I3084" s="3" t="n"/>
      <c r="J3084" s="3" t="n">
        <v>122.5</v>
      </c>
      <c r="K3084" s="3" t="n">
        <v>120</v>
      </c>
      <c r="L3084" s="2" t="inlineStr">
        <is>
          <t>TCGplayer</t>
        </is>
      </c>
      <c r="N3084" s="4" t="inlineStr">
        <is>
          <t>https://www.tcgplayer.com/product/200568</t>
        </is>
      </c>
    </row>
    <row r="3085">
      <c r="A3085" s="2" t="inlineStr">
        <is>
          <t>XY 3 Pack Blister [Giratina]</t>
        </is>
      </c>
      <c r="B3085" s="3">
        <f>IF(H3085&lt;&gt;"",H3085,IF(I3085&lt;&gt;"",I3085,IF(J3085&lt;&gt;"",J3085,K3085)))</f>
        <v>1203.53</v>
      </c>
      <c r="C3085" s="3">
        <f>MEDIAN(H3085:K3085)</f>
        <v>1203.53</v>
      </c>
      <c r="D3085" s="3">
        <f>ROUND(C3085*(1-Settings!$B$2),2)</f>
        <v>842.47</v>
      </c>
      <c r="E3085" s="2" t="inlineStr">
        <is>
          <t>Pokemon</t>
        </is>
      </c>
      <c r="F3085" s="2" t="inlineStr">
        <is>
          <t>Pack</t>
        </is>
      </c>
      <c r="G3085" s="2" t="inlineStr">
        <is>
          <t>Miscellaneous Cards &amp; Products</t>
        </is>
      </c>
      <c r="H3085" s="3" t="n"/>
      <c r="I3085" s="3" t="n"/>
      <c r="J3085" s="3" t="n">
        <v>1203.53</v>
      </c>
      <c r="K3085" s="3" t="n">
        <v>1203.53</v>
      </c>
      <c r="L3085" s="2" t="inlineStr">
        <is>
          <t>TCGplayer</t>
        </is>
      </c>
      <c r="N3085" s="4" t="inlineStr">
        <is>
          <t>https://www.tcgplayer.com/product/276609</t>
        </is>
      </c>
    </row>
    <row r="3086">
      <c r="A3086" s="2" t="inlineStr">
        <is>
          <t>Yu Nagaba x Pokemon - Eevee's Special Promo Pack</t>
        </is>
      </c>
      <c r="B3086" s="3">
        <f>IF(H3086&lt;&gt;"",H3086,IF(I3086&lt;&gt;"",I3086,IF(J3086&lt;&gt;"",J3086,K3086)))</f>
        <v>133.12</v>
      </c>
      <c r="C3086" s="3">
        <f>MEDIAN(H3086:K3086)</f>
        <v>133.12</v>
      </c>
      <c r="D3086" s="3">
        <f>ROUND(C3086*(1-Settings!$B$2),2)</f>
        <v>93.18</v>
      </c>
      <c r="E3086" s="2" t="inlineStr">
        <is>
          <t>Pokemon</t>
        </is>
      </c>
      <c r="F3086" s="2" t="inlineStr">
        <is>
          <t>Pack</t>
        </is>
      </c>
      <c r="G3086" s="2" t="inlineStr">
        <is>
          <t>Miscellaneous Cards &amp; Products</t>
        </is>
      </c>
      <c r="H3086" s="3" t="n"/>
      <c r="I3086" s="3" t="n">
        <v>133.12</v>
      </c>
      <c r="J3086" s="3" t="n">
        <v>149.4</v>
      </c>
      <c r="K3086" s="3" t="n">
        <v>124</v>
      </c>
      <c r="L3086" s="2" t="inlineStr">
        <is>
          <t>TCGplayer</t>
        </is>
      </c>
      <c r="N3086" s="4" t="inlineStr">
        <is>
          <t>https://www.tcgplayer.com/product/530756</t>
        </is>
      </c>
    </row>
    <row r="3087">
      <c r="A3087" s="2" t="inlineStr">
        <is>
          <t>Mysterious Treasures Blister Pack</t>
        </is>
      </c>
      <c r="B3087" s="3">
        <f>IF(H3087&lt;&gt;"",H3087,IF(I3087&lt;&gt;"",I3087,IF(J3087&lt;&gt;"",J3087,K3087)))</f>
        <v>600.0</v>
      </c>
      <c r="C3087" s="3">
        <f>MEDIAN(H3087:K3087)</f>
        <v>600.0</v>
      </c>
      <c r="D3087" s="3">
        <f>ROUND(C3087*(1-Settings!$B$2),2)</f>
        <v>420.0</v>
      </c>
      <c r="E3087" s="2" t="inlineStr">
        <is>
          <t>Pokemon</t>
        </is>
      </c>
      <c r="F3087" s="2" t="inlineStr">
        <is>
          <t>Pack</t>
        </is>
      </c>
      <c r="G3087" s="2" t="inlineStr">
        <is>
          <t>Mysterious Treasures</t>
        </is>
      </c>
      <c r="H3087" s="3" t="n">
        <v>600</v>
      </c>
      <c r="I3087" s="3" t="n"/>
      <c r="J3087" s="3" t="n"/>
      <c r="K3087" s="3" t="n"/>
      <c r="L3087" s="2" t="inlineStr">
        <is>
          <t>PriceCharting</t>
        </is>
      </c>
      <c r="M3087" s="4" t="inlineStr">
        <is>
          <t>https://www.pricecharting.com/game/pokemon-mysterious-treasures/blister-pack</t>
        </is>
      </c>
    </row>
    <row r="3088">
      <c r="A3088" s="2" t="inlineStr">
        <is>
          <t>Mysterious Treasures Booster Pack</t>
        </is>
      </c>
      <c r="B3088" s="3">
        <f>IF(H3088&lt;&gt;"",H3088,IF(I3088&lt;&gt;"",I3088,IF(J3088&lt;&gt;"",J3088,K3088)))</f>
        <v>395.0</v>
      </c>
      <c r="C3088" s="3">
        <f>MEDIAN(H3088:K3088)</f>
        <v>522.5</v>
      </c>
      <c r="D3088" s="3">
        <f>ROUND(C3088*(1-Settings!$B$2),2)</f>
        <v>365.75</v>
      </c>
      <c r="E3088" s="2" t="inlineStr">
        <is>
          <t>Pokemon</t>
        </is>
      </c>
      <c r="F3088" s="2" t="inlineStr">
        <is>
          <t>Pack</t>
        </is>
      </c>
      <c r="G3088" s="2" t="inlineStr">
        <is>
          <t>Mysterious Treasures</t>
        </is>
      </c>
      <c r="H3088" s="3" t="n">
        <v>395</v>
      </c>
      <c r="I3088" s="3" t="n">
        <v>339.83</v>
      </c>
      <c r="J3088" s="3" t="n">
        <v>650</v>
      </c>
      <c r="K3088" s="3" t="n">
        <v>650</v>
      </c>
      <c r="L3088" s="2" t="inlineStr">
        <is>
          <t>PriceCharting + TCGplayer</t>
        </is>
      </c>
      <c r="M3088" s="4" t="inlineStr">
        <is>
          <t>https://www.pricecharting.com/game/pokemon-mysterious-treasures/booster-pack</t>
        </is>
      </c>
      <c r="N3088" s="4" t="inlineStr">
        <is>
          <t>https://www.tcgplayer.com/product/98561</t>
        </is>
      </c>
    </row>
    <row r="3089">
      <c r="A3089" s="2" t="inlineStr">
        <is>
          <t>Neo Destiny Blister Pack</t>
        </is>
      </c>
      <c r="B3089" s="3">
        <f>IF(H3089&lt;&gt;"",H3089,IF(I3089&lt;&gt;"",I3089,IF(J3089&lt;&gt;"",J3089,K3089)))</f>
        <v>1049.99</v>
      </c>
      <c r="C3089" s="3">
        <f>MEDIAN(H3089:K3089)</f>
        <v>1049.99</v>
      </c>
      <c r="D3089" s="3">
        <f>ROUND(C3089*(1-Settings!$B$2),2)</f>
        <v>734.99</v>
      </c>
      <c r="E3089" s="2" t="inlineStr">
        <is>
          <t>Pokemon</t>
        </is>
      </c>
      <c r="F3089" s="2" t="inlineStr">
        <is>
          <t>Pack</t>
        </is>
      </c>
      <c r="G3089" s="2" t="inlineStr">
        <is>
          <t>Neo Destiny</t>
        </is>
      </c>
      <c r="H3089" s="3" t="n">
        <v>1049.99</v>
      </c>
      <c r="I3089" s="3" t="n"/>
      <c r="J3089" s="3" t="n"/>
      <c r="K3089" s="3" t="n"/>
      <c r="L3089" s="2" t="inlineStr">
        <is>
          <t>PriceCharting</t>
        </is>
      </c>
      <c r="M3089" s="4" t="inlineStr">
        <is>
          <t>https://www.pricecharting.com/game/pokemon-neo-destiny/blister-pack</t>
        </is>
      </c>
    </row>
    <row r="3090">
      <c r="A3090" s="2" t="inlineStr">
        <is>
          <t>Neo Destiny Booster Pack</t>
        </is>
      </c>
      <c r="B3090" s="3">
        <f>IF(H3090&lt;&gt;"",H3090,IF(I3090&lt;&gt;"",I3090,IF(J3090&lt;&gt;"",J3090,K3090)))</f>
        <v>1264.75</v>
      </c>
      <c r="C3090" s="3">
        <f>MEDIAN(H3090:K3090)</f>
        <v>1264.75</v>
      </c>
      <c r="D3090" s="3">
        <f>ROUND(C3090*(1-Settings!$B$2),2)</f>
        <v>885.33</v>
      </c>
      <c r="E3090" s="2" t="inlineStr">
        <is>
          <t>Pokemon</t>
        </is>
      </c>
      <c r="F3090" s="2" t="inlineStr">
        <is>
          <t>Pack</t>
        </is>
      </c>
      <c r="G3090" s="2" t="inlineStr">
        <is>
          <t>Neo Destiny</t>
        </is>
      </c>
      <c r="H3090" s="3" t="n">
        <v>1264.75</v>
      </c>
      <c r="I3090" s="3" t="n"/>
      <c r="J3090" s="3" t="n"/>
      <c r="K3090" s="3" t="n"/>
      <c r="L3090" s="2" t="inlineStr">
        <is>
          <t>PriceCharting</t>
        </is>
      </c>
      <c r="M3090" s="4" t="inlineStr">
        <is>
          <t>https://www.pricecharting.com/game/pokemon-neo-destiny/booster-pack</t>
        </is>
      </c>
    </row>
    <row r="3091">
      <c r="A3091" s="2" t="inlineStr">
        <is>
          <t>Neo Destiny Booster Pack [1st Edition]</t>
        </is>
      </c>
      <c r="B3091" s="3">
        <f>IF(H3091&lt;&gt;"",H3091,IF(I3091&lt;&gt;"",I3091,IF(J3091&lt;&gt;"",J3091,K3091)))</f>
        <v>2671.59</v>
      </c>
      <c r="C3091" s="3">
        <f>MEDIAN(H3091:K3091)</f>
        <v>2671.59</v>
      </c>
      <c r="D3091" s="3">
        <f>ROUND(C3091*(1-Settings!$B$2),2)</f>
        <v>1870.11</v>
      </c>
      <c r="E3091" s="2" t="inlineStr">
        <is>
          <t>Pokemon</t>
        </is>
      </c>
      <c r="F3091" s="2" t="inlineStr">
        <is>
          <t>Pack</t>
        </is>
      </c>
      <c r="G3091" s="2" t="inlineStr">
        <is>
          <t>Neo Destiny</t>
        </is>
      </c>
      <c r="H3091" s="3" t="n">
        <v>2671.59</v>
      </c>
      <c r="I3091" s="3" t="n"/>
      <c r="J3091" s="3" t="n"/>
      <c r="K3091" s="3" t="n"/>
      <c r="L3091" s="2" t="inlineStr">
        <is>
          <t>PriceCharting + TCGplayer</t>
        </is>
      </c>
      <c r="M3091" s="4" t="inlineStr">
        <is>
          <t>https://www.pricecharting.com/game/pokemon-neo-destiny/booster-pack-1st-edition</t>
        </is>
      </c>
      <c r="N3091" s="4" t="inlineStr">
        <is>
          <t>https://www.tcgplayer.com/product/138148</t>
        </is>
      </c>
    </row>
    <row r="3092">
      <c r="A3092" s="2" t="inlineStr">
        <is>
          <t>Neo Discovery Blister Pack</t>
        </is>
      </c>
      <c r="B3092" s="3">
        <f>IF(H3092&lt;&gt;"",H3092,IF(I3092&lt;&gt;"",I3092,IF(J3092&lt;&gt;"",J3092,K3092)))</f>
        <v>1055.7</v>
      </c>
      <c r="C3092" s="3">
        <f>MEDIAN(H3092:K3092)</f>
        <v>1055.7</v>
      </c>
      <c r="D3092" s="3">
        <f>ROUND(C3092*(1-Settings!$B$2),2)</f>
        <v>738.99</v>
      </c>
      <c r="E3092" s="2" t="inlineStr">
        <is>
          <t>Pokemon</t>
        </is>
      </c>
      <c r="F3092" s="2" t="inlineStr">
        <is>
          <t>Pack</t>
        </is>
      </c>
      <c r="G3092" s="2" t="inlineStr">
        <is>
          <t>Neo Discovery</t>
        </is>
      </c>
      <c r="H3092" s="3" t="n">
        <v>1055.7</v>
      </c>
      <c r="I3092" s="3" t="n"/>
      <c r="J3092" s="3" t="n"/>
      <c r="K3092" s="3" t="n"/>
      <c r="L3092" s="2" t="inlineStr">
        <is>
          <t>PriceCharting</t>
        </is>
      </c>
      <c r="M3092" s="4" t="inlineStr">
        <is>
          <t>https://www.pricecharting.com/game/pokemon-neo-discovery/blister-pack</t>
        </is>
      </c>
    </row>
    <row r="3093">
      <c r="A3093" s="2" t="inlineStr">
        <is>
          <t>Neo Discovery Booster Pack</t>
        </is>
      </c>
      <c r="B3093" s="3">
        <f>IF(H3093&lt;&gt;"",H3093,IF(I3093&lt;&gt;"",I3093,IF(J3093&lt;&gt;"",J3093,K3093)))</f>
        <v>676.34</v>
      </c>
      <c r="C3093" s="3">
        <f>MEDIAN(H3093:K3093)</f>
        <v>676.34</v>
      </c>
      <c r="D3093" s="3">
        <f>ROUND(C3093*(1-Settings!$B$2),2)</f>
        <v>473.44</v>
      </c>
      <c r="E3093" s="2" t="inlineStr">
        <is>
          <t>Pokemon</t>
        </is>
      </c>
      <c r="F3093" s="2" t="inlineStr">
        <is>
          <t>Pack</t>
        </is>
      </c>
      <c r="G3093" s="2" t="inlineStr">
        <is>
          <t>Neo Discovery</t>
        </is>
      </c>
      <c r="H3093" s="3" t="n">
        <v>676.34</v>
      </c>
      <c r="I3093" s="3" t="n"/>
      <c r="J3093" s="3" t="n"/>
      <c r="K3093" s="3" t="n"/>
      <c r="L3093" s="2" t="inlineStr">
        <is>
          <t>PriceCharting</t>
        </is>
      </c>
      <c r="M3093" s="4" t="inlineStr">
        <is>
          <t>https://www.pricecharting.com/game/pokemon-neo-discovery/booster-pack</t>
        </is>
      </c>
    </row>
    <row r="3094">
      <c r="A3094" s="2" t="inlineStr">
        <is>
          <t>Neo Discovery Booster Pack [1st Edition]</t>
        </is>
      </c>
      <c r="B3094" s="3">
        <f>IF(H3094&lt;&gt;"",H3094,IF(I3094&lt;&gt;"",I3094,IF(J3094&lt;&gt;"",J3094,K3094)))</f>
        <v>792.58</v>
      </c>
      <c r="C3094" s="3">
        <f>MEDIAN(H3094:K3094)</f>
        <v>1500.0</v>
      </c>
      <c r="D3094" s="3">
        <f>ROUND(C3094*(1-Settings!$B$2),2)</f>
        <v>1050.0</v>
      </c>
      <c r="E3094" s="2" t="inlineStr">
        <is>
          <t>Pokemon</t>
        </is>
      </c>
      <c r="F3094" s="2" t="inlineStr">
        <is>
          <t>Pack</t>
        </is>
      </c>
      <c r="G3094" s="2" t="inlineStr">
        <is>
          <t>Neo Discovery</t>
        </is>
      </c>
      <c r="H3094" s="3" t="n">
        <v>792.58</v>
      </c>
      <c r="I3094" s="3" t="n"/>
      <c r="J3094" s="3" t="n">
        <v>1575</v>
      </c>
      <c r="K3094" s="3" t="n">
        <v>1500</v>
      </c>
      <c r="L3094" s="2" t="inlineStr">
        <is>
          <t>PriceCharting + TCGplayer</t>
        </is>
      </c>
      <c r="M3094" s="4" t="inlineStr">
        <is>
          <t>https://www.pricecharting.com/game/pokemon-neo-discovery/booster-pack-1st-edition</t>
        </is>
      </c>
      <c r="N3094" s="4" t="inlineStr">
        <is>
          <t>https://www.tcgplayer.com/product/138144</t>
        </is>
      </c>
    </row>
    <row r="3095">
      <c r="A3095" s="2" t="inlineStr">
        <is>
          <t>Neo Discovery Booster Pack [Unlimited Edition]</t>
        </is>
      </c>
      <c r="B3095" s="3">
        <f>IF(H3095&lt;&gt;"",H3095,IF(I3095&lt;&gt;"",I3095,IF(J3095&lt;&gt;"",J3095,K3095)))</f>
        <v>537.5</v>
      </c>
      <c r="C3095" s="3">
        <f>MEDIAN(H3095:K3095)</f>
        <v>599.0</v>
      </c>
      <c r="D3095" s="3">
        <f>ROUND(C3095*(1-Settings!$B$2),2)</f>
        <v>419.3</v>
      </c>
      <c r="E3095" s="2" t="inlineStr">
        <is>
          <t>Pokemon</t>
        </is>
      </c>
      <c r="F3095" s="2" t="inlineStr">
        <is>
          <t>Pack</t>
        </is>
      </c>
      <c r="G3095" s="2" t="inlineStr">
        <is>
          <t>Neo Discovery</t>
        </is>
      </c>
      <c r="H3095" s="3" t="n"/>
      <c r="I3095" s="3" t="n">
        <v>537.5</v>
      </c>
      <c r="J3095" s="3" t="n">
        <v>662.5</v>
      </c>
      <c r="K3095" s="3" t="n">
        <v>599</v>
      </c>
      <c r="L3095" s="2" t="inlineStr">
        <is>
          <t>TCGplayer</t>
        </is>
      </c>
      <c r="N3095" s="4" t="inlineStr">
        <is>
          <t>https://www.tcgplayer.com/product/138143</t>
        </is>
      </c>
    </row>
    <row r="3096">
      <c r="A3096" s="2" t="inlineStr">
        <is>
          <t>Neo Genesis Booster Pack</t>
        </is>
      </c>
      <c r="B3096" s="3">
        <f>IF(H3096&lt;&gt;"",H3096,IF(I3096&lt;&gt;"",I3096,IF(J3096&lt;&gt;"",J3096,K3096)))</f>
        <v>741.61</v>
      </c>
      <c r="C3096" s="3">
        <f>MEDIAN(H3096:K3096)</f>
        <v>741.61</v>
      </c>
      <c r="D3096" s="3">
        <f>ROUND(C3096*(1-Settings!$B$2),2)</f>
        <v>519.13</v>
      </c>
      <c r="E3096" s="2" t="inlineStr">
        <is>
          <t>Pokemon</t>
        </is>
      </c>
      <c r="F3096" s="2" t="inlineStr">
        <is>
          <t>Pack</t>
        </is>
      </c>
      <c r="G3096" s="2" t="inlineStr">
        <is>
          <t>Neo Genesis</t>
        </is>
      </c>
      <c r="H3096" s="3" t="n">
        <v>741.61</v>
      </c>
      <c r="I3096" s="3" t="n"/>
      <c r="J3096" s="3" t="n"/>
      <c r="K3096" s="3" t="n"/>
      <c r="L3096" s="2" t="inlineStr">
        <is>
          <t>PriceCharting</t>
        </is>
      </c>
      <c r="M3096" s="4" t="inlineStr">
        <is>
          <t>https://www.pricecharting.com/game/pokemon-neo-genesis/booster-pack</t>
        </is>
      </c>
    </row>
    <row r="3097">
      <c r="A3097" s="2" t="inlineStr">
        <is>
          <t>Neo Genesis Booster Pack [1st Edition]</t>
        </is>
      </c>
      <c r="B3097" s="3">
        <f>IF(H3097&lt;&gt;"",H3097,IF(I3097&lt;&gt;"",I3097,IF(J3097&lt;&gt;"",J3097,K3097)))</f>
        <v>902.45</v>
      </c>
      <c r="C3097" s="3">
        <f>MEDIAN(H3097:K3097)</f>
        <v>902.45</v>
      </c>
      <c r="D3097" s="3">
        <f>ROUND(C3097*(1-Settings!$B$2),2)</f>
        <v>631.72</v>
      </c>
      <c r="E3097" s="2" t="inlineStr">
        <is>
          <t>Pokemon</t>
        </is>
      </c>
      <c r="F3097" s="2" t="inlineStr">
        <is>
          <t>Pack</t>
        </is>
      </c>
      <c r="G3097" s="2" t="inlineStr">
        <is>
          <t>Neo Genesis</t>
        </is>
      </c>
      <c r="H3097" s="3" t="n">
        <v>902.45</v>
      </c>
      <c r="I3097" s="3" t="n"/>
      <c r="J3097" s="3" t="n"/>
      <c r="K3097" s="3" t="n"/>
      <c r="L3097" s="2" t="inlineStr">
        <is>
          <t>PriceCharting</t>
        </is>
      </c>
      <c r="M3097" s="4" t="inlineStr">
        <is>
          <t>https://www.pricecharting.com/game/pokemon-neo-genesis/booster-pack-1st-edition</t>
        </is>
      </c>
    </row>
    <row r="3098">
      <c r="A3098" s="2" t="inlineStr">
        <is>
          <t>Neo Genesis Booster Pack [Unlimited Edition]</t>
        </is>
      </c>
      <c r="B3098" s="3">
        <f>IF(H3098&lt;&gt;"",H3098,IF(I3098&lt;&gt;"",I3098,IF(J3098&lt;&gt;"",J3098,K3098)))</f>
        <v>631.99</v>
      </c>
      <c r="C3098" s="3">
        <f>MEDIAN(H3098:K3098)</f>
        <v>631.99</v>
      </c>
      <c r="D3098" s="3">
        <f>ROUND(C3098*(1-Settings!$B$2),2)</f>
        <v>442.39</v>
      </c>
      <c r="E3098" s="2" t="inlineStr">
        <is>
          <t>Pokemon</t>
        </is>
      </c>
      <c r="F3098" s="2" t="inlineStr">
        <is>
          <t>Pack</t>
        </is>
      </c>
      <c r="G3098" s="2" t="inlineStr">
        <is>
          <t>Neo Genesis</t>
        </is>
      </c>
      <c r="H3098" s="3" t="n"/>
      <c r="I3098" s="3" t="n">
        <v>631.99</v>
      </c>
      <c r="J3098" s="3" t="n"/>
      <c r="K3098" s="3" t="n"/>
      <c r="L3098" s="2" t="inlineStr">
        <is>
          <t>TCGplayer</t>
        </is>
      </c>
      <c r="N3098" s="4" t="inlineStr">
        <is>
          <t>https://www.tcgplayer.com/product/138142</t>
        </is>
      </c>
    </row>
    <row r="3099">
      <c r="A3099" s="2" t="inlineStr">
        <is>
          <t>Neo Revelation Blister Pack</t>
        </is>
      </c>
      <c r="B3099" s="3">
        <f>IF(H3099&lt;&gt;"",H3099,IF(I3099&lt;&gt;"",I3099,IF(J3099&lt;&gt;"",J3099,K3099)))</f>
        <v>852.41</v>
      </c>
      <c r="C3099" s="3">
        <f>MEDIAN(H3099:K3099)</f>
        <v>852.41</v>
      </c>
      <c r="D3099" s="3">
        <f>ROUND(C3099*(1-Settings!$B$2),2)</f>
        <v>596.69</v>
      </c>
      <c r="E3099" s="2" t="inlineStr">
        <is>
          <t>Pokemon</t>
        </is>
      </c>
      <c r="F3099" s="2" t="inlineStr">
        <is>
          <t>Pack</t>
        </is>
      </c>
      <c r="G3099" s="2" t="inlineStr">
        <is>
          <t>Neo Revelation</t>
        </is>
      </c>
      <c r="H3099" s="3" t="n">
        <v>852.41</v>
      </c>
      <c r="I3099" s="3" t="n"/>
      <c r="J3099" s="3" t="n"/>
      <c r="K3099" s="3" t="n"/>
      <c r="L3099" s="2" t="inlineStr">
        <is>
          <t>PriceCharting</t>
        </is>
      </c>
      <c r="M3099" s="4" t="inlineStr">
        <is>
          <t>https://www.pricecharting.com/game/pokemon-neo-revelation/blister-pack</t>
        </is>
      </c>
    </row>
    <row r="3100">
      <c r="A3100" s="2" t="inlineStr">
        <is>
          <t>Neo Revelation Booster Pack</t>
        </is>
      </c>
      <c r="B3100" s="3">
        <f>IF(H3100&lt;&gt;"",H3100,IF(I3100&lt;&gt;"",I3100,IF(J3100&lt;&gt;"",J3100,K3100)))</f>
        <v>590.0</v>
      </c>
      <c r="C3100" s="3">
        <f>MEDIAN(H3100:K3100)</f>
        <v>590.0</v>
      </c>
      <c r="D3100" s="3">
        <f>ROUND(C3100*(1-Settings!$B$2),2)</f>
        <v>413.0</v>
      </c>
      <c r="E3100" s="2" t="inlineStr">
        <is>
          <t>Pokemon</t>
        </is>
      </c>
      <c r="F3100" s="2" t="inlineStr">
        <is>
          <t>Pack</t>
        </is>
      </c>
      <c r="G3100" s="2" t="inlineStr">
        <is>
          <t>Neo Revelation</t>
        </is>
      </c>
      <c r="H3100" s="3" t="n">
        <v>590</v>
      </c>
      <c r="I3100" s="3" t="n"/>
      <c r="J3100" s="3" t="n"/>
      <c r="K3100" s="3" t="n"/>
      <c r="L3100" s="2" t="inlineStr">
        <is>
          <t>PriceCharting</t>
        </is>
      </c>
      <c r="M3100" s="4" t="inlineStr">
        <is>
          <t>https://www.pricecharting.com/game/pokemon-neo-revelation/booster-pack</t>
        </is>
      </c>
    </row>
    <row r="3101">
      <c r="A3101" s="2" t="inlineStr">
        <is>
          <t>Neo Revelation Booster Pack [1st Edition]</t>
        </is>
      </c>
      <c r="B3101" s="3">
        <f>IF(H3101&lt;&gt;"",H3101,IF(I3101&lt;&gt;"",I3101,IF(J3101&lt;&gt;"",J3101,K3101)))</f>
        <v>940.16</v>
      </c>
      <c r="C3101" s="3">
        <f>MEDIAN(H3101:K3101)</f>
        <v>940.16</v>
      </c>
      <c r="D3101" s="3">
        <f>ROUND(C3101*(1-Settings!$B$2),2)</f>
        <v>658.11</v>
      </c>
      <c r="E3101" s="2" t="inlineStr">
        <is>
          <t>Pokemon</t>
        </is>
      </c>
      <c r="F3101" s="2" t="inlineStr">
        <is>
          <t>Pack</t>
        </is>
      </c>
      <c r="G3101" s="2" t="inlineStr">
        <is>
          <t>Neo Revelation</t>
        </is>
      </c>
      <c r="H3101" s="3" t="n">
        <v>940.16</v>
      </c>
      <c r="I3101" s="3" t="n"/>
      <c r="J3101" s="3" t="n"/>
      <c r="K3101" s="3" t="n"/>
      <c r="L3101" s="2" t="inlineStr">
        <is>
          <t>PriceCharting + TCGplayer</t>
        </is>
      </c>
      <c r="M3101" s="4" t="inlineStr">
        <is>
          <t>https://www.pricecharting.com/game/pokemon-neo-revelation/booster-pack-1st-edition</t>
        </is>
      </c>
      <c r="N3101" s="4" t="inlineStr">
        <is>
          <t>https://www.tcgplayer.com/product/138145</t>
        </is>
      </c>
    </row>
    <row r="3102">
      <c r="A3102" s="2" t="inlineStr">
        <is>
          <t>Neo Revelation Booster Pack [Unlimited Edition]</t>
        </is>
      </c>
      <c r="B3102" s="3">
        <f>IF(H3102&lt;&gt;"",H3102,IF(I3102&lt;&gt;"",I3102,IF(J3102&lt;&gt;"",J3102,K3102)))</f>
        <v>945.0</v>
      </c>
      <c r="C3102" s="3">
        <f>MEDIAN(H3102:K3102)</f>
        <v>917.495</v>
      </c>
      <c r="D3102" s="3">
        <f>ROUND(C3102*(1-Settings!$B$2),2)</f>
        <v>642.25</v>
      </c>
      <c r="E3102" s="2" t="inlineStr">
        <is>
          <t>Pokemon</t>
        </is>
      </c>
      <c r="F3102" s="2" t="inlineStr">
        <is>
          <t>Pack</t>
        </is>
      </c>
      <c r="G3102" s="2" t="inlineStr">
        <is>
          <t>Neo Revelation</t>
        </is>
      </c>
      <c r="H3102" s="3" t="n"/>
      <c r="I3102" s="3" t="n"/>
      <c r="J3102" s="3" t="n">
        <v>945</v>
      </c>
      <c r="K3102" s="3" t="n">
        <v>889.99</v>
      </c>
      <c r="L3102" s="2" t="inlineStr">
        <is>
          <t>TCGplayer</t>
        </is>
      </c>
      <c r="N3102" s="4" t="inlineStr">
        <is>
          <t>https://www.tcgplayer.com/product/138146</t>
        </is>
      </c>
    </row>
    <row r="3103">
      <c r="A3103" s="2" t="inlineStr">
        <is>
          <t>Next Destinies Blister Pack</t>
        </is>
      </c>
      <c r="B3103" s="3">
        <f>IF(H3103&lt;&gt;"",H3103,IF(I3103&lt;&gt;"",I3103,IF(J3103&lt;&gt;"",J3103,K3103)))</f>
        <v>399.99</v>
      </c>
      <c r="C3103" s="3">
        <f>MEDIAN(H3103:K3103)</f>
        <v>399.99</v>
      </c>
      <c r="D3103" s="3">
        <f>ROUND(C3103*(1-Settings!$B$2),2)</f>
        <v>279.99</v>
      </c>
      <c r="E3103" s="2" t="inlineStr">
        <is>
          <t>Pokemon</t>
        </is>
      </c>
      <c r="F3103" s="2" t="inlineStr">
        <is>
          <t>Pack</t>
        </is>
      </c>
      <c r="G3103" s="2" t="inlineStr">
        <is>
          <t>Next Destinies</t>
        </is>
      </c>
      <c r="H3103" s="3" t="n">
        <v>399.99</v>
      </c>
      <c r="I3103" s="3" t="n"/>
      <c r="J3103" s="3" t="n"/>
      <c r="K3103" s="3" t="n"/>
      <c r="L3103" s="2" t="inlineStr">
        <is>
          <t>PriceCharting</t>
        </is>
      </c>
      <c r="M3103" s="4" t="inlineStr">
        <is>
          <t>https://www.pricecharting.com/game/pokemon-next-destinies/blister-pack</t>
        </is>
      </c>
    </row>
    <row r="3104">
      <c r="A3104" s="2" t="inlineStr">
        <is>
          <t>Next Destinies Booster Pack</t>
        </is>
      </c>
      <c r="B3104" s="3">
        <f>IF(H3104&lt;&gt;"",H3104,IF(I3104&lt;&gt;"",I3104,IF(J3104&lt;&gt;"",J3104,K3104)))</f>
        <v>228.75</v>
      </c>
      <c r="C3104" s="3">
        <f>MEDIAN(H3104:K3104)</f>
        <v>378.645</v>
      </c>
      <c r="D3104" s="3">
        <f>ROUND(C3104*(1-Settings!$B$2),2)</f>
        <v>265.05</v>
      </c>
      <c r="E3104" s="2" t="inlineStr">
        <is>
          <t>Pokemon</t>
        </is>
      </c>
      <c r="F3104" s="2" t="inlineStr">
        <is>
          <t>Pack</t>
        </is>
      </c>
      <c r="G3104" s="2" t="inlineStr">
        <is>
          <t>Next Destinies</t>
        </is>
      </c>
      <c r="H3104" s="3" t="n">
        <v>228.75</v>
      </c>
      <c r="I3104" s="3" t="n">
        <v>357.29</v>
      </c>
      <c r="J3104" s="3" t="n">
        <v>437.5</v>
      </c>
      <c r="K3104" s="3" t="n">
        <v>400</v>
      </c>
      <c r="L3104" s="2" t="inlineStr">
        <is>
          <t>PriceCharting + TCGplayer</t>
        </is>
      </c>
      <c r="M3104" s="4" t="inlineStr">
        <is>
          <t>https://www.pricecharting.com/game/pokemon-next-destinies/booster-pack</t>
        </is>
      </c>
      <c r="N3104" s="4" t="inlineStr">
        <is>
          <t>https://www.tcgplayer.com/product/98538</t>
        </is>
      </c>
    </row>
    <row r="3105">
      <c r="A3105" s="2" t="inlineStr">
        <is>
          <t>Next Destinies Sleeved Booster Pack</t>
        </is>
      </c>
      <c r="B3105" s="3">
        <f>IF(H3105&lt;&gt;"",H3105,IF(I3105&lt;&gt;"",I3105,IF(J3105&lt;&gt;"",J3105,K3105)))</f>
        <v>668.29</v>
      </c>
      <c r="C3105" s="3">
        <f>MEDIAN(H3105:K3105)</f>
        <v>668.29</v>
      </c>
      <c r="D3105" s="3">
        <f>ROUND(C3105*(1-Settings!$B$2),2)</f>
        <v>467.8</v>
      </c>
      <c r="E3105" s="2" t="inlineStr">
        <is>
          <t>Pokemon</t>
        </is>
      </c>
      <c r="F3105" s="2" t="inlineStr">
        <is>
          <t>Pack</t>
        </is>
      </c>
      <c r="G3105" s="2" t="inlineStr">
        <is>
          <t>Next Destinies</t>
        </is>
      </c>
      <c r="H3105" s="3" t="n">
        <v>668.29</v>
      </c>
      <c r="I3105" s="3" t="n"/>
      <c r="J3105" s="3" t="n"/>
      <c r="K3105" s="3" t="n"/>
      <c r="L3105" s="2" t="inlineStr">
        <is>
          <t>PriceCharting</t>
        </is>
      </c>
      <c r="M3105" s="4" t="inlineStr">
        <is>
          <t>https://www.pricecharting.com/game/pokemon-next-destinies/sleeved-booster-pack</t>
        </is>
      </c>
    </row>
    <row r="3106">
      <c r="A3106" s="2" t="inlineStr">
        <is>
          <t>Noble Victories Booster Pack</t>
        </is>
      </c>
      <c r="B3106" s="3">
        <f>IF(H3106&lt;&gt;"",H3106,IF(I3106&lt;&gt;"",I3106,IF(J3106&lt;&gt;"",J3106,K3106)))</f>
        <v>183.53</v>
      </c>
      <c r="C3106" s="3">
        <f>MEDIAN(H3106:K3106)</f>
        <v>169.39499999999998</v>
      </c>
      <c r="D3106" s="3">
        <f>ROUND(C3106*(1-Settings!$B$2),2)</f>
        <v>118.58</v>
      </c>
      <c r="E3106" s="2" t="inlineStr">
        <is>
          <t>Pokemon</t>
        </is>
      </c>
      <c r="F3106" s="2" t="inlineStr">
        <is>
          <t>Pack</t>
        </is>
      </c>
      <c r="G3106" s="2" t="inlineStr">
        <is>
          <t>Noble Victories</t>
        </is>
      </c>
      <c r="H3106" s="3" t="n">
        <v>183.53</v>
      </c>
      <c r="I3106" s="3" t="n">
        <v>168.79</v>
      </c>
      <c r="J3106" s="3" t="n">
        <v>170</v>
      </c>
      <c r="K3106" s="3" t="n">
        <v>167</v>
      </c>
      <c r="L3106" s="2" t="inlineStr">
        <is>
          <t>PriceCharting + TCGplayer</t>
        </is>
      </c>
      <c r="M3106" s="4" t="inlineStr">
        <is>
          <t>https://www.pricecharting.com/game/pokemon-noble-victories/booster-pack</t>
        </is>
      </c>
      <c r="N3106" s="4" t="inlineStr">
        <is>
          <t>https://www.tcgplayer.com/product/98570</t>
        </is>
      </c>
    </row>
    <row r="3107">
      <c r="A3107" s="2" t="inlineStr">
        <is>
          <t>Obsidian Flames Houndstone 3 Pack Blister</t>
        </is>
      </c>
      <c r="B3107" s="3">
        <f>IF(H3107&lt;&gt;"",H3107,IF(I3107&lt;&gt;"",I3107,IF(J3107&lt;&gt;"",J3107,K3107)))</f>
        <v>32.55</v>
      </c>
      <c r="C3107" s="3">
        <f>MEDIAN(H3107:K3107)</f>
        <v>32.55</v>
      </c>
      <c r="D3107" s="3">
        <f>ROUND(C3107*(1-Settings!$B$2),2)</f>
        <v>22.79</v>
      </c>
      <c r="E3107" s="2" t="inlineStr">
        <is>
          <t>Pokemon</t>
        </is>
      </c>
      <c r="F3107" s="2" t="inlineStr">
        <is>
          <t>Pack</t>
        </is>
      </c>
      <c r="G3107" s="2" t="inlineStr">
        <is>
          <t>Obsidian Flames</t>
        </is>
      </c>
      <c r="H3107" s="3" t="n">
        <v>32.55</v>
      </c>
      <c r="I3107" s="3" t="n"/>
      <c r="J3107" s="3" t="n"/>
      <c r="K3107" s="3" t="n"/>
      <c r="L3107" s="2" t="inlineStr">
        <is>
          <t>PriceCharting</t>
        </is>
      </c>
      <c r="M3107" s="4" t="inlineStr">
        <is>
          <t>https://www.pricecharting.com/game/pokemon-obsidian-flames/houndstone-3-pack-blister</t>
        </is>
      </c>
    </row>
    <row r="3108">
      <c r="A3108" s="2" t="inlineStr">
        <is>
          <t>Obsidian Flames Pawmi Checklane Blister Pack</t>
        </is>
      </c>
      <c r="B3108" s="3">
        <f>IF(H3108&lt;&gt;"",H3108,IF(I3108&lt;&gt;"",I3108,IF(J3108&lt;&gt;"",J3108,K3108)))</f>
        <v>10.5</v>
      </c>
      <c r="C3108" s="3">
        <f>MEDIAN(H3108:K3108)</f>
        <v>10.5</v>
      </c>
      <c r="D3108" s="3">
        <f>ROUND(C3108*(1-Settings!$B$2),2)</f>
        <v>7.35</v>
      </c>
      <c r="E3108" s="2" t="inlineStr">
        <is>
          <t>Pokemon</t>
        </is>
      </c>
      <c r="F3108" s="2" t="inlineStr">
        <is>
          <t>Pack</t>
        </is>
      </c>
      <c r="G3108" s="2" t="inlineStr">
        <is>
          <t>Obsidian Flames</t>
        </is>
      </c>
      <c r="H3108" s="3" t="n">
        <v>10.5</v>
      </c>
      <c r="I3108" s="3" t="n"/>
      <c r="J3108" s="3" t="n"/>
      <c r="K3108" s="3" t="n"/>
      <c r="L3108" s="2" t="inlineStr">
        <is>
          <t>PriceCharting</t>
        </is>
      </c>
      <c r="M3108" s="4" t="inlineStr">
        <is>
          <t>https://www.pricecharting.com/game/pokemon-obsidian-flames/pawmi-checklane-blister-pack</t>
        </is>
      </c>
    </row>
    <row r="3109">
      <c r="A3109" s="2" t="inlineStr">
        <is>
          <t>Obsidian Flames Wooper Checklane Blister Pack</t>
        </is>
      </c>
      <c r="B3109" s="3">
        <f>IF(H3109&lt;&gt;"",H3109,IF(I3109&lt;&gt;"",I3109,IF(J3109&lt;&gt;"",J3109,K3109)))</f>
        <v>12.5</v>
      </c>
      <c r="C3109" s="3">
        <f>MEDIAN(H3109:K3109)</f>
        <v>12.5</v>
      </c>
      <c r="D3109" s="3">
        <f>ROUND(C3109*(1-Settings!$B$2),2)</f>
        <v>8.75</v>
      </c>
      <c r="E3109" s="2" t="inlineStr">
        <is>
          <t>Pokemon</t>
        </is>
      </c>
      <c r="F3109" s="2" t="inlineStr">
        <is>
          <t>Pack</t>
        </is>
      </c>
      <c r="G3109" s="2" t="inlineStr">
        <is>
          <t>Obsidian Flames</t>
        </is>
      </c>
      <c r="H3109" s="3" t="n">
        <v>12.5</v>
      </c>
      <c r="I3109" s="3" t="n"/>
      <c r="J3109" s="3" t="n"/>
      <c r="K3109" s="3" t="n"/>
      <c r="L3109" s="2" t="inlineStr">
        <is>
          <t>PriceCharting</t>
        </is>
      </c>
      <c r="M3109" s="4" t="inlineStr">
        <is>
          <t>https://www.pricecharting.com/game/pokemon-obsidian-flames/wooper-checklane-blister-pack</t>
        </is>
      </c>
    </row>
    <row r="3110">
      <c r="A3110" s="2" t="inlineStr">
        <is>
          <t>Paldea Evolved Checklane Blister 3 Pack</t>
        </is>
      </c>
      <c r="B3110" s="3">
        <f>IF(H3110&lt;&gt;"",H3110,IF(I3110&lt;&gt;"",I3110,IF(J3110&lt;&gt;"",J3110,K3110)))</f>
        <v>55.0</v>
      </c>
      <c r="C3110" s="3">
        <f>MEDIAN(H3110:K3110)</f>
        <v>55.0</v>
      </c>
      <c r="D3110" s="3">
        <f>ROUND(C3110*(1-Settings!$B$2),2)</f>
        <v>38.5</v>
      </c>
      <c r="E3110" s="2" t="inlineStr">
        <is>
          <t>Pokemon</t>
        </is>
      </c>
      <c r="F3110" s="2" t="inlineStr">
        <is>
          <t>Pack</t>
        </is>
      </c>
      <c r="G3110" s="2" t="inlineStr">
        <is>
          <t>Paldea Evolved</t>
        </is>
      </c>
      <c r="H3110" s="3" t="n">
        <v>55</v>
      </c>
      <c r="I3110" s="3" t="n"/>
      <c r="J3110" s="3" t="n"/>
      <c r="K3110" s="3" t="n"/>
      <c r="L3110" s="2" t="inlineStr">
        <is>
          <t>PriceCharting</t>
        </is>
      </c>
      <c r="M3110" s="4" t="inlineStr">
        <is>
          <t>https://www.pricecharting.com/game/pokemon-paldea-evolved/checklane-blister-3-pack</t>
        </is>
      </c>
    </row>
    <row r="3111">
      <c r="A3111" s="2" t="inlineStr">
        <is>
          <t>Paldea Evolved Growlithe Checklane Blister Pack</t>
        </is>
      </c>
      <c r="B3111" s="3">
        <f>IF(H3111&lt;&gt;"",H3111,IF(I3111&lt;&gt;"",I3111,IF(J3111&lt;&gt;"",J3111,K3111)))</f>
        <v>14.37</v>
      </c>
      <c r="C3111" s="3">
        <f>MEDIAN(H3111:K3111)</f>
        <v>14.37</v>
      </c>
      <c r="D3111" s="3">
        <f>ROUND(C3111*(1-Settings!$B$2),2)</f>
        <v>10.06</v>
      </c>
      <c r="E3111" s="2" t="inlineStr">
        <is>
          <t>Pokemon</t>
        </is>
      </c>
      <c r="F3111" s="2" t="inlineStr">
        <is>
          <t>Pack</t>
        </is>
      </c>
      <c r="G3111" s="2" t="inlineStr">
        <is>
          <t>Paldea Evolved</t>
        </is>
      </c>
      <c r="H3111" s="3" t="n">
        <v>14.37</v>
      </c>
      <c r="I3111" s="3" t="n"/>
      <c r="J3111" s="3" t="n"/>
      <c r="K3111" s="3" t="n"/>
      <c r="L3111" s="2" t="inlineStr">
        <is>
          <t>PriceCharting</t>
        </is>
      </c>
      <c r="M3111" s="4" t="inlineStr">
        <is>
          <t>https://www.pricecharting.com/game/pokemon-paldea-evolved/growlithe-checklane-blister-pack</t>
        </is>
      </c>
    </row>
    <row r="3112">
      <c r="A3112" s="2" t="inlineStr">
        <is>
          <t>Paldea Evolved Sealed Staff Pack</t>
        </is>
      </c>
      <c r="B3112" s="3">
        <f>IF(H3112&lt;&gt;"",H3112,IF(I3112&lt;&gt;"",I3112,IF(J3112&lt;&gt;"",J3112,K3112)))</f>
        <v>138.52</v>
      </c>
      <c r="C3112" s="3">
        <f>MEDIAN(H3112:K3112)</f>
        <v>138.52</v>
      </c>
      <c r="D3112" s="3">
        <f>ROUND(C3112*(1-Settings!$B$2),2)</f>
        <v>96.96</v>
      </c>
      <c r="E3112" s="2" t="inlineStr">
        <is>
          <t>Pokemon</t>
        </is>
      </c>
      <c r="F3112" s="2" t="inlineStr">
        <is>
          <t>Pack</t>
        </is>
      </c>
      <c r="G3112" s="2" t="inlineStr">
        <is>
          <t>Paldea Evolved</t>
        </is>
      </c>
      <c r="H3112" s="3" t="n">
        <v>138.52</v>
      </c>
      <c r="I3112" s="3" t="n"/>
      <c r="J3112" s="3" t="n"/>
      <c r="K3112" s="3" t="n"/>
      <c r="L3112" s="2" t="inlineStr">
        <is>
          <t>PriceCharting</t>
        </is>
      </c>
      <c r="M3112" s="4" t="inlineStr">
        <is>
          <t>https://www.pricecharting.com/game/pokemon-paldea-evolved/sealed-staff-pack</t>
        </is>
      </c>
    </row>
    <row r="3113">
      <c r="A3113" s="2" t="inlineStr">
        <is>
          <t>Paldea Evolved Smoliv Checklane Blister Pack</t>
        </is>
      </c>
      <c r="B3113" s="3">
        <f>IF(H3113&lt;&gt;"",H3113,IF(I3113&lt;&gt;"",I3113,IF(J3113&lt;&gt;"",J3113,K3113)))</f>
        <v>13.75</v>
      </c>
      <c r="C3113" s="3">
        <f>MEDIAN(H3113:K3113)</f>
        <v>13.75</v>
      </c>
      <c r="D3113" s="3">
        <f>ROUND(C3113*(1-Settings!$B$2),2)</f>
        <v>9.63</v>
      </c>
      <c r="E3113" s="2" t="inlineStr">
        <is>
          <t>Pokemon</t>
        </is>
      </c>
      <c r="F3113" s="2" t="inlineStr">
        <is>
          <t>Pack</t>
        </is>
      </c>
      <c r="G3113" s="2" t="inlineStr">
        <is>
          <t>Paldea Evolved</t>
        </is>
      </c>
      <c r="H3113" s="3" t="n">
        <v>13.75</v>
      </c>
      <c r="I3113" s="3" t="n"/>
      <c r="J3113" s="3" t="n"/>
      <c r="K3113" s="3" t="n"/>
      <c r="L3113" s="2" t="inlineStr">
        <is>
          <t>PriceCharting</t>
        </is>
      </c>
      <c r="M3113" s="4" t="inlineStr">
        <is>
          <t>https://www.pricecharting.com/game/pokemon-paldea-evolved/smoliv-checklane-blister-pack</t>
        </is>
      </c>
    </row>
    <row r="3114">
      <c r="A3114" s="2" t="inlineStr">
        <is>
          <t>Paradox Rift 3 Pack Blister</t>
        </is>
      </c>
      <c r="B3114" s="3">
        <f>IF(H3114&lt;&gt;"",H3114,IF(I3114&lt;&gt;"",I3114,IF(J3114&lt;&gt;"",J3114,K3114)))</f>
        <v>24.27</v>
      </c>
      <c r="C3114" s="3">
        <f>MEDIAN(H3114:K3114)</f>
        <v>24.27</v>
      </c>
      <c r="D3114" s="3">
        <f>ROUND(C3114*(1-Settings!$B$2),2)</f>
        <v>16.99</v>
      </c>
      <c r="E3114" s="2" t="inlineStr">
        <is>
          <t>Pokemon</t>
        </is>
      </c>
      <c r="F3114" s="2" t="inlineStr">
        <is>
          <t>Pack</t>
        </is>
      </c>
      <c r="G3114" s="2" t="inlineStr">
        <is>
          <t>Paradox Rift</t>
        </is>
      </c>
      <c r="H3114" s="3" t="n">
        <v>24.27</v>
      </c>
      <c r="I3114" s="3" t="n"/>
      <c r="J3114" s="3" t="n"/>
      <c r="K3114" s="3" t="n"/>
      <c r="L3114" s="2" t="inlineStr">
        <is>
          <t>PriceCharting</t>
        </is>
      </c>
      <c r="M3114" s="4" t="inlineStr">
        <is>
          <t>https://www.pricecharting.com/game/pokemon-paradox-rift/3-pack-blister</t>
        </is>
      </c>
    </row>
    <row r="3115">
      <c r="A3115" s="2" t="inlineStr">
        <is>
          <t>Paradox Rift Blister Pack: Pineco</t>
        </is>
      </c>
      <c r="B3115" s="3">
        <f>IF(H3115&lt;&gt;"",H3115,IF(I3115&lt;&gt;"",I3115,IF(J3115&lt;&gt;"",J3115,K3115)))</f>
        <v>12.27</v>
      </c>
      <c r="C3115" s="3">
        <f>MEDIAN(H3115:K3115)</f>
        <v>12.27</v>
      </c>
      <c r="D3115" s="3">
        <f>ROUND(C3115*(1-Settings!$B$2),2)</f>
        <v>8.59</v>
      </c>
      <c r="E3115" s="2" t="inlineStr">
        <is>
          <t>Pokemon</t>
        </is>
      </c>
      <c r="F3115" s="2" t="inlineStr">
        <is>
          <t>Pack</t>
        </is>
      </c>
      <c r="G3115" s="2" t="inlineStr">
        <is>
          <t>Paradox Rift</t>
        </is>
      </c>
      <c r="H3115" s="3" t="n">
        <v>12.27</v>
      </c>
      <c r="I3115" s="3" t="n"/>
      <c r="J3115" s="3" t="n"/>
      <c r="K3115" s="3" t="n"/>
      <c r="L3115" s="2" t="inlineStr">
        <is>
          <t>PriceCharting</t>
        </is>
      </c>
      <c r="M3115" s="4" t="inlineStr">
        <is>
          <t>https://www.pricecharting.com/game/pokemon-paradox-rift/blister-pack-pineco</t>
        </is>
      </c>
    </row>
    <row r="3116">
      <c r="A3116" s="2" t="inlineStr">
        <is>
          <t>Paradox Rift Blister Pack: Sinistea</t>
        </is>
      </c>
      <c r="B3116" s="3">
        <f>IF(H3116&lt;&gt;"",H3116,IF(I3116&lt;&gt;"",I3116,IF(J3116&lt;&gt;"",J3116,K3116)))</f>
        <v>10.51</v>
      </c>
      <c r="C3116" s="3">
        <f>MEDIAN(H3116:K3116)</f>
        <v>10.51</v>
      </c>
      <c r="D3116" s="3">
        <f>ROUND(C3116*(1-Settings!$B$2),2)</f>
        <v>7.36</v>
      </c>
      <c r="E3116" s="2" t="inlineStr">
        <is>
          <t>Pokemon</t>
        </is>
      </c>
      <c r="F3116" s="2" t="inlineStr">
        <is>
          <t>Pack</t>
        </is>
      </c>
      <c r="G3116" s="2" t="inlineStr">
        <is>
          <t>Paradox Rift</t>
        </is>
      </c>
      <c r="H3116" s="3" t="n">
        <v>10.51</v>
      </c>
      <c r="I3116" s="3" t="n"/>
      <c r="J3116" s="3" t="n"/>
      <c r="K3116" s="3" t="n"/>
      <c r="L3116" s="2" t="inlineStr">
        <is>
          <t>PriceCharting</t>
        </is>
      </c>
      <c r="M3116" s="4" t="inlineStr">
        <is>
          <t>https://www.pricecharting.com/game/pokemon-paradox-rift/blister-pack-sinistea</t>
        </is>
      </c>
    </row>
    <row r="3117">
      <c r="A3117" s="2" t="inlineStr">
        <is>
          <t>Perfect Order 3 Pack Blister: Chikorita</t>
        </is>
      </c>
      <c r="B3117" s="3">
        <f>IF(H3117&lt;&gt;"",H3117,IF(I3117&lt;&gt;"",I3117,IF(J3117&lt;&gt;"",J3117,K3117)))</f>
        <v>21.22</v>
      </c>
      <c r="C3117" s="3">
        <f>MEDIAN(H3117:K3117)</f>
        <v>21.22</v>
      </c>
      <c r="D3117" s="3">
        <f>ROUND(C3117*(1-Settings!$B$2),2)</f>
        <v>14.85</v>
      </c>
      <c r="E3117" s="2" t="inlineStr">
        <is>
          <t>Pokemon</t>
        </is>
      </c>
      <c r="F3117" s="2" t="inlineStr">
        <is>
          <t>Pack</t>
        </is>
      </c>
      <c r="G3117" s="2" t="inlineStr">
        <is>
          <t>Perfect Order</t>
        </is>
      </c>
      <c r="H3117" s="3" t="n">
        <v>21.22</v>
      </c>
      <c r="I3117" s="3" t="n"/>
      <c r="J3117" s="3" t="n"/>
      <c r="K3117" s="3" t="n"/>
      <c r="L3117" s="2" t="inlineStr">
        <is>
          <t>PriceCharting</t>
        </is>
      </c>
      <c r="M3117" s="4" t="inlineStr">
        <is>
          <t>https://www.pricecharting.com/game/pokemon-perfect-order/3-pack-blister-chikorita</t>
        </is>
      </c>
    </row>
    <row r="3118">
      <c r="A3118" s="2" t="inlineStr">
        <is>
          <t>Perfect Order Booster Pack</t>
        </is>
      </c>
      <c r="B3118" s="3">
        <f>IF(H3118&lt;&gt;"",H3118,IF(I3118&lt;&gt;"",I3118,IF(J3118&lt;&gt;"",J3118,K3118)))</f>
        <v>6.1</v>
      </c>
      <c r="C3118" s="3">
        <f>MEDIAN(H3118:K3118)</f>
        <v>6.1</v>
      </c>
      <c r="D3118" s="3">
        <f>ROUND(C3118*(1-Settings!$B$2),2)</f>
        <v>4.27</v>
      </c>
      <c r="E3118" s="2" t="inlineStr">
        <is>
          <t>Pokemon</t>
        </is>
      </c>
      <c r="F3118" s="2" t="inlineStr">
        <is>
          <t>Pack</t>
        </is>
      </c>
      <c r="G3118" s="2" t="inlineStr">
        <is>
          <t>Perfect Order</t>
        </is>
      </c>
      <c r="H3118" s="3" t="n">
        <v>6.1</v>
      </c>
      <c r="I3118" s="3" t="n"/>
      <c r="J3118" s="3" t="n"/>
      <c r="K3118" s="3" t="n"/>
      <c r="L3118" s="2" t="inlineStr">
        <is>
          <t>PriceCharting</t>
        </is>
      </c>
      <c r="M3118" s="4" t="inlineStr">
        <is>
          <t>https://www.pricecharting.com/game/pokemon-perfect-order/booster-pack</t>
        </is>
      </c>
    </row>
    <row r="3119">
      <c r="A3119" s="2" t="inlineStr">
        <is>
          <t>Perfect Order Premium Checklane Blister: Cinderace</t>
        </is>
      </c>
      <c r="B3119" s="3">
        <f>IF(H3119&lt;&gt;"",H3119,IF(I3119&lt;&gt;"",I3119,IF(J3119&lt;&gt;"",J3119,K3119)))</f>
        <v>16.08</v>
      </c>
      <c r="C3119" s="3">
        <f>MEDIAN(H3119:K3119)</f>
        <v>16.08</v>
      </c>
      <c r="D3119" s="3">
        <f>ROUND(C3119*(1-Settings!$B$2),2)</f>
        <v>11.26</v>
      </c>
      <c r="E3119" s="2" t="inlineStr">
        <is>
          <t>Pokemon</t>
        </is>
      </c>
      <c r="F3119" s="2" t="inlineStr">
        <is>
          <t>Pack</t>
        </is>
      </c>
      <c r="G3119" s="2" t="inlineStr">
        <is>
          <t>Perfect Order</t>
        </is>
      </c>
      <c r="H3119" s="3" t="n">
        <v>16.08</v>
      </c>
      <c r="I3119" s="3" t="n"/>
      <c r="J3119" s="3" t="n"/>
      <c r="K3119" s="3" t="n"/>
      <c r="L3119" s="2" t="inlineStr">
        <is>
          <t>PriceCharting</t>
        </is>
      </c>
      <c r="M3119" s="4" t="inlineStr">
        <is>
          <t>https://www.pricecharting.com/game/pokemon-perfect-order/premium-checklane-blister-cinderace</t>
        </is>
      </c>
    </row>
    <row r="3120">
      <c r="A3120" s="2" t="inlineStr">
        <is>
          <t>Perfect Order Premium Checklane Blister: Clawitzer</t>
        </is>
      </c>
      <c r="B3120" s="3">
        <f>IF(H3120&lt;&gt;"",H3120,IF(I3120&lt;&gt;"",I3120,IF(J3120&lt;&gt;"",J3120,K3120)))</f>
        <v>14.44</v>
      </c>
      <c r="C3120" s="3">
        <f>MEDIAN(H3120:K3120)</f>
        <v>14.44</v>
      </c>
      <c r="D3120" s="3">
        <f>ROUND(C3120*(1-Settings!$B$2),2)</f>
        <v>10.11</v>
      </c>
      <c r="E3120" s="2" t="inlineStr">
        <is>
          <t>Pokemon</t>
        </is>
      </c>
      <c r="F3120" s="2" t="inlineStr">
        <is>
          <t>Pack</t>
        </is>
      </c>
      <c r="G3120" s="2" t="inlineStr">
        <is>
          <t>Perfect Order</t>
        </is>
      </c>
      <c r="H3120" s="3" t="n">
        <v>14.44</v>
      </c>
      <c r="I3120" s="3" t="n"/>
      <c r="J3120" s="3" t="n"/>
      <c r="K3120" s="3" t="n"/>
      <c r="L3120" s="2" t="inlineStr">
        <is>
          <t>PriceCharting</t>
        </is>
      </c>
      <c r="M3120" s="4" t="inlineStr">
        <is>
          <t>https://www.pricecharting.com/game/pokemon-perfect-order/premium-checklane-blister-clawitzer</t>
        </is>
      </c>
    </row>
    <row r="3121">
      <c r="A3121" s="2" t="inlineStr">
        <is>
          <t>Perfect Order Premium Checklane Blister: Meganium</t>
        </is>
      </c>
      <c r="B3121" s="3">
        <f>IF(H3121&lt;&gt;"",H3121,IF(I3121&lt;&gt;"",I3121,IF(J3121&lt;&gt;"",J3121,K3121)))</f>
        <v>18.45</v>
      </c>
      <c r="C3121" s="3">
        <f>MEDIAN(H3121:K3121)</f>
        <v>18.45</v>
      </c>
      <c r="D3121" s="3">
        <f>ROUND(C3121*(1-Settings!$B$2),2)</f>
        <v>12.92</v>
      </c>
      <c r="E3121" s="2" t="inlineStr">
        <is>
          <t>Pokemon</t>
        </is>
      </c>
      <c r="F3121" s="2" t="inlineStr">
        <is>
          <t>Pack</t>
        </is>
      </c>
      <c r="G3121" s="2" t="inlineStr">
        <is>
          <t>Perfect Order</t>
        </is>
      </c>
      <c r="H3121" s="3" t="n">
        <v>18.45</v>
      </c>
      <c r="I3121" s="3" t="n"/>
      <c r="J3121" s="3" t="n"/>
      <c r="K3121" s="3" t="n"/>
      <c r="L3121" s="2" t="inlineStr">
        <is>
          <t>PriceCharting</t>
        </is>
      </c>
      <c r="M3121" s="4" t="inlineStr">
        <is>
          <t>https://www.pricecharting.com/game/pokemon-perfect-order/premium-checklane-blister-meganium</t>
        </is>
      </c>
    </row>
    <row r="3122">
      <c r="A3122" s="2" t="inlineStr">
        <is>
          <t>Perfect Order Premium Checklane Blister: Steelix</t>
        </is>
      </c>
      <c r="B3122" s="3">
        <f>IF(H3122&lt;&gt;"",H3122,IF(I3122&lt;&gt;"",I3122,IF(J3122&lt;&gt;"",J3122,K3122)))</f>
        <v>15.05</v>
      </c>
      <c r="C3122" s="3">
        <f>MEDIAN(H3122:K3122)</f>
        <v>15.05</v>
      </c>
      <c r="D3122" s="3">
        <f>ROUND(C3122*(1-Settings!$B$2),2)</f>
        <v>10.54</v>
      </c>
      <c r="E3122" s="2" t="inlineStr">
        <is>
          <t>Pokemon</t>
        </is>
      </c>
      <c r="F3122" s="2" t="inlineStr">
        <is>
          <t>Pack</t>
        </is>
      </c>
      <c r="G3122" s="2" t="inlineStr">
        <is>
          <t>Perfect Order</t>
        </is>
      </c>
      <c r="H3122" s="3" t="n">
        <v>15.05</v>
      </c>
      <c r="I3122" s="3" t="n"/>
      <c r="J3122" s="3" t="n"/>
      <c r="K3122" s="3" t="n"/>
      <c r="L3122" s="2" t="inlineStr">
        <is>
          <t>PriceCharting</t>
        </is>
      </c>
      <c r="M3122" s="4" t="inlineStr">
        <is>
          <t>https://www.pricecharting.com/game/pokemon-perfect-order/premium-checklane-blister-steelix</t>
        </is>
      </c>
    </row>
    <row r="3123">
      <c r="A3123" s="2" t="inlineStr">
        <is>
          <t>Perfect Order Single Pack Blister: Makuhita</t>
        </is>
      </c>
      <c r="B3123" s="3">
        <f>IF(H3123&lt;&gt;"",H3123,IF(I3123&lt;&gt;"",I3123,IF(J3123&lt;&gt;"",J3123,K3123)))</f>
        <v>9.11</v>
      </c>
      <c r="C3123" s="3">
        <f>MEDIAN(H3123:K3123)</f>
        <v>9.11</v>
      </c>
      <c r="D3123" s="3">
        <f>ROUND(C3123*(1-Settings!$B$2),2)</f>
        <v>6.38</v>
      </c>
      <c r="E3123" s="2" t="inlineStr">
        <is>
          <t>Pokemon</t>
        </is>
      </c>
      <c r="F3123" s="2" t="inlineStr">
        <is>
          <t>Pack</t>
        </is>
      </c>
      <c r="G3123" s="2" t="inlineStr">
        <is>
          <t>Perfect Order</t>
        </is>
      </c>
      <c r="H3123" s="3" t="n">
        <v>9.109999999999999</v>
      </c>
      <c r="I3123" s="3" t="n"/>
      <c r="J3123" s="3" t="n"/>
      <c r="K3123" s="3" t="n"/>
      <c r="L3123" s="2" t="inlineStr">
        <is>
          <t>PriceCharting</t>
        </is>
      </c>
      <c r="M3123" s="4" t="inlineStr">
        <is>
          <t>https://www.pricecharting.com/game/pokemon-perfect-order/single-pack-blister-makuhita</t>
        </is>
      </c>
    </row>
    <row r="3124">
      <c r="A3124" s="2" t="inlineStr">
        <is>
          <t>Perfect Order Sleeved Booster Pack</t>
        </is>
      </c>
      <c r="B3124" s="3">
        <f>IF(H3124&lt;&gt;"",H3124,IF(I3124&lt;&gt;"",I3124,IF(J3124&lt;&gt;"",J3124,K3124)))</f>
        <v>7.51</v>
      </c>
      <c r="C3124" s="3">
        <f>MEDIAN(H3124:K3124)</f>
        <v>7.51</v>
      </c>
      <c r="D3124" s="3">
        <f>ROUND(C3124*(1-Settings!$B$2),2)</f>
        <v>5.26</v>
      </c>
      <c r="E3124" s="2" t="inlineStr">
        <is>
          <t>Pokemon</t>
        </is>
      </c>
      <c r="F3124" s="2" t="inlineStr">
        <is>
          <t>Pack</t>
        </is>
      </c>
      <c r="G3124" s="2" t="inlineStr">
        <is>
          <t>Perfect Order</t>
        </is>
      </c>
      <c r="H3124" s="3" t="n">
        <v>7.51</v>
      </c>
      <c r="I3124" s="3" t="n"/>
      <c r="J3124" s="3" t="n"/>
      <c r="K3124" s="3" t="n"/>
      <c r="L3124" s="2" t="inlineStr">
        <is>
          <t>PriceCharting</t>
        </is>
      </c>
      <c r="M3124" s="4" t="inlineStr">
        <is>
          <t>https://www.pricecharting.com/game/pokemon-perfect-order/sleeved-booster-pack</t>
        </is>
      </c>
    </row>
    <row r="3125">
      <c r="A3125" s="2" t="inlineStr">
        <is>
          <t>Phantasmal Flames 3 Pack Blister: Sneasel</t>
        </is>
      </c>
      <c r="B3125" s="3">
        <f>IF(H3125&lt;&gt;"",H3125,IF(I3125&lt;&gt;"",I3125,IF(J3125&lt;&gt;"",J3125,K3125)))</f>
        <v>40.95</v>
      </c>
      <c r="C3125" s="3">
        <f>MEDIAN(H3125:K3125)</f>
        <v>40.95</v>
      </c>
      <c r="D3125" s="3">
        <f>ROUND(C3125*(1-Settings!$B$2),2)</f>
        <v>28.67</v>
      </c>
      <c r="E3125" s="2" t="inlineStr">
        <is>
          <t>Pokemon</t>
        </is>
      </c>
      <c r="F3125" s="2" t="inlineStr">
        <is>
          <t>Pack</t>
        </is>
      </c>
      <c r="G3125" s="2" t="inlineStr">
        <is>
          <t>Phantasmal Flames</t>
        </is>
      </c>
      <c r="H3125" s="3" t="n">
        <v>40.95</v>
      </c>
      <c r="I3125" s="3" t="n"/>
      <c r="J3125" s="3" t="n"/>
      <c r="K3125" s="3" t="n"/>
      <c r="L3125" s="2" t="inlineStr">
        <is>
          <t>PriceCharting</t>
        </is>
      </c>
      <c r="M3125" s="4" t="inlineStr">
        <is>
          <t>https://www.pricecharting.com/game/pokemon-phantasmal-flames/3-pack-blister-sneasel</t>
        </is>
      </c>
    </row>
    <row r="3126">
      <c r="A3126" s="2" t="inlineStr">
        <is>
          <t>Phantasmal Flames 3 Pack Blister: Weavile</t>
        </is>
      </c>
      <c r="B3126" s="3">
        <f>IF(H3126&lt;&gt;"",H3126,IF(I3126&lt;&gt;"",I3126,IF(J3126&lt;&gt;"",J3126,K3126)))</f>
        <v>41.73</v>
      </c>
      <c r="C3126" s="3">
        <f>MEDIAN(H3126:K3126)</f>
        <v>41.73</v>
      </c>
      <c r="D3126" s="3">
        <f>ROUND(C3126*(1-Settings!$B$2),2)</f>
        <v>29.21</v>
      </c>
      <c r="E3126" s="2" t="inlineStr">
        <is>
          <t>Pokemon</t>
        </is>
      </c>
      <c r="F3126" s="2" t="inlineStr">
        <is>
          <t>Pack</t>
        </is>
      </c>
      <c r="G3126" s="2" t="inlineStr">
        <is>
          <t>Phantasmal Flames</t>
        </is>
      </c>
      <c r="H3126" s="3" t="n">
        <v>41.73</v>
      </c>
      <c r="I3126" s="3" t="n"/>
      <c r="J3126" s="3" t="n"/>
      <c r="K3126" s="3" t="n"/>
      <c r="L3126" s="2" t="inlineStr">
        <is>
          <t>PriceCharting</t>
        </is>
      </c>
      <c r="M3126" s="4" t="inlineStr">
        <is>
          <t>https://www.pricecharting.com/game/pokemon-phantasmal-flames/3-pack-blister-weavile</t>
        </is>
      </c>
    </row>
    <row r="3127">
      <c r="A3127" s="2" t="inlineStr">
        <is>
          <t>Phantasmal Flames Booster Pack</t>
        </is>
      </c>
      <c r="B3127" s="3">
        <f>IF(H3127&lt;&gt;"",H3127,IF(I3127&lt;&gt;"",I3127,IF(J3127&lt;&gt;"",J3127,K3127)))</f>
        <v>11.99</v>
      </c>
      <c r="C3127" s="3">
        <f>MEDIAN(H3127:K3127)</f>
        <v>11.99</v>
      </c>
      <c r="D3127" s="3">
        <f>ROUND(C3127*(1-Settings!$B$2),2)</f>
        <v>8.39</v>
      </c>
      <c r="E3127" s="2" t="inlineStr">
        <is>
          <t>Pokemon</t>
        </is>
      </c>
      <c r="F3127" s="2" t="inlineStr">
        <is>
          <t>Pack</t>
        </is>
      </c>
      <c r="G3127" s="2" t="inlineStr">
        <is>
          <t>Phantasmal Flames</t>
        </is>
      </c>
      <c r="H3127" s="3" t="n">
        <v>11.99</v>
      </c>
      <c r="I3127" s="3" t="n"/>
      <c r="J3127" s="3" t="n"/>
      <c r="K3127" s="3" t="n"/>
      <c r="L3127" s="2" t="inlineStr">
        <is>
          <t>PriceCharting</t>
        </is>
      </c>
      <c r="M3127" s="4" t="inlineStr">
        <is>
          <t>https://www.pricecharting.com/game/pokemon-phantasmal-flames/booster-pack</t>
        </is>
      </c>
    </row>
    <row r="3128">
      <c r="A3128" s="2" t="inlineStr">
        <is>
          <t>Phantasmal Flames Enhanced 2 Pack Blister</t>
        </is>
      </c>
      <c r="B3128" s="3">
        <f>IF(H3128&lt;&gt;"",H3128,IF(I3128&lt;&gt;"",I3128,IF(J3128&lt;&gt;"",J3128,K3128)))</f>
        <v>18.95</v>
      </c>
      <c r="C3128" s="3">
        <f>MEDIAN(H3128:K3128)</f>
        <v>18.95</v>
      </c>
      <c r="D3128" s="3">
        <f>ROUND(C3128*(1-Settings!$B$2),2)</f>
        <v>13.27</v>
      </c>
      <c r="E3128" s="2" t="inlineStr">
        <is>
          <t>Pokemon</t>
        </is>
      </c>
      <c r="F3128" s="2" t="inlineStr">
        <is>
          <t>Pack</t>
        </is>
      </c>
      <c r="G3128" s="2" t="inlineStr">
        <is>
          <t>Phantasmal Flames</t>
        </is>
      </c>
      <c r="H3128" s="3" t="n">
        <v>18.95</v>
      </c>
      <c r="I3128" s="3" t="n"/>
      <c r="J3128" s="3" t="n"/>
      <c r="K3128" s="3" t="n"/>
      <c r="L3128" s="2" t="inlineStr">
        <is>
          <t>PriceCharting</t>
        </is>
      </c>
      <c r="M3128" s="4" t="inlineStr">
        <is>
          <t>https://www.pricecharting.com/game/pokemon-phantasmal-flames/enhanced-2-pack-blister</t>
        </is>
      </c>
    </row>
    <row r="3129">
      <c r="A3129" s="2" t="inlineStr">
        <is>
          <t>Phantasmal Flames Premium Checklane Blister: Arven's Greedent</t>
        </is>
      </c>
      <c r="B3129" s="3">
        <f>IF(H3129&lt;&gt;"",H3129,IF(I3129&lt;&gt;"",I3129,IF(J3129&lt;&gt;"",J3129,K3129)))</f>
        <v>12.49</v>
      </c>
      <c r="C3129" s="3">
        <f>MEDIAN(H3129:K3129)</f>
        <v>12.49</v>
      </c>
      <c r="D3129" s="3">
        <f>ROUND(C3129*(1-Settings!$B$2),2)</f>
        <v>8.74</v>
      </c>
      <c r="E3129" s="2" t="inlineStr">
        <is>
          <t>Pokemon</t>
        </is>
      </c>
      <c r="F3129" s="2" t="inlineStr">
        <is>
          <t>Pack</t>
        </is>
      </c>
      <c r="G3129" s="2" t="inlineStr">
        <is>
          <t>Phantasmal Flames</t>
        </is>
      </c>
      <c r="H3129" s="3" t="n">
        <v>12.49</v>
      </c>
      <c r="I3129" s="3" t="n"/>
      <c r="J3129" s="3" t="n"/>
      <c r="K3129" s="3" t="n"/>
      <c r="L3129" s="2" t="inlineStr">
        <is>
          <t>PriceCharting</t>
        </is>
      </c>
      <c r="M3129" s="4" t="inlineStr">
        <is>
          <t>https://www.pricecharting.com/game/pokemon-phantasmal-flames/premium-checklane-blister-arven's-greedent</t>
        </is>
      </c>
    </row>
    <row r="3130">
      <c r="A3130" s="2" t="inlineStr">
        <is>
          <t>Phantasmal Flames Premium Checklane Blister: Blaziken</t>
        </is>
      </c>
      <c r="B3130" s="3">
        <f>IF(H3130&lt;&gt;"",H3130,IF(I3130&lt;&gt;"",I3130,IF(J3130&lt;&gt;"",J3130,K3130)))</f>
        <v>30.48</v>
      </c>
      <c r="C3130" s="3">
        <f>MEDIAN(H3130:K3130)</f>
        <v>30.48</v>
      </c>
      <c r="D3130" s="3">
        <f>ROUND(C3130*(1-Settings!$B$2),2)</f>
        <v>21.34</v>
      </c>
      <c r="E3130" s="2" t="inlineStr">
        <is>
          <t>Pokemon</t>
        </is>
      </c>
      <c r="F3130" s="2" t="inlineStr">
        <is>
          <t>Pack</t>
        </is>
      </c>
      <c r="G3130" s="2" t="inlineStr">
        <is>
          <t>Phantasmal Flames</t>
        </is>
      </c>
      <c r="H3130" s="3" t="n">
        <v>30.48</v>
      </c>
      <c r="I3130" s="3" t="n"/>
      <c r="J3130" s="3" t="n"/>
      <c r="K3130" s="3" t="n"/>
      <c r="L3130" s="2" t="inlineStr">
        <is>
          <t>PriceCharting</t>
        </is>
      </c>
      <c r="M3130" s="4" t="inlineStr">
        <is>
          <t>https://www.pricecharting.com/game/pokemon-phantasmal-flames/premium-checklane-blister-blaziken</t>
        </is>
      </c>
    </row>
    <row r="3131">
      <c r="A3131" s="2" t="inlineStr">
        <is>
          <t>Phantasmal Flames Premium Checklane Blister: Ethan's Magcargo</t>
        </is>
      </c>
      <c r="B3131" s="3">
        <f>IF(H3131&lt;&gt;"",H3131,IF(I3131&lt;&gt;"",I3131,IF(J3131&lt;&gt;"",J3131,K3131)))</f>
        <v>17.51</v>
      </c>
      <c r="C3131" s="3">
        <f>MEDIAN(H3131:K3131)</f>
        <v>17.51</v>
      </c>
      <c r="D3131" s="3">
        <f>ROUND(C3131*(1-Settings!$B$2),2)</f>
        <v>12.26</v>
      </c>
      <c r="E3131" s="2" t="inlineStr">
        <is>
          <t>Pokemon</t>
        </is>
      </c>
      <c r="F3131" s="2" t="inlineStr">
        <is>
          <t>Pack</t>
        </is>
      </c>
      <c r="G3131" s="2" t="inlineStr">
        <is>
          <t>Phantasmal Flames</t>
        </is>
      </c>
      <c r="H3131" s="3" t="n">
        <v>17.51</v>
      </c>
      <c r="I3131" s="3" t="n"/>
      <c r="J3131" s="3" t="n"/>
      <c r="K3131" s="3" t="n"/>
      <c r="L3131" s="2" t="inlineStr">
        <is>
          <t>PriceCharting</t>
        </is>
      </c>
      <c r="M3131" s="4" t="inlineStr">
        <is>
          <t>https://www.pricecharting.com/game/pokemon-phantasmal-flames/premium-checklane-blister-ethan's-magcargo</t>
        </is>
      </c>
    </row>
    <row r="3132">
      <c r="A3132" s="2" t="inlineStr">
        <is>
          <t>Phantasmal Flames Premium Checklane Blister: Hydrapple</t>
        </is>
      </c>
      <c r="B3132" s="3">
        <f>IF(H3132&lt;&gt;"",H3132,IF(I3132&lt;&gt;"",I3132,IF(J3132&lt;&gt;"",J3132,K3132)))</f>
        <v>29.33</v>
      </c>
      <c r="C3132" s="3">
        <f>MEDIAN(H3132:K3132)</f>
        <v>29.33</v>
      </c>
      <c r="D3132" s="3">
        <f>ROUND(C3132*(1-Settings!$B$2),2)</f>
        <v>20.53</v>
      </c>
      <c r="E3132" s="2" t="inlineStr">
        <is>
          <t>Pokemon</t>
        </is>
      </c>
      <c r="F3132" s="2" t="inlineStr">
        <is>
          <t>Pack</t>
        </is>
      </c>
      <c r="G3132" s="2" t="inlineStr">
        <is>
          <t>Phantasmal Flames</t>
        </is>
      </c>
      <c r="H3132" s="3" t="n">
        <v>29.33</v>
      </c>
      <c r="I3132" s="3" t="n"/>
      <c r="J3132" s="3" t="n"/>
      <c r="K3132" s="3" t="n"/>
      <c r="L3132" s="2" t="inlineStr">
        <is>
          <t>PriceCharting</t>
        </is>
      </c>
      <c r="M3132" s="4" t="inlineStr">
        <is>
          <t>https://www.pricecharting.com/game/pokemon-phantasmal-flames/premium-checklane-blister-hydrapple</t>
        </is>
      </c>
    </row>
    <row r="3133">
      <c r="A3133" s="2" t="inlineStr">
        <is>
          <t>Phantasmal Flames Single Pack Blister: Cottonee</t>
        </is>
      </c>
      <c r="B3133" s="3">
        <f>IF(H3133&lt;&gt;"",H3133,IF(I3133&lt;&gt;"",I3133,IF(J3133&lt;&gt;"",J3133,K3133)))</f>
        <v>12.85</v>
      </c>
      <c r="C3133" s="3">
        <f>MEDIAN(H3133:K3133)</f>
        <v>12.85</v>
      </c>
      <c r="D3133" s="3">
        <f>ROUND(C3133*(1-Settings!$B$2),2)</f>
        <v>9.0</v>
      </c>
      <c r="E3133" s="2" t="inlineStr">
        <is>
          <t>Pokemon</t>
        </is>
      </c>
      <c r="F3133" s="2" t="inlineStr">
        <is>
          <t>Pack</t>
        </is>
      </c>
      <c r="G3133" s="2" t="inlineStr">
        <is>
          <t>Phantasmal Flames</t>
        </is>
      </c>
      <c r="H3133" s="3" t="n">
        <v>12.85</v>
      </c>
      <c r="I3133" s="3" t="n"/>
      <c r="J3133" s="3" t="n"/>
      <c r="K3133" s="3" t="n"/>
      <c r="L3133" s="2" t="inlineStr">
        <is>
          <t>PriceCharting</t>
        </is>
      </c>
      <c r="M3133" s="4" t="inlineStr">
        <is>
          <t>https://www.pricecharting.com/game/pokemon-phantasmal-flames/single-pack-blister-cottonee</t>
        </is>
      </c>
    </row>
    <row r="3134">
      <c r="A3134" s="2" t="inlineStr">
        <is>
          <t>Phantasmal Flames Single Pack Blister: Whimsicott</t>
        </is>
      </c>
      <c r="B3134" s="3">
        <f>IF(H3134&lt;&gt;"",H3134,IF(I3134&lt;&gt;"",I3134,IF(J3134&lt;&gt;"",J3134,K3134)))</f>
        <v>12.22</v>
      </c>
      <c r="C3134" s="3">
        <f>MEDIAN(H3134:K3134)</f>
        <v>12.22</v>
      </c>
      <c r="D3134" s="3">
        <f>ROUND(C3134*(1-Settings!$B$2),2)</f>
        <v>8.55</v>
      </c>
      <c r="E3134" s="2" t="inlineStr">
        <is>
          <t>Pokemon</t>
        </is>
      </c>
      <c r="F3134" s="2" t="inlineStr">
        <is>
          <t>Pack</t>
        </is>
      </c>
      <c r="G3134" s="2" t="inlineStr">
        <is>
          <t>Phantasmal Flames</t>
        </is>
      </c>
      <c r="H3134" s="3" t="n">
        <v>12.22</v>
      </c>
      <c r="I3134" s="3" t="n"/>
      <c r="J3134" s="3" t="n"/>
      <c r="K3134" s="3" t="n"/>
      <c r="L3134" s="2" t="inlineStr">
        <is>
          <t>PriceCharting</t>
        </is>
      </c>
      <c r="M3134" s="4" t="inlineStr">
        <is>
          <t>https://www.pricecharting.com/game/pokemon-phantasmal-flames/single-pack-blister-whimsicott</t>
        </is>
      </c>
    </row>
    <row r="3135">
      <c r="A3135" s="2" t="inlineStr">
        <is>
          <t>Phantasmal Flames Sleeved Booster Pack</t>
        </is>
      </c>
      <c r="B3135" s="3">
        <f>IF(H3135&lt;&gt;"",H3135,IF(I3135&lt;&gt;"",I3135,IF(J3135&lt;&gt;"",J3135,K3135)))</f>
        <v>14.1</v>
      </c>
      <c r="C3135" s="3">
        <f>MEDIAN(H3135:K3135)</f>
        <v>14.1</v>
      </c>
      <c r="D3135" s="3">
        <f>ROUND(C3135*(1-Settings!$B$2),2)</f>
        <v>9.87</v>
      </c>
      <c r="E3135" s="2" t="inlineStr">
        <is>
          <t>Pokemon</t>
        </is>
      </c>
      <c r="F3135" s="2" t="inlineStr">
        <is>
          <t>Pack</t>
        </is>
      </c>
      <c r="G3135" s="2" t="inlineStr">
        <is>
          <t>Phantasmal Flames</t>
        </is>
      </c>
      <c r="H3135" s="3" t="n">
        <v>14.1</v>
      </c>
      <c r="I3135" s="3" t="n"/>
      <c r="J3135" s="3" t="n"/>
      <c r="K3135" s="3" t="n"/>
      <c r="L3135" s="2" t="inlineStr">
        <is>
          <t>PriceCharting</t>
        </is>
      </c>
      <c r="M3135" s="4" t="inlineStr">
        <is>
          <t>https://www.pricecharting.com/game/pokemon-phantasmal-flames/sleeved-booster-pack</t>
        </is>
      </c>
    </row>
    <row r="3136">
      <c r="A3136" s="2" t="inlineStr">
        <is>
          <t>Phantom Forces Blister Pack</t>
        </is>
      </c>
      <c r="B3136" s="3">
        <f>IF(H3136&lt;&gt;"",H3136,IF(I3136&lt;&gt;"",I3136,IF(J3136&lt;&gt;"",J3136,K3136)))</f>
        <v>256.25</v>
      </c>
      <c r="C3136" s="3">
        <f>MEDIAN(H3136:K3136)</f>
        <v>256.25</v>
      </c>
      <c r="D3136" s="3">
        <f>ROUND(C3136*(1-Settings!$B$2),2)</f>
        <v>179.38</v>
      </c>
      <c r="E3136" s="2" t="inlineStr">
        <is>
          <t>Pokemon</t>
        </is>
      </c>
      <c r="F3136" s="2" t="inlineStr">
        <is>
          <t>Pack</t>
        </is>
      </c>
      <c r="G3136" s="2" t="inlineStr">
        <is>
          <t>Phantom Forces</t>
        </is>
      </c>
      <c r="H3136" s="3" t="n">
        <v>256.25</v>
      </c>
      <c r="I3136" s="3" t="n"/>
      <c r="J3136" s="3" t="n"/>
      <c r="K3136" s="3" t="n"/>
      <c r="L3136" s="2" t="inlineStr">
        <is>
          <t>PriceCharting</t>
        </is>
      </c>
      <c r="M3136" s="4" t="inlineStr">
        <is>
          <t>https://www.pricecharting.com/game/pokemon-phantom-forces/blister-pack</t>
        </is>
      </c>
    </row>
    <row r="3137">
      <c r="A3137" s="2" t="inlineStr">
        <is>
          <t>Phantom Forces Booster Pack</t>
        </is>
      </c>
      <c r="B3137" s="3">
        <f>IF(H3137&lt;&gt;"",H3137,IF(I3137&lt;&gt;"",I3137,IF(J3137&lt;&gt;"",J3137,K3137)))</f>
        <v>181.47</v>
      </c>
      <c r="C3137" s="3">
        <f>MEDIAN(H3137:K3137)</f>
        <v>181.47</v>
      </c>
      <c r="D3137" s="3">
        <f>ROUND(C3137*(1-Settings!$B$2),2)</f>
        <v>127.03</v>
      </c>
      <c r="E3137" s="2" t="inlineStr">
        <is>
          <t>Pokemon</t>
        </is>
      </c>
      <c r="F3137" s="2" t="inlineStr">
        <is>
          <t>Pack</t>
        </is>
      </c>
      <c r="G3137" s="2" t="inlineStr">
        <is>
          <t>Phantom Forces</t>
        </is>
      </c>
      <c r="H3137" s="3" t="n">
        <v>181.47</v>
      </c>
      <c r="I3137" s="3" t="n"/>
      <c r="J3137" s="3" t="n"/>
      <c r="K3137" s="3" t="n"/>
      <c r="L3137" s="2" t="inlineStr">
        <is>
          <t>PriceCharting</t>
        </is>
      </c>
      <c r="M3137" s="4" t="inlineStr">
        <is>
          <t>https://www.pricecharting.com/game/pokemon-phantom-forces/booster-pack</t>
        </is>
      </c>
    </row>
    <row r="3138">
      <c r="A3138" s="2" t="inlineStr">
        <is>
          <t>Pitch Black Booster Pack</t>
        </is>
      </c>
      <c r="B3138" s="3">
        <f>IF(H3138&lt;&gt;"",H3138,IF(I3138&lt;&gt;"",I3138,IF(J3138&lt;&gt;"",J3138,K3138)))</f>
        <v>5.88</v>
      </c>
      <c r="C3138" s="3">
        <f>MEDIAN(H3138:K3138)</f>
        <v>5.88</v>
      </c>
      <c r="D3138" s="3">
        <f>ROUND(C3138*(1-Settings!$B$2),2)</f>
        <v>4.12</v>
      </c>
      <c r="E3138" s="2" t="inlineStr">
        <is>
          <t>Pokemon</t>
        </is>
      </c>
      <c r="F3138" s="2" t="inlineStr">
        <is>
          <t>Pack</t>
        </is>
      </c>
      <c r="G3138" s="2" t="inlineStr">
        <is>
          <t>Pitch Black</t>
        </is>
      </c>
      <c r="H3138" s="3" t="n">
        <v>5.88</v>
      </c>
      <c r="I3138" s="3" t="n"/>
      <c r="J3138" s="3" t="n"/>
      <c r="K3138" s="3" t="n"/>
      <c r="L3138" s="2" t="inlineStr">
        <is>
          <t>PriceCharting</t>
        </is>
      </c>
      <c r="M3138" s="4" t="inlineStr">
        <is>
          <t>https://www.pricecharting.com/game/pokemon-pitch-black/booster-pack</t>
        </is>
      </c>
    </row>
    <row r="3139">
      <c r="A3139" s="2" t="inlineStr">
        <is>
          <t>Pitch Black Premium Checklane Blister: Aurorus</t>
        </is>
      </c>
      <c r="B3139" s="3">
        <f>IF(H3139&lt;&gt;"",H3139,IF(I3139&lt;&gt;"",I3139,IF(J3139&lt;&gt;"",J3139,K3139)))</f>
        <v>17.12</v>
      </c>
      <c r="C3139" s="3">
        <f>MEDIAN(H3139:K3139)</f>
        <v>17.12</v>
      </c>
      <c r="D3139" s="3">
        <f>ROUND(C3139*(1-Settings!$B$2),2)</f>
        <v>11.98</v>
      </c>
      <c r="E3139" s="2" t="inlineStr">
        <is>
          <t>Pokemon</t>
        </is>
      </c>
      <c r="F3139" s="2" t="inlineStr">
        <is>
          <t>Pack</t>
        </is>
      </c>
      <c r="G3139" s="2" t="inlineStr">
        <is>
          <t>Pitch Black</t>
        </is>
      </c>
      <c r="H3139" s="3" t="n">
        <v>17.12</v>
      </c>
      <c r="I3139" s="3" t="n"/>
      <c r="J3139" s="3" t="n"/>
      <c r="K3139" s="3" t="n"/>
      <c r="L3139" s="2" t="inlineStr">
        <is>
          <t>PriceCharting</t>
        </is>
      </c>
      <c r="M3139" s="4" t="inlineStr">
        <is>
          <t>https://www.pricecharting.com/game/pokemon-pitch-black/premium-checklane-blister-aurorus</t>
        </is>
      </c>
    </row>
    <row r="3140">
      <c r="A3140" s="2" t="inlineStr">
        <is>
          <t>Pitch Black Premium Checklane Blister: Gengar</t>
        </is>
      </c>
      <c r="B3140" s="3">
        <f>IF(H3140&lt;&gt;"",H3140,IF(I3140&lt;&gt;"",I3140,IF(J3140&lt;&gt;"",J3140,K3140)))</f>
        <v>23.04</v>
      </c>
      <c r="C3140" s="3">
        <f>MEDIAN(H3140:K3140)</f>
        <v>23.04</v>
      </c>
      <c r="D3140" s="3">
        <f>ROUND(C3140*(1-Settings!$B$2),2)</f>
        <v>16.13</v>
      </c>
      <c r="E3140" s="2" t="inlineStr">
        <is>
          <t>Pokemon</t>
        </is>
      </c>
      <c r="F3140" s="2" t="inlineStr">
        <is>
          <t>Pack</t>
        </is>
      </c>
      <c r="G3140" s="2" t="inlineStr">
        <is>
          <t>Pitch Black</t>
        </is>
      </c>
      <c r="H3140" s="3" t="n">
        <v>23.04</v>
      </c>
      <c r="I3140" s="3" t="n"/>
      <c r="J3140" s="3" t="n"/>
      <c r="K3140" s="3" t="n"/>
      <c r="L3140" s="2" t="inlineStr">
        <is>
          <t>PriceCharting</t>
        </is>
      </c>
      <c r="M3140" s="4" t="inlineStr">
        <is>
          <t>https://www.pricecharting.com/game/pokemon-pitch-black/premium-checklane-blister-gengar</t>
        </is>
      </c>
    </row>
    <row r="3141">
      <c r="A3141" s="2" t="inlineStr">
        <is>
          <t>Pitch Black Premium Checklane Blister: Luxray</t>
        </is>
      </c>
      <c r="B3141" s="3">
        <f>IF(H3141&lt;&gt;"",H3141,IF(I3141&lt;&gt;"",I3141,IF(J3141&lt;&gt;"",J3141,K3141)))</f>
        <v>18.35</v>
      </c>
      <c r="C3141" s="3">
        <f>MEDIAN(H3141:K3141)</f>
        <v>18.35</v>
      </c>
      <c r="D3141" s="3">
        <f>ROUND(C3141*(1-Settings!$B$2),2)</f>
        <v>12.85</v>
      </c>
      <c r="E3141" s="2" t="inlineStr">
        <is>
          <t>Pokemon</t>
        </is>
      </c>
      <c r="F3141" s="2" t="inlineStr">
        <is>
          <t>Pack</t>
        </is>
      </c>
      <c r="G3141" s="2" t="inlineStr">
        <is>
          <t>Pitch Black</t>
        </is>
      </c>
      <c r="H3141" s="3" t="n">
        <v>18.35</v>
      </c>
      <c r="I3141" s="3" t="n"/>
      <c r="J3141" s="3" t="n"/>
      <c r="K3141" s="3" t="n"/>
      <c r="L3141" s="2" t="inlineStr">
        <is>
          <t>PriceCharting</t>
        </is>
      </c>
      <c r="M3141" s="4" t="inlineStr">
        <is>
          <t>https://www.pricecharting.com/game/pokemon-pitch-black/premium-checklane-blister-luxray</t>
        </is>
      </c>
    </row>
    <row r="3142">
      <c r="A3142" s="2" t="inlineStr">
        <is>
          <t>Pitch Black Premium Checklane Blister: Tyrantrum</t>
        </is>
      </c>
      <c r="B3142" s="3">
        <f>IF(H3142&lt;&gt;"",H3142,IF(I3142&lt;&gt;"",I3142,IF(J3142&lt;&gt;"",J3142,K3142)))</f>
        <v>18.86</v>
      </c>
      <c r="C3142" s="3">
        <f>MEDIAN(H3142:K3142)</f>
        <v>18.86</v>
      </c>
      <c r="D3142" s="3">
        <f>ROUND(C3142*(1-Settings!$B$2),2)</f>
        <v>13.2</v>
      </c>
      <c r="E3142" s="2" t="inlineStr">
        <is>
          <t>Pokemon</t>
        </is>
      </c>
      <c r="F3142" s="2" t="inlineStr">
        <is>
          <t>Pack</t>
        </is>
      </c>
      <c r="G3142" s="2" t="inlineStr">
        <is>
          <t>Pitch Black</t>
        </is>
      </c>
      <c r="H3142" s="3" t="n">
        <v>18.86</v>
      </c>
      <c r="I3142" s="3" t="n"/>
      <c r="J3142" s="3" t="n"/>
      <c r="K3142" s="3" t="n"/>
      <c r="L3142" s="2" t="inlineStr">
        <is>
          <t>PriceCharting</t>
        </is>
      </c>
      <c r="M3142" s="4" t="inlineStr">
        <is>
          <t>https://www.pricecharting.com/game/pokemon-pitch-black/premium-checklane-blister-tyrantrum</t>
        </is>
      </c>
    </row>
    <row r="3143">
      <c r="A3143" s="2" t="inlineStr">
        <is>
          <t>Pitch Black Single Pack Blister</t>
        </is>
      </c>
      <c r="B3143" s="3">
        <f>IF(H3143&lt;&gt;"",H3143,IF(I3143&lt;&gt;"",I3143,IF(J3143&lt;&gt;"",J3143,K3143)))</f>
        <v>8.98</v>
      </c>
      <c r="C3143" s="3">
        <f>MEDIAN(H3143:K3143)</f>
        <v>8.98</v>
      </c>
      <c r="D3143" s="3">
        <f>ROUND(C3143*(1-Settings!$B$2),2)</f>
        <v>6.29</v>
      </c>
      <c r="E3143" s="2" t="inlineStr">
        <is>
          <t>Pokemon</t>
        </is>
      </c>
      <c r="F3143" s="2" t="inlineStr">
        <is>
          <t>Pack</t>
        </is>
      </c>
      <c r="G3143" s="2" t="inlineStr">
        <is>
          <t>Pitch Black</t>
        </is>
      </c>
      <c r="H3143" s="3" t="n">
        <v>8.98</v>
      </c>
      <c r="I3143" s="3" t="n"/>
      <c r="J3143" s="3" t="n"/>
      <c r="K3143" s="3" t="n"/>
      <c r="L3143" s="2" t="inlineStr">
        <is>
          <t>PriceCharting</t>
        </is>
      </c>
      <c r="M3143" s="4" t="inlineStr">
        <is>
          <t>https://www.pricecharting.com/game/pokemon-pitch-black/single-pack-blister</t>
        </is>
      </c>
    </row>
    <row r="3144">
      <c r="A3144" s="2" t="inlineStr">
        <is>
          <t>Pitch Black Sleeved Booster Pack</t>
        </is>
      </c>
      <c r="B3144" s="3">
        <f>IF(H3144&lt;&gt;"",H3144,IF(I3144&lt;&gt;"",I3144,IF(J3144&lt;&gt;"",J3144,K3144)))</f>
        <v>7.47</v>
      </c>
      <c r="C3144" s="3">
        <f>MEDIAN(H3144:K3144)</f>
        <v>7.47</v>
      </c>
      <c r="D3144" s="3">
        <f>ROUND(C3144*(1-Settings!$B$2),2)</f>
        <v>5.23</v>
      </c>
      <c r="E3144" s="2" t="inlineStr">
        <is>
          <t>Pokemon</t>
        </is>
      </c>
      <c r="F3144" s="2" t="inlineStr">
        <is>
          <t>Pack</t>
        </is>
      </c>
      <c r="G3144" s="2" t="inlineStr">
        <is>
          <t>Pitch Black</t>
        </is>
      </c>
      <c r="H3144" s="3" t="n">
        <v>7.47</v>
      </c>
      <c r="I3144" s="3" t="n"/>
      <c r="J3144" s="3" t="n"/>
      <c r="K3144" s="3" t="n"/>
      <c r="L3144" s="2" t="inlineStr">
        <is>
          <t>PriceCharting</t>
        </is>
      </c>
      <c r="M3144" s="4" t="inlineStr">
        <is>
          <t>https://www.pricecharting.com/game/pokemon-pitch-black/sleeved-booster-pack</t>
        </is>
      </c>
    </row>
    <row r="3145">
      <c r="A3145" s="2" t="inlineStr">
        <is>
          <t>Plasma Blast Booster Pack</t>
        </is>
      </c>
      <c r="B3145" s="3">
        <f>IF(H3145&lt;&gt;"",H3145,IF(I3145&lt;&gt;"",I3145,IF(J3145&lt;&gt;"",J3145,K3145)))</f>
        <v>197.5</v>
      </c>
      <c r="C3145" s="3">
        <f>MEDIAN(H3145:K3145)</f>
        <v>251.375</v>
      </c>
      <c r="D3145" s="3">
        <f>ROUND(C3145*(1-Settings!$B$2),2)</f>
        <v>175.96</v>
      </c>
      <c r="E3145" s="2" t="inlineStr">
        <is>
          <t>Pokemon</t>
        </is>
      </c>
      <c r="F3145" s="2" t="inlineStr">
        <is>
          <t>Pack</t>
        </is>
      </c>
      <c r="G3145" s="2" t="inlineStr">
        <is>
          <t>Plasma Blast</t>
        </is>
      </c>
      <c r="H3145" s="3" t="n">
        <v>197.5</v>
      </c>
      <c r="I3145" s="3" t="n">
        <v>253.74</v>
      </c>
      <c r="J3145" s="3" t="n">
        <v>290</v>
      </c>
      <c r="K3145" s="3" t="n">
        <v>249.01</v>
      </c>
      <c r="L3145" s="2" t="inlineStr">
        <is>
          <t>PriceCharting + TCGplayer</t>
        </is>
      </c>
      <c r="M3145" s="4" t="inlineStr">
        <is>
          <t>https://www.pricecharting.com/game/pokemon-plasma-blast/booster-pack</t>
        </is>
      </c>
      <c r="N3145" s="4" t="inlineStr">
        <is>
          <t>https://www.tcgplayer.com/product/98573</t>
        </is>
      </c>
    </row>
    <row r="3146">
      <c r="A3146" s="2" t="inlineStr">
        <is>
          <t>Plasma Freeze Booster Pack</t>
        </is>
      </c>
      <c r="B3146" s="3">
        <f>IF(H3146&lt;&gt;"",H3146,IF(I3146&lt;&gt;"",I3146,IF(J3146&lt;&gt;"",J3146,K3146)))</f>
        <v>294.86</v>
      </c>
      <c r="C3146" s="3">
        <f>MEDIAN(H3146:K3146)</f>
        <v>316.495</v>
      </c>
      <c r="D3146" s="3">
        <f>ROUND(C3146*(1-Settings!$B$2),2)</f>
        <v>221.55</v>
      </c>
      <c r="E3146" s="2" t="inlineStr">
        <is>
          <t>Pokemon</t>
        </is>
      </c>
      <c r="F3146" s="2" t="inlineStr">
        <is>
          <t>Pack</t>
        </is>
      </c>
      <c r="G3146" s="2" t="inlineStr">
        <is>
          <t>Plasma Freeze</t>
        </is>
      </c>
      <c r="H3146" s="3" t="n">
        <v>294.86</v>
      </c>
      <c r="I3146" s="3" t="n">
        <v>307.99</v>
      </c>
      <c r="J3146" s="3" t="n">
        <v>337.95</v>
      </c>
      <c r="K3146" s="3" t="n">
        <v>325</v>
      </c>
      <c r="L3146" s="2" t="inlineStr">
        <is>
          <t>PriceCharting + TCGplayer</t>
        </is>
      </c>
      <c r="M3146" s="4" t="inlineStr">
        <is>
          <t>https://www.pricecharting.com/game/pokemon-plasma-freeze/booster-pack</t>
        </is>
      </c>
      <c r="N3146" s="4" t="inlineStr">
        <is>
          <t>https://www.tcgplayer.com/product/98517</t>
        </is>
      </c>
    </row>
    <row r="3147">
      <c r="A3147" s="2" t="inlineStr">
        <is>
          <t>Kanto Two Pack Blister [Legendary Birds]</t>
        </is>
      </c>
      <c r="B3147" s="3">
        <f>IF(H3147&lt;&gt;"",H3147,IF(I3147&lt;&gt;"",I3147,IF(J3147&lt;&gt;"",J3147,K3147)))</f>
        <v>1899.99</v>
      </c>
      <c r="C3147" s="3">
        <f>MEDIAN(H3147:K3147)</f>
        <v>1899.99</v>
      </c>
      <c r="D3147" s="3">
        <f>ROUND(C3147*(1-Settings!$B$2),2)</f>
        <v>1329.99</v>
      </c>
      <c r="E3147" s="2" t="inlineStr">
        <is>
          <t>Pokemon</t>
        </is>
      </c>
      <c r="F3147" s="2" t="inlineStr">
        <is>
          <t>Pack</t>
        </is>
      </c>
      <c r="G3147" s="2" t="inlineStr">
        <is>
          <t>Plasma Storm</t>
        </is>
      </c>
      <c r="H3147" s="3" t="n"/>
      <c r="I3147" s="3" t="n"/>
      <c r="J3147" s="3" t="n">
        <v>1899.99</v>
      </c>
      <c r="K3147" s="3" t="n">
        <v>1899.99</v>
      </c>
      <c r="L3147" s="2" t="inlineStr">
        <is>
          <t>TCGplayer</t>
        </is>
      </c>
      <c r="N3147" s="4" t="inlineStr">
        <is>
          <t>https://www.tcgplayer.com/product/99153</t>
        </is>
      </c>
    </row>
    <row r="3148">
      <c r="A3148" s="2" t="inlineStr">
        <is>
          <t>Plasma Storm Booster Pack</t>
        </is>
      </c>
      <c r="B3148" s="3">
        <f>IF(H3148&lt;&gt;"",H3148,IF(I3148&lt;&gt;"",I3148,IF(J3148&lt;&gt;"",J3148,K3148)))</f>
        <v>401.6</v>
      </c>
      <c r="C3148" s="3">
        <f>MEDIAN(H3148:K3148)</f>
        <v>724.98</v>
      </c>
      <c r="D3148" s="3">
        <f>ROUND(C3148*(1-Settings!$B$2),2)</f>
        <v>507.49</v>
      </c>
      <c r="E3148" s="2" t="inlineStr">
        <is>
          <t>Pokemon</t>
        </is>
      </c>
      <c r="F3148" s="2" t="inlineStr">
        <is>
          <t>Pack</t>
        </is>
      </c>
      <c r="G3148" s="2" t="inlineStr">
        <is>
          <t>Plasma Storm</t>
        </is>
      </c>
      <c r="H3148" s="3" t="n">
        <v>401.6</v>
      </c>
      <c r="I3148" s="3" t="n">
        <v>549.96</v>
      </c>
      <c r="J3148" s="3" t="n">
        <v>999.99</v>
      </c>
      <c r="K3148" s="3" t="n">
        <v>900</v>
      </c>
      <c r="L3148" s="2" t="inlineStr">
        <is>
          <t>PriceCharting + TCGplayer</t>
        </is>
      </c>
      <c r="M3148" s="4" t="inlineStr">
        <is>
          <t>https://www.pricecharting.com/game/pokemon-plasma-storm/booster-pack</t>
        </is>
      </c>
      <c r="N3148" s="4" t="inlineStr">
        <is>
          <t>https://www.tcgplayer.com/product/98526</t>
        </is>
      </c>
    </row>
    <row r="3149">
      <c r="A3149" s="2" t="inlineStr">
        <is>
          <t>Platinum Blister Pack</t>
        </is>
      </c>
      <c r="B3149" s="3">
        <f>IF(H3149&lt;&gt;"",H3149,IF(I3149&lt;&gt;"",I3149,IF(J3149&lt;&gt;"",J3149,K3149)))</f>
        <v>749.99</v>
      </c>
      <c r="C3149" s="3">
        <f>MEDIAN(H3149:K3149)</f>
        <v>749.99</v>
      </c>
      <c r="D3149" s="3">
        <f>ROUND(C3149*(1-Settings!$B$2),2)</f>
        <v>524.99</v>
      </c>
      <c r="E3149" s="2" t="inlineStr">
        <is>
          <t>Pokemon</t>
        </is>
      </c>
      <c r="F3149" s="2" t="inlineStr">
        <is>
          <t>Pack</t>
        </is>
      </c>
      <c r="G3149" s="2" t="inlineStr">
        <is>
          <t>Platinum</t>
        </is>
      </c>
      <c r="H3149" s="3" t="n">
        <v>749.99</v>
      </c>
      <c r="I3149" s="3" t="n"/>
      <c r="J3149" s="3" t="n"/>
      <c r="K3149" s="3" t="n"/>
      <c r="L3149" s="2" t="inlineStr">
        <is>
          <t>PriceCharting</t>
        </is>
      </c>
      <c r="M3149" s="4" t="inlineStr">
        <is>
          <t>https://www.pricecharting.com/game/pokemon-platinum/blister-pack</t>
        </is>
      </c>
    </row>
    <row r="3150">
      <c r="A3150" s="2" t="inlineStr">
        <is>
          <t>Platinum Booster Pack</t>
        </is>
      </c>
      <c r="B3150" s="3">
        <f>IF(H3150&lt;&gt;"",H3150,IF(I3150&lt;&gt;"",I3150,IF(J3150&lt;&gt;"",J3150,K3150)))</f>
        <v>448.99</v>
      </c>
      <c r="C3150" s="3">
        <f>MEDIAN(H3150:K3150)</f>
        <v>474.49</v>
      </c>
      <c r="D3150" s="3">
        <f>ROUND(C3150*(1-Settings!$B$2),2)</f>
        <v>332.14</v>
      </c>
      <c r="E3150" s="2" t="inlineStr">
        <is>
          <t>Pokemon</t>
        </is>
      </c>
      <c r="F3150" s="2" t="inlineStr">
        <is>
          <t>Pack</t>
        </is>
      </c>
      <c r="G3150" s="2" t="inlineStr">
        <is>
          <t>Platinum</t>
        </is>
      </c>
      <c r="H3150" s="3" t="n">
        <v>448.99</v>
      </c>
      <c r="I3150" s="3" t="n">
        <v>389.74</v>
      </c>
      <c r="J3150" s="3" t="n">
        <v>547.99</v>
      </c>
      <c r="K3150" s="3" t="n">
        <v>499.99</v>
      </c>
      <c r="L3150" s="2" t="inlineStr">
        <is>
          <t>PriceCharting + TCGplayer</t>
        </is>
      </c>
      <c r="M3150" s="4" t="inlineStr">
        <is>
          <t>https://www.pricecharting.com/game/pokemon-platinum/booster-pack</t>
        </is>
      </c>
      <c r="N3150" s="4" t="inlineStr">
        <is>
          <t>https://www.tcgplayer.com/product/98591</t>
        </is>
      </c>
    </row>
    <row r="3151">
      <c r="A3151" s="2" t="inlineStr">
        <is>
          <t>Platinum Heatran Checklane Blister Pack</t>
        </is>
      </c>
      <c r="B3151" s="3">
        <f>IF(H3151&lt;&gt;"",H3151,IF(I3151&lt;&gt;"",I3151,IF(J3151&lt;&gt;"",J3151,K3151)))</f>
        <v>148.14</v>
      </c>
      <c r="C3151" s="3">
        <f>MEDIAN(H3151:K3151)</f>
        <v>148.14</v>
      </c>
      <c r="D3151" s="3">
        <f>ROUND(C3151*(1-Settings!$B$2),2)</f>
        <v>103.7</v>
      </c>
      <c r="E3151" s="2" t="inlineStr">
        <is>
          <t>Pokemon</t>
        </is>
      </c>
      <c r="F3151" s="2" t="inlineStr">
        <is>
          <t>Pack</t>
        </is>
      </c>
      <c r="G3151" s="2" t="inlineStr">
        <is>
          <t>Platinum</t>
        </is>
      </c>
      <c r="H3151" s="3" t="n">
        <v>148.14</v>
      </c>
      <c r="I3151" s="3" t="n"/>
      <c r="J3151" s="3" t="n"/>
      <c r="K3151" s="3" t="n"/>
      <c r="L3151" s="2" t="inlineStr">
        <is>
          <t>PriceCharting</t>
        </is>
      </c>
      <c r="M3151" s="4" t="inlineStr">
        <is>
          <t>https://www.pricecharting.com/game/pokemon-platinum/heatran-checklane-blister-pack</t>
        </is>
      </c>
    </row>
    <row r="3152">
      <c r="A3152" s="2" t="inlineStr">
        <is>
          <t>Pokemon GO Booster Pack</t>
        </is>
      </c>
      <c r="B3152" s="3">
        <f>IF(H3152&lt;&gt;"",H3152,IF(I3152&lt;&gt;"",I3152,IF(J3152&lt;&gt;"",J3152,K3152)))</f>
        <v>14.5</v>
      </c>
      <c r="C3152" s="3">
        <f>MEDIAN(H3152:K3152)</f>
        <v>14.5</v>
      </c>
      <c r="D3152" s="3">
        <f>ROUND(C3152*(1-Settings!$B$2),2)</f>
        <v>10.15</v>
      </c>
      <c r="E3152" s="2" t="inlineStr">
        <is>
          <t>Pokemon</t>
        </is>
      </c>
      <c r="F3152" s="2" t="inlineStr">
        <is>
          <t>Pack</t>
        </is>
      </c>
      <c r="G3152" s="2" t="inlineStr">
        <is>
          <t>Pokemon GO</t>
        </is>
      </c>
      <c r="H3152" s="3" t="n"/>
      <c r="I3152" s="3" t="n">
        <v>14.5</v>
      </c>
      <c r="J3152" s="3" t="n">
        <v>14.99</v>
      </c>
      <c r="K3152" s="3" t="n">
        <v>11.77</v>
      </c>
      <c r="L3152" s="2" t="inlineStr">
        <is>
          <t>TCGplayer</t>
        </is>
      </c>
      <c r="N3152" s="4" t="inlineStr">
        <is>
          <t>https://www.tcgplayer.com/product/274421</t>
        </is>
      </c>
    </row>
    <row r="3153">
      <c r="A3153" s="2" t="inlineStr">
        <is>
          <t>Pokemon Jungle Booster Pack (291 Yen)</t>
        </is>
      </c>
      <c r="B3153" s="3">
        <f>IF(H3153&lt;&gt;"",H3153,IF(I3153&lt;&gt;"",I3153,IF(J3153&lt;&gt;"",J3153,K3153)))</f>
        <v>500.0</v>
      </c>
      <c r="C3153" s="3">
        <f>MEDIAN(H3153:K3153)</f>
        <v>750.0</v>
      </c>
      <c r="D3153" s="3">
        <f>ROUND(C3153*(1-Settings!$B$2),2)</f>
        <v>525.0</v>
      </c>
      <c r="E3153" s="2" t="inlineStr">
        <is>
          <t>Pokemon</t>
        </is>
      </c>
      <c r="F3153" s="2" t="inlineStr">
        <is>
          <t>Pack</t>
        </is>
      </c>
      <c r="G3153" s="2" t="inlineStr">
        <is>
          <t>Pokemon Jungle</t>
        </is>
      </c>
      <c r="H3153" s="3" t="n"/>
      <c r="I3153" s="3" t="n">
        <v>500</v>
      </c>
      <c r="J3153" s="3" t="n"/>
      <c r="K3153" s="3" t="n">
        <v>1000</v>
      </c>
      <c r="L3153" s="2" t="inlineStr">
        <is>
          <t>TCGplayer</t>
        </is>
      </c>
      <c r="N3153" s="4" t="inlineStr">
        <is>
          <t>https://www.tcgplayer.com/product/677751</t>
        </is>
      </c>
    </row>
    <row r="3154">
      <c r="A3154" s="2" t="inlineStr">
        <is>
          <t>Pop Series 1 Booster Pack</t>
        </is>
      </c>
      <c r="B3154" s="3">
        <f>IF(H3154&lt;&gt;"",H3154,IF(I3154&lt;&gt;"",I3154,IF(J3154&lt;&gt;"",J3154,K3154)))</f>
        <v>109.5</v>
      </c>
      <c r="C3154" s="3">
        <f>MEDIAN(H3154:K3154)</f>
        <v>109.5</v>
      </c>
      <c r="D3154" s="3">
        <f>ROUND(C3154*(1-Settings!$B$2),2)</f>
        <v>76.65</v>
      </c>
      <c r="E3154" s="2" t="inlineStr">
        <is>
          <t>Pokemon</t>
        </is>
      </c>
      <c r="F3154" s="2" t="inlineStr">
        <is>
          <t>Pack</t>
        </is>
      </c>
      <c r="G3154" s="2" t="inlineStr">
        <is>
          <t>Pop Series 1</t>
        </is>
      </c>
      <c r="H3154" s="3" t="n">
        <v>109.5</v>
      </c>
      <c r="I3154" s="3" t="n"/>
      <c r="J3154" s="3" t="n"/>
      <c r="K3154" s="3" t="n"/>
      <c r="L3154" s="2" t="inlineStr">
        <is>
          <t>PriceCharting</t>
        </is>
      </c>
      <c r="M3154" s="4" t="inlineStr">
        <is>
          <t>https://www.pricecharting.com/game/pokemon-pop-series-1/booster-pack</t>
        </is>
      </c>
    </row>
    <row r="3155">
      <c r="A3155" s="2" t="inlineStr">
        <is>
          <t>POP Series 1 Pack</t>
        </is>
      </c>
      <c r="B3155" s="3">
        <f>IF(H3155&lt;&gt;"",H3155,IF(I3155&lt;&gt;"",I3155,IF(J3155&lt;&gt;"",J3155,K3155)))</f>
        <v>100.08</v>
      </c>
      <c r="C3155" s="3">
        <f>MEDIAN(H3155:K3155)</f>
        <v>119.99</v>
      </c>
      <c r="D3155" s="3">
        <f>ROUND(C3155*(1-Settings!$B$2),2)</f>
        <v>83.99</v>
      </c>
      <c r="E3155" s="2" t="inlineStr">
        <is>
          <t>Pokemon</t>
        </is>
      </c>
      <c r="F3155" s="2" t="inlineStr">
        <is>
          <t>Pack</t>
        </is>
      </c>
      <c r="G3155" s="2" t="inlineStr">
        <is>
          <t>POP Series 1</t>
        </is>
      </c>
      <c r="H3155" s="3" t="n"/>
      <c r="I3155" s="3" t="n">
        <v>100.08</v>
      </c>
      <c r="J3155" s="3" t="n">
        <v>123.98</v>
      </c>
      <c r="K3155" s="3" t="n">
        <v>119.99</v>
      </c>
      <c r="L3155" s="2" t="inlineStr">
        <is>
          <t>TCGplayer</t>
        </is>
      </c>
      <c r="N3155" s="4" t="inlineStr">
        <is>
          <t>https://www.tcgplayer.com/product/141227</t>
        </is>
      </c>
    </row>
    <row r="3156">
      <c r="A3156" s="2" t="inlineStr">
        <is>
          <t>Pop Series 2 Booster Pack</t>
        </is>
      </c>
      <c r="B3156" s="3">
        <f>IF(H3156&lt;&gt;"",H3156,IF(I3156&lt;&gt;"",I3156,IF(J3156&lt;&gt;"",J3156,K3156)))</f>
        <v>151.25</v>
      </c>
      <c r="C3156" s="3">
        <f>MEDIAN(H3156:K3156)</f>
        <v>151.25</v>
      </c>
      <c r="D3156" s="3">
        <f>ROUND(C3156*(1-Settings!$B$2),2)</f>
        <v>105.88</v>
      </c>
      <c r="E3156" s="2" t="inlineStr">
        <is>
          <t>Pokemon</t>
        </is>
      </c>
      <c r="F3156" s="2" t="inlineStr">
        <is>
          <t>Pack</t>
        </is>
      </c>
      <c r="G3156" s="2" t="inlineStr">
        <is>
          <t>Pop Series 2</t>
        </is>
      </c>
      <c r="H3156" s="3" t="n">
        <v>151.25</v>
      </c>
      <c r="I3156" s="3" t="n"/>
      <c r="J3156" s="3" t="n"/>
      <c r="K3156" s="3" t="n"/>
      <c r="L3156" s="2" t="inlineStr">
        <is>
          <t>PriceCharting</t>
        </is>
      </c>
      <c r="M3156" s="4" t="inlineStr">
        <is>
          <t>https://www.pricecharting.com/game/pokemon-pop-series-2/booster-pack</t>
        </is>
      </c>
    </row>
    <row r="3157">
      <c r="A3157" s="2" t="inlineStr">
        <is>
          <t>Pop Series 3 Booster Pack</t>
        </is>
      </c>
      <c r="B3157" s="3">
        <f>IF(H3157&lt;&gt;"",H3157,IF(I3157&lt;&gt;"",I3157,IF(J3157&lt;&gt;"",J3157,K3157)))</f>
        <v>142.95</v>
      </c>
      <c r="C3157" s="3">
        <f>MEDIAN(H3157:K3157)</f>
        <v>142.95</v>
      </c>
      <c r="D3157" s="3">
        <f>ROUND(C3157*(1-Settings!$B$2),2)</f>
        <v>100.07</v>
      </c>
      <c r="E3157" s="2" t="inlineStr">
        <is>
          <t>Pokemon</t>
        </is>
      </c>
      <c r="F3157" s="2" t="inlineStr">
        <is>
          <t>Pack</t>
        </is>
      </c>
      <c r="G3157" s="2" t="inlineStr">
        <is>
          <t>Pop Series 3</t>
        </is>
      </c>
      <c r="H3157" s="3" t="n">
        <v>142.95</v>
      </c>
      <c r="I3157" s="3" t="n"/>
      <c r="J3157" s="3" t="n"/>
      <c r="K3157" s="3" t="n"/>
      <c r="L3157" s="2" t="inlineStr">
        <is>
          <t>PriceCharting</t>
        </is>
      </c>
      <c r="M3157" s="4" t="inlineStr">
        <is>
          <t>https://www.pricecharting.com/game/pokemon-pop-series-3/booster-pack</t>
        </is>
      </c>
    </row>
    <row r="3158">
      <c r="A3158" s="2" t="inlineStr">
        <is>
          <t>POP Series 3 Pack</t>
        </is>
      </c>
      <c r="B3158" s="3">
        <f>IF(H3158&lt;&gt;"",H3158,IF(I3158&lt;&gt;"",I3158,IF(J3158&lt;&gt;"",J3158,K3158)))</f>
        <v>169.68</v>
      </c>
      <c r="C3158" s="3">
        <f>MEDIAN(H3158:K3158)</f>
        <v>169.68</v>
      </c>
      <c r="D3158" s="3">
        <f>ROUND(C3158*(1-Settings!$B$2),2)</f>
        <v>118.78</v>
      </c>
      <c r="E3158" s="2" t="inlineStr">
        <is>
          <t>Pokemon</t>
        </is>
      </c>
      <c r="F3158" s="2" t="inlineStr">
        <is>
          <t>Pack</t>
        </is>
      </c>
      <c r="G3158" s="2" t="inlineStr">
        <is>
          <t>POP Series 3</t>
        </is>
      </c>
      <c r="H3158" s="3" t="n"/>
      <c r="I3158" s="3" t="n">
        <v>169.68</v>
      </c>
      <c r="J3158" s="3" t="n">
        <v>198.94</v>
      </c>
      <c r="K3158" s="3" t="n">
        <v>155</v>
      </c>
      <c r="L3158" s="2" t="inlineStr">
        <is>
          <t>TCGplayer</t>
        </is>
      </c>
      <c r="N3158" s="4" t="inlineStr">
        <is>
          <t>https://www.tcgplayer.com/product/190532</t>
        </is>
      </c>
    </row>
    <row r="3159">
      <c r="A3159" s="2" t="inlineStr">
        <is>
          <t>Pop Series 4 Booster Pack</t>
        </is>
      </c>
      <c r="B3159" s="3">
        <f>IF(H3159&lt;&gt;"",H3159,IF(I3159&lt;&gt;"",I3159,IF(J3159&lt;&gt;"",J3159,K3159)))</f>
        <v>164.99</v>
      </c>
      <c r="C3159" s="3">
        <f>MEDIAN(H3159:K3159)</f>
        <v>164.99</v>
      </c>
      <c r="D3159" s="3">
        <f>ROUND(C3159*(1-Settings!$B$2),2)</f>
        <v>115.49</v>
      </c>
      <c r="E3159" s="2" t="inlineStr">
        <is>
          <t>Pokemon</t>
        </is>
      </c>
      <c r="F3159" s="2" t="inlineStr">
        <is>
          <t>Pack</t>
        </is>
      </c>
      <c r="G3159" s="2" t="inlineStr">
        <is>
          <t>Pop Series 4</t>
        </is>
      </c>
      <c r="H3159" s="3" t="n">
        <v>164.99</v>
      </c>
      <c r="I3159" s="3" t="n"/>
      <c r="J3159" s="3" t="n"/>
      <c r="K3159" s="3" t="n"/>
      <c r="L3159" s="2" t="inlineStr">
        <is>
          <t>PriceCharting</t>
        </is>
      </c>
      <c r="M3159" s="4" t="inlineStr">
        <is>
          <t>https://www.pricecharting.com/game/pokemon-pop-series-4/booster-pack</t>
        </is>
      </c>
    </row>
    <row r="3160">
      <c r="A3160" s="2" t="inlineStr">
        <is>
          <t>POP Series 4 Pack</t>
        </is>
      </c>
      <c r="B3160" s="3">
        <f>IF(H3160&lt;&gt;"",H3160,IF(I3160&lt;&gt;"",I3160,IF(J3160&lt;&gt;"",J3160,K3160)))</f>
        <v>171.94</v>
      </c>
      <c r="C3160" s="3">
        <f>MEDIAN(H3160:K3160)</f>
        <v>198.94</v>
      </c>
      <c r="D3160" s="3">
        <f>ROUND(C3160*(1-Settings!$B$2),2)</f>
        <v>139.26</v>
      </c>
      <c r="E3160" s="2" t="inlineStr">
        <is>
          <t>Pokemon</t>
        </is>
      </c>
      <c r="F3160" s="2" t="inlineStr">
        <is>
          <t>Pack</t>
        </is>
      </c>
      <c r="G3160" s="2" t="inlineStr">
        <is>
          <t>POP Series 4</t>
        </is>
      </c>
      <c r="H3160" s="3" t="n"/>
      <c r="I3160" s="3" t="n">
        <v>171.94</v>
      </c>
      <c r="J3160" s="3" t="n">
        <v>198.94</v>
      </c>
      <c r="K3160" s="3" t="n">
        <v>198.94</v>
      </c>
      <c r="L3160" s="2" t="inlineStr">
        <is>
          <t>TCGplayer</t>
        </is>
      </c>
      <c r="N3160" s="4" t="inlineStr">
        <is>
          <t>https://www.tcgplayer.com/product/190533</t>
        </is>
      </c>
    </row>
    <row r="3161">
      <c r="A3161" s="2" t="inlineStr">
        <is>
          <t>Pop Series 5 Booster Pack</t>
        </is>
      </c>
      <c r="B3161" s="3">
        <f>IF(H3161&lt;&gt;"",H3161,IF(I3161&lt;&gt;"",I3161,IF(J3161&lt;&gt;"",J3161,K3161)))</f>
        <v>2581.06</v>
      </c>
      <c r="C3161" s="3">
        <f>MEDIAN(H3161:K3161)</f>
        <v>2581.06</v>
      </c>
      <c r="D3161" s="3">
        <f>ROUND(C3161*(1-Settings!$B$2),2)</f>
        <v>1806.74</v>
      </c>
      <c r="E3161" s="2" t="inlineStr">
        <is>
          <t>Pokemon</t>
        </is>
      </c>
      <c r="F3161" s="2" t="inlineStr">
        <is>
          <t>Pack</t>
        </is>
      </c>
      <c r="G3161" s="2" t="inlineStr">
        <is>
          <t>Pop Series 5</t>
        </is>
      </c>
      <c r="H3161" s="3" t="n">
        <v>2581.06</v>
      </c>
      <c r="I3161" s="3" t="n"/>
      <c r="J3161" s="3" t="n"/>
      <c r="K3161" s="3" t="n"/>
      <c r="L3161" s="2" t="inlineStr">
        <is>
          <t>PriceCharting</t>
        </is>
      </c>
      <c r="M3161" s="4" t="inlineStr">
        <is>
          <t>https://www.pricecharting.com/game/pokemon-pop-series-5/booster-pack</t>
        </is>
      </c>
    </row>
    <row r="3162">
      <c r="A3162" s="2" t="inlineStr">
        <is>
          <t>POP Series 5 Pack</t>
        </is>
      </c>
      <c r="B3162" s="3">
        <f>IF(H3162&lt;&gt;"",H3162,IF(I3162&lt;&gt;"",I3162,IF(J3162&lt;&gt;"",J3162,K3162)))</f>
        <v>2290.0</v>
      </c>
      <c r="C3162" s="3">
        <f>MEDIAN(H3162:K3162)</f>
        <v>2999.99</v>
      </c>
      <c r="D3162" s="3">
        <f>ROUND(C3162*(1-Settings!$B$2),2)</f>
        <v>2099.99</v>
      </c>
      <c r="E3162" s="2" t="inlineStr">
        <is>
          <t>Pokemon</t>
        </is>
      </c>
      <c r="F3162" s="2" t="inlineStr">
        <is>
          <t>Pack</t>
        </is>
      </c>
      <c r="G3162" s="2" t="inlineStr">
        <is>
          <t>POP Series 5</t>
        </is>
      </c>
      <c r="H3162" s="3" t="n"/>
      <c r="I3162" s="3" t="n">
        <v>2290</v>
      </c>
      <c r="J3162" s="3" t="n">
        <v>2999.99</v>
      </c>
      <c r="K3162" s="3" t="n">
        <v>2999.99</v>
      </c>
      <c r="L3162" s="2" t="inlineStr">
        <is>
          <t>TCGplayer</t>
        </is>
      </c>
      <c r="N3162" s="4" t="inlineStr">
        <is>
          <t>https://www.tcgplayer.com/product/190534</t>
        </is>
      </c>
    </row>
    <row r="3163">
      <c r="A3163" s="2" t="inlineStr">
        <is>
          <t>POP Series 6 Pack</t>
        </is>
      </c>
      <c r="B3163" s="3">
        <f>IF(H3163&lt;&gt;"",H3163,IF(I3163&lt;&gt;"",I3163,IF(J3163&lt;&gt;"",J3163,K3163)))</f>
        <v>43.98</v>
      </c>
      <c r="C3163" s="3">
        <f>MEDIAN(H3163:K3163)</f>
        <v>43.98</v>
      </c>
      <c r="D3163" s="3">
        <f>ROUND(C3163*(1-Settings!$B$2),2)</f>
        <v>30.79</v>
      </c>
      <c r="E3163" s="2" t="inlineStr">
        <is>
          <t>Pokemon</t>
        </is>
      </c>
      <c r="F3163" s="2" t="inlineStr">
        <is>
          <t>Pack</t>
        </is>
      </c>
      <c r="G3163" s="2" t="inlineStr">
        <is>
          <t>POP Series 6</t>
        </is>
      </c>
      <c r="H3163" s="3" t="n"/>
      <c r="I3163" s="3" t="n">
        <v>43.98</v>
      </c>
      <c r="J3163" s="3" t="n"/>
      <c r="K3163" s="3" t="n"/>
      <c r="L3163" s="2" t="inlineStr">
        <is>
          <t>TCGplayer</t>
        </is>
      </c>
      <c r="N3163" s="4" t="inlineStr">
        <is>
          <t>https://www.tcgplayer.com/product/141229</t>
        </is>
      </c>
    </row>
    <row r="3164">
      <c r="A3164" s="2" t="inlineStr">
        <is>
          <t>POP Series 7 Pack</t>
        </is>
      </c>
      <c r="B3164" s="3">
        <f>IF(H3164&lt;&gt;"",H3164,IF(I3164&lt;&gt;"",I3164,IF(J3164&lt;&gt;"",J3164,K3164)))</f>
        <v>47.61</v>
      </c>
      <c r="C3164" s="3">
        <f>MEDIAN(H3164:K3164)</f>
        <v>49.98</v>
      </c>
      <c r="D3164" s="3">
        <f>ROUND(C3164*(1-Settings!$B$2),2)</f>
        <v>34.99</v>
      </c>
      <c r="E3164" s="2" t="inlineStr">
        <is>
          <t>Pokemon</t>
        </is>
      </c>
      <c r="F3164" s="2" t="inlineStr">
        <is>
          <t>Pack</t>
        </is>
      </c>
      <c r="G3164" s="2" t="inlineStr">
        <is>
          <t>POP Series 7</t>
        </is>
      </c>
      <c r="H3164" s="3" t="n"/>
      <c r="I3164" s="3" t="n">
        <v>47.61</v>
      </c>
      <c r="J3164" s="3" t="n">
        <v>49.98</v>
      </c>
      <c r="K3164" s="3" t="n">
        <v>49.98</v>
      </c>
      <c r="L3164" s="2" t="inlineStr">
        <is>
          <t>TCGplayer</t>
        </is>
      </c>
      <c r="N3164" s="4" t="inlineStr">
        <is>
          <t>https://www.tcgplayer.com/product/190535</t>
        </is>
      </c>
    </row>
    <row r="3165">
      <c r="A3165" s="2" t="inlineStr">
        <is>
          <t>POP Series 8 Pack</t>
        </is>
      </c>
      <c r="B3165" s="3">
        <f>IF(H3165&lt;&gt;"",H3165,IF(I3165&lt;&gt;"",I3165,IF(J3165&lt;&gt;"",J3165,K3165)))</f>
        <v>28.92</v>
      </c>
      <c r="C3165" s="3">
        <f>MEDIAN(H3165:K3165)</f>
        <v>28.92</v>
      </c>
      <c r="D3165" s="3">
        <f>ROUND(C3165*(1-Settings!$B$2),2)</f>
        <v>20.24</v>
      </c>
      <c r="E3165" s="2" t="inlineStr">
        <is>
          <t>Pokemon</t>
        </is>
      </c>
      <c r="F3165" s="2" t="inlineStr">
        <is>
          <t>Pack</t>
        </is>
      </c>
      <c r="G3165" s="2" t="inlineStr">
        <is>
          <t>POP Series 8</t>
        </is>
      </c>
      <c r="H3165" s="3" t="n"/>
      <c r="I3165" s="3" t="n">
        <v>28.92</v>
      </c>
      <c r="J3165" s="3" t="n">
        <v>30</v>
      </c>
      <c r="K3165" s="3" t="n">
        <v>24.99</v>
      </c>
      <c r="L3165" s="2" t="inlineStr">
        <is>
          <t>TCGplayer</t>
        </is>
      </c>
      <c r="N3165" s="4" t="inlineStr">
        <is>
          <t>https://www.tcgplayer.com/product/190536</t>
        </is>
      </c>
    </row>
    <row r="3166">
      <c r="A3166" s="2" t="inlineStr">
        <is>
          <t>POP Series 9 Pack</t>
        </is>
      </c>
      <c r="B3166" s="3">
        <f>IF(H3166&lt;&gt;"",H3166,IF(I3166&lt;&gt;"",I3166,IF(J3166&lt;&gt;"",J3166,K3166)))</f>
        <v>38.89</v>
      </c>
      <c r="C3166" s="3">
        <f>MEDIAN(H3166:K3166)</f>
        <v>38.89</v>
      </c>
      <c r="D3166" s="3">
        <f>ROUND(C3166*(1-Settings!$B$2),2)</f>
        <v>27.22</v>
      </c>
      <c r="E3166" s="2" t="inlineStr">
        <is>
          <t>Pokemon</t>
        </is>
      </c>
      <c r="F3166" s="2" t="inlineStr">
        <is>
          <t>Pack</t>
        </is>
      </c>
      <c r="G3166" s="2" t="inlineStr">
        <is>
          <t>POP Series 9</t>
        </is>
      </c>
      <c r="H3166" s="3" t="n"/>
      <c r="I3166" s="3" t="n">
        <v>38.89</v>
      </c>
      <c r="J3166" s="3" t="n"/>
      <c r="K3166" s="3" t="n"/>
      <c r="L3166" s="2" t="inlineStr">
        <is>
          <t>TCGplayer</t>
        </is>
      </c>
      <c r="N3166" s="4" t="inlineStr">
        <is>
          <t>https://www.tcgplayer.com/product/190537</t>
        </is>
      </c>
    </row>
    <row r="3167">
      <c r="A3167" s="2" t="inlineStr">
        <is>
          <t>Power Keepers Blister Pack</t>
        </is>
      </c>
      <c r="B3167" s="3">
        <f>IF(H3167&lt;&gt;"",H3167,IF(I3167&lt;&gt;"",I3167,IF(J3167&lt;&gt;"",J3167,K3167)))</f>
        <v>1640.26</v>
      </c>
      <c r="C3167" s="3">
        <f>MEDIAN(H3167:K3167)</f>
        <v>1640.26</v>
      </c>
      <c r="D3167" s="3">
        <f>ROUND(C3167*(1-Settings!$B$2),2)</f>
        <v>1148.18</v>
      </c>
      <c r="E3167" s="2" t="inlineStr">
        <is>
          <t>Pokemon</t>
        </is>
      </c>
      <c r="F3167" s="2" t="inlineStr">
        <is>
          <t>Pack</t>
        </is>
      </c>
      <c r="G3167" s="2" t="inlineStr">
        <is>
          <t>Power Keepers</t>
        </is>
      </c>
      <c r="H3167" s="3" t="n">
        <v>1640.26</v>
      </c>
      <c r="I3167" s="3" t="n"/>
      <c r="J3167" s="3" t="n"/>
      <c r="K3167" s="3" t="n"/>
      <c r="L3167" s="2" t="inlineStr">
        <is>
          <t>PriceCharting</t>
        </is>
      </c>
      <c r="M3167" s="4" t="inlineStr">
        <is>
          <t>https://www.pricecharting.com/game/pokemon-power-keepers/blister-pack</t>
        </is>
      </c>
    </row>
    <row r="3168">
      <c r="A3168" s="2" t="inlineStr">
        <is>
          <t>Primal Clash Blister Pack</t>
        </is>
      </c>
      <c r="B3168" s="3">
        <f>IF(H3168&lt;&gt;"",H3168,IF(I3168&lt;&gt;"",I3168,IF(J3168&lt;&gt;"",J3168,K3168)))</f>
        <v>361.12</v>
      </c>
      <c r="C3168" s="3">
        <f>MEDIAN(H3168:K3168)</f>
        <v>361.12</v>
      </c>
      <c r="D3168" s="3">
        <f>ROUND(C3168*(1-Settings!$B$2),2)</f>
        <v>252.78</v>
      </c>
      <c r="E3168" s="2" t="inlineStr">
        <is>
          <t>Pokemon</t>
        </is>
      </c>
      <c r="F3168" s="2" t="inlineStr">
        <is>
          <t>Pack</t>
        </is>
      </c>
      <c r="G3168" s="2" t="inlineStr">
        <is>
          <t>Primal Clash</t>
        </is>
      </c>
      <c r="H3168" s="3" t="n">
        <v>361.12</v>
      </c>
      <c r="I3168" s="3" t="n"/>
      <c r="J3168" s="3" t="n"/>
      <c r="K3168" s="3" t="n"/>
      <c r="L3168" s="2" t="inlineStr">
        <is>
          <t>PriceCharting</t>
        </is>
      </c>
      <c r="M3168" s="4" t="inlineStr">
        <is>
          <t>https://www.pricecharting.com/game/pokemon-primal-clash/blister-pack</t>
        </is>
      </c>
    </row>
    <row r="3169">
      <c r="A3169" s="2" t="inlineStr">
        <is>
          <t>Primal Clash Booster Pack</t>
        </is>
      </c>
      <c r="B3169" s="3">
        <f>IF(H3169&lt;&gt;"",H3169,IF(I3169&lt;&gt;"",I3169,IF(J3169&lt;&gt;"",J3169,K3169)))</f>
        <v>61.13</v>
      </c>
      <c r="C3169" s="3">
        <f>MEDIAN(H3169:K3169)</f>
        <v>61.13</v>
      </c>
      <c r="D3169" s="3">
        <f>ROUND(C3169*(1-Settings!$B$2),2)</f>
        <v>42.79</v>
      </c>
      <c r="E3169" s="2" t="inlineStr">
        <is>
          <t>Pokemon</t>
        </is>
      </c>
      <c r="F3169" s="2" t="inlineStr">
        <is>
          <t>Pack</t>
        </is>
      </c>
      <c r="G3169" s="2" t="inlineStr">
        <is>
          <t>Primal Clash</t>
        </is>
      </c>
      <c r="H3169" s="3" t="n">
        <v>61.13</v>
      </c>
      <c r="I3169" s="3" t="n"/>
      <c r="J3169" s="3" t="n"/>
      <c r="K3169" s="3" t="n"/>
      <c r="L3169" s="2" t="inlineStr">
        <is>
          <t>PriceCharting</t>
        </is>
      </c>
      <c r="M3169" s="4" t="inlineStr">
        <is>
          <t>https://www.pricecharting.com/game/pokemon-primal-clash/booster-pack</t>
        </is>
      </c>
    </row>
    <row r="3170">
      <c r="A3170" s="2" t="inlineStr">
        <is>
          <t>Primal Clash Sleeved Booster Pack</t>
        </is>
      </c>
      <c r="B3170" s="3">
        <f>IF(H3170&lt;&gt;"",H3170,IF(I3170&lt;&gt;"",I3170,IF(J3170&lt;&gt;"",J3170,K3170)))</f>
        <v>94.17</v>
      </c>
      <c r="C3170" s="3">
        <f>MEDIAN(H3170:K3170)</f>
        <v>94.17</v>
      </c>
      <c r="D3170" s="3">
        <f>ROUND(C3170*(1-Settings!$B$2),2)</f>
        <v>65.92</v>
      </c>
      <c r="E3170" s="2" t="inlineStr">
        <is>
          <t>Pokemon</t>
        </is>
      </c>
      <c r="F3170" s="2" t="inlineStr">
        <is>
          <t>Pack</t>
        </is>
      </c>
      <c r="G3170" s="2" t="inlineStr">
        <is>
          <t>Primal Clash</t>
        </is>
      </c>
      <c r="H3170" s="3" t="n">
        <v>94.17</v>
      </c>
      <c r="I3170" s="3" t="n"/>
      <c r="J3170" s="3" t="n"/>
      <c r="K3170" s="3" t="n"/>
      <c r="L3170" s="2" t="inlineStr">
        <is>
          <t>PriceCharting</t>
        </is>
      </c>
      <c r="M3170" s="4" t="inlineStr">
        <is>
          <t>https://www.pricecharting.com/game/pokemon-primal-clash/sleeved-booster-pack</t>
        </is>
      </c>
    </row>
    <row r="3171">
      <c r="A3171" s="2" t="inlineStr">
        <is>
          <t>Prismatic Evolutions 2 Pack Blister</t>
        </is>
      </c>
      <c r="B3171" s="3">
        <f>IF(H3171&lt;&gt;"",H3171,IF(I3171&lt;&gt;"",I3171,IF(J3171&lt;&gt;"",J3171,K3171)))</f>
        <v>37.78</v>
      </c>
      <c r="C3171" s="3">
        <f>MEDIAN(H3171:K3171)</f>
        <v>37.78</v>
      </c>
      <c r="D3171" s="3">
        <f>ROUND(C3171*(1-Settings!$B$2),2)</f>
        <v>26.45</v>
      </c>
      <c r="E3171" s="2" t="inlineStr">
        <is>
          <t>Pokemon</t>
        </is>
      </c>
      <c r="F3171" s="2" t="inlineStr">
        <is>
          <t>Pack</t>
        </is>
      </c>
      <c r="G3171" s="2" t="inlineStr">
        <is>
          <t>Prismatic Evolutions</t>
        </is>
      </c>
      <c r="H3171" s="3" t="n">
        <v>37.78</v>
      </c>
      <c r="I3171" s="3" t="n"/>
      <c r="J3171" s="3" t="n"/>
      <c r="K3171" s="3" t="n"/>
      <c r="L3171" s="2" t="inlineStr">
        <is>
          <t>PriceCharting</t>
        </is>
      </c>
      <c r="M3171" s="4" t="inlineStr">
        <is>
          <t>https://www.pricecharting.com/game/pokemon-prismatic-evolutions/2-pack-blister</t>
        </is>
      </c>
    </row>
    <row r="3172">
      <c r="A3172" s="2" t="inlineStr">
        <is>
          <t>Play! Pokemon Prize Pack Series Eight</t>
        </is>
      </c>
      <c r="B3172" s="3">
        <f>IF(H3172&lt;&gt;"",H3172,IF(I3172&lt;&gt;"",I3172,IF(J3172&lt;&gt;"",J3172,K3172)))</f>
        <v>7.08</v>
      </c>
      <c r="C3172" s="3">
        <f>MEDIAN(H3172:K3172)</f>
        <v>7.07</v>
      </c>
      <c r="D3172" s="3">
        <f>ROUND(C3172*(1-Settings!$B$2),2)</f>
        <v>4.95</v>
      </c>
      <c r="E3172" s="2" t="inlineStr">
        <is>
          <t>Pokemon</t>
        </is>
      </c>
      <c r="F3172" s="2" t="inlineStr">
        <is>
          <t>Pack</t>
        </is>
      </c>
      <c r="G3172" s="2" t="inlineStr">
        <is>
          <t>Prize Pack Series Cards</t>
        </is>
      </c>
      <c r="H3172" s="3" t="n"/>
      <c r="I3172" s="3" t="n">
        <v>7.08</v>
      </c>
      <c r="J3172" s="3" t="n">
        <v>7.07</v>
      </c>
      <c r="K3172" s="3" t="n">
        <v>4.06</v>
      </c>
      <c r="L3172" s="2" t="inlineStr">
        <is>
          <t>TCGplayer</t>
        </is>
      </c>
      <c r="N3172" s="4" t="inlineStr">
        <is>
          <t>https://www.tcgplayer.com/product/670914</t>
        </is>
      </c>
    </row>
    <row r="3173">
      <c r="A3173" s="2" t="inlineStr">
        <is>
          <t>Play! Pokemon Prize Pack Series Five</t>
        </is>
      </c>
      <c r="B3173" s="3">
        <f>IF(H3173&lt;&gt;"",H3173,IF(I3173&lt;&gt;"",I3173,IF(J3173&lt;&gt;"",J3173,K3173)))</f>
        <v>9.98</v>
      </c>
      <c r="C3173" s="3">
        <f>MEDIAN(H3173:K3173)</f>
        <v>9.98</v>
      </c>
      <c r="D3173" s="3">
        <f>ROUND(C3173*(1-Settings!$B$2),2)</f>
        <v>6.99</v>
      </c>
      <c r="E3173" s="2" t="inlineStr">
        <is>
          <t>Pokemon</t>
        </is>
      </c>
      <c r="F3173" s="2" t="inlineStr">
        <is>
          <t>Pack</t>
        </is>
      </c>
      <c r="G3173" s="2" t="inlineStr">
        <is>
          <t>Prize Pack Series Cards</t>
        </is>
      </c>
      <c r="H3173" s="3" t="n"/>
      <c r="I3173" s="3" t="n">
        <v>9.98</v>
      </c>
      <c r="J3173" s="3" t="n">
        <v>10.3</v>
      </c>
      <c r="K3173" s="3" t="n">
        <v>8.75</v>
      </c>
      <c r="L3173" s="2" t="inlineStr">
        <is>
          <t>TCGplayer</t>
        </is>
      </c>
      <c r="N3173" s="4" t="inlineStr">
        <is>
          <t>https://www.tcgplayer.com/product/577596</t>
        </is>
      </c>
    </row>
    <row r="3174">
      <c r="A3174" s="2" t="inlineStr">
        <is>
          <t>Play! Pokemon Prize Pack Series Four</t>
        </is>
      </c>
      <c r="B3174" s="3">
        <f>IF(H3174&lt;&gt;"",H3174,IF(I3174&lt;&gt;"",I3174,IF(J3174&lt;&gt;"",J3174,K3174)))</f>
        <v>9.86</v>
      </c>
      <c r="C3174" s="3">
        <f>MEDIAN(H3174:K3174)</f>
        <v>9.86</v>
      </c>
      <c r="D3174" s="3">
        <f>ROUND(C3174*(1-Settings!$B$2),2)</f>
        <v>6.9</v>
      </c>
      <c r="E3174" s="2" t="inlineStr">
        <is>
          <t>Pokemon</t>
        </is>
      </c>
      <c r="F3174" s="2" t="inlineStr">
        <is>
          <t>Pack</t>
        </is>
      </c>
      <c r="G3174" s="2" t="inlineStr">
        <is>
          <t>Prize Pack Series Cards</t>
        </is>
      </c>
      <c r="H3174" s="3" t="n"/>
      <c r="I3174" s="3" t="n">
        <v>9.859999999999999</v>
      </c>
      <c r="J3174" s="3" t="n">
        <v>10.97</v>
      </c>
      <c r="K3174" s="3" t="n">
        <v>7.9</v>
      </c>
      <c r="L3174" s="2" t="inlineStr">
        <is>
          <t>TCGplayer</t>
        </is>
      </c>
      <c r="N3174" s="4" t="inlineStr">
        <is>
          <t>https://www.tcgplayer.com/product/551628</t>
        </is>
      </c>
    </row>
    <row r="3175">
      <c r="A3175" s="2" t="inlineStr">
        <is>
          <t>Play! Pokemon Prize Pack Series Nine</t>
        </is>
      </c>
      <c r="B3175" s="3">
        <f>IF(H3175&lt;&gt;"",H3175,IF(I3175&lt;&gt;"",I3175,IF(J3175&lt;&gt;"",J3175,K3175)))</f>
        <v>11.92</v>
      </c>
      <c r="C3175" s="3">
        <f>MEDIAN(H3175:K3175)</f>
        <v>11.92</v>
      </c>
      <c r="D3175" s="3">
        <f>ROUND(C3175*(1-Settings!$B$2),2)</f>
        <v>8.34</v>
      </c>
      <c r="E3175" s="2" t="inlineStr">
        <is>
          <t>Pokemon</t>
        </is>
      </c>
      <c r="F3175" s="2" t="inlineStr">
        <is>
          <t>Pack</t>
        </is>
      </c>
      <c r="G3175" s="2" t="inlineStr">
        <is>
          <t>Prize Pack Series Cards</t>
        </is>
      </c>
      <c r="H3175" s="3" t="n"/>
      <c r="I3175" s="3" t="n">
        <v>11.92</v>
      </c>
      <c r="J3175" s="3" t="n">
        <v>12.01</v>
      </c>
      <c r="K3175" s="3" t="n">
        <v>8.970000000000001</v>
      </c>
      <c r="L3175" s="2" t="inlineStr">
        <is>
          <t>TCGplayer</t>
        </is>
      </c>
      <c r="N3175" s="4" t="inlineStr">
        <is>
          <t>https://www.tcgplayer.com/product/704373</t>
        </is>
      </c>
    </row>
    <row r="3176">
      <c r="A3176" s="2" t="inlineStr">
        <is>
          <t>Play! Pokemon Prize Pack Series One</t>
        </is>
      </c>
      <c r="B3176" s="3">
        <f>IF(H3176&lt;&gt;"",H3176,IF(I3176&lt;&gt;"",I3176,IF(J3176&lt;&gt;"",J3176,K3176)))</f>
        <v>67.96</v>
      </c>
      <c r="C3176" s="3">
        <f>MEDIAN(H3176:K3176)</f>
        <v>75.89</v>
      </c>
      <c r="D3176" s="3">
        <f>ROUND(C3176*(1-Settings!$B$2),2)</f>
        <v>53.12</v>
      </c>
      <c r="E3176" s="2" t="inlineStr">
        <is>
          <t>Pokemon</t>
        </is>
      </c>
      <c r="F3176" s="2" t="inlineStr">
        <is>
          <t>Pack</t>
        </is>
      </c>
      <c r="G3176" s="2" t="inlineStr">
        <is>
          <t>Prize Pack Series Cards</t>
        </is>
      </c>
      <c r="H3176" s="3" t="n"/>
      <c r="I3176" s="3" t="n">
        <v>67.95999999999999</v>
      </c>
      <c r="J3176" s="3" t="n">
        <v>89</v>
      </c>
      <c r="K3176" s="3" t="n">
        <v>75.89</v>
      </c>
      <c r="L3176" s="2" t="inlineStr">
        <is>
          <t>TCGplayer</t>
        </is>
      </c>
      <c r="N3176" s="4" t="inlineStr">
        <is>
          <t>https://www.tcgplayer.com/product/482138</t>
        </is>
      </c>
    </row>
    <row r="3177">
      <c r="A3177" s="2" t="inlineStr">
        <is>
          <t>Play! Pokemon Prize Pack Series Seven</t>
        </is>
      </c>
      <c r="B3177" s="3">
        <f>IF(H3177&lt;&gt;"",H3177,IF(I3177&lt;&gt;"",I3177,IF(J3177&lt;&gt;"",J3177,K3177)))</f>
        <v>9.11</v>
      </c>
      <c r="C3177" s="3">
        <f>MEDIAN(H3177:K3177)</f>
        <v>9.0</v>
      </c>
      <c r="D3177" s="3">
        <f>ROUND(C3177*(1-Settings!$B$2),2)</f>
        <v>6.3</v>
      </c>
      <c r="E3177" s="2" t="inlineStr">
        <is>
          <t>Pokemon</t>
        </is>
      </c>
      <c r="F3177" s="2" t="inlineStr">
        <is>
          <t>Pack</t>
        </is>
      </c>
      <c r="G3177" s="2" t="inlineStr">
        <is>
          <t>Prize Pack Series Cards</t>
        </is>
      </c>
      <c r="H3177" s="3" t="n"/>
      <c r="I3177" s="3" t="n">
        <v>9.109999999999999</v>
      </c>
      <c r="J3177" s="3" t="n">
        <v>9</v>
      </c>
      <c r="K3177" s="3" t="n">
        <v>7.25</v>
      </c>
      <c r="L3177" s="2" t="inlineStr">
        <is>
          <t>TCGplayer</t>
        </is>
      </c>
      <c r="N3177" s="4" t="inlineStr">
        <is>
          <t>https://www.tcgplayer.com/product/649191</t>
        </is>
      </c>
    </row>
    <row r="3178">
      <c r="A3178" s="2" t="inlineStr">
        <is>
          <t>Play! Pokemon Prize Pack Series Six</t>
        </is>
      </c>
      <c r="B3178" s="3">
        <f>IF(H3178&lt;&gt;"",H3178,IF(I3178&lt;&gt;"",I3178,IF(J3178&lt;&gt;"",J3178,K3178)))</f>
        <v>8.18</v>
      </c>
      <c r="C3178" s="3">
        <f>MEDIAN(H3178:K3178)</f>
        <v>8.18</v>
      </c>
      <c r="D3178" s="3">
        <f>ROUND(C3178*(1-Settings!$B$2),2)</f>
        <v>5.73</v>
      </c>
      <c r="E3178" s="2" t="inlineStr">
        <is>
          <t>Pokemon</t>
        </is>
      </c>
      <c r="F3178" s="2" t="inlineStr">
        <is>
          <t>Pack</t>
        </is>
      </c>
      <c r="G3178" s="2" t="inlineStr">
        <is>
          <t>Prize Pack Series Cards</t>
        </is>
      </c>
      <c r="H3178" s="3" t="n"/>
      <c r="I3178" s="3" t="n">
        <v>8.18</v>
      </c>
      <c r="J3178" s="3" t="n">
        <v>8.99</v>
      </c>
      <c r="K3178" s="3" t="n">
        <v>7.5</v>
      </c>
      <c r="L3178" s="2" t="inlineStr">
        <is>
          <t>TCGplayer</t>
        </is>
      </c>
      <c r="N3178" s="4" t="inlineStr">
        <is>
          <t>https://www.tcgplayer.com/product/639713</t>
        </is>
      </c>
    </row>
    <row r="3179">
      <c r="A3179" s="2" t="inlineStr">
        <is>
          <t>Play! Pokemon Prize Pack Series Three</t>
        </is>
      </c>
      <c r="B3179" s="3">
        <f>IF(H3179&lt;&gt;"",H3179,IF(I3179&lt;&gt;"",I3179,IF(J3179&lt;&gt;"",J3179,K3179)))</f>
        <v>27.6</v>
      </c>
      <c r="C3179" s="3">
        <f>MEDIAN(H3179:K3179)</f>
        <v>27.6</v>
      </c>
      <c r="D3179" s="3">
        <f>ROUND(C3179*(1-Settings!$B$2),2)</f>
        <v>19.32</v>
      </c>
      <c r="E3179" s="2" t="inlineStr">
        <is>
          <t>Pokemon</t>
        </is>
      </c>
      <c r="F3179" s="2" t="inlineStr">
        <is>
          <t>Pack</t>
        </is>
      </c>
      <c r="G3179" s="2" t="inlineStr">
        <is>
          <t>Prize Pack Series Cards</t>
        </is>
      </c>
      <c r="H3179" s="3" t="n"/>
      <c r="I3179" s="3" t="n">
        <v>27.6</v>
      </c>
      <c r="J3179" s="3" t="n">
        <v>28</v>
      </c>
      <c r="K3179" s="3" t="n">
        <v>17</v>
      </c>
      <c r="L3179" s="2" t="inlineStr">
        <is>
          <t>TCGplayer</t>
        </is>
      </c>
      <c r="N3179" s="4" t="inlineStr">
        <is>
          <t>https://www.tcgplayer.com/product/517551</t>
        </is>
      </c>
    </row>
    <row r="3180">
      <c r="A3180" s="2" t="inlineStr">
        <is>
          <t>Play! Pokemon Prize Pack Series Two</t>
        </is>
      </c>
      <c r="B3180" s="3">
        <f>IF(H3180&lt;&gt;"",H3180,IF(I3180&lt;&gt;"",I3180,IF(J3180&lt;&gt;"",J3180,K3180)))</f>
        <v>61.37</v>
      </c>
      <c r="C3180" s="3">
        <f>MEDIAN(H3180:K3180)</f>
        <v>61.37</v>
      </c>
      <c r="D3180" s="3">
        <f>ROUND(C3180*(1-Settings!$B$2),2)</f>
        <v>42.96</v>
      </c>
      <c r="E3180" s="2" t="inlineStr">
        <is>
          <t>Pokemon</t>
        </is>
      </c>
      <c r="F3180" s="2" t="inlineStr">
        <is>
          <t>Pack</t>
        </is>
      </c>
      <c r="G3180" s="2" t="inlineStr">
        <is>
          <t>Prize Pack Series Cards</t>
        </is>
      </c>
      <c r="H3180" s="3" t="n"/>
      <c r="I3180" s="3" t="n">
        <v>61.37</v>
      </c>
      <c r="J3180" s="3" t="n">
        <v>70</v>
      </c>
      <c r="K3180" s="3" t="n">
        <v>50</v>
      </c>
      <c r="L3180" s="2" t="inlineStr">
        <is>
          <t>TCGplayer</t>
        </is>
      </c>
      <c r="N3180" s="4" t="inlineStr">
        <is>
          <t>https://www.tcgplayer.com/product/488324</t>
        </is>
      </c>
    </row>
    <row r="3181">
      <c r="A3181" s="2" t="inlineStr">
        <is>
          <t>Promo 2 Pack Blister [Tornadus, Thundurus &amp; Landorus]</t>
        </is>
      </c>
      <c r="B3181" s="3">
        <f>IF(H3181&lt;&gt;"",H3181,IF(I3181&lt;&gt;"",I3181,IF(J3181&lt;&gt;"",J3181,K3181)))</f>
        <v>29.24</v>
      </c>
      <c r="C3181" s="3">
        <f>MEDIAN(H3181:K3181)</f>
        <v>29.24</v>
      </c>
      <c r="D3181" s="3">
        <f>ROUND(C3181*(1-Settings!$B$2),2)</f>
        <v>20.47</v>
      </c>
      <c r="E3181" s="2" t="inlineStr">
        <is>
          <t>Pokemon</t>
        </is>
      </c>
      <c r="F3181" s="2" t="inlineStr">
        <is>
          <t>Pack</t>
        </is>
      </c>
      <c r="G3181" s="2" t="inlineStr">
        <is>
          <t>Promo</t>
        </is>
      </c>
      <c r="H3181" s="3" t="n">
        <v>29.24</v>
      </c>
      <c r="I3181" s="3" t="n"/>
      <c r="J3181" s="3" t="n"/>
      <c r="K3181" s="3" t="n"/>
      <c r="L3181" s="2" t="inlineStr">
        <is>
          <t>PriceCharting</t>
        </is>
      </c>
      <c r="M3181" s="4" t="inlineStr">
        <is>
          <t>https://www.pricecharting.com/game/pokemon-promo/2-pack-blister-tornadus-thundurus-&amp;-landorus</t>
        </is>
      </c>
    </row>
    <row r="3182">
      <c r="A3182" s="2" t="inlineStr">
        <is>
          <t>Promo Back To School Eraser Blister [Bellibolt]</t>
        </is>
      </c>
      <c r="B3182" s="3">
        <f>IF(H3182&lt;&gt;"",H3182,IF(I3182&lt;&gt;"",I3182,IF(J3182&lt;&gt;"",J3182,K3182)))</f>
        <v>24.61</v>
      </c>
      <c r="C3182" s="3">
        <f>MEDIAN(H3182:K3182)</f>
        <v>24.61</v>
      </c>
      <c r="D3182" s="3">
        <f>ROUND(C3182*(1-Settings!$B$2),2)</f>
        <v>17.23</v>
      </c>
      <c r="E3182" s="2" t="inlineStr">
        <is>
          <t>Pokemon</t>
        </is>
      </c>
      <c r="F3182" s="2" t="inlineStr">
        <is>
          <t>Pack</t>
        </is>
      </c>
      <c r="G3182" s="2" t="inlineStr">
        <is>
          <t>Promo</t>
        </is>
      </c>
      <c r="H3182" s="3" t="n">
        <v>24.61</v>
      </c>
      <c r="I3182" s="3" t="n"/>
      <c r="J3182" s="3" t="n"/>
      <c r="K3182" s="3" t="n"/>
      <c r="L3182" s="2" t="inlineStr">
        <is>
          <t>PriceCharting</t>
        </is>
      </c>
      <c r="M3182" s="4" t="inlineStr">
        <is>
          <t>https://www.pricecharting.com/game/pokemon-promo/back-to-school-eraser-blister-bellibolt</t>
        </is>
      </c>
    </row>
    <row r="3183">
      <c r="A3183" s="2" t="inlineStr">
        <is>
          <t>Promo Back To School Eraser Blister [Gengar]</t>
        </is>
      </c>
      <c r="B3183" s="3">
        <f>IF(H3183&lt;&gt;"",H3183,IF(I3183&lt;&gt;"",I3183,IF(J3183&lt;&gt;"",J3183,K3183)))</f>
        <v>34.44</v>
      </c>
      <c r="C3183" s="3">
        <f>MEDIAN(H3183:K3183)</f>
        <v>34.44</v>
      </c>
      <c r="D3183" s="3">
        <f>ROUND(C3183*(1-Settings!$B$2),2)</f>
        <v>24.11</v>
      </c>
      <c r="E3183" s="2" t="inlineStr">
        <is>
          <t>Pokemon</t>
        </is>
      </c>
      <c r="F3183" s="2" t="inlineStr">
        <is>
          <t>Pack</t>
        </is>
      </c>
      <c r="G3183" s="2" t="inlineStr">
        <is>
          <t>Promo</t>
        </is>
      </c>
      <c r="H3183" s="3" t="n">
        <v>34.44</v>
      </c>
      <c r="I3183" s="3" t="n"/>
      <c r="J3183" s="3" t="n"/>
      <c r="K3183" s="3" t="n"/>
      <c r="L3183" s="2" t="inlineStr">
        <is>
          <t>PriceCharting</t>
        </is>
      </c>
      <c r="M3183" s="4" t="inlineStr">
        <is>
          <t>https://www.pricecharting.com/game/pokemon-promo/back-to-school-eraser-blister-gengar</t>
        </is>
      </c>
    </row>
    <row r="3184">
      <c r="A3184" s="2" t="inlineStr">
        <is>
          <t>Promo Checklane 2-Mini Pack Blister [Dragonite]</t>
        </is>
      </c>
      <c r="B3184" s="3">
        <f>IF(H3184&lt;&gt;"",H3184,IF(I3184&lt;&gt;"",I3184,IF(J3184&lt;&gt;"",J3184,K3184)))</f>
        <v>49.84</v>
      </c>
      <c r="C3184" s="3">
        <f>MEDIAN(H3184:K3184)</f>
        <v>49.84</v>
      </c>
      <c r="D3184" s="3">
        <f>ROUND(C3184*(1-Settings!$B$2),2)</f>
        <v>34.89</v>
      </c>
      <c r="E3184" s="2" t="inlineStr">
        <is>
          <t>Pokemon</t>
        </is>
      </c>
      <c r="F3184" s="2" t="inlineStr">
        <is>
          <t>Pack</t>
        </is>
      </c>
      <c r="G3184" s="2" t="inlineStr">
        <is>
          <t>Promo</t>
        </is>
      </c>
      <c r="H3184" s="3" t="n">
        <v>49.84</v>
      </c>
      <c r="I3184" s="3" t="n"/>
      <c r="J3184" s="3" t="n"/>
      <c r="K3184" s="3" t="n"/>
      <c r="L3184" s="2" t="inlineStr">
        <is>
          <t>PriceCharting</t>
        </is>
      </c>
      <c r="M3184" s="4" t="inlineStr">
        <is>
          <t>https://www.pricecharting.com/game/pokemon-promo/checklane-2-mini-pack-blister-dragonite</t>
        </is>
      </c>
    </row>
    <row r="3185">
      <c r="A3185" s="2" t="inlineStr">
        <is>
          <t>Promo Checklane 2-Mini Pack Blister [Machamp]</t>
        </is>
      </c>
      <c r="B3185" s="3">
        <f>IF(H3185&lt;&gt;"",H3185,IF(I3185&lt;&gt;"",I3185,IF(J3185&lt;&gt;"",J3185,K3185)))</f>
        <v>48.99</v>
      </c>
      <c r="C3185" s="3">
        <f>MEDIAN(H3185:K3185)</f>
        <v>48.99</v>
      </c>
      <c r="D3185" s="3">
        <f>ROUND(C3185*(1-Settings!$B$2),2)</f>
        <v>34.29</v>
      </c>
      <c r="E3185" s="2" t="inlineStr">
        <is>
          <t>Pokemon</t>
        </is>
      </c>
      <c r="F3185" s="2" t="inlineStr">
        <is>
          <t>Pack</t>
        </is>
      </c>
      <c r="G3185" s="2" t="inlineStr">
        <is>
          <t>Promo</t>
        </is>
      </c>
      <c r="H3185" s="3" t="n">
        <v>48.99</v>
      </c>
      <c r="I3185" s="3" t="n"/>
      <c r="J3185" s="3" t="n"/>
      <c r="K3185" s="3" t="n"/>
      <c r="L3185" s="2" t="inlineStr">
        <is>
          <t>PriceCharting</t>
        </is>
      </c>
      <c r="M3185" s="4" t="inlineStr">
        <is>
          <t>https://www.pricecharting.com/game/pokemon-promo/checklane-2-mini-pack-blister-machamp</t>
        </is>
      </c>
    </row>
    <row r="3186">
      <c r="A3186" s="2" t="inlineStr">
        <is>
          <t>Promo Checklane Blister 2 Pack: Pawmot</t>
        </is>
      </c>
      <c r="B3186" s="3">
        <f>IF(H3186&lt;&gt;"",H3186,IF(I3186&lt;&gt;"",I3186,IF(J3186&lt;&gt;"",J3186,K3186)))</f>
        <v>14.85</v>
      </c>
      <c r="C3186" s="3">
        <f>MEDIAN(H3186:K3186)</f>
        <v>14.85</v>
      </c>
      <c r="D3186" s="3">
        <f>ROUND(C3186*(1-Settings!$B$2),2)</f>
        <v>10.4</v>
      </c>
      <c r="E3186" s="2" t="inlineStr">
        <is>
          <t>Pokemon</t>
        </is>
      </c>
      <c r="F3186" s="2" t="inlineStr">
        <is>
          <t>Pack</t>
        </is>
      </c>
      <c r="G3186" s="2" t="inlineStr">
        <is>
          <t>Promo</t>
        </is>
      </c>
      <c r="H3186" s="3" t="n">
        <v>14.85</v>
      </c>
      <c r="I3186" s="3" t="n"/>
      <c r="J3186" s="3" t="n"/>
      <c r="K3186" s="3" t="n"/>
      <c r="L3186" s="2" t="inlineStr">
        <is>
          <t>PriceCharting</t>
        </is>
      </c>
      <c r="M3186" s="4" t="inlineStr">
        <is>
          <t>https://www.pricecharting.com/game/pokemon-promo/checklane-blister-2-pack-pawmot</t>
        </is>
      </c>
    </row>
    <row r="3187">
      <c r="A3187" s="2" t="inlineStr">
        <is>
          <t>Promo First Partner Illustration Pack: Series 1</t>
        </is>
      </c>
      <c r="B3187" s="3">
        <f>IF(H3187&lt;&gt;"",H3187,IF(I3187&lt;&gt;"",I3187,IF(J3187&lt;&gt;"",J3187,K3187)))</f>
        <v>48.0</v>
      </c>
      <c r="C3187" s="3">
        <f>MEDIAN(H3187:K3187)</f>
        <v>48.0</v>
      </c>
      <c r="D3187" s="3">
        <f>ROUND(C3187*(1-Settings!$B$2),2)</f>
        <v>33.6</v>
      </c>
      <c r="E3187" s="2" t="inlineStr">
        <is>
          <t>Pokemon</t>
        </is>
      </c>
      <c r="F3187" s="2" t="inlineStr">
        <is>
          <t>Pack</t>
        </is>
      </c>
      <c r="G3187" s="2" t="inlineStr">
        <is>
          <t>Promo</t>
        </is>
      </c>
      <c r="H3187" s="3" t="n">
        <v>48</v>
      </c>
      <c r="I3187" s="3" t="n"/>
      <c r="J3187" s="3" t="n"/>
      <c r="K3187" s="3" t="n"/>
      <c r="L3187" s="2" t="inlineStr">
        <is>
          <t>PriceCharting</t>
        </is>
      </c>
      <c r="M3187" s="4" t="inlineStr">
        <is>
          <t>https://www.pricecharting.com/game/pokemon-promo/first-partner-illustration-pack-series-1</t>
        </is>
      </c>
    </row>
    <row r="3188">
      <c r="A3188" s="2" t="inlineStr">
        <is>
          <t>Promo Legendary Beasts Collector Pin 3 Pack Blister [Entei]</t>
        </is>
      </c>
      <c r="B3188" s="3">
        <f>IF(H3188&lt;&gt;"",H3188,IF(I3188&lt;&gt;"",I3188,IF(J3188&lt;&gt;"",J3188,K3188)))</f>
        <v>103.47</v>
      </c>
      <c r="C3188" s="3">
        <f>MEDIAN(H3188:K3188)</f>
        <v>103.47</v>
      </c>
      <c r="D3188" s="3">
        <f>ROUND(C3188*(1-Settings!$B$2),2)</f>
        <v>72.43</v>
      </c>
      <c r="E3188" s="2" t="inlineStr">
        <is>
          <t>Pokemon</t>
        </is>
      </c>
      <c r="F3188" s="2" t="inlineStr">
        <is>
          <t>Pack</t>
        </is>
      </c>
      <c r="G3188" s="2" t="inlineStr">
        <is>
          <t>Promo</t>
        </is>
      </c>
      <c r="H3188" s="3" t="n">
        <v>103.47</v>
      </c>
      <c r="I3188" s="3" t="n"/>
      <c r="J3188" s="3" t="n"/>
      <c r="K3188" s="3" t="n"/>
      <c r="L3188" s="2" t="inlineStr">
        <is>
          <t>PriceCharting</t>
        </is>
      </c>
      <c r="M3188" s="4" t="inlineStr">
        <is>
          <t>https://www.pricecharting.com/game/pokemon-promo/legendary-beasts-collector-pin-3-pack-blister-entei</t>
        </is>
      </c>
    </row>
    <row r="3189">
      <c r="A3189" s="2" t="inlineStr">
        <is>
          <t>Promo Legendary Beasts Collector Pin 3 Pack Blister [Raikou]</t>
        </is>
      </c>
      <c r="B3189" s="3">
        <f>IF(H3189&lt;&gt;"",H3189,IF(I3189&lt;&gt;"",I3189,IF(J3189&lt;&gt;"",J3189,K3189)))</f>
        <v>139.0</v>
      </c>
      <c r="C3189" s="3">
        <f>MEDIAN(H3189:K3189)</f>
        <v>139.0</v>
      </c>
      <c r="D3189" s="3">
        <f>ROUND(C3189*(1-Settings!$B$2),2)</f>
        <v>97.3</v>
      </c>
      <c r="E3189" s="2" t="inlineStr">
        <is>
          <t>Pokemon</t>
        </is>
      </c>
      <c r="F3189" s="2" t="inlineStr">
        <is>
          <t>Pack</t>
        </is>
      </c>
      <c r="G3189" s="2" t="inlineStr">
        <is>
          <t>Promo</t>
        </is>
      </c>
      <c r="H3189" s="3" t="n">
        <v>139</v>
      </c>
      <c r="I3189" s="3" t="n"/>
      <c r="J3189" s="3" t="n"/>
      <c r="K3189" s="3" t="n"/>
      <c r="L3189" s="2" t="inlineStr">
        <is>
          <t>PriceCharting</t>
        </is>
      </c>
      <c r="M3189" s="4" t="inlineStr">
        <is>
          <t>https://www.pricecharting.com/game/pokemon-promo/legendary-beasts-collector-pin-3-pack-blister-raikou</t>
        </is>
      </c>
    </row>
    <row r="3190">
      <c r="A3190" s="2" t="inlineStr">
        <is>
          <t>Promo Legendary Beasts Collector Pin 3 Pack Blister [Suicune]</t>
        </is>
      </c>
      <c r="B3190" s="3">
        <f>IF(H3190&lt;&gt;"",H3190,IF(I3190&lt;&gt;"",I3190,IF(J3190&lt;&gt;"",J3190,K3190)))</f>
        <v>140.86</v>
      </c>
      <c r="C3190" s="3">
        <f>MEDIAN(H3190:K3190)</f>
        <v>140.86</v>
      </c>
      <c r="D3190" s="3">
        <f>ROUND(C3190*(1-Settings!$B$2),2)</f>
        <v>98.6</v>
      </c>
      <c r="E3190" s="2" t="inlineStr">
        <is>
          <t>Pokemon</t>
        </is>
      </c>
      <c r="F3190" s="2" t="inlineStr">
        <is>
          <t>Pack</t>
        </is>
      </c>
      <c r="G3190" s="2" t="inlineStr">
        <is>
          <t>Promo</t>
        </is>
      </c>
      <c r="H3190" s="3" t="n">
        <v>140.86</v>
      </c>
      <c r="I3190" s="3" t="n"/>
      <c r="J3190" s="3" t="n"/>
      <c r="K3190" s="3" t="n"/>
      <c r="L3190" s="2" t="inlineStr">
        <is>
          <t>PriceCharting</t>
        </is>
      </c>
      <c r="M3190" s="4" t="inlineStr">
        <is>
          <t>https://www.pricecharting.com/game/pokemon-promo/legendary-beasts-collector-pin-3-pack-blister-suicune</t>
        </is>
      </c>
    </row>
    <row r="3191">
      <c r="A3191" s="2" t="inlineStr">
        <is>
          <t>Promo Palafin, Garganacl &amp; Baxcalibur Blister Pack</t>
        </is>
      </c>
      <c r="B3191" s="3">
        <f>IF(H3191&lt;&gt;"",H3191,IF(I3191&lt;&gt;"",I3191,IF(J3191&lt;&gt;"",J3191,K3191)))</f>
        <v>10.54</v>
      </c>
      <c r="C3191" s="3">
        <f>MEDIAN(H3191:K3191)</f>
        <v>10.54</v>
      </c>
      <c r="D3191" s="3">
        <f>ROUND(C3191*(1-Settings!$B$2),2)</f>
        <v>7.38</v>
      </c>
      <c r="E3191" s="2" t="inlineStr">
        <is>
          <t>Pokemon</t>
        </is>
      </c>
      <c r="F3191" s="2" t="inlineStr">
        <is>
          <t>Pack</t>
        </is>
      </c>
      <c r="G3191" s="2" t="inlineStr">
        <is>
          <t>Promo</t>
        </is>
      </c>
      <c r="H3191" s="3" t="n">
        <v>10.54</v>
      </c>
      <c r="I3191" s="3" t="n"/>
      <c r="J3191" s="3" t="n"/>
      <c r="K3191" s="3" t="n"/>
      <c r="L3191" s="2" t="inlineStr">
        <is>
          <t>PriceCharting</t>
        </is>
      </c>
      <c r="M3191" s="4" t="inlineStr">
        <is>
          <t>https://www.pricecharting.com/game/pokemon-promo/palafin-garganacl-&amp;-baxcalibur-blister-pack</t>
        </is>
      </c>
    </row>
    <row r="3192">
      <c r="A3192" s="2" t="inlineStr">
        <is>
          <t>Promo Play! Prize Pack Series 1</t>
        </is>
      </c>
      <c r="B3192" s="3">
        <f>IF(H3192&lt;&gt;"",H3192,IF(I3192&lt;&gt;"",I3192,IF(J3192&lt;&gt;"",J3192,K3192)))</f>
        <v>70.5</v>
      </c>
      <c r="C3192" s="3">
        <f>MEDIAN(H3192:K3192)</f>
        <v>70.5</v>
      </c>
      <c r="D3192" s="3">
        <f>ROUND(C3192*(1-Settings!$B$2),2)</f>
        <v>49.35</v>
      </c>
      <c r="E3192" s="2" t="inlineStr">
        <is>
          <t>Pokemon</t>
        </is>
      </c>
      <c r="F3192" s="2" t="inlineStr">
        <is>
          <t>Pack</t>
        </is>
      </c>
      <c r="G3192" s="2" t="inlineStr">
        <is>
          <t>Promo</t>
        </is>
      </c>
      <c r="H3192" s="3" t="n">
        <v>70.5</v>
      </c>
      <c r="I3192" s="3" t="n"/>
      <c r="J3192" s="3" t="n"/>
      <c r="K3192" s="3" t="n"/>
      <c r="L3192" s="2" t="inlineStr">
        <is>
          <t>PriceCharting</t>
        </is>
      </c>
      <c r="M3192" s="4" t="inlineStr">
        <is>
          <t>https://www.pricecharting.com/game/pokemon-promo/play-prize-pack-series-1</t>
        </is>
      </c>
    </row>
    <row r="3193">
      <c r="A3193" s="2" t="inlineStr">
        <is>
          <t>Promo Play! Prize Pack Series 2</t>
        </is>
      </c>
      <c r="B3193" s="3">
        <f>IF(H3193&lt;&gt;"",H3193,IF(I3193&lt;&gt;"",I3193,IF(J3193&lt;&gt;"",J3193,K3193)))</f>
        <v>50.0</v>
      </c>
      <c r="C3193" s="3">
        <f>MEDIAN(H3193:K3193)</f>
        <v>50.0</v>
      </c>
      <c r="D3193" s="3">
        <f>ROUND(C3193*(1-Settings!$B$2),2)</f>
        <v>35.0</v>
      </c>
      <c r="E3193" s="2" t="inlineStr">
        <is>
          <t>Pokemon</t>
        </is>
      </c>
      <c r="F3193" s="2" t="inlineStr">
        <is>
          <t>Pack</t>
        </is>
      </c>
      <c r="G3193" s="2" t="inlineStr">
        <is>
          <t>Promo</t>
        </is>
      </c>
      <c r="H3193" s="3" t="n">
        <v>50</v>
      </c>
      <c r="I3193" s="3" t="n"/>
      <c r="J3193" s="3" t="n"/>
      <c r="K3193" s="3" t="n"/>
      <c r="L3193" s="2" t="inlineStr">
        <is>
          <t>PriceCharting</t>
        </is>
      </c>
      <c r="M3193" s="4" t="inlineStr">
        <is>
          <t>https://www.pricecharting.com/game/pokemon-promo/play-prize-pack-series-2</t>
        </is>
      </c>
    </row>
    <row r="3194">
      <c r="A3194" s="2" t="inlineStr">
        <is>
          <t>Promo Play! Prize Pack Series 3</t>
        </is>
      </c>
      <c r="B3194" s="3">
        <f>IF(H3194&lt;&gt;"",H3194,IF(I3194&lt;&gt;"",I3194,IF(J3194&lt;&gt;"",J3194,K3194)))</f>
        <v>25.19</v>
      </c>
      <c r="C3194" s="3">
        <f>MEDIAN(H3194:K3194)</f>
        <v>25.19</v>
      </c>
      <c r="D3194" s="3">
        <f>ROUND(C3194*(1-Settings!$B$2),2)</f>
        <v>17.63</v>
      </c>
      <c r="E3194" s="2" t="inlineStr">
        <is>
          <t>Pokemon</t>
        </is>
      </c>
      <c r="F3194" s="2" t="inlineStr">
        <is>
          <t>Pack</t>
        </is>
      </c>
      <c r="G3194" s="2" t="inlineStr">
        <is>
          <t>Promo</t>
        </is>
      </c>
      <c r="H3194" s="3" t="n">
        <v>25.19</v>
      </c>
      <c r="I3194" s="3" t="n"/>
      <c r="J3194" s="3" t="n"/>
      <c r="K3194" s="3" t="n"/>
      <c r="L3194" s="2" t="inlineStr">
        <is>
          <t>PriceCharting</t>
        </is>
      </c>
      <c r="M3194" s="4" t="inlineStr">
        <is>
          <t>https://www.pricecharting.com/game/pokemon-promo/play-prize-pack-series-3</t>
        </is>
      </c>
    </row>
    <row r="3195">
      <c r="A3195" s="2" t="inlineStr">
        <is>
          <t>Promo Play! Prize Pack Series 7</t>
        </is>
      </c>
      <c r="B3195" s="3">
        <f>IF(H3195&lt;&gt;"",H3195,IF(I3195&lt;&gt;"",I3195,IF(J3195&lt;&gt;"",J3195,K3195)))</f>
        <v>12.26</v>
      </c>
      <c r="C3195" s="3">
        <f>MEDIAN(H3195:K3195)</f>
        <v>12.26</v>
      </c>
      <c r="D3195" s="3">
        <f>ROUND(C3195*(1-Settings!$B$2),2)</f>
        <v>8.58</v>
      </c>
      <c r="E3195" s="2" t="inlineStr">
        <is>
          <t>Pokemon</t>
        </is>
      </c>
      <c r="F3195" s="2" t="inlineStr">
        <is>
          <t>Pack</t>
        </is>
      </c>
      <c r="G3195" s="2" t="inlineStr">
        <is>
          <t>Promo</t>
        </is>
      </c>
      <c r="H3195" s="3" t="n">
        <v>12.26</v>
      </c>
      <c r="I3195" s="3" t="n"/>
      <c r="J3195" s="3" t="n"/>
      <c r="K3195" s="3" t="n"/>
      <c r="L3195" s="2" t="inlineStr">
        <is>
          <t>PriceCharting</t>
        </is>
      </c>
      <c r="M3195" s="4" t="inlineStr">
        <is>
          <t>https://www.pricecharting.com/game/pokemon-promo/play-prize-pack-series-7</t>
        </is>
      </c>
    </row>
    <row r="3196">
      <c r="A3196" s="2" t="inlineStr">
        <is>
          <t>Rising Rivals Blister Pack</t>
        </is>
      </c>
      <c r="B3196" s="3">
        <f>IF(H3196&lt;&gt;"",H3196,IF(I3196&lt;&gt;"",I3196,IF(J3196&lt;&gt;"",J3196,K3196)))</f>
        <v>647.3</v>
      </c>
      <c r="C3196" s="3">
        <f>MEDIAN(H3196:K3196)</f>
        <v>647.3</v>
      </c>
      <c r="D3196" s="3">
        <f>ROUND(C3196*(1-Settings!$B$2),2)</f>
        <v>453.11</v>
      </c>
      <c r="E3196" s="2" t="inlineStr">
        <is>
          <t>Pokemon</t>
        </is>
      </c>
      <c r="F3196" s="2" t="inlineStr">
        <is>
          <t>Pack</t>
        </is>
      </c>
      <c r="G3196" s="2" t="inlineStr">
        <is>
          <t>Rising Rivals</t>
        </is>
      </c>
      <c r="H3196" s="3" t="n">
        <v>647.3</v>
      </c>
      <c r="I3196" s="3" t="n"/>
      <c r="J3196" s="3" t="n"/>
      <c r="K3196" s="3" t="n"/>
      <c r="L3196" s="2" t="inlineStr">
        <is>
          <t>PriceCharting</t>
        </is>
      </c>
      <c r="M3196" s="4" t="inlineStr">
        <is>
          <t>https://www.pricecharting.com/game/pokemon-rising-rivals/blister-pack</t>
        </is>
      </c>
    </row>
    <row r="3197">
      <c r="A3197" s="2" t="inlineStr">
        <is>
          <t>Rising Rivals Booster Pack</t>
        </is>
      </c>
      <c r="B3197" s="3">
        <f>IF(H3197&lt;&gt;"",H3197,IF(I3197&lt;&gt;"",I3197,IF(J3197&lt;&gt;"",J3197,K3197)))</f>
        <v>439.29</v>
      </c>
      <c r="C3197" s="3">
        <f>MEDIAN(H3197:K3197)</f>
        <v>664.635</v>
      </c>
      <c r="D3197" s="3">
        <f>ROUND(C3197*(1-Settings!$B$2),2)</f>
        <v>465.24</v>
      </c>
      <c r="E3197" s="2" t="inlineStr">
        <is>
          <t>Pokemon</t>
        </is>
      </c>
      <c r="F3197" s="2" t="inlineStr">
        <is>
          <t>Pack</t>
        </is>
      </c>
      <c r="G3197" s="2" t="inlineStr">
        <is>
          <t>Rising Rivals</t>
        </is>
      </c>
      <c r="H3197" s="3" t="n">
        <v>439.29</v>
      </c>
      <c r="I3197" s="3" t="n">
        <v>400</v>
      </c>
      <c r="J3197" s="3" t="n">
        <v>889.98</v>
      </c>
      <c r="K3197" s="3" t="n">
        <v>889.98</v>
      </c>
      <c r="L3197" s="2" t="inlineStr">
        <is>
          <t>PriceCharting + TCGplayer</t>
        </is>
      </c>
      <c r="M3197" s="4" t="inlineStr">
        <is>
          <t>https://www.pricecharting.com/game/pokemon-rising-rivals/booster-pack</t>
        </is>
      </c>
      <c r="N3197" s="4" t="inlineStr">
        <is>
          <t>https://www.tcgplayer.com/product/98542</t>
        </is>
      </c>
    </row>
    <row r="3198">
      <c r="A3198" s="2" t="inlineStr">
        <is>
          <t>Roaring Skies Blister Pack</t>
        </is>
      </c>
      <c r="B3198" s="3">
        <f>IF(H3198&lt;&gt;"",H3198,IF(I3198&lt;&gt;"",I3198,IF(J3198&lt;&gt;"",J3198,K3198)))</f>
        <v>105.4</v>
      </c>
      <c r="C3198" s="3">
        <f>MEDIAN(H3198:K3198)</f>
        <v>105.4</v>
      </c>
      <c r="D3198" s="3">
        <f>ROUND(C3198*(1-Settings!$B$2),2)</f>
        <v>73.78</v>
      </c>
      <c r="E3198" s="2" t="inlineStr">
        <is>
          <t>Pokemon</t>
        </is>
      </c>
      <c r="F3198" s="2" t="inlineStr">
        <is>
          <t>Pack</t>
        </is>
      </c>
      <c r="G3198" s="2" t="inlineStr">
        <is>
          <t>Roaring Skies</t>
        </is>
      </c>
      <c r="H3198" s="3" t="n">
        <v>105.4</v>
      </c>
      <c r="I3198" s="3" t="n"/>
      <c r="J3198" s="3" t="n"/>
      <c r="K3198" s="3" t="n"/>
      <c r="L3198" s="2" t="inlineStr">
        <is>
          <t>PriceCharting</t>
        </is>
      </c>
      <c r="M3198" s="4" t="inlineStr">
        <is>
          <t>https://www.pricecharting.com/game/pokemon-roaring-skies/blister-pack</t>
        </is>
      </c>
    </row>
    <row r="3199">
      <c r="A3199" s="2" t="inlineStr">
        <is>
          <t>Dark Phantasma Booster Pack</t>
        </is>
      </c>
      <c r="B3199" s="3">
        <f>IF(H3199&lt;&gt;"",H3199,IF(I3199&lt;&gt;"",I3199,IF(J3199&lt;&gt;"",J3199,K3199)))</f>
        <v>12.75</v>
      </c>
      <c r="C3199" s="3">
        <f>MEDIAN(H3199:K3199)</f>
        <v>9.870000000000001</v>
      </c>
      <c r="D3199" s="3">
        <f>ROUND(C3199*(1-Settings!$B$2),2)</f>
        <v>6.91</v>
      </c>
      <c r="E3199" s="2" t="inlineStr">
        <is>
          <t>Pokemon</t>
        </is>
      </c>
      <c r="F3199" s="2" t="inlineStr">
        <is>
          <t>Pack</t>
        </is>
      </c>
      <c r="G3199" s="2" t="inlineStr">
        <is>
          <t>S10a: Dark Phantasma</t>
        </is>
      </c>
      <c r="H3199" s="3" t="n"/>
      <c r="I3199" s="3" t="n">
        <v>12.75</v>
      </c>
      <c r="J3199" s="3" t="n"/>
      <c r="K3199" s="3" t="n">
        <v>6.99</v>
      </c>
      <c r="L3199" s="2" t="inlineStr">
        <is>
          <t>TCGplayer</t>
        </is>
      </c>
      <c r="N3199" s="4" t="inlineStr">
        <is>
          <t>https://www.tcgplayer.com/product/575041</t>
        </is>
      </c>
    </row>
    <row r="3200">
      <c r="A3200" s="2" t="inlineStr">
        <is>
          <t>Pokemon GO Booster Pack</t>
        </is>
      </c>
      <c r="B3200" s="3">
        <f>IF(H3200&lt;&gt;"",H3200,IF(I3200&lt;&gt;"",I3200,IF(J3200&lt;&gt;"",J3200,K3200)))</f>
        <v>8.8</v>
      </c>
      <c r="C3200" s="3">
        <f>MEDIAN(H3200:K3200)</f>
        <v>11.645</v>
      </c>
      <c r="D3200" s="3">
        <f>ROUND(C3200*(1-Settings!$B$2),2)</f>
        <v>8.15</v>
      </c>
      <c r="E3200" s="2" t="inlineStr">
        <is>
          <t>Pokemon</t>
        </is>
      </c>
      <c r="F3200" s="2" t="inlineStr">
        <is>
          <t>Pack</t>
        </is>
      </c>
      <c r="G3200" s="2" t="inlineStr">
        <is>
          <t>S10b: Pokemon GO</t>
        </is>
      </c>
      <c r="H3200" s="3" t="n"/>
      <c r="I3200" s="3" t="n">
        <v>8.800000000000001</v>
      </c>
      <c r="J3200" s="3" t="n"/>
      <c r="K3200" s="3" t="n">
        <v>14.49</v>
      </c>
      <c r="L3200" s="2" t="inlineStr">
        <is>
          <t>TCGplayer</t>
        </is>
      </c>
      <c r="N3200" s="4" t="inlineStr">
        <is>
          <t>https://www.tcgplayer.com/product/575039</t>
        </is>
      </c>
    </row>
    <row r="3201">
      <c r="A3201" s="2" t="inlineStr">
        <is>
          <t>Time Gazer Booster Pack</t>
        </is>
      </c>
      <c r="B3201" s="3">
        <f>IF(H3201&lt;&gt;"",H3201,IF(I3201&lt;&gt;"",I3201,IF(J3201&lt;&gt;"",J3201,K3201)))</f>
        <v>6.94</v>
      </c>
      <c r="C3201" s="3">
        <f>MEDIAN(H3201:K3201)</f>
        <v>5.970000000000001</v>
      </c>
      <c r="D3201" s="3">
        <f>ROUND(C3201*(1-Settings!$B$2),2)</f>
        <v>4.18</v>
      </c>
      <c r="E3201" s="2" t="inlineStr">
        <is>
          <t>Pokemon</t>
        </is>
      </c>
      <c r="F3201" s="2" t="inlineStr">
        <is>
          <t>Pack</t>
        </is>
      </c>
      <c r="G3201" s="2" t="inlineStr">
        <is>
          <t>S10D: Time Gazer</t>
        </is>
      </c>
      <c r="H3201" s="3" t="n"/>
      <c r="I3201" s="3" t="n">
        <v>6.94</v>
      </c>
      <c r="J3201" s="3" t="n"/>
      <c r="K3201" s="3" t="n">
        <v>5</v>
      </c>
      <c r="L3201" s="2" t="inlineStr">
        <is>
          <t>TCGplayer</t>
        </is>
      </c>
      <c r="N3201" s="4" t="inlineStr">
        <is>
          <t>https://www.tcgplayer.com/product/571833</t>
        </is>
      </c>
    </row>
    <row r="3202">
      <c r="A3202" s="2" t="inlineStr">
        <is>
          <t>Space Juggler Booster Pack</t>
        </is>
      </c>
      <c r="B3202" s="3">
        <f>IF(H3202&lt;&gt;"",H3202,IF(I3202&lt;&gt;"",I3202,IF(J3202&lt;&gt;"",J3202,K3202)))</f>
        <v>8.06</v>
      </c>
      <c r="C3202" s="3">
        <f>MEDIAN(H3202:K3202)</f>
        <v>6.28</v>
      </c>
      <c r="D3202" s="3">
        <f>ROUND(C3202*(1-Settings!$B$2),2)</f>
        <v>4.4</v>
      </c>
      <c r="E3202" s="2" t="inlineStr">
        <is>
          <t>Pokemon</t>
        </is>
      </c>
      <c r="F3202" s="2" t="inlineStr">
        <is>
          <t>Pack</t>
        </is>
      </c>
      <c r="G3202" s="2" t="inlineStr">
        <is>
          <t>S10P: Space Juggler</t>
        </is>
      </c>
      <c r="H3202" s="3" t="n"/>
      <c r="I3202" s="3" t="n">
        <v>8.06</v>
      </c>
      <c r="J3202" s="3" t="n"/>
      <c r="K3202" s="3" t="n">
        <v>4.5</v>
      </c>
      <c r="L3202" s="2" t="inlineStr">
        <is>
          <t>TCGplayer</t>
        </is>
      </c>
      <c r="N3202" s="4" t="inlineStr">
        <is>
          <t>https://www.tcgplayer.com/product/575035</t>
        </is>
      </c>
    </row>
    <row r="3203">
      <c r="A3203" s="2" t="inlineStr">
        <is>
          <t>Lost Abyss Booster Pack</t>
        </is>
      </c>
      <c r="B3203" s="3">
        <f>IF(H3203&lt;&gt;"",H3203,IF(I3203&lt;&gt;"",I3203,IF(J3203&lt;&gt;"",J3203,K3203)))</f>
        <v>7.2</v>
      </c>
      <c r="C3203" s="3">
        <f>MEDIAN(H3203:K3203)</f>
        <v>5.35</v>
      </c>
      <c r="D3203" s="3">
        <f>ROUND(C3203*(1-Settings!$B$2),2)</f>
        <v>3.75</v>
      </c>
      <c r="E3203" s="2" t="inlineStr">
        <is>
          <t>Pokemon</t>
        </is>
      </c>
      <c r="F3203" s="2" t="inlineStr">
        <is>
          <t>Pack</t>
        </is>
      </c>
      <c r="G3203" s="2" t="inlineStr">
        <is>
          <t>S11: Lost Abyss</t>
        </is>
      </c>
      <c r="H3203" s="3" t="n"/>
      <c r="I3203" s="3" t="n">
        <v>7.2</v>
      </c>
      <c r="J3203" s="3" t="n"/>
      <c r="K3203" s="3" t="n">
        <v>3.5</v>
      </c>
      <c r="L3203" s="2" t="inlineStr">
        <is>
          <t>TCGplayer</t>
        </is>
      </c>
      <c r="N3203" s="4" t="inlineStr">
        <is>
          <t>https://www.tcgplayer.com/product/574878</t>
        </is>
      </c>
    </row>
    <row r="3204">
      <c r="A3204" s="2" t="inlineStr">
        <is>
          <t>Incandescent Arcana Booster Pack</t>
        </is>
      </c>
      <c r="B3204" s="3">
        <f>IF(H3204&lt;&gt;"",H3204,IF(I3204&lt;&gt;"",I3204,IF(J3204&lt;&gt;"",J3204,K3204)))</f>
        <v>10.4</v>
      </c>
      <c r="C3204" s="3">
        <f>MEDIAN(H3204:K3204)</f>
        <v>10.2</v>
      </c>
      <c r="D3204" s="3">
        <f>ROUND(C3204*(1-Settings!$B$2),2)</f>
        <v>7.14</v>
      </c>
      <c r="E3204" s="2" t="inlineStr">
        <is>
          <t>Pokemon</t>
        </is>
      </c>
      <c r="F3204" s="2" t="inlineStr">
        <is>
          <t>Pack</t>
        </is>
      </c>
      <c r="G3204" s="2" t="inlineStr">
        <is>
          <t>S11a: Incandescent Arcana</t>
        </is>
      </c>
      <c r="H3204" s="3" t="n"/>
      <c r="I3204" s="3" t="n">
        <v>10.4</v>
      </c>
      <c r="J3204" s="3" t="n"/>
      <c r="K3204" s="3" t="n">
        <v>10</v>
      </c>
      <c r="L3204" s="2" t="inlineStr">
        <is>
          <t>TCGplayer</t>
        </is>
      </c>
      <c r="N3204" s="4" t="inlineStr">
        <is>
          <t>https://www.tcgplayer.com/product/574875</t>
        </is>
      </c>
    </row>
    <row r="3205">
      <c r="A3205" s="2" t="inlineStr">
        <is>
          <t>Paradigm Trigger Booster Pack</t>
        </is>
      </c>
      <c r="B3205" s="3">
        <f>IF(H3205&lt;&gt;"",H3205,IF(I3205&lt;&gt;"",I3205,IF(J3205&lt;&gt;"",J3205,K3205)))</f>
        <v>7.68</v>
      </c>
      <c r="C3205" s="3">
        <f>MEDIAN(H3205:K3205)</f>
        <v>6.33</v>
      </c>
      <c r="D3205" s="3">
        <f>ROUND(C3205*(1-Settings!$B$2),2)</f>
        <v>4.43</v>
      </c>
      <c r="E3205" s="2" t="inlineStr">
        <is>
          <t>Pokemon</t>
        </is>
      </c>
      <c r="F3205" s="2" t="inlineStr">
        <is>
          <t>Pack</t>
        </is>
      </c>
      <c r="G3205" s="2" t="inlineStr">
        <is>
          <t>S12: Paradigm Trigger</t>
        </is>
      </c>
      <c r="H3205" s="3" t="n"/>
      <c r="I3205" s="3" t="n">
        <v>7.68</v>
      </c>
      <c r="J3205" s="3" t="n"/>
      <c r="K3205" s="3" t="n">
        <v>4.98</v>
      </c>
      <c r="L3205" s="2" t="inlineStr">
        <is>
          <t>TCGplayer</t>
        </is>
      </c>
      <c r="N3205" s="4" t="inlineStr">
        <is>
          <t>https://www.tcgplayer.com/product/565251</t>
        </is>
      </c>
    </row>
    <row r="3206">
      <c r="A3206" s="2" t="inlineStr">
        <is>
          <t>VSTAR Universe Booster Pack</t>
        </is>
      </c>
      <c r="B3206" s="3">
        <f>IF(H3206&lt;&gt;"",H3206,IF(I3206&lt;&gt;"",I3206,IF(J3206&lt;&gt;"",J3206,K3206)))</f>
        <v>19.84</v>
      </c>
      <c r="C3206" s="3">
        <f>MEDIAN(H3206:K3206)</f>
        <v>17.415</v>
      </c>
      <c r="D3206" s="3">
        <f>ROUND(C3206*(1-Settings!$B$2),2)</f>
        <v>12.19</v>
      </c>
      <c r="E3206" s="2" t="inlineStr">
        <is>
          <t>Pokemon</t>
        </is>
      </c>
      <c r="F3206" s="2" t="inlineStr">
        <is>
          <t>Pack</t>
        </is>
      </c>
      <c r="G3206" s="2" t="inlineStr">
        <is>
          <t>S12a: VSTAR Universe</t>
        </is>
      </c>
      <c r="H3206" s="3" t="n"/>
      <c r="I3206" s="3" t="n">
        <v>19.84</v>
      </c>
      <c r="J3206" s="3" t="n"/>
      <c r="K3206" s="3" t="n">
        <v>14.99</v>
      </c>
      <c r="L3206" s="2" t="inlineStr">
        <is>
          <t>TCGplayer</t>
        </is>
      </c>
      <c r="N3206" s="4" t="inlineStr">
        <is>
          <t>https://www.tcgplayer.com/product/565253</t>
        </is>
      </c>
    </row>
    <row r="3207">
      <c r="A3207" s="2" t="inlineStr">
        <is>
          <t>VMAX Rising Booster Pack</t>
        </is>
      </c>
      <c r="B3207" s="3">
        <f>IF(H3207&lt;&gt;"",H3207,IF(I3207&lt;&gt;"",I3207,IF(J3207&lt;&gt;"",J3207,K3207)))</f>
        <v>29.99</v>
      </c>
      <c r="C3207" s="3">
        <f>MEDIAN(H3207:K3207)</f>
        <v>27.47</v>
      </c>
      <c r="D3207" s="3">
        <f>ROUND(C3207*(1-Settings!$B$2),2)</f>
        <v>19.23</v>
      </c>
      <c r="E3207" s="2" t="inlineStr">
        <is>
          <t>Pokemon</t>
        </is>
      </c>
      <c r="F3207" s="2" t="inlineStr">
        <is>
          <t>Pack</t>
        </is>
      </c>
      <c r="G3207" s="2" t="inlineStr">
        <is>
          <t>S1a: VMAX Rising</t>
        </is>
      </c>
      <c r="H3207" s="3" t="n"/>
      <c r="I3207" s="3" t="n">
        <v>29.99</v>
      </c>
      <c r="J3207" s="3" t="n"/>
      <c r="K3207" s="3" t="n">
        <v>24.95</v>
      </c>
      <c r="L3207" s="2" t="inlineStr">
        <is>
          <t>TCGplayer</t>
        </is>
      </c>
      <c r="N3207" s="4" t="inlineStr">
        <is>
          <t>https://www.tcgplayer.com/product/574872</t>
        </is>
      </c>
    </row>
    <row r="3208">
      <c r="A3208" s="2" t="inlineStr">
        <is>
          <t>Shield Booster Pack</t>
        </is>
      </c>
      <c r="B3208" s="3">
        <f>IF(H3208&lt;&gt;"",H3208,IF(I3208&lt;&gt;"",I3208,IF(J3208&lt;&gt;"",J3208,K3208)))</f>
        <v>24.99</v>
      </c>
      <c r="C3208" s="3">
        <f>MEDIAN(H3208:K3208)</f>
        <v>24.99</v>
      </c>
      <c r="D3208" s="3">
        <f>ROUND(C3208*(1-Settings!$B$2),2)</f>
        <v>17.49</v>
      </c>
      <c r="E3208" s="2" t="inlineStr">
        <is>
          <t>Pokemon</t>
        </is>
      </c>
      <c r="F3208" s="2" t="inlineStr">
        <is>
          <t>Pack</t>
        </is>
      </c>
      <c r="G3208" s="2" t="inlineStr">
        <is>
          <t>S1H: Shield</t>
        </is>
      </c>
      <c r="H3208" s="3" t="n"/>
      <c r="I3208" s="3" t="n"/>
      <c r="J3208" s="3" t="n"/>
      <c r="K3208" s="3" t="n">
        <v>24.99</v>
      </c>
      <c r="L3208" s="2" t="inlineStr">
        <is>
          <t>TCGplayer</t>
        </is>
      </c>
      <c r="N3208" s="4" t="inlineStr">
        <is>
          <t>https://www.tcgplayer.com/product/574870</t>
        </is>
      </c>
    </row>
    <row r="3209">
      <c r="A3209" s="2" t="inlineStr">
        <is>
          <t>Sword Booster Pack</t>
        </is>
      </c>
      <c r="B3209" s="3">
        <f>IF(H3209&lt;&gt;"",H3209,IF(I3209&lt;&gt;"",I3209,IF(J3209&lt;&gt;"",J3209,K3209)))</f>
        <v>3.98</v>
      </c>
      <c r="C3209" s="3">
        <f>MEDIAN(H3209:K3209)</f>
        <v>3.98</v>
      </c>
      <c r="D3209" s="3">
        <f>ROUND(C3209*(1-Settings!$B$2),2)</f>
        <v>2.79</v>
      </c>
      <c r="E3209" s="2" t="inlineStr">
        <is>
          <t>Pokemon</t>
        </is>
      </c>
      <c r="F3209" s="2" t="inlineStr">
        <is>
          <t>Pack</t>
        </is>
      </c>
      <c r="G3209" s="2" t="inlineStr">
        <is>
          <t>S1W: Sword</t>
        </is>
      </c>
      <c r="H3209" s="3" t="n"/>
      <c r="I3209" s="3" t="n"/>
      <c r="J3209" s="3" t="n"/>
      <c r="K3209" s="3" t="n">
        <v>3.98</v>
      </c>
      <c r="L3209" s="2" t="inlineStr">
        <is>
          <t>TCGplayer</t>
        </is>
      </c>
      <c r="N3209" s="4" t="inlineStr">
        <is>
          <t>https://www.tcgplayer.com/product/574619</t>
        </is>
      </c>
    </row>
    <row r="3210">
      <c r="A3210" s="2" t="inlineStr">
        <is>
          <t>Rebellion Crash Booster Pack</t>
        </is>
      </c>
      <c r="B3210" s="3">
        <f>IF(H3210&lt;&gt;"",H3210,IF(I3210&lt;&gt;"",I3210,IF(J3210&lt;&gt;"",J3210,K3210)))</f>
        <v>19.95</v>
      </c>
      <c r="C3210" s="3">
        <f>MEDIAN(H3210:K3210)</f>
        <v>19.95</v>
      </c>
      <c r="D3210" s="3">
        <f>ROUND(C3210*(1-Settings!$B$2),2)</f>
        <v>13.97</v>
      </c>
      <c r="E3210" s="2" t="inlineStr">
        <is>
          <t>Pokemon</t>
        </is>
      </c>
      <c r="F3210" s="2" t="inlineStr">
        <is>
          <t>Pack</t>
        </is>
      </c>
      <c r="G3210" s="2" t="inlineStr">
        <is>
          <t>S2: Rebellion Crash</t>
        </is>
      </c>
      <c r="H3210" s="3" t="n"/>
      <c r="I3210" s="3" t="n"/>
      <c r="J3210" s="3" t="n"/>
      <c r="K3210" s="3" t="n">
        <v>19.95</v>
      </c>
      <c r="L3210" s="2" t="inlineStr">
        <is>
          <t>TCGplayer</t>
        </is>
      </c>
      <c r="N3210" s="4" t="inlineStr">
        <is>
          <t>https://www.tcgplayer.com/product/574176</t>
        </is>
      </c>
    </row>
    <row r="3211">
      <c r="A3211" s="2" t="inlineStr">
        <is>
          <t>Explosive Walker Booster Pack</t>
        </is>
      </c>
      <c r="B3211" s="3">
        <f>IF(H3211&lt;&gt;"",H3211,IF(I3211&lt;&gt;"",I3211,IF(J3211&lt;&gt;"",J3211,K3211)))</f>
        <v>12.75</v>
      </c>
      <c r="C3211" s="3">
        <f>MEDIAN(H3211:K3211)</f>
        <v>12.625</v>
      </c>
      <c r="D3211" s="3">
        <f>ROUND(C3211*(1-Settings!$B$2),2)</f>
        <v>8.84</v>
      </c>
      <c r="E3211" s="2" t="inlineStr">
        <is>
          <t>Pokemon</t>
        </is>
      </c>
      <c r="F3211" s="2" t="inlineStr">
        <is>
          <t>Pack</t>
        </is>
      </c>
      <c r="G3211" s="2" t="inlineStr">
        <is>
          <t>S2a: Explosive Walker</t>
        </is>
      </c>
      <c r="H3211" s="3" t="n"/>
      <c r="I3211" s="3" t="n">
        <v>12.75</v>
      </c>
      <c r="J3211" s="3" t="n"/>
      <c r="K3211" s="3" t="n">
        <v>12.5</v>
      </c>
      <c r="L3211" s="2" t="inlineStr">
        <is>
          <t>TCGplayer</t>
        </is>
      </c>
      <c r="N3211" s="4" t="inlineStr">
        <is>
          <t>https://www.tcgplayer.com/product/571839</t>
        </is>
      </c>
    </row>
    <row r="3212">
      <c r="A3212" s="2" t="inlineStr">
        <is>
          <t>Infinity Zone Booster Pack</t>
        </is>
      </c>
      <c r="B3212" s="3">
        <f>IF(H3212&lt;&gt;"",H3212,IF(I3212&lt;&gt;"",I3212,IF(J3212&lt;&gt;"",J3212,K3212)))</f>
        <v>15.95</v>
      </c>
      <c r="C3212" s="3">
        <f>MEDIAN(H3212:K3212)</f>
        <v>15.95</v>
      </c>
      <c r="D3212" s="3">
        <f>ROUND(C3212*(1-Settings!$B$2),2)</f>
        <v>11.17</v>
      </c>
      <c r="E3212" s="2" t="inlineStr">
        <is>
          <t>Pokemon</t>
        </is>
      </c>
      <c r="F3212" s="2" t="inlineStr">
        <is>
          <t>Pack</t>
        </is>
      </c>
      <c r="G3212" s="2" t="inlineStr">
        <is>
          <t>S3: Infinity Zone</t>
        </is>
      </c>
      <c r="H3212" s="3" t="n"/>
      <c r="I3212" s="3" t="n"/>
      <c r="J3212" s="3" t="n"/>
      <c r="K3212" s="3" t="n">
        <v>15.95</v>
      </c>
      <c r="L3212" s="2" t="inlineStr">
        <is>
          <t>TCGplayer</t>
        </is>
      </c>
      <c r="N3212" s="4" t="inlineStr">
        <is>
          <t>https://www.tcgplayer.com/product/571837</t>
        </is>
      </c>
    </row>
    <row r="3213">
      <c r="A3213" s="2" t="inlineStr">
        <is>
          <t>Legendary Heartbeat Booster Pack</t>
        </is>
      </c>
      <c r="B3213" s="3">
        <f>IF(H3213&lt;&gt;"",H3213,IF(I3213&lt;&gt;"",I3213,IF(J3213&lt;&gt;"",J3213,K3213)))</f>
        <v>13.32</v>
      </c>
      <c r="C3213" s="3">
        <f>MEDIAN(H3213:K3213)</f>
        <v>19.155</v>
      </c>
      <c r="D3213" s="3">
        <f>ROUND(C3213*(1-Settings!$B$2),2)</f>
        <v>13.41</v>
      </c>
      <c r="E3213" s="2" t="inlineStr">
        <is>
          <t>Pokemon</t>
        </is>
      </c>
      <c r="F3213" s="2" t="inlineStr">
        <is>
          <t>Pack</t>
        </is>
      </c>
      <c r="G3213" s="2" t="inlineStr">
        <is>
          <t>S3a: Legendary Heartbeat</t>
        </is>
      </c>
      <c r="H3213" s="3" t="n"/>
      <c r="I3213" s="3" t="n">
        <v>13.32</v>
      </c>
      <c r="J3213" s="3" t="n"/>
      <c r="K3213" s="3" t="n">
        <v>24.99</v>
      </c>
      <c r="L3213" s="2" t="inlineStr">
        <is>
          <t>TCGplayer</t>
        </is>
      </c>
      <c r="N3213" s="4" t="inlineStr">
        <is>
          <t>https://www.tcgplayer.com/product/571834</t>
        </is>
      </c>
    </row>
    <row r="3214">
      <c r="A3214" s="2" t="inlineStr">
        <is>
          <t>Amazing Volt Tackle Booster Pack</t>
        </is>
      </c>
      <c r="B3214" s="3">
        <f>IF(H3214&lt;&gt;"",H3214,IF(I3214&lt;&gt;"",I3214,IF(J3214&lt;&gt;"",J3214,K3214)))</f>
        <v>9.62</v>
      </c>
      <c r="C3214" s="3">
        <f>MEDIAN(H3214:K3214)</f>
        <v>9.26</v>
      </c>
      <c r="D3214" s="3">
        <f>ROUND(C3214*(1-Settings!$B$2),2)</f>
        <v>6.48</v>
      </c>
      <c r="E3214" s="2" t="inlineStr">
        <is>
          <t>Pokemon</t>
        </is>
      </c>
      <c r="F3214" s="2" t="inlineStr">
        <is>
          <t>Pack</t>
        </is>
      </c>
      <c r="G3214" s="2" t="inlineStr">
        <is>
          <t>S4: Amazing Volt Tackle</t>
        </is>
      </c>
      <c r="H3214" s="3" t="n"/>
      <c r="I3214" s="3" t="n">
        <v>9.619999999999999</v>
      </c>
      <c r="J3214" s="3" t="n"/>
      <c r="K3214" s="3" t="n">
        <v>8.9</v>
      </c>
      <c r="L3214" s="2" t="inlineStr">
        <is>
          <t>TCGplayer</t>
        </is>
      </c>
      <c r="N3214" s="4" t="inlineStr">
        <is>
          <t>https://www.tcgplayer.com/product/565374</t>
        </is>
      </c>
    </row>
    <row r="3215">
      <c r="A3215" s="2" t="inlineStr">
        <is>
          <t>Shiny Star V Booster Pack</t>
        </is>
      </c>
      <c r="B3215" s="3">
        <f>IF(H3215&lt;&gt;"",H3215,IF(I3215&lt;&gt;"",I3215,IF(J3215&lt;&gt;"",J3215,K3215)))</f>
        <v>18.2</v>
      </c>
      <c r="C3215" s="3">
        <f>MEDIAN(H3215:K3215)</f>
        <v>15.6</v>
      </c>
      <c r="D3215" s="3">
        <f>ROUND(C3215*(1-Settings!$B$2),2)</f>
        <v>10.92</v>
      </c>
      <c r="E3215" s="2" t="inlineStr">
        <is>
          <t>Pokemon</t>
        </is>
      </c>
      <c r="F3215" s="2" t="inlineStr">
        <is>
          <t>Pack</t>
        </is>
      </c>
      <c r="G3215" s="2" t="inlineStr">
        <is>
          <t>S4a: Shiny Star V</t>
        </is>
      </c>
      <c r="H3215" s="3" t="n"/>
      <c r="I3215" s="3" t="n">
        <v>18.2</v>
      </c>
      <c r="J3215" s="3" t="n"/>
      <c r="K3215" s="3" t="n">
        <v>13</v>
      </c>
      <c r="L3215" s="2" t="inlineStr">
        <is>
          <t>TCGplayer</t>
        </is>
      </c>
      <c r="N3215" s="4" t="inlineStr">
        <is>
          <t>https://www.tcgplayer.com/product/565366</t>
        </is>
      </c>
    </row>
    <row r="3216">
      <c r="A3216" s="2" t="inlineStr">
        <is>
          <t>Peerless Fighters Master Booster Pack</t>
        </is>
      </c>
      <c r="B3216" s="3">
        <f>IF(H3216&lt;&gt;"",H3216,IF(I3216&lt;&gt;"",I3216,IF(J3216&lt;&gt;"",J3216,K3216)))</f>
        <v>8.36</v>
      </c>
      <c r="C3216" s="3">
        <f>MEDIAN(H3216:K3216)</f>
        <v>7.17</v>
      </c>
      <c r="D3216" s="3">
        <f>ROUND(C3216*(1-Settings!$B$2),2)</f>
        <v>5.02</v>
      </c>
      <c r="E3216" s="2" t="inlineStr">
        <is>
          <t>Pokemon</t>
        </is>
      </c>
      <c r="F3216" s="2" t="inlineStr">
        <is>
          <t>Pack</t>
        </is>
      </c>
      <c r="G3216" s="2" t="inlineStr">
        <is>
          <t>S5a: Peerless Fighters</t>
        </is>
      </c>
      <c r="H3216" s="3" t="n"/>
      <c r="I3216" s="3" t="n">
        <v>8.359999999999999</v>
      </c>
      <c r="J3216" s="3" t="n"/>
      <c r="K3216" s="3" t="n">
        <v>5.98</v>
      </c>
      <c r="L3216" s="2" t="inlineStr">
        <is>
          <t>TCGplayer</t>
        </is>
      </c>
      <c r="N3216" s="4" t="inlineStr">
        <is>
          <t>https://www.tcgplayer.com/product/565363</t>
        </is>
      </c>
    </row>
    <row r="3217">
      <c r="A3217" s="2" t="inlineStr">
        <is>
          <t>Single Strike Master Booster Pack</t>
        </is>
      </c>
      <c r="B3217" s="3">
        <f>IF(H3217&lt;&gt;"",H3217,IF(I3217&lt;&gt;"",I3217,IF(J3217&lt;&gt;"",J3217,K3217)))</f>
        <v>14.95</v>
      </c>
      <c r="C3217" s="3">
        <f>MEDIAN(H3217:K3217)</f>
        <v>14.95</v>
      </c>
      <c r="D3217" s="3">
        <f>ROUND(C3217*(1-Settings!$B$2),2)</f>
        <v>10.47</v>
      </c>
      <c r="E3217" s="2" t="inlineStr">
        <is>
          <t>Pokemon</t>
        </is>
      </c>
      <c r="F3217" s="2" t="inlineStr">
        <is>
          <t>Pack</t>
        </is>
      </c>
      <c r="G3217" s="2" t="inlineStr">
        <is>
          <t>S5I: Single Strike Master</t>
        </is>
      </c>
      <c r="H3217" s="3" t="n"/>
      <c r="I3217" s="3" t="n">
        <v>14.95</v>
      </c>
      <c r="J3217" s="3" t="n"/>
      <c r="K3217" s="3" t="n">
        <v>14.95</v>
      </c>
      <c r="L3217" s="2" t="inlineStr">
        <is>
          <t>TCGplayer</t>
        </is>
      </c>
      <c r="N3217" s="4" t="inlineStr">
        <is>
          <t>https://www.tcgplayer.com/product/565360</t>
        </is>
      </c>
    </row>
    <row r="3218">
      <c r="A3218" s="2" t="inlineStr">
        <is>
          <t>Rapid Strike Master Booster Pack</t>
        </is>
      </c>
      <c r="B3218" s="3">
        <f>IF(H3218&lt;&gt;"",H3218,IF(I3218&lt;&gt;"",I3218,IF(J3218&lt;&gt;"",J3218,K3218)))</f>
        <v>6.38</v>
      </c>
      <c r="C3218" s="3">
        <f>MEDIAN(H3218:K3218)</f>
        <v>6.38</v>
      </c>
      <c r="D3218" s="3">
        <f>ROUND(C3218*(1-Settings!$B$2),2)</f>
        <v>4.47</v>
      </c>
      <c r="E3218" s="2" t="inlineStr">
        <is>
          <t>Pokemon</t>
        </is>
      </c>
      <c r="F3218" s="2" t="inlineStr">
        <is>
          <t>Pack</t>
        </is>
      </c>
      <c r="G3218" s="2" t="inlineStr">
        <is>
          <t>S5R: Rapid Strike Master</t>
        </is>
      </c>
      <c r="H3218" s="3" t="n"/>
      <c r="I3218" s="3" t="n">
        <v>6.38</v>
      </c>
      <c r="J3218" s="3" t="n"/>
      <c r="K3218" s="3" t="n">
        <v>6.38</v>
      </c>
      <c r="L3218" s="2" t="inlineStr">
        <is>
          <t>TCGplayer</t>
        </is>
      </c>
      <c r="N3218" s="4" t="inlineStr">
        <is>
          <t>https://www.tcgplayer.com/product/565359</t>
        </is>
      </c>
    </row>
    <row r="3219">
      <c r="A3219" s="2" t="inlineStr">
        <is>
          <t>Eevee Heroes Booster Pack</t>
        </is>
      </c>
      <c r="B3219" s="3">
        <f>IF(H3219&lt;&gt;"",H3219,IF(I3219&lt;&gt;"",I3219,IF(J3219&lt;&gt;"",J3219,K3219)))</f>
        <v>24.83</v>
      </c>
      <c r="C3219" s="3">
        <f>MEDIAN(H3219:K3219)</f>
        <v>15.91</v>
      </c>
      <c r="D3219" s="3">
        <f>ROUND(C3219*(1-Settings!$B$2),2)</f>
        <v>11.14</v>
      </c>
      <c r="E3219" s="2" t="inlineStr">
        <is>
          <t>Pokemon</t>
        </is>
      </c>
      <c r="F3219" s="2" t="inlineStr">
        <is>
          <t>Pack</t>
        </is>
      </c>
      <c r="G3219" s="2" t="inlineStr">
        <is>
          <t>S6a: Eevee Heroes</t>
        </is>
      </c>
      <c r="H3219" s="3" t="n"/>
      <c r="I3219" s="3" t="n">
        <v>24.83</v>
      </c>
      <c r="J3219" s="3" t="n"/>
      <c r="K3219" s="3" t="n">
        <v>6.99</v>
      </c>
      <c r="L3219" s="2" t="inlineStr">
        <is>
          <t>TCGplayer</t>
        </is>
      </c>
      <c r="N3219" s="4" t="inlineStr">
        <is>
          <t>https://www.tcgplayer.com/product/565350</t>
        </is>
      </c>
    </row>
    <row r="3220">
      <c r="A3220" s="2" t="inlineStr">
        <is>
          <t>Jet-Black Spirit Booster Pack</t>
        </is>
      </c>
      <c r="B3220" s="3">
        <f>IF(H3220&lt;&gt;"",H3220,IF(I3220&lt;&gt;"",I3220,IF(J3220&lt;&gt;"",J3220,K3220)))</f>
        <v>7.09</v>
      </c>
      <c r="C3220" s="3">
        <f>MEDIAN(H3220:K3220)</f>
        <v>7.895</v>
      </c>
      <c r="D3220" s="3">
        <f>ROUND(C3220*(1-Settings!$B$2),2)</f>
        <v>5.53</v>
      </c>
      <c r="E3220" s="2" t="inlineStr">
        <is>
          <t>Pokemon</t>
        </is>
      </c>
      <c r="F3220" s="2" t="inlineStr">
        <is>
          <t>Pack</t>
        </is>
      </c>
      <c r="G3220" s="2" t="inlineStr">
        <is>
          <t>S6K: Jet-Black Spirit</t>
        </is>
      </c>
      <c r="H3220" s="3" t="n"/>
      <c r="I3220" s="3" t="n">
        <v>7.09</v>
      </c>
      <c r="J3220" s="3" t="n"/>
      <c r="K3220" s="3" t="n">
        <v>8.699999999999999</v>
      </c>
      <c r="L3220" s="2" t="inlineStr">
        <is>
          <t>TCGplayer</t>
        </is>
      </c>
      <c r="N3220" s="4" t="inlineStr">
        <is>
          <t>https://www.tcgplayer.com/product/565346</t>
        </is>
      </c>
    </row>
    <row r="3221">
      <c r="A3221" s="2" t="inlineStr">
        <is>
          <t>Skyscraping Perfection Booster Pack</t>
        </is>
      </c>
      <c r="B3221" s="3">
        <f>IF(H3221&lt;&gt;"",H3221,IF(I3221&lt;&gt;"",I3221,IF(J3221&lt;&gt;"",J3221,K3221)))</f>
        <v>7.7</v>
      </c>
      <c r="C3221" s="3">
        <f>MEDIAN(H3221:K3221)</f>
        <v>6.2</v>
      </c>
      <c r="D3221" s="3">
        <f>ROUND(C3221*(1-Settings!$B$2),2)</f>
        <v>4.34</v>
      </c>
      <c r="E3221" s="2" t="inlineStr">
        <is>
          <t>Pokemon</t>
        </is>
      </c>
      <c r="F3221" s="2" t="inlineStr">
        <is>
          <t>Pack</t>
        </is>
      </c>
      <c r="G3221" s="2" t="inlineStr">
        <is>
          <t>S7D: Skyscraping Perfection</t>
        </is>
      </c>
      <c r="H3221" s="3" t="n"/>
      <c r="I3221" s="3" t="n">
        <v>7.7</v>
      </c>
      <c r="J3221" s="3" t="n"/>
      <c r="K3221" s="3" t="n">
        <v>4.7</v>
      </c>
      <c r="L3221" s="2" t="inlineStr">
        <is>
          <t>TCGplayer</t>
        </is>
      </c>
      <c r="N3221" s="4" t="inlineStr">
        <is>
          <t>https://www.tcgplayer.com/product/565345</t>
        </is>
      </c>
    </row>
    <row r="3222">
      <c r="A3222" s="2" t="inlineStr">
        <is>
          <t>Blue Sky Stream Booster Pack</t>
        </is>
      </c>
      <c r="B3222" s="3">
        <f>IF(H3222&lt;&gt;"",H3222,IF(I3222&lt;&gt;"",I3222,IF(J3222&lt;&gt;"",J3222,K3222)))</f>
        <v>19.1</v>
      </c>
      <c r="C3222" s="3">
        <f>MEDIAN(H3222:K3222)</f>
        <v>12.175</v>
      </c>
      <c r="D3222" s="3">
        <f>ROUND(C3222*(1-Settings!$B$2),2)</f>
        <v>8.52</v>
      </c>
      <c r="E3222" s="2" t="inlineStr">
        <is>
          <t>Pokemon</t>
        </is>
      </c>
      <c r="F3222" s="2" t="inlineStr">
        <is>
          <t>Pack</t>
        </is>
      </c>
      <c r="G3222" s="2" t="inlineStr">
        <is>
          <t>S7R: Blue Sky Stream</t>
        </is>
      </c>
      <c r="H3222" s="3" t="n"/>
      <c r="I3222" s="3" t="n">
        <v>19.1</v>
      </c>
      <c r="J3222" s="3" t="n"/>
      <c r="K3222" s="3" t="n">
        <v>5.25</v>
      </c>
      <c r="L3222" s="2" t="inlineStr">
        <is>
          <t>TCGplayer</t>
        </is>
      </c>
      <c r="N3222" s="4" t="inlineStr">
        <is>
          <t>https://www.tcgplayer.com/product/565342</t>
        </is>
      </c>
    </row>
    <row r="3223">
      <c r="A3223" s="2" t="inlineStr">
        <is>
          <t>Fusion Arts Booster Pack</t>
        </is>
      </c>
      <c r="B3223" s="3">
        <f>IF(H3223&lt;&gt;"",H3223,IF(I3223&lt;&gt;"",I3223,IF(J3223&lt;&gt;"",J3223,K3223)))</f>
        <v>10.17</v>
      </c>
      <c r="C3223" s="3">
        <f>MEDIAN(H3223:K3223)</f>
        <v>7.08</v>
      </c>
      <c r="D3223" s="3">
        <f>ROUND(C3223*(1-Settings!$B$2),2)</f>
        <v>4.96</v>
      </c>
      <c r="E3223" s="2" t="inlineStr">
        <is>
          <t>Pokemon</t>
        </is>
      </c>
      <c r="F3223" s="2" t="inlineStr">
        <is>
          <t>Pack</t>
        </is>
      </c>
      <c r="G3223" s="2" t="inlineStr">
        <is>
          <t>S8: Fusion Arts</t>
        </is>
      </c>
      <c r="H3223" s="3" t="n"/>
      <c r="I3223" s="3" t="n">
        <v>10.17</v>
      </c>
      <c r="J3223" s="3" t="n"/>
      <c r="K3223" s="3" t="n">
        <v>3.99</v>
      </c>
      <c r="L3223" s="2" t="inlineStr">
        <is>
          <t>TCGplayer</t>
        </is>
      </c>
      <c r="N3223" s="4" t="inlineStr">
        <is>
          <t>https://www.tcgplayer.com/product/565263</t>
        </is>
      </c>
    </row>
    <row r="3224">
      <c r="A3224" s="2" t="inlineStr">
        <is>
          <t>VMAX Climax Booster Pack</t>
        </is>
      </c>
      <c r="B3224" s="3">
        <f>IF(H3224&lt;&gt;"",H3224,IF(I3224&lt;&gt;"",I3224,IF(J3224&lt;&gt;"",J3224,K3224)))</f>
        <v>21.15</v>
      </c>
      <c r="C3224" s="3">
        <f>MEDIAN(H3224:K3224)</f>
        <v>15.575</v>
      </c>
      <c r="D3224" s="3">
        <f>ROUND(C3224*(1-Settings!$B$2),2)</f>
        <v>10.9</v>
      </c>
      <c r="E3224" s="2" t="inlineStr">
        <is>
          <t>Pokemon</t>
        </is>
      </c>
      <c r="F3224" s="2" t="inlineStr">
        <is>
          <t>Pack</t>
        </is>
      </c>
      <c r="G3224" s="2" t="inlineStr">
        <is>
          <t>S8b: VMAX Climax</t>
        </is>
      </c>
      <c r="H3224" s="3" t="n"/>
      <c r="I3224" s="3" t="n">
        <v>21.15</v>
      </c>
      <c r="J3224" s="3" t="n"/>
      <c r="K3224" s="3" t="n">
        <v>10</v>
      </c>
      <c r="L3224" s="2" t="inlineStr">
        <is>
          <t>TCGplayer</t>
        </is>
      </c>
      <c r="N3224" s="4" t="inlineStr">
        <is>
          <t>https://www.tcgplayer.com/product/565258</t>
        </is>
      </c>
    </row>
    <row r="3225">
      <c r="A3225" s="2" t="inlineStr">
        <is>
          <t>Star Birth Booster Pack</t>
        </is>
      </c>
      <c r="B3225" s="3">
        <f>IF(H3225&lt;&gt;"",H3225,IF(I3225&lt;&gt;"",I3225,IF(J3225&lt;&gt;"",J3225,K3225)))</f>
        <v>5.73</v>
      </c>
      <c r="C3225" s="3">
        <f>MEDIAN(H3225:K3225)</f>
        <v>6.115</v>
      </c>
      <c r="D3225" s="3">
        <f>ROUND(C3225*(1-Settings!$B$2),2)</f>
        <v>4.28</v>
      </c>
      <c r="E3225" s="2" t="inlineStr">
        <is>
          <t>Pokemon</t>
        </is>
      </c>
      <c r="F3225" s="2" t="inlineStr">
        <is>
          <t>Pack</t>
        </is>
      </c>
      <c r="G3225" s="2" t="inlineStr">
        <is>
          <t>S9: Star Birth</t>
        </is>
      </c>
      <c r="H3225" s="3" t="n"/>
      <c r="I3225" s="3" t="n">
        <v>5.73</v>
      </c>
      <c r="J3225" s="3" t="n"/>
      <c r="K3225" s="3" t="n">
        <v>6.5</v>
      </c>
      <c r="L3225" s="2" t="inlineStr">
        <is>
          <t>TCGplayer</t>
        </is>
      </c>
      <c r="N3225" s="4" t="inlineStr">
        <is>
          <t>https://www.tcgplayer.com/product/565257</t>
        </is>
      </c>
    </row>
    <row r="3226">
      <c r="A3226" s="2" t="inlineStr">
        <is>
          <t>Battle Region Booster Pack</t>
        </is>
      </c>
      <c r="B3226" s="3">
        <f>IF(H3226&lt;&gt;"",H3226,IF(I3226&lt;&gt;"",I3226,IF(J3226&lt;&gt;"",J3226,K3226)))</f>
        <v>4.93</v>
      </c>
      <c r="C3226" s="3">
        <f>MEDIAN(H3226:K3226)</f>
        <v>3.965</v>
      </c>
      <c r="D3226" s="3">
        <f>ROUND(C3226*(1-Settings!$B$2),2)</f>
        <v>2.78</v>
      </c>
      <c r="E3226" s="2" t="inlineStr">
        <is>
          <t>Pokemon</t>
        </is>
      </c>
      <c r="F3226" s="2" t="inlineStr">
        <is>
          <t>Pack</t>
        </is>
      </c>
      <c r="G3226" s="2" t="inlineStr">
        <is>
          <t>S9a: Battle Region</t>
        </is>
      </c>
      <c r="H3226" s="3" t="n"/>
      <c r="I3226" s="3" t="n">
        <v>4.93</v>
      </c>
      <c r="J3226" s="3" t="n"/>
      <c r="K3226" s="3" t="n">
        <v>3</v>
      </c>
      <c r="L3226" s="2" t="inlineStr">
        <is>
          <t>TCGplayer</t>
        </is>
      </c>
      <c r="N3226" s="4" t="inlineStr">
        <is>
          <t>https://www.tcgplayer.com/product/565254</t>
        </is>
      </c>
    </row>
    <row r="3227">
      <c r="A3227" s="2" t="inlineStr">
        <is>
          <t>Sandstorm Blister Pack</t>
        </is>
      </c>
      <c r="B3227" s="3">
        <f>IF(H3227&lt;&gt;"",H3227,IF(I3227&lt;&gt;"",I3227,IF(J3227&lt;&gt;"",J3227,K3227)))</f>
        <v>947.5</v>
      </c>
      <c r="C3227" s="3">
        <f>MEDIAN(H3227:K3227)</f>
        <v>947.5</v>
      </c>
      <c r="D3227" s="3">
        <f>ROUND(C3227*(1-Settings!$B$2),2)</f>
        <v>663.25</v>
      </c>
      <c r="E3227" s="2" t="inlineStr">
        <is>
          <t>Pokemon</t>
        </is>
      </c>
      <c r="F3227" s="2" t="inlineStr">
        <is>
          <t>Pack</t>
        </is>
      </c>
      <c r="G3227" s="2" t="inlineStr">
        <is>
          <t>Sandstorm</t>
        </is>
      </c>
      <c r="H3227" s="3" t="n">
        <v>947.5</v>
      </c>
      <c r="I3227" s="3" t="n"/>
      <c r="J3227" s="3" t="n"/>
      <c r="K3227" s="3" t="n"/>
      <c r="L3227" s="2" t="inlineStr">
        <is>
          <t>PriceCharting</t>
        </is>
      </c>
      <c r="M3227" s="4" t="inlineStr">
        <is>
          <t>https://www.pricecharting.com/game/pokemon-sandstorm/blister-pack</t>
        </is>
      </c>
    </row>
    <row r="3228">
      <c r="A3228" s="2" t="inlineStr">
        <is>
          <t>Secret Wonders Blister Pack</t>
        </is>
      </c>
      <c r="B3228" s="3">
        <f>IF(H3228&lt;&gt;"",H3228,IF(I3228&lt;&gt;"",I3228,IF(J3228&lt;&gt;"",J3228,K3228)))</f>
        <v>1164.35</v>
      </c>
      <c r="C3228" s="3">
        <f>MEDIAN(H3228:K3228)</f>
        <v>1164.35</v>
      </c>
      <c r="D3228" s="3">
        <f>ROUND(C3228*(1-Settings!$B$2),2)</f>
        <v>815.05</v>
      </c>
      <c r="E3228" s="2" t="inlineStr">
        <is>
          <t>Pokemon</t>
        </is>
      </c>
      <c r="F3228" s="2" t="inlineStr">
        <is>
          <t>Pack</t>
        </is>
      </c>
      <c r="G3228" s="2" t="inlineStr">
        <is>
          <t>Secret Wonders</t>
        </is>
      </c>
      <c r="H3228" s="3" t="n">
        <v>1164.35</v>
      </c>
      <c r="I3228" s="3" t="n"/>
      <c r="J3228" s="3" t="n"/>
      <c r="K3228" s="3" t="n"/>
      <c r="L3228" s="2" t="inlineStr">
        <is>
          <t>PriceCharting</t>
        </is>
      </c>
      <c r="M3228" s="4" t="inlineStr">
        <is>
          <t>https://www.pricecharting.com/game/pokemon-secret-wonders/blister-pack</t>
        </is>
      </c>
    </row>
    <row r="3229">
      <c r="A3229" s="2" t="inlineStr">
        <is>
          <t>Secret Wonders Booster Pack</t>
        </is>
      </c>
      <c r="B3229" s="3">
        <f>IF(H3229&lt;&gt;"",H3229,IF(I3229&lt;&gt;"",I3229,IF(J3229&lt;&gt;"",J3229,K3229)))</f>
        <v>602.16</v>
      </c>
      <c r="C3229" s="3">
        <f>MEDIAN(H3229:K3229)</f>
        <v>676.075</v>
      </c>
      <c r="D3229" s="3">
        <f>ROUND(C3229*(1-Settings!$B$2),2)</f>
        <v>473.25</v>
      </c>
      <c r="E3229" s="2" t="inlineStr">
        <is>
          <t>Pokemon</t>
        </is>
      </c>
      <c r="F3229" s="2" t="inlineStr">
        <is>
          <t>Pack</t>
        </is>
      </c>
      <c r="G3229" s="2" t="inlineStr">
        <is>
          <t>Secret Wonders</t>
        </is>
      </c>
      <c r="H3229" s="3" t="n">
        <v>602.16</v>
      </c>
      <c r="I3229" s="3" t="n">
        <v>508.33</v>
      </c>
      <c r="J3229" s="3" t="n">
        <v>749.99</v>
      </c>
      <c r="K3229" s="3" t="n">
        <v>749.99</v>
      </c>
      <c r="L3229" s="2" t="inlineStr">
        <is>
          <t>PriceCharting + TCGplayer</t>
        </is>
      </c>
      <c r="M3229" s="4" t="inlineStr">
        <is>
          <t>https://www.pricecharting.com/game/pokemon-secret-wonders/booster-pack</t>
        </is>
      </c>
      <c r="N3229" s="4" t="inlineStr">
        <is>
          <t>https://www.tcgplayer.com/product/98569</t>
        </is>
      </c>
    </row>
    <row r="3230">
      <c r="A3230" s="2" t="inlineStr">
        <is>
          <t>Shining Fates Booster Pack</t>
        </is>
      </c>
      <c r="B3230" s="3">
        <f>IF(H3230&lt;&gt;"",H3230,IF(I3230&lt;&gt;"",I3230,IF(J3230&lt;&gt;"",J3230,K3230)))</f>
        <v>15.78</v>
      </c>
      <c r="C3230" s="3">
        <f>MEDIAN(H3230:K3230)</f>
        <v>16.11</v>
      </c>
      <c r="D3230" s="3">
        <f>ROUND(C3230*(1-Settings!$B$2),2)</f>
        <v>11.28</v>
      </c>
      <c r="E3230" s="2" t="inlineStr">
        <is>
          <t>Pokemon</t>
        </is>
      </c>
      <c r="F3230" s="2" t="inlineStr">
        <is>
          <t>Pack</t>
        </is>
      </c>
      <c r="G3230" s="2" t="inlineStr">
        <is>
          <t>Shining Fates</t>
        </is>
      </c>
      <c r="H3230" s="3" t="n">
        <v>15.78</v>
      </c>
      <c r="I3230" s="3" t="n">
        <v>16.44</v>
      </c>
      <c r="J3230" s="3" t="n">
        <v>18.95</v>
      </c>
      <c r="K3230" s="3" t="n">
        <v>14.99</v>
      </c>
      <c r="L3230" s="2" t="inlineStr">
        <is>
          <t>PriceCharting + TCGplayer</t>
        </is>
      </c>
      <c r="M3230" s="4" t="inlineStr">
        <is>
          <t>https://www.pricecharting.com/game/pokemon-shining-fates/booster-pack</t>
        </is>
      </c>
      <c r="N3230" s="4" t="inlineStr">
        <is>
          <t>https://www.tcgplayer.com/product/232636</t>
        </is>
      </c>
    </row>
    <row r="3231">
      <c r="A3231" s="2" t="inlineStr">
        <is>
          <t>Shining Legends Booster Pack</t>
        </is>
      </c>
      <c r="B3231" s="3">
        <f>IF(H3231&lt;&gt;"",H3231,IF(I3231&lt;&gt;"",I3231,IF(J3231&lt;&gt;"",J3231,K3231)))</f>
        <v>108.74</v>
      </c>
      <c r="C3231" s="3">
        <f>MEDIAN(H3231:K3231)</f>
        <v>114.89500000000001</v>
      </c>
      <c r="D3231" s="3">
        <f>ROUND(C3231*(1-Settings!$B$2),2)</f>
        <v>80.43</v>
      </c>
      <c r="E3231" s="2" t="inlineStr">
        <is>
          <t>Pokemon</t>
        </is>
      </c>
      <c r="F3231" s="2" t="inlineStr">
        <is>
          <t>Pack</t>
        </is>
      </c>
      <c r="G3231" s="2" t="inlineStr">
        <is>
          <t>Shining Legends</t>
        </is>
      </c>
      <c r="H3231" s="3" t="n">
        <v>108.74</v>
      </c>
      <c r="I3231" s="3" t="n">
        <v>109.79</v>
      </c>
      <c r="J3231" s="3" t="n">
        <v>142.49</v>
      </c>
      <c r="K3231" s="3" t="n">
        <v>120</v>
      </c>
      <c r="L3231" s="2" t="inlineStr">
        <is>
          <t>PriceCharting + TCGplayer</t>
        </is>
      </c>
      <c r="M3231" s="4" t="inlineStr">
        <is>
          <t>https://www.pricecharting.com/game/pokemon-shining-legends/booster-pack</t>
        </is>
      </c>
      <c r="N3231" s="4" t="inlineStr">
        <is>
          <t>https://www.tcgplayer.com/product/155880</t>
        </is>
      </c>
    </row>
    <row r="3232">
      <c r="A3232" s="2" t="inlineStr">
        <is>
          <t>Shrouded Fable 3 Pack Blister</t>
        </is>
      </c>
      <c r="B3232" s="3">
        <f>IF(H3232&lt;&gt;"",H3232,IF(I3232&lt;&gt;"",I3232,IF(J3232&lt;&gt;"",J3232,K3232)))</f>
        <v>38.95</v>
      </c>
      <c r="C3232" s="3">
        <f>MEDIAN(H3232:K3232)</f>
        <v>38.95</v>
      </c>
      <c r="D3232" s="3">
        <f>ROUND(C3232*(1-Settings!$B$2),2)</f>
        <v>27.27</v>
      </c>
      <c r="E3232" s="2" t="inlineStr">
        <is>
          <t>Pokemon</t>
        </is>
      </c>
      <c r="F3232" s="2" t="inlineStr">
        <is>
          <t>Pack</t>
        </is>
      </c>
      <c r="G3232" s="2" t="inlineStr">
        <is>
          <t>Shrouded Fable</t>
        </is>
      </c>
      <c r="H3232" s="3" t="n">
        <v>38.95</v>
      </c>
      <c r="I3232" s="3" t="n"/>
      <c r="J3232" s="3" t="n"/>
      <c r="K3232" s="3" t="n"/>
      <c r="L3232" s="2" t="inlineStr">
        <is>
          <t>PriceCharting</t>
        </is>
      </c>
      <c r="M3232" s="4" t="inlineStr">
        <is>
          <t>https://www.pricecharting.com/game/pokemon-shrouded-fable/3-pack-blister</t>
        </is>
      </c>
    </row>
    <row r="3233">
      <c r="A3233" s="2" t="inlineStr">
        <is>
          <t>Silver Tempest Basculin Checklane Blister</t>
        </is>
      </c>
      <c r="B3233" s="3">
        <f>IF(H3233&lt;&gt;"",H3233,IF(I3233&lt;&gt;"",I3233,IF(J3233&lt;&gt;"",J3233,K3233)))</f>
        <v>17.23</v>
      </c>
      <c r="C3233" s="3">
        <f>MEDIAN(H3233:K3233)</f>
        <v>17.23</v>
      </c>
      <c r="D3233" s="3">
        <f>ROUND(C3233*(1-Settings!$B$2),2)</f>
        <v>12.06</v>
      </c>
      <c r="E3233" s="2" t="inlineStr">
        <is>
          <t>Pokemon</t>
        </is>
      </c>
      <c r="F3233" s="2" t="inlineStr">
        <is>
          <t>Pack</t>
        </is>
      </c>
      <c r="G3233" s="2" t="inlineStr">
        <is>
          <t>Silver Tempest</t>
        </is>
      </c>
      <c r="H3233" s="3" t="n">
        <v>17.23</v>
      </c>
      <c r="I3233" s="3" t="n"/>
      <c r="J3233" s="3" t="n"/>
      <c r="K3233" s="3" t="n"/>
      <c r="L3233" s="2" t="inlineStr">
        <is>
          <t>PriceCharting</t>
        </is>
      </c>
      <c r="M3233" s="4" t="inlineStr">
        <is>
          <t>https://www.pricecharting.com/game/pokemon-silver-tempest/basculin-checklane-blister</t>
        </is>
      </c>
    </row>
    <row r="3234">
      <c r="A3234" s="2" t="inlineStr">
        <is>
          <t>Silver Tempest Cranidos Checklane Blister</t>
        </is>
      </c>
      <c r="B3234" s="3">
        <f>IF(H3234&lt;&gt;"",H3234,IF(I3234&lt;&gt;"",I3234,IF(J3234&lt;&gt;"",J3234,K3234)))</f>
        <v>19.74</v>
      </c>
      <c r="C3234" s="3">
        <f>MEDIAN(H3234:K3234)</f>
        <v>19.74</v>
      </c>
      <c r="D3234" s="3">
        <f>ROUND(C3234*(1-Settings!$B$2),2)</f>
        <v>13.82</v>
      </c>
      <c r="E3234" s="2" t="inlineStr">
        <is>
          <t>Pokemon</t>
        </is>
      </c>
      <c r="F3234" s="2" t="inlineStr">
        <is>
          <t>Pack</t>
        </is>
      </c>
      <c r="G3234" s="2" t="inlineStr">
        <is>
          <t>Silver Tempest</t>
        </is>
      </c>
      <c r="H3234" s="3" t="n">
        <v>19.74</v>
      </c>
      <c r="I3234" s="3" t="n"/>
      <c r="J3234" s="3" t="n"/>
      <c r="K3234" s="3" t="n"/>
      <c r="L3234" s="2" t="inlineStr">
        <is>
          <t>PriceCharting</t>
        </is>
      </c>
      <c r="M3234" s="4" t="inlineStr">
        <is>
          <t>https://www.pricecharting.com/game/pokemon-silver-tempest/cranidos-checklane-blister</t>
        </is>
      </c>
    </row>
    <row r="3235">
      <c r="A3235" s="2" t="inlineStr">
        <is>
          <t>Skyridge Blister Pack</t>
        </is>
      </c>
      <c r="B3235" s="3">
        <f>IF(H3235&lt;&gt;"",H3235,IF(I3235&lt;&gt;"",I3235,IF(J3235&lt;&gt;"",J3235,K3235)))</f>
        <v>6229.74</v>
      </c>
      <c r="C3235" s="3">
        <f>MEDIAN(H3235:K3235)</f>
        <v>6229.74</v>
      </c>
      <c r="D3235" s="3">
        <f>ROUND(C3235*(1-Settings!$B$2),2)</f>
        <v>4360.82</v>
      </c>
      <c r="E3235" s="2" t="inlineStr">
        <is>
          <t>Pokemon</t>
        </is>
      </c>
      <c r="F3235" s="2" t="inlineStr">
        <is>
          <t>Pack</t>
        </is>
      </c>
      <c r="G3235" s="2" t="inlineStr">
        <is>
          <t>Skyridge</t>
        </is>
      </c>
      <c r="H3235" s="3" t="n">
        <v>6229.74</v>
      </c>
      <c r="I3235" s="3" t="n"/>
      <c r="J3235" s="3" t="n"/>
      <c r="K3235" s="3" t="n"/>
      <c r="L3235" s="2" t="inlineStr">
        <is>
          <t>PriceCharting</t>
        </is>
      </c>
      <c r="M3235" s="4" t="inlineStr">
        <is>
          <t>https://www.pricecharting.com/game/pokemon-skyridge/blister-pack</t>
        </is>
      </c>
    </row>
    <row r="3236">
      <c r="A3236" s="2" t="inlineStr">
        <is>
          <t>Skyridge Booster Pack</t>
        </is>
      </c>
      <c r="B3236" s="3">
        <f>IF(H3236&lt;&gt;"",H3236,IF(I3236&lt;&gt;"",I3236,IF(J3236&lt;&gt;"",J3236,K3236)))</f>
        <v>3531.0</v>
      </c>
      <c r="C3236" s="3">
        <f>MEDIAN(H3236:K3236)</f>
        <v>3531.0</v>
      </c>
      <c r="D3236" s="3">
        <f>ROUND(C3236*(1-Settings!$B$2),2)</f>
        <v>2471.7</v>
      </c>
      <c r="E3236" s="2" t="inlineStr">
        <is>
          <t>Pokemon</t>
        </is>
      </c>
      <c r="F3236" s="2" t="inlineStr">
        <is>
          <t>Pack</t>
        </is>
      </c>
      <c r="G3236" s="2" t="inlineStr">
        <is>
          <t>Skyridge</t>
        </is>
      </c>
      <c r="H3236" s="3" t="n">
        <v>3531</v>
      </c>
      <c r="I3236" s="3" t="n"/>
      <c r="J3236" s="3" t="n"/>
      <c r="K3236" s="3" t="n"/>
      <c r="L3236" s="2" t="inlineStr">
        <is>
          <t>PriceCharting + TCGplayer</t>
        </is>
      </c>
      <c r="M3236" s="4" t="inlineStr">
        <is>
          <t>https://www.pricecharting.com/game/pokemon-skyridge/booster-pack</t>
        </is>
      </c>
      <c r="N3236" s="4" t="inlineStr">
        <is>
          <t>https://www.tcgplayer.com/product/138153</t>
        </is>
      </c>
    </row>
    <row r="3237">
      <c r="A3237" s="2" t="inlineStr">
        <is>
          <t>Burning Shadows 3 Pack Blister [Alolan Meowth]</t>
        </is>
      </c>
      <c r="B3237" s="3">
        <f>IF(H3237&lt;&gt;"",H3237,IF(I3237&lt;&gt;"",I3237,IF(J3237&lt;&gt;"",J3237,K3237)))</f>
        <v>120.0</v>
      </c>
      <c r="C3237" s="3">
        <f>MEDIAN(H3237:K3237)</f>
        <v>120.0</v>
      </c>
      <c r="D3237" s="3">
        <f>ROUND(C3237*(1-Settings!$B$2),2)</f>
        <v>84.0</v>
      </c>
      <c r="E3237" s="2" t="inlineStr">
        <is>
          <t>Pokemon</t>
        </is>
      </c>
      <c r="F3237" s="2" t="inlineStr">
        <is>
          <t>Pack</t>
        </is>
      </c>
      <c r="G3237" s="2" t="inlineStr">
        <is>
          <t>SM - Burning Shadows</t>
        </is>
      </c>
      <c r="H3237" s="3" t="n"/>
      <c r="I3237" s="3" t="n">
        <v>120</v>
      </c>
      <c r="J3237" s="3" t="n">
        <v>123.99</v>
      </c>
      <c r="K3237" s="3" t="n">
        <v>120</v>
      </c>
      <c r="L3237" s="2" t="inlineStr">
        <is>
          <t>TCGplayer</t>
        </is>
      </c>
      <c r="N3237" s="4" t="inlineStr">
        <is>
          <t>https://www.tcgplayer.com/product/136599</t>
        </is>
      </c>
    </row>
    <row r="3238">
      <c r="A3238" s="2" t="inlineStr">
        <is>
          <t>Burning Shadows 3 Pack Blister [Cosmog]</t>
        </is>
      </c>
      <c r="B3238" s="3">
        <f>IF(H3238&lt;&gt;"",H3238,IF(I3238&lt;&gt;"",I3238,IF(J3238&lt;&gt;"",J3238,K3238)))</f>
        <v>120.0</v>
      </c>
      <c r="C3238" s="3">
        <f>MEDIAN(H3238:K3238)</f>
        <v>145.99</v>
      </c>
      <c r="D3238" s="3">
        <f>ROUND(C3238*(1-Settings!$B$2),2)</f>
        <v>102.19</v>
      </c>
      <c r="E3238" s="2" t="inlineStr">
        <is>
          <t>Pokemon</t>
        </is>
      </c>
      <c r="F3238" s="2" t="inlineStr">
        <is>
          <t>Pack</t>
        </is>
      </c>
      <c r="G3238" s="2" t="inlineStr">
        <is>
          <t>SM - Burning Shadows</t>
        </is>
      </c>
      <c r="H3238" s="3" t="n"/>
      <c r="I3238" s="3" t="n">
        <v>120</v>
      </c>
      <c r="J3238" s="3" t="n">
        <v>154.99</v>
      </c>
      <c r="K3238" s="3" t="n">
        <v>145.99</v>
      </c>
      <c r="L3238" s="2" t="inlineStr">
        <is>
          <t>TCGplayer</t>
        </is>
      </c>
      <c r="N3238" s="4" t="inlineStr">
        <is>
          <t>https://www.tcgplayer.com/product/136600</t>
        </is>
      </c>
    </row>
    <row r="3239">
      <c r="A3239" s="2" t="inlineStr">
        <is>
          <t>Burning Shadows Booster Pack</t>
        </is>
      </c>
      <c r="B3239" s="3">
        <f>IF(H3239&lt;&gt;"",H3239,IF(I3239&lt;&gt;"",I3239,IF(J3239&lt;&gt;"",J3239,K3239)))</f>
        <v>26.8</v>
      </c>
      <c r="C3239" s="3">
        <f>MEDIAN(H3239:K3239)</f>
        <v>29.009999999999998</v>
      </c>
      <c r="D3239" s="3">
        <f>ROUND(C3239*(1-Settings!$B$2),2)</f>
        <v>20.31</v>
      </c>
      <c r="E3239" s="2" t="inlineStr">
        <is>
          <t>Pokemon</t>
        </is>
      </c>
      <c r="F3239" s="2" t="inlineStr">
        <is>
          <t>Pack</t>
        </is>
      </c>
      <c r="G3239" s="2" t="inlineStr">
        <is>
          <t>SM - Burning Shadows</t>
        </is>
      </c>
      <c r="H3239" s="3" t="n">
        <v>26.8</v>
      </c>
      <c r="I3239" s="3" t="n">
        <v>31.02</v>
      </c>
      <c r="J3239" s="3" t="n">
        <v>33</v>
      </c>
      <c r="K3239" s="3" t="n">
        <v>27</v>
      </c>
      <c r="L3239" s="2" t="inlineStr">
        <is>
          <t>PriceCharting + TCGplayer</t>
        </is>
      </c>
      <c r="M3239" s="4" t="inlineStr">
        <is>
          <t>https://www.pricecharting.com/game/pokemon-burning-shadows/booster-pack</t>
        </is>
      </c>
      <c r="N3239" s="4" t="inlineStr">
        <is>
          <t>https://www.tcgplayer.com/product/133774</t>
        </is>
      </c>
    </row>
    <row r="3240">
      <c r="A3240" s="2" t="inlineStr">
        <is>
          <t>Burning Shadows Single Pack Blister [Jangmo-o]</t>
        </is>
      </c>
      <c r="B3240" s="3">
        <f>IF(H3240&lt;&gt;"",H3240,IF(I3240&lt;&gt;"",I3240,IF(J3240&lt;&gt;"",J3240,K3240)))</f>
        <v>100.0</v>
      </c>
      <c r="C3240" s="3">
        <f>MEDIAN(H3240:K3240)</f>
        <v>100.0</v>
      </c>
      <c r="D3240" s="3">
        <f>ROUND(C3240*(1-Settings!$B$2),2)</f>
        <v>70.0</v>
      </c>
      <c r="E3240" s="2" t="inlineStr">
        <is>
          <t>Pokemon</t>
        </is>
      </c>
      <c r="F3240" s="2" t="inlineStr">
        <is>
          <t>Pack</t>
        </is>
      </c>
      <c r="G3240" s="2" t="inlineStr">
        <is>
          <t>SM - Burning Shadows</t>
        </is>
      </c>
      <c r="H3240" s="3" t="n"/>
      <c r="I3240" s="3" t="n"/>
      <c r="J3240" s="3" t="n">
        <v>100</v>
      </c>
      <c r="K3240" s="3" t="n">
        <v>100</v>
      </c>
      <c r="L3240" s="2" t="inlineStr">
        <is>
          <t>TCGplayer</t>
        </is>
      </c>
      <c r="N3240" s="4" t="inlineStr">
        <is>
          <t>https://www.tcgplayer.com/product/136597</t>
        </is>
      </c>
    </row>
    <row r="3241">
      <c r="A3241" s="2" t="inlineStr">
        <is>
          <t>Burning Shadows Single Pack Blister [Komala]</t>
        </is>
      </c>
      <c r="B3241" s="3">
        <f>IF(H3241&lt;&gt;"",H3241,IF(I3241&lt;&gt;"",I3241,IF(J3241&lt;&gt;"",J3241,K3241)))</f>
        <v>42.0</v>
      </c>
      <c r="C3241" s="3">
        <f>MEDIAN(H3241:K3241)</f>
        <v>43.495000000000005</v>
      </c>
      <c r="D3241" s="3">
        <f>ROUND(C3241*(1-Settings!$B$2),2)</f>
        <v>30.45</v>
      </c>
      <c r="E3241" s="2" t="inlineStr">
        <is>
          <t>Pokemon</t>
        </is>
      </c>
      <c r="F3241" s="2" t="inlineStr">
        <is>
          <t>Pack</t>
        </is>
      </c>
      <c r="G3241" s="2" t="inlineStr">
        <is>
          <t>SM - Burning Shadows</t>
        </is>
      </c>
      <c r="H3241" s="3" t="n"/>
      <c r="I3241" s="3" t="n">
        <v>42</v>
      </c>
      <c r="J3241" s="3" t="n"/>
      <c r="K3241" s="3" t="n">
        <v>44.99</v>
      </c>
      <c r="L3241" s="2" t="inlineStr">
        <is>
          <t>TCGplayer</t>
        </is>
      </c>
      <c r="N3241" s="4" t="inlineStr">
        <is>
          <t>https://www.tcgplayer.com/product/136598</t>
        </is>
      </c>
    </row>
    <row r="3242">
      <c r="A3242" s="2" t="inlineStr">
        <is>
          <t>Burning Shadows Sleeved Booster Pack</t>
        </is>
      </c>
      <c r="B3242" s="3">
        <f>IF(H3242&lt;&gt;"",H3242,IF(I3242&lt;&gt;"",I3242,IF(J3242&lt;&gt;"",J3242,K3242)))</f>
        <v>39.99</v>
      </c>
      <c r="C3242" s="3">
        <f>MEDIAN(H3242:K3242)</f>
        <v>36.989999999999995</v>
      </c>
      <c r="D3242" s="3">
        <f>ROUND(C3242*(1-Settings!$B$2),2)</f>
        <v>25.89</v>
      </c>
      <c r="E3242" s="2" t="inlineStr">
        <is>
          <t>Pokemon</t>
        </is>
      </c>
      <c r="F3242" s="2" t="inlineStr">
        <is>
          <t>Pack</t>
        </is>
      </c>
      <c r="G3242" s="2" t="inlineStr">
        <is>
          <t>SM - Burning Shadows</t>
        </is>
      </c>
      <c r="H3242" s="3" t="n">
        <v>39.99</v>
      </c>
      <c r="I3242" s="3" t="n">
        <v>36</v>
      </c>
      <c r="J3242" s="3" t="n">
        <v>37.98</v>
      </c>
      <c r="K3242" s="3" t="n">
        <v>34.96</v>
      </c>
      <c r="L3242" s="2" t="inlineStr">
        <is>
          <t>PriceCharting + TCGplayer</t>
        </is>
      </c>
      <c r="M3242" s="4" t="inlineStr">
        <is>
          <t>https://www.pricecharting.com/game/pokemon-burning-shadows/sleeved-booster-pack</t>
        </is>
      </c>
      <c r="N3242" s="4" t="inlineStr">
        <is>
          <t>https://www.tcgplayer.com/product/550677</t>
        </is>
      </c>
    </row>
    <row r="3243">
      <c r="A3243" s="2" t="inlineStr">
        <is>
          <t>Celestial Storm 3 Pack Booster Blister [Tapu Lele]</t>
        </is>
      </c>
      <c r="B3243" s="3">
        <f>IF(H3243&lt;&gt;"",H3243,IF(I3243&lt;&gt;"",I3243,IF(J3243&lt;&gt;"",J3243,K3243)))</f>
        <v>229.99</v>
      </c>
      <c r="C3243" s="3">
        <f>MEDIAN(H3243:K3243)</f>
        <v>229.99</v>
      </c>
      <c r="D3243" s="3">
        <f>ROUND(C3243*(1-Settings!$B$2),2)</f>
        <v>160.99</v>
      </c>
      <c r="E3243" s="2" t="inlineStr">
        <is>
          <t>Pokemon</t>
        </is>
      </c>
      <c r="F3243" s="2" t="inlineStr">
        <is>
          <t>Pack</t>
        </is>
      </c>
      <c r="G3243" s="2" t="inlineStr">
        <is>
          <t>SM - Celestial Storm</t>
        </is>
      </c>
      <c r="H3243" s="3" t="n"/>
      <c r="I3243" s="3" t="n"/>
      <c r="J3243" s="3" t="n"/>
      <c r="K3243" s="3" t="n">
        <v>229.99</v>
      </c>
      <c r="L3243" s="2" t="inlineStr">
        <is>
          <t>TCGplayer</t>
        </is>
      </c>
      <c r="N3243" s="4" t="inlineStr">
        <is>
          <t>https://www.tcgplayer.com/product/170276</t>
        </is>
      </c>
    </row>
    <row r="3244">
      <c r="A3244" s="2" t="inlineStr">
        <is>
          <t>Celestial Storm Booster Pack</t>
        </is>
      </c>
      <c r="B3244" s="3">
        <f>IF(H3244&lt;&gt;"",H3244,IF(I3244&lt;&gt;"",I3244,IF(J3244&lt;&gt;"",J3244,K3244)))</f>
        <v>96.75</v>
      </c>
      <c r="C3244" s="3">
        <f>MEDIAN(H3244:K3244)</f>
        <v>74.91499999999999</v>
      </c>
      <c r="D3244" s="3">
        <f>ROUND(C3244*(1-Settings!$B$2),2)</f>
        <v>52.44</v>
      </c>
      <c r="E3244" s="2" t="inlineStr">
        <is>
          <t>Pokemon</t>
        </is>
      </c>
      <c r="F3244" s="2" t="inlineStr">
        <is>
          <t>Pack</t>
        </is>
      </c>
      <c r="G3244" s="2" t="inlineStr">
        <is>
          <t>SM - Celestial Storm</t>
        </is>
      </c>
      <c r="H3244" s="3" t="n">
        <v>96.75</v>
      </c>
      <c r="I3244" s="3" t="n">
        <v>65.83</v>
      </c>
      <c r="J3244" s="3" t="n">
        <v>84</v>
      </c>
      <c r="K3244" s="3" t="n">
        <v>29.98</v>
      </c>
      <c r="L3244" s="2" t="inlineStr">
        <is>
          <t>PriceCharting + TCGplayer</t>
        </is>
      </c>
      <c r="M3244" s="4" t="inlineStr">
        <is>
          <t>https://www.pricecharting.com/game/pokemon-celestial-storm/booster-pack</t>
        </is>
      </c>
      <c r="N3244" s="4" t="inlineStr">
        <is>
          <t>https://www.tcgplayer.com/product/170274</t>
        </is>
      </c>
    </row>
    <row r="3245">
      <c r="A3245" s="2" t="inlineStr">
        <is>
          <t>Celestial Storm Single Pack Blister [Tapu Bulu]</t>
        </is>
      </c>
      <c r="B3245" s="3">
        <f>IF(H3245&lt;&gt;"",H3245,IF(I3245&lt;&gt;"",I3245,IF(J3245&lt;&gt;"",J3245,K3245)))</f>
        <v>89.99</v>
      </c>
      <c r="C3245" s="3">
        <f>MEDIAN(H3245:K3245)</f>
        <v>90.0</v>
      </c>
      <c r="D3245" s="3">
        <f>ROUND(C3245*(1-Settings!$B$2),2)</f>
        <v>63.0</v>
      </c>
      <c r="E3245" s="2" t="inlineStr">
        <is>
          <t>Pokemon</t>
        </is>
      </c>
      <c r="F3245" s="2" t="inlineStr">
        <is>
          <t>Pack</t>
        </is>
      </c>
      <c r="G3245" s="2" t="inlineStr">
        <is>
          <t>SM - Celestial Storm</t>
        </is>
      </c>
      <c r="H3245" s="3" t="n"/>
      <c r="I3245" s="3" t="n">
        <v>89.98999999999999</v>
      </c>
      <c r="J3245" s="3" t="n">
        <v>92.5</v>
      </c>
      <c r="K3245" s="3" t="n">
        <v>90</v>
      </c>
      <c r="L3245" s="2" t="inlineStr">
        <is>
          <t>TCGplayer</t>
        </is>
      </c>
      <c r="N3245" s="4" t="inlineStr">
        <is>
          <t>https://www.tcgplayer.com/product/177898</t>
        </is>
      </c>
    </row>
    <row r="3246">
      <c r="A3246" s="2" t="inlineStr">
        <is>
          <t>Celestial Storm Single Pack Blister [Tapu Fini]</t>
        </is>
      </c>
      <c r="B3246" s="3">
        <f>IF(H3246&lt;&gt;"",H3246,IF(I3246&lt;&gt;"",I3246,IF(J3246&lt;&gt;"",J3246,K3246)))</f>
        <v>89.99</v>
      </c>
      <c r="C3246" s="3">
        <f>MEDIAN(H3246:K3246)</f>
        <v>89.99</v>
      </c>
      <c r="D3246" s="3">
        <f>ROUND(C3246*(1-Settings!$B$2),2)</f>
        <v>62.99</v>
      </c>
      <c r="E3246" s="2" t="inlineStr">
        <is>
          <t>Pokemon</t>
        </is>
      </c>
      <c r="F3246" s="2" t="inlineStr">
        <is>
          <t>Pack</t>
        </is>
      </c>
      <c r="G3246" s="2" t="inlineStr">
        <is>
          <t>SM - Celestial Storm</t>
        </is>
      </c>
      <c r="H3246" s="3" t="n"/>
      <c r="I3246" s="3" t="n">
        <v>89.98999999999999</v>
      </c>
      <c r="J3246" s="3" t="n">
        <v>99.98999999999999</v>
      </c>
      <c r="K3246" s="3" t="n">
        <v>86</v>
      </c>
      <c r="L3246" s="2" t="inlineStr">
        <is>
          <t>TCGplayer</t>
        </is>
      </c>
      <c r="N3246" s="4" t="inlineStr">
        <is>
          <t>https://www.tcgplayer.com/product/177899</t>
        </is>
      </c>
    </row>
    <row r="3247">
      <c r="A3247" s="2" t="inlineStr">
        <is>
          <t>Cosmic Eclipse Booster Pack</t>
        </is>
      </c>
      <c r="B3247" s="3">
        <f>IF(H3247&lt;&gt;"",H3247,IF(I3247&lt;&gt;"",I3247,IF(J3247&lt;&gt;"",J3247,K3247)))</f>
        <v>69.99</v>
      </c>
      <c r="C3247" s="3">
        <f>MEDIAN(H3247:K3247)</f>
        <v>71.905</v>
      </c>
      <c r="D3247" s="3">
        <f>ROUND(C3247*(1-Settings!$B$2),2)</f>
        <v>50.33</v>
      </c>
      <c r="E3247" s="2" t="inlineStr">
        <is>
          <t>Pokemon</t>
        </is>
      </c>
      <c r="F3247" s="2" t="inlineStr">
        <is>
          <t>Pack</t>
        </is>
      </c>
      <c r="G3247" s="2" t="inlineStr">
        <is>
          <t>SM - Cosmic Eclipse</t>
        </is>
      </c>
      <c r="H3247" s="3" t="n">
        <v>69.98999999999999</v>
      </c>
      <c r="I3247" s="3" t="n">
        <v>73.81</v>
      </c>
      <c r="J3247" s="3" t="n">
        <v>82.5</v>
      </c>
      <c r="K3247" s="3" t="n">
        <v>70</v>
      </c>
      <c r="L3247" s="2" t="inlineStr">
        <is>
          <t>PriceCharting + TCGplayer</t>
        </is>
      </c>
      <c r="M3247" s="4" t="inlineStr">
        <is>
          <t>https://www.pricecharting.com/game/pokemon-cosmic-eclipse/booster-pack</t>
        </is>
      </c>
      <c r="N3247" s="4" t="inlineStr">
        <is>
          <t>https://www.tcgplayer.com/product/199263</t>
        </is>
      </c>
    </row>
    <row r="3248">
      <c r="A3248" s="2" t="inlineStr">
        <is>
          <t>Cosmic Eclipse Single Pack Blister [Mismagius]</t>
        </is>
      </c>
      <c r="B3248" s="3">
        <f>IF(H3248&lt;&gt;"",H3248,IF(I3248&lt;&gt;"",I3248,IF(J3248&lt;&gt;"",J3248,K3248)))</f>
        <v>186.4</v>
      </c>
      <c r="C3248" s="3">
        <f>MEDIAN(H3248:K3248)</f>
        <v>168.17000000000002</v>
      </c>
      <c r="D3248" s="3">
        <f>ROUND(C3248*(1-Settings!$B$2),2)</f>
        <v>117.72</v>
      </c>
      <c r="E3248" s="2" t="inlineStr">
        <is>
          <t>Pokemon</t>
        </is>
      </c>
      <c r="F3248" s="2" t="inlineStr">
        <is>
          <t>Pack</t>
        </is>
      </c>
      <c r="G3248" s="2" t="inlineStr">
        <is>
          <t>SM - Cosmic Eclipse</t>
        </is>
      </c>
      <c r="H3248" s="3" t="n"/>
      <c r="I3248" s="3" t="n"/>
      <c r="J3248" s="3" t="n">
        <v>186.4</v>
      </c>
      <c r="K3248" s="3" t="n">
        <v>149.94</v>
      </c>
      <c r="L3248" s="2" t="inlineStr">
        <is>
          <t>TCGplayer</t>
        </is>
      </c>
      <c r="N3248" s="4" t="inlineStr">
        <is>
          <t>https://www.tcgplayer.com/product/199768</t>
        </is>
      </c>
    </row>
    <row r="3249">
      <c r="A3249" s="2" t="inlineStr">
        <is>
          <t>Cosmic Eclipse Single Pack Blister [Terrakion]</t>
        </is>
      </c>
      <c r="B3249" s="3">
        <f>IF(H3249&lt;&gt;"",H3249,IF(I3249&lt;&gt;"",I3249,IF(J3249&lt;&gt;"",J3249,K3249)))</f>
        <v>130.49</v>
      </c>
      <c r="C3249" s="3">
        <f>MEDIAN(H3249:K3249)</f>
        <v>140.0</v>
      </c>
      <c r="D3249" s="3">
        <f>ROUND(C3249*(1-Settings!$B$2),2)</f>
        <v>98.0</v>
      </c>
      <c r="E3249" s="2" t="inlineStr">
        <is>
          <t>Pokemon</t>
        </is>
      </c>
      <c r="F3249" s="2" t="inlineStr">
        <is>
          <t>Pack</t>
        </is>
      </c>
      <c r="G3249" s="2" t="inlineStr">
        <is>
          <t>SM - Cosmic Eclipse</t>
        </is>
      </c>
      <c r="H3249" s="3" t="n"/>
      <c r="I3249" s="3" t="n">
        <v>130.49</v>
      </c>
      <c r="J3249" s="3" t="n">
        <v>200</v>
      </c>
      <c r="K3249" s="3" t="n">
        <v>140</v>
      </c>
      <c r="L3249" s="2" t="inlineStr">
        <is>
          <t>TCGplayer</t>
        </is>
      </c>
      <c r="N3249" s="4" t="inlineStr">
        <is>
          <t>https://www.tcgplayer.com/product/199769</t>
        </is>
      </c>
    </row>
    <row r="3250">
      <c r="A3250" s="2" t="inlineStr">
        <is>
          <t>SM - Cosmic Eclipse Sleeved Booster Pack</t>
        </is>
      </c>
      <c r="B3250" s="3">
        <f>IF(H3250&lt;&gt;"",H3250,IF(I3250&lt;&gt;"",I3250,IF(J3250&lt;&gt;"",J3250,K3250)))</f>
        <v>125.32</v>
      </c>
      <c r="C3250" s="3">
        <f>MEDIAN(H3250:K3250)</f>
        <v>124.94</v>
      </c>
      <c r="D3250" s="3">
        <f>ROUND(C3250*(1-Settings!$B$2),2)</f>
        <v>87.46</v>
      </c>
      <c r="E3250" s="2" t="inlineStr">
        <is>
          <t>Pokemon</t>
        </is>
      </c>
      <c r="F3250" s="2" t="inlineStr">
        <is>
          <t>Pack</t>
        </is>
      </c>
      <c r="G3250" s="2" t="inlineStr">
        <is>
          <t>SM - Cosmic Eclipse</t>
        </is>
      </c>
      <c r="H3250" s="3" t="n"/>
      <c r="I3250" s="3" t="n">
        <v>125.32</v>
      </c>
      <c r="J3250" s="3" t="n">
        <v>124.94</v>
      </c>
      <c r="K3250" s="3" t="n">
        <v>118</v>
      </c>
      <c r="L3250" s="2" t="inlineStr">
        <is>
          <t>TCGplayer</t>
        </is>
      </c>
      <c r="N3250" s="4" t="inlineStr">
        <is>
          <t>https://www.tcgplayer.com/product/546609</t>
        </is>
      </c>
    </row>
    <row r="3251">
      <c r="A3251" s="2" t="inlineStr">
        <is>
          <t>Crimson Invasion 3 Pack Blister [Lucario]</t>
        </is>
      </c>
      <c r="B3251" s="3">
        <f>IF(H3251&lt;&gt;"",H3251,IF(I3251&lt;&gt;"",I3251,IF(J3251&lt;&gt;"",J3251,K3251)))</f>
        <v>54.7</v>
      </c>
      <c r="C3251" s="3">
        <f>MEDIAN(H3251:K3251)</f>
        <v>54.7</v>
      </c>
      <c r="D3251" s="3">
        <f>ROUND(C3251*(1-Settings!$B$2),2)</f>
        <v>38.29</v>
      </c>
      <c r="E3251" s="2" t="inlineStr">
        <is>
          <t>Pokemon</t>
        </is>
      </c>
      <c r="F3251" s="2" t="inlineStr">
        <is>
          <t>Pack</t>
        </is>
      </c>
      <c r="G3251" s="2" t="inlineStr">
        <is>
          <t>SM - Crimson Invasion</t>
        </is>
      </c>
      <c r="H3251" s="3" t="n"/>
      <c r="I3251" s="3" t="n">
        <v>54.7</v>
      </c>
      <c r="J3251" s="3" t="n"/>
      <c r="K3251" s="3" t="n"/>
      <c r="L3251" s="2" t="inlineStr">
        <is>
          <t>TCGplayer</t>
        </is>
      </c>
      <c r="N3251" s="4" t="inlineStr">
        <is>
          <t>https://www.tcgplayer.com/product/177873</t>
        </is>
      </c>
    </row>
    <row r="3252">
      <c r="A3252" s="2" t="inlineStr">
        <is>
          <t>Crimson Invasion Booster Pack</t>
        </is>
      </c>
      <c r="B3252" s="3">
        <f>IF(H3252&lt;&gt;"",H3252,IF(I3252&lt;&gt;"",I3252,IF(J3252&lt;&gt;"",J3252,K3252)))</f>
        <v>16.14</v>
      </c>
      <c r="C3252" s="3">
        <f>MEDIAN(H3252:K3252)</f>
        <v>17.64</v>
      </c>
      <c r="D3252" s="3">
        <f>ROUND(C3252*(1-Settings!$B$2),2)</f>
        <v>12.35</v>
      </c>
      <c r="E3252" s="2" t="inlineStr">
        <is>
          <t>Pokemon</t>
        </is>
      </c>
      <c r="F3252" s="2" t="inlineStr">
        <is>
          <t>Pack</t>
        </is>
      </c>
      <c r="G3252" s="2" t="inlineStr">
        <is>
          <t>SM - Crimson Invasion</t>
        </is>
      </c>
      <c r="H3252" s="3" t="n">
        <v>16.14</v>
      </c>
      <c r="I3252" s="3" t="n">
        <v>18.28</v>
      </c>
      <c r="J3252" s="3" t="n">
        <v>23.67</v>
      </c>
      <c r="K3252" s="3" t="n">
        <v>17</v>
      </c>
      <c r="L3252" s="2" t="inlineStr">
        <is>
          <t>PriceCharting + TCGplayer</t>
        </is>
      </c>
      <c r="M3252" s="4" t="inlineStr">
        <is>
          <t>https://www.pricecharting.com/game/pokemon-crimson-invasion/booster-pack</t>
        </is>
      </c>
      <c r="N3252" s="4" t="inlineStr">
        <is>
          <t>https://www.tcgplayer.com/product/146996</t>
        </is>
      </c>
    </row>
    <row r="3253">
      <c r="A3253" s="2" t="inlineStr">
        <is>
          <t>Crimson Invasion Single Pack Blister [Dhelmise]</t>
        </is>
      </c>
      <c r="B3253" s="3">
        <f>IF(H3253&lt;&gt;"",H3253,IF(I3253&lt;&gt;"",I3253,IF(J3253&lt;&gt;"",J3253,K3253)))</f>
        <v>33.68</v>
      </c>
      <c r="C3253" s="3">
        <f>MEDIAN(H3253:K3253)</f>
        <v>32.48</v>
      </c>
      <c r="D3253" s="3">
        <f>ROUND(C3253*(1-Settings!$B$2),2)</f>
        <v>22.74</v>
      </c>
      <c r="E3253" s="2" t="inlineStr">
        <is>
          <t>Pokemon</t>
        </is>
      </c>
      <c r="F3253" s="2" t="inlineStr">
        <is>
          <t>Pack</t>
        </is>
      </c>
      <c r="G3253" s="2" t="inlineStr">
        <is>
          <t>SM - Crimson Invasion</t>
        </is>
      </c>
      <c r="H3253" s="3" t="n"/>
      <c r="I3253" s="3" t="n">
        <v>33.68</v>
      </c>
      <c r="J3253" s="3" t="n">
        <v>32.48</v>
      </c>
      <c r="K3253" s="3" t="n">
        <v>30</v>
      </c>
      <c r="L3253" s="2" t="inlineStr">
        <is>
          <t>TCGplayer</t>
        </is>
      </c>
      <c r="N3253" s="4" t="inlineStr">
        <is>
          <t>https://www.tcgplayer.com/product/177875</t>
        </is>
      </c>
    </row>
    <row r="3254">
      <c r="A3254" s="2" t="inlineStr">
        <is>
          <t>Forbidden Light 3 Pack Blister [Regigigas]</t>
        </is>
      </c>
      <c r="B3254" s="3">
        <f>IF(H3254&lt;&gt;"",H3254,IF(I3254&lt;&gt;"",I3254,IF(J3254&lt;&gt;"",J3254,K3254)))</f>
        <v>229.99</v>
      </c>
      <c r="C3254" s="3">
        <f>MEDIAN(H3254:K3254)</f>
        <v>229.99</v>
      </c>
      <c r="D3254" s="3">
        <f>ROUND(C3254*(1-Settings!$B$2),2)</f>
        <v>160.99</v>
      </c>
      <c r="E3254" s="2" t="inlineStr">
        <is>
          <t>Pokemon</t>
        </is>
      </c>
      <c r="F3254" s="2" t="inlineStr">
        <is>
          <t>Pack</t>
        </is>
      </c>
      <c r="G3254" s="2" t="inlineStr">
        <is>
          <t>SM - Forbidden Light</t>
        </is>
      </c>
      <c r="H3254" s="3" t="n"/>
      <c r="I3254" s="3" t="n"/>
      <c r="J3254" s="3" t="n"/>
      <c r="K3254" s="3" t="n">
        <v>229.99</v>
      </c>
      <c r="L3254" s="2" t="inlineStr">
        <is>
          <t>TCGplayer</t>
        </is>
      </c>
      <c r="N3254" s="4" t="inlineStr">
        <is>
          <t>https://www.tcgplayer.com/product/164299</t>
        </is>
      </c>
    </row>
    <row r="3255">
      <c r="A3255" s="2" t="inlineStr">
        <is>
          <t>Forbidden Light 3-Card Booster Pack</t>
        </is>
      </c>
      <c r="B3255" s="3">
        <f>IF(H3255&lt;&gt;"",H3255,IF(I3255&lt;&gt;"",I3255,IF(J3255&lt;&gt;"",J3255,K3255)))</f>
        <v>13.07</v>
      </c>
      <c r="C3255" s="3">
        <f>MEDIAN(H3255:K3255)</f>
        <v>13.07</v>
      </c>
      <c r="D3255" s="3">
        <f>ROUND(C3255*(1-Settings!$B$2),2)</f>
        <v>9.15</v>
      </c>
      <c r="E3255" s="2" t="inlineStr">
        <is>
          <t>Pokemon</t>
        </is>
      </c>
      <c r="F3255" s="2" t="inlineStr">
        <is>
          <t>Pack</t>
        </is>
      </c>
      <c r="G3255" s="2" t="inlineStr">
        <is>
          <t>SM - Forbidden Light</t>
        </is>
      </c>
      <c r="H3255" s="3" t="n"/>
      <c r="I3255" s="3" t="n">
        <v>13.07</v>
      </c>
      <c r="J3255" s="3" t="n"/>
      <c r="K3255" s="3" t="n"/>
      <c r="L3255" s="2" t="inlineStr">
        <is>
          <t>TCGplayer</t>
        </is>
      </c>
      <c r="N3255" s="4" t="inlineStr">
        <is>
          <t>https://www.tcgplayer.com/product/641117</t>
        </is>
      </c>
    </row>
    <row r="3256">
      <c r="A3256" s="2" t="inlineStr">
        <is>
          <t>Forbidden Light Booster Pack</t>
        </is>
      </c>
      <c r="B3256" s="3">
        <f>IF(H3256&lt;&gt;"",H3256,IF(I3256&lt;&gt;"",I3256,IF(J3256&lt;&gt;"",J3256,K3256)))</f>
        <v>32.5</v>
      </c>
      <c r="C3256" s="3">
        <f>MEDIAN(H3256:K3256)</f>
        <v>44.605000000000004</v>
      </c>
      <c r="D3256" s="3">
        <f>ROUND(C3256*(1-Settings!$B$2),2)</f>
        <v>31.22</v>
      </c>
      <c r="E3256" s="2" t="inlineStr">
        <is>
          <t>Pokemon</t>
        </is>
      </c>
      <c r="F3256" s="2" t="inlineStr">
        <is>
          <t>Pack</t>
        </is>
      </c>
      <c r="G3256" s="2" t="inlineStr">
        <is>
          <t>SM - Forbidden Light</t>
        </is>
      </c>
      <c r="H3256" s="3" t="n">
        <v>32.5</v>
      </c>
      <c r="I3256" s="3" t="n">
        <v>47.22</v>
      </c>
      <c r="J3256" s="3" t="n">
        <v>55.99</v>
      </c>
      <c r="K3256" s="3" t="n">
        <v>41.99</v>
      </c>
      <c r="L3256" s="2" t="inlineStr">
        <is>
          <t>PriceCharting + TCGplayer</t>
        </is>
      </c>
      <c r="M3256" s="4" t="inlineStr">
        <is>
          <t>https://www.pricecharting.com/game/pokemon-forbidden-light/booster-pack</t>
        </is>
      </c>
      <c r="N3256" s="4" t="inlineStr">
        <is>
          <t>https://www.tcgplayer.com/product/164297</t>
        </is>
      </c>
    </row>
    <row r="3257">
      <c r="A3257" s="2" t="inlineStr">
        <is>
          <t>Forbidden Light Single Pack Blister [Exeggcute]</t>
        </is>
      </c>
      <c r="B3257" s="3">
        <f>IF(H3257&lt;&gt;"",H3257,IF(I3257&lt;&gt;"",I3257,IF(J3257&lt;&gt;"",J3257,K3257)))</f>
        <v>72.0</v>
      </c>
      <c r="C3257" s="3">
        <f>MEDIAN(H3257:K3257)</f>
        <v>72.0</v>
      </c>
      <c r="D3257" s="3">
        <f>ROUND(C3257*(1-Settings!$B$2),2)</f>
        <v>50.4</v>
      </c>
      <c r="E3257" s="2" t="inlineStr">
        <is>
          <t>Pokemon</t>
        </is>
      </c>
      <c r="F3257" s="2" t="inlineStr">
        <is>
          <t>Pack</t>
        </is>
      </c>
      <c r="G3257" s="2" t="inlineStr">
        <is>
          <t>SM - Forbidden Light</t>
        </is>
      </c>
      <c r="H3257" s="3" t="n"/>
      <c r="I3257" s="3" t="n">
        <v>72</v>
      </c>
      <c r="J3257" s="3" t="n"/>
      <c r="K3257" s="3" t="n"/>
      <c r="L3257" s="2" t="inlineStr">
        <is>
          <t>TCGplayer</t>
        </is>
      </c>
      <c r="N3257" s="4" t="inlineStr">
        <is>
          <t>https://www.tcgplayer.com/product/164301</t>
        </is>
      </c>
    </row>
    <row r="3258">
      <c r="A3258" s="2" t="inlineStr">
        <is>
          <t>Forbidden Light Single Pack Blister [Rockruff]</t>
        </is>
      </c>
      <c r="B3258" s="3">
        <f>IF(H3258&lt;&gt;"",H3258,IF(I3258&lt;&gt;"",I3258,IF(J3258&lt;&gt;"",J3258,K3258)))</f>
        <v>68.5</v>
      </c>
      <c r="C3258" s="3">
        <f>MEDIAN(H3258:K3258)</f>
        <v>68.5</v>
      </c>
      <c r="D3258" s="3">
        <f>ROUND(C3258*(1-Settings!$B$2),2)</f>
        <v>47.95</v>
      </c>
      <c r="E3258" s="2" t="inlineStr">
        <is>
          <t>Pokemon</t>
        </is>
      </c>
      <c r="F3258" s="2" t="inlineStr">
        <is>
          <t>Pack</t>
        </is>
      </c>
      <c r="G3258" s="2" t="inlineStr">
        <is>
          <t>SM - Forbidden Light</t>
        </is>
      </c>
      <c r="H3258" s="3" t="n"/>
      <c r="I3258" s="3" t="n">
        <v>68.5</v>
      </c>
      <c r="J3258" s="3" t="n"/>
      <c r="K3258" s="3" t="n"/>
      <c r="L3258" s="2" t="inlineStr">
        <is>
          <t>TCGplayer</t>
        </is>
      </c>
      <c r="N3258" s="4" t="inlineStr">
        <is>
          <t>https://www.tcgplayer.com/product/164302</t>
        </is>
      </c>
    </row>
    <row r="3259">
      <c r="A3259" s="2" t="inlineStr">
        <is>
          <t>Guardians Rising 3 Pack Blister [Vikavolt]</t>
        </is>
      </c>
      <c r="B3259" s="3">
        <f>IF(H3259&lt;&gt;"",H3259,IF(I3259&lt;&gt;"",I3259,IF(J3259&lt;&gt;"",J3259,K3259)))</f>
        <v>116.99</v>
      </c>
      <c r="C3259" s="3">
        <f>MEDIAN(H3259:K3259)</f>
        <v>116.99</v>
      </c>
      <c r="D3259" s="3">
        <f>ROUND(C3259*(1-Settings!$B$2),2)</f>
        <v>81.89</v>
      </c>
      <c r="E3259" s="2" t="inlineStr">
        <is>
          <t>Pokemon</t>
        </is>
      </c>
      <c r="F3259" s="2" t="inlineStr">
        <is>
          <t>Pack</t>
        </is>
      </c>
      <c r="G3259" s="2" t="inlineStr">
        <is>
          <t>SM - Guardians Rising</t>
        </is>
      </c>
      <c r="H3259" s="3" t="n"/>
      <c r="I3259" s="3" t="n"/>
      <c r="J3259" s="3" t="n">
        <v>116.99</v>
      </c>
      <c r="K3259" s="3" t="n">
        <v>116.99</v>
      </c>
      <c r="L3259" s="2" t="inlineStr">
        <is>
          <t>TCGplayer</t>
        </is>
      </c>
      <c r="N3259" s="4" t="inlineStr">
        <is>
          <t>https://www.tcgplayer.com/product/184339</t>
        </is>
      </c>
    </row>
    <row r="3260">
      <c r="A3260" s="2" t="inlineStr">
        <is>
          <t>Guardians Rising Booster Pack</t>
        </is>
      </c>
      <c r="B3260" s="3">
        <f>IF(H3260&lt;&gt;"",H3260,IF(I3260&lt;&gt;"",I3260,IF(J3260&lt;&gt;"",J3260,K3260)))</f>
        <v>23.5</v>
      </c>
      <c r="C3260" s="3">
        <f>MEDIAN(H3260:K3260)</f>
        <v>32.36</v>
      </c>
      <c r="D3260" s="3">
        <f>ROUND(C3260*(1-Settings!$B$2),2)</f>
        <v>22.65</v>
      </c>
      <c r="E3260" s="2" t="inlineStr">
        <is>
          <t>Pokemon</t>
        </is>
      </c>
      <c r="F3260" s="2" t="inlineStr">
        <is>
          <t>Pack</t>
        </is>
      </c>
      <c r="G3260" s="2" t="inlineStr">
        <is>
          <t>SM - Guardians Rising</t>
        </is>
      </c>
      <c r="H3260" s="3" t="n">
        <v>23.5</v>
      </c>
      <c r="I3260" s="3" t="n">
        <v>35.72</v>
      </c>
      <c r="J3260" s="3" t="n">
        <v>46.47</v>
      </c>
      <c r="K3260" s="3" t="n">
        <v>29</v>
      </c>
      <c r="L3260" s="2" t="inlineStr">
        <is>
          <t>PriceCharting + TCGplayer</t>
        </is>
      </c>
      <c r="M3260" s="4" t="inlineStr">
        <is>
          <t>https://www.pricecharting.com/game/pokemon-guardians-rising/booster-pack</t>
        </is>
      </c>
      <c r="N3260" s="4" t="inlineStr">
        <is>
          <t>https://www.tcgplayer.com/product/129889</t>
        </is>
      </c>
    </row>
    <row r="3261">
      <c r="A3261" s="2" t="inlineStr">
        <is>
          <t>Guardians Rising Single Pack Blister [Alolan Persian]</t>
        </is>
      </c>
      <c r="B3261" s="3">
        <f>IF(H3261&lt;&gt;"",H3261,IF(I3261&lt;&gt;"",I3261,IF(J3261&lt;&gt;"",J3261,K3261)))</f>
        <v>92.4</v>
      </c>
      <c r="C3261" s="3">
        <f>MEDIAN(H3261:K3261)</f>
        <v>91.17500000000001</v>
      </c>
      <c r="D3261" s="3">
        <f>ROUND(C3261*(1-Settings!$B$2),2)</f>
        <v>63.82</v>
      </c>
      <c r="E3261" s="2" t="inlineStr">
        <is>
          <t>Pokemon</t>
        </is>
      </c>
      <c r="F3261" s="2" t="inlineStr">
        <is>
          <t>Pack</t>
        </is>
      </c>
      <c r="G3261" s="2" t="inlineStr">
        <is>
          <t>SM - Guardians Rising</t>
        </is>
      </c>
      <c r="H3261" s="3" t="n"/>
      <c r="I3261" s="3" t="n"/>
      <c r="J3261" s="3" t="n">
        <v>92.40000000000001</v>
      </c>
      <c r="K3261" s="3" t="n">
        <v>89.95</v>
      </c>
      <c r="L3261" s="2" t="inlineStr">
        <is>
          <t>TCGplayer</t>
        </is>
      </c>
      <c r="N3261" s="4" t="inlineStr">
        <is>
          <t>https://www.tcgplayer.com/product/242964</t>
        </is>
      </c>
    </row>
    <row r="3262">
      <c r="A3262" s="2" t="inlineStr">
        <is>
          <t>Guardians Rising Single Pack Blister [Lurantis]</t>
        </is>
      </c>
      <c r="B3262" s="3">
        <f>IF(H3262&lt;&gt;"",H3262,IF(I3262&lt;&gt;"",I3262,IF(J3262&lt;&gt;"",J3262,K3262)))</f>
        <v>38.68</v>
      </c>
      <c r="C3262" s="3">
        <f>MEDIAN(H3262:K3262)</f>
        <v>54.0</v>
      </c>
      <c r="D3262" s="3">
        <f>ROUND(C3262*(1-Settings!$B$2),2)</f>
        <v>37.8</v>
      </c>
      <c r="E3262" s="2" t="inlineStr">
        <is>
          <t>Pokemon</t>
        </is>
      </c>
      <c r="F3262" s="2" t="inlineStr">
        <is>
          <t>Pack</t>
        </is>
      </c>
      <c r="G3262" s="2" t="inlineStr">
        <is>
          <t>SM - Guardians Rising</t>
        </is>
      </c>
      <c r="H3262" s="3" t="n"/>
      <c r="I3262" s="3" t="n">
        <v>38.68</v>
      </c>
      <c r="J3262" s="3" t="n">
        <v>56</v>
      </c>
      <c r="K3262" s="3" t="n">
        <v>54</v>
      </c>
      <c r="L3262" s="2" t="inlineStr">
        <is>
          <t>TCGplayer</t>
        </is>
      </c>
      <c r="N3262" s="4" t="inlineStr">
        <is>
          <t>https://www.tcgplayer.com/product/184341</t>
        </is>
      </c>
    </row>
    <row r="3263">
      <c r="A3263" s="2" t="inlineStr">
        <is>
          <t>Guardians Rising Single Pack Blister [Tsareena]</t>
        </is>
      </c>
      <c r="B3263" s="3">
        <f>IF(H3263&lt;&gt;"",H3263,IF(I3263&lt;&gt;"",I3263,IF(J3263&lt;&gt;"",J3263,K3263)))</f>
        <v>38.18</v>
      </c>
      <c r="C3263" s="3">
        <f>MEDIAN(H3263:K3263)</f>
        <v>99.88</v>
      </c>
      <c r="D3263" s="3">
        <f>ROUND(C3263*(1-Settings!$B$2),2)</f>
        <v>69.92</v>
      </c>
      <c r="E3263" s="2" t="inlineStr">
        <is>
          <t>Pokemon</t>
        </is>
      </c>
      <c r="F3263" s="2" t="inlineStr">
        <is>
          <t>Pack</t>
        </is>
      </c>
      <c r="G3263" s="2" t="inlineStr">
        <is>
          <t>SM - Guardians Rising</t>
        </is>
      </c>
      <c r="H3263" s="3" t="n"/>
      <c r="I3263" s="3" t="n">
        <v>38.18</v>
      </c>
      <c r="J3263" s="3" t="n">
        <v>99.88</v>
      </c>
      <c r="K3263" s="3" t="n">
        <v>99.88</v>
      </c>
      <c r="L3263" s="2" t="inlineStr">
        <is>
          <t>TCGplayer</t>
        </is>
      </c>
      <c r="N3263" s="4" t="inlineStr">
        <is>
          <t>https://www.tcgplayer.com/product/184342</t>
        </is>
      </c>
    </row>
    <row r="3264">
      <c r="A3264" s="2" t="inlineStr">
        <is>
          <t>Guardians Rising Sleeved Booster Pack</t>
        </is>
      </c>
      <c r="B3264" s="3">
        <f>IF(H3264&lt;&gt;"",H3264,IF(I3264&lt;&gt;"",I3264,IF(J3264&lt;&gt;"",J3264,K3264)))</f>
        <v>35.7</v>
      </c>
      <c r="C3264" s="3">
        <f>MEDIAN(H3264:K3264)</f>
        <v>38.235</v>
      </c>
      <c r="D3264" s="3">
        <f>ROUND(C3264*(1-Settings!$B$2),2)</f>
        <v>26.76</v>
      </c>
      <c r="E3264" s="2" t="inlineStr">
        <is>
          <t>Pokemon</t>
        </is>
      </c>
      <c r="F3264" s="2" t="inlineStr">
        <is>
          <t>Pack</t>
        </is>
      </c>
      <c r="G3264" s="2" t="inlineStr">
        <is>
          <t>SM - Guardians Rising</t>
        </is>
      </c>
      <c r="H3264" s="3" t="n">
        <v>35.7</v>
      </c>
      <c r="I3264" s="3" t="n">
        <v>36.47</v>
      </c>
      <c r="J3264" s="3" t="n">
        <v>49.99</v>
      </c>
      <c r="K3264" s="3" t="n">
        <v>40</v>
      </c>
      <c r="L3264" s="2" t="inlineStr">
        <is>
          <t>PriceCharting + TCGplayer</t>
        </is>
      </c>
      <c r="M3264" s="4" t="inlineStr">
        <is>
          <t>https://www.pricecharting.com/game/pokemon-guardians-rising/sleeved-booster-pack</t>
        </is>
      </c>
      <c r="N3264" s="4" t="inlineStr">
        <is>
          <t>https://www.tcgplayer.com/product/616825</t>
        </is>
      </c>
    </row>
    <row r="3265">
      <c r="A3265" s="2" t="inlineStr">
        <is>
          <t>Lost Thunder 3 Pack Blister [Altaria]</t>
        </is>
      </c>
      <c r="B3265" s="3">
        <f>IF(H3265&lt;&gt;"",H3265,IF(I3265&lt;&gt;"",I3265,IF(J3265&lt;&gt;"",J3265,K3265)))</f>
        <v>210.0</v>
      </c>
      <c r="C3265" s="3">
        <f>MEDIAN(H3265:K3265)</f>
        <v>210.0</v>
      </c>
      <c r="D3265" s="3">
        <f>ROUND(C3265*(1-Settings!$B$2),2)</f>
        <v>147.0</v>
      </c>
      <c r="E3265" s="2" t="inlineStr">
        <is>
          <t>Pokemon</t>
        </is>
      </c>
      <c r="F3265" s="2" t="inlineStr">
        <is>
          <t>Pack</t>
        </is>
      </c>
      <c r="G3265" s="2" t="inlineStr">
        <is>
          <t>SM - Lost Thunder</t>
        </is>
      </c>
      <c r="H3265" s="3" t="n"/>
      <c r="I3265" s="3" t="n">
        <v>210</v>
      </c>
      <c r="J3265" s="3" t="n"/>
      <c r="K3265" s="3" t="n"/>
      <c r="L3265" s="2" t="inlineStr">
        <is>
          <t>TCGplayer</t>
        </is>
      </c>
      <c r="N3265" s="4" t="inlineStr">
        <is>
          <t>https://www.tcgplayer.com/product/177904</t>
        </is>
      </c>
    </row>
    <row r="3266">
      <c r="A3266" s="2" t="inlineStr">
        <is>
          <t>Lost Thunder Booster Pack</t>
        </is>
      </c>
      <c r="B3266" s="3">
        <f>IF(H3266&lt;&gt;"",H3266,IF(I3266&lt;&gt;"",I3266,IF(J3266&lt;&gt;"",J3266,K3266)))</f>
        <v>46.0</v>
      </c>
      <c r="C3266" s="3">
        <f>MEDIAN(H3266:K3266)</f>
        <v>52.495000000000005</v>
      </c>
      <c r="D3266" s="3">
        <f>ROUND(C3266*(1-Settings!$B$2),2)</f>
        <v>36.75</v>
      </c>
      <c r="E3266" s="2" t="inlineStr">
        <is>
          <t>Pokemon</t>
        </is>
      </c>
      <c r="F3266" s="2" t="inlineStr">
        <is>
          <t>Pack</t>
        </is>
      </c>
      <c r="G3266" s="2" t="inlineStr">
        <is>
          <t>SM - Lost Thunder</t>
        </is>
      </c>
      <c r="H3266" s="3" t="n">
        <v>46</v>
      </c>
      <c r="I3266" s="3" t="n">
        <v>59.36</v>
      </c>
      <c r="J3266" s="3" t="n">
        <v>58.99</v>
      </c>
      <c r="K3266" s="3" t="n">
        <v>18</v>
      </c>
      <c r="L3266" s="2" t="inlineStr">
        <is>
          <t>PriceCharting + TCGplayer</t>
        </is>
      </c>
      <c r="M3266" s="4" t="inlineStr">
        <is>
          <t>https://www.pricecharting.com/game/pokemon-lost-thunder/booster-pack</t>
        </is>
      </c>
      <c r="N3266" s="4" t="inlineStr">
        <is>
          <t>https://www.tcgplayer.com/product/175510</t>
        </is>
      </c>
    </row>
    <row r="3267">
      <c r="A3267" s="2" t="inlineStr">
        <is>
          <t>Lost Thunder Single Pack Blister [Rowlett]</t>
        </is>
      </c>
      <c r="B3267" s="3">
        <f>IF(H3267&lt;&gt;"",H3267,IF(I3267&lt;&gt;"",I3267,IF(J3267&lt;&gt;"",J3267,K3267)))</f>
        <v>90.99</v>
      </c>
      <c r="C3267" s="3">
        <f>MEDIAN(H3267:K3267)</f>
        <v>86.49</v>
      </c>
      <c r="D3267" s="3">
        <f>ROUND(C3267*(1-Settings!$B$2),2)</f>
        <v>60.54</v>
      </c>
      <c r="E3267" s="2" t="inlineStr">
        <is>
          <t>Pokemon</t>
        </is>
      </c>
      <c r="F3267" s="2" t="inlineStr">
        <is>
          <t>Pack</t>
        </is>
      </c>
      <c r="G3267" s="2" t="inlineStr">
        <is>
          <t>SM - Lost Thunder</t>
        </is>
      </c>
      <c r="H3267" s="3" t="n"/>
      <c r="I3267" s="3" t="n"/>
      <c r="J3267" s="3" t="n">
        <v>90.98999999999999</v>
      </c>
      <c r="K3267" s="3" t="n">
        <v>81.98999999999999</v>
      </c>
      <c r="L3267" s="2" t="inlineStr">
        <is>
          <t>TCGplayer</t>
        </is>
      </c>
      <c r="N3267" s="4" t="inlineStr">
        <is>
          <t>https://www.tcgplayer.com/product/177907</t>
        </is>
      </c>
    </row>
    <row r="3268">
      <c r="A3268" s="2" t="inlineStr">
        <is>
          <t>Lost Thunder Single Pack Blister [Salandit]</t>
        </is>
      </c>
      <c r="B3268" s="3">
        <f>IF(H3268&lt;&gt;"",H3268,IF(I3268&lt;&gt;"",I3268,IF(J3268&lt;&gt;"",J3268,K3268)))</f>
        <v>127.96</v>
      </c>
      <c r="C3268" s="3">
        <f>MEDIAN(H3268:K3268)</f>
        <v>127.96</v>
      </c>
      <c r="D3268" s="3">
        <f>ROUND(C3268*(1-Settings!$B$2),2)</f>
        <v>89.57</v>
      </c>
      <c r="E3268" s="2" t="inlineStr">
        <is>
          <t>Pokemon</t>
        </is>
      </c>
      <c r="F3268" s="2" t="inlineStr">
        <is>
          <t>Pack</t>
        </is>
      </c>
      <c r="G3268" s="2" t="inlineStr">
        <is>
          <t>SM - Lost Thunder</t>
        </is>
      </c>
      <c r="H3268" s="3" t="n"/>
      <c r="I3268" s="3" t="n"/>
      <c r="J3268" s="3" t="n">
        <v>127.96</v>
      </c>
      <c r="K3268" s="3" t="n">
        <v>127.96</v>
      </c>
      <c r="L3268" s="2" t="inlineStr">
        <is>
          <t>TCGplayer</t>
        </is>
      </c>
      <c r="N3268" s="4" t="inlineStr">
        <is>
          <t>https://www.tcgplayer.com/product/177906</t>
        </is>
      </c>
    </row>
    <row r="3269">
      <c r="A3269" s="2" t="inlineStr">
        <is>
          <t>Team Up - Mini Booster Pack</t>
        </is>
      </c>
      <c r="B3269" s="3">
        <f>IF(H3269&lt;&gt;"",H3269,IF(I3269&lt;&gt;"",I3269,IF(J3269&lt;&gt;"",J3269,K3269)))</f>
        <v>65.44</v>
      </c>
      <c r="C3269" s="3">
        <f>MEDIAN(H3269:K3269)</f>
        <v>58.75</v>
      </c>
      <c r="D3269" s="3">
        <f>ROUND(C3269*(1-Settings!$B$2),2)</f>
        <v>41.13</v>
      </c>
      <c r="E3269" s="2" t="inlineStr">
        <is>
          <t>Pokemon</t>
        </is>
      </c>
      <c r="F3269" s="2" t="inlineStr">
        <is>
          <t>Pack</t>
        </is>
      </c>
      <c r="G3269" s="2" t="inlineStr">
        <is>
          <t>SM - Team Up</t>
        </is>
      </c>
      <c r="H3269" s="3" t="n">
        <v>65.44</v>
      </c>
      <c r="I3269" s="3" t="n">
        <v>52.06</v>
      </c>
      <c r="J3269" s="3" t="n">
        <v>70</v>
      </c>
      <c r="K3269" s="3" t="n">
        <v>49.5</v>
      </c>
      <c r="L3269" s="2" t="inlineStr">
        <is>
          <t>PriceCharting + TCGplayer</t>
        </is>
      </c>
      <c r="M3269" s="4" t="inlineStr">
        <is>
          <t>https://www.pricecharting.com/game/pokemon-team-up/mini-booster-pack</t>
        </is>
      </c>
      <c r="N3269" s="4" t="inlineStr">
        <is>
          <t>https://www.tcgplayer.com/product/690691</t>
        </is>
      </c>
    </row>
    <row r="3270">
      <c r="A3270" s="2" t="inlineStr">
        <is>
          <t>Team Up Booster Pack</t>
        </is>
      </c>
      <c r="B3270" s="3">
        <f>IF(H3270&lt;&gt;"",H3270,IF(I3270&lt;&gt;"",I3270,IF(J3270&lt;&gt;"",J3270,K3270)))</f>
        <v>222.64</v>
      </c>
      <c r="C3270" s="3">
        <f>MEDIAN(H3270:K3270)</f>
        <v>261.79999999999995</v>
      </c>
      <c r="D3270" s="3">
        <f>ROUND(C3270*(1-Settings!$B$2),2)</f>
        <v>183.26</v>
      </c>
      <c r="E3270" s="2" t="inlineStr">
        <is>
          <t>Pokemon</t>
        </is>
      </c>
      <c r="F3270" s="2" t="inlineStr">
        <is>
          <t>Pack</t>
        </is>
      </c>
      <c r="G3270" s="2" t="inlineStr">
        <is>
          <t>SM - Team Up</t>
        </is>
      </c>
      <c r="H3270" s="3" t="n">
        <v>222.64</v>
      </c>
      <c r="I3270" s="3" t="n">
        <v>300.96</v>
      </c>
      <c r="J3270" s="3" t="n">
        <v>395.75</v>
      </c>
      <c r="K3270" s="3" t="n">
        <v>119.99</v>
      </c>
      <c r="L3270" s="2" t="inlineStr">
        <is>
          <t>PriceCharting + TCGplayer</t>
        </is>
      </c>
      <c r="M3270" s="4" t="inlineStr">
        <is>
          <t>https://www.pricecharting.com/game/pokemon-team-up/booster-pack</t>
        </is>
      </c>
      <c r="N3270" s="4" t="inlineStr">
        <is>
          <t>https://www.tcgplayer.com/product/181699</t>
        </is>
      </c>
    </row>
    <row r="3271">
      <c r="A3271" s="2" t="inlineStr">
        <is>
          <t>Team Up Premium Checklane Blister [Gyarados]</t>
        </is>
      </c>
      <c r="B3271" s="3">
        <f>IF(H3271&lt;&gt;"",H3271,IF(I3271&lt;&gt;"",I3271,IF(J3271&lt;&gt;"",J3271,K3271)))</f>
        <v>750.0</v>
      </c>
      <c r="C3271" s="3">
        <f>MEDIAN(H3271:K3271)</f>
        <v>825.0</v>
      </c>
      <c r="D3271" s="3">
        <f>ROUND(C3271*(1-Settings!$B$2),2)</f>
        <v>577.5</v>
      </c>
      <c r="E3271" s="2" t="inlineStr">
        <is>
          <t>Pokemon</t>
        </is>
      </c>
      <c r="F3271" s="2" t="inlineStr">
        <is>
          <t>Pack</t>
        </is>
      </c>
      <c r="G3271" s="2" t="inlineStr">
        <is>
          <t>SM - Team Up</t>
        </is>
      </c>
      <c r="H3271" s="3" t="n"/>
      <c r="I3271" s="3" t="n">
        <v>750</v>
      </c>
      <c r="J3271" s="3" t="n"/>
      <c r="K3271" s="3" t="n">
        <v>900</v>
      </c>
      <c r="L3271" s="2" t="inlineStr">
        <is>
          <t>TCGplayer</t>
        </is>
      </c>
      <c r="N3271" s="4" t="inlineStr">
        <is>
          <t>https://www.tcgplayer.com/product/624521</t>
        </is>
      </c>
    </row>
    <row r="3272">
      <c r="A3272" s="2" t="inlineStr">
        <is>
          <t>Team Up Premium Checklane Blister [Raichu]</t>
        </is>
      </c>
      <c r="B3272" s="3">
        <f>IF(H3272&lt;&gt;"",H3272,IF(I3272&lt;&gt;"",I3272,IF(J3272&lt;&gt;"",J3272,K3272)))</f>
        <v>750.0</v>
      </c>
      <c r="C3272" s="3">
        <f>MEDIAN(H3272:K3272)</f>
        <v>750.0</v>
      </c>
      <c r="D3272" s="3">
        <f>ROUND(C3272*(1-Settings!$B$2),2)</f>
        <v>525.0</v>
      </c>
      <c r="E3272" s="2" t="inlineStr">
        <is>
          <t>Pokemon</t>
        </is>
      </c>
      <c r="F3272" s="2" t="inlineStr">
        <is>
          <t>Pack</t>
        </is>
      </c>
      <c r="G3272" s="2" t="inlineStr">
        <is>
          <t>SM - Team Up</t>
        </is>
      </c>
      <c r="H3272" s="3" t="n"/>
      <c r="I3272" s="3" t="n">
        <v>750</v>
      </c>
      <c r="J3272" s="3" t="n"/>
      <c r="K3272" s="3" t="n"/>
      <c r="L3272" s="2" t="inlineStr">
        <is>
          <t>TCGplayer</t>
        </is>
      </c>
      <c r="N3272" s="4" t="inlineStr">
        <is>
          <t>https://www.tcgplayer.com/product/624522</t>
        </is>
      </c>
    </row>
    <row r="3273">
      <c r="A3273" s="2" t="inlineStr">
        <is>
          <t>Team Up Single Pack Blister [Mimikyu]</t>
        </is>
      </c>
      <c r="B3273" s="3">
        <f>IF(H3273&lt;&gt;"",H3273,IF(I3273&lt;&gt;"",I3273,IF(J3273&lt;&gt;"",J3273,K3273)))</f>
        <v>379.66</v>
      </c>
      <c r="C3273" s="3">
        <f>MEDIAN(H3273:K3273)</f>
        <v>419.99</v>
      </c>
      <c r="D3273" s="3">
        <f>ROUND(C3273*(1-Settings!$B$2),2)</f>
        <v>293.99</v>
      </c>
      <c r="E3273" s="2" t="inlineStr">
        <is>
          <t>Pokemon</t>
        </is>
      </c>
      <c r="F3273" s="2" t="inlineStr">
        <is>
          <t>Pack</t>
        </is>
      </c>
      <c r="G3273" s="2" t="inlineStr">
        <is>
          <t>SM - Team Up</t>
        </is>
      </c>
      <c r="H3273" s="3" t="n"/>
      <c r="I3273" s="3" t="n">
        <v>379.66</v>
      </c>
      <c r="J3273" s="3" t="n">
        <v>449.99</v>
      </c>
      <c r="K3273" s="3" t="n">
        <v>419.99</v>
      </c>
      <c r="L3273" s="2" t="inlineStr">
        <is>
          <t>TCGplayer</t>
        </is>
      </c>
      <c r="N3273" s="4" t="inlineStr">
        <is>
          <t>https://www.tcgplayer.com/product/181702</t>
        </is>
      </c>
    </row>
    <row r="3274">
      <c r="A3274" s="2" t="inlineStr">
        <is>
          <t>Team Up Sleeved Booster Pack</t>
        </is>
      </c>
      <c r="B3274" s="3">
        <f>IF(H3274&lt;&gt;"",H3274,IF(I3274&lt;&gt;"",I3274,IF(J3274&lt;&gt;"",J3274,K3274)))</f>
        <v>325.06</v>
      </c>
      <c r="C3274" s="3">
        <f>MEDIAN(H3274:K3274)</f>
        <v>350.78</v>
      </c>
      <c r="D3274" s="3">
        <f>ROUND(C3274*(1-Settings!$B$2),2)</f>
        <v>245.55</v>
      </c>
      <c r="E3274" s="2" t="inlineStr">
        <is>
          <t>Pokemon</t>
        </is>
      </c>
      <c r="F3274" s="2" t="inlineStr">
        <is>
          <t>Pack</t>
        </is>
      </c>
      <c r="G3274" s="2" t="inlineStr">
        <is>
          <t>SM - Team Up</t>
        </is>
      </c>
      <c r="H3274" s="3" t="n">
        <v>325.06</v>
      </c>
      <c r="I3274" s="3" t="n">
        <v>341.56</v>
      </c>
      <c r="J3274" s="3" t="n">
        <v>454.98</v>
      </c>
      <c r="K3274" s="3" t="n">
        <v>360</v>
      </c>
      <c r="L3274" s="2" t="inlineStr">
        <is>
          <t>PriceCharting + TCGplayer</t>
        </is>
      </c>
      <c r="M3274" s="4" t="inlineStr">
        <is>
          <t>https://www.pricecharting.com/game/pokemon-team-up/sleeved-booster-pack</t>
        </is>
      </c>
      <c r="N3274" s="4" t="inlineStr">
        <is>
          <t>https://www.tcgplayer.com/product/524330</t>
        </is>
      </c>
    </row>
    <row r="3275">
      <c r="A3275" s="2" t="inlineStr">
        <is>
          <t>Ultra Prism 3 Pack Blister [Alolan Vulpix]</t>
        </is>
      </c>
      <c r="B3275" s="3">
        <f>IF(H3275&lt;&gt;"",H3275,IF(I3275&lt;&gt;"",I3275,IF(J3275&lt;&gt;"",J3275,K3275)))</f>
        <v>152.49</v>
      </c>
      <c r="C3275" s="3">
        <f>MEDIAN(H3275:K3275)</f>
        <v>152.49</v>
      </c>
      <c r="D3275" s="3">
        <f>ROUND(C3275*(1-Settings!$B$2),2)</f>
        <v>106.74</v>
      </c>
      <c r="E3275" s="2" t="inlineStr">
        <is>
          <t>Pokemon</t>
        </is>
      </c>
      <c r="F3275" s="2" t="inlineStr">
        <is>
          <t>Pack</t>
        </is>
      </c>
      <c r="G3275" s="2" t="inlineStr">
        <is>
          <t>SM - Ultra Prism</t>
        </is>
      </c>
      <c r="H3275" s="3" t="n"/>
      <c r="I3275" s="3" t="n">
        <v>152.49</v>
      </c>
      <c r="J3275" s="3" t="n">
        <v>152.99</v>
      </c>
      <c r="K3275" s="3" t="n">
        <v>149.99</v>
      </c>
      <c r="L3275" s="2" t="inlineStr">
        <is>
          <t>TCGplayer</t>
        </is>
      </c>
      <c r="N3275" s="4" t="inlineStr">
        <is>
          <t>https://www.tcgplayer.com/product/162037</t>
        </is>
      </c>
    </row>
    <row r="3276">
      <c r="A3276" s="2" t="inlineStr">
        <is>
          <t>Ultra Prism Booster Pack</t>
        </is>
      </c>
      <c r="B3276" s="3">
        <f>IF(H3276&lt;&gt;"",H3276,IF(I3276&lt;&gt;"",I3276,IF(J3276&lt;&gt;"",J3276,K3276)))</f>
        <v>29.69</v>
      </c>
      <c r="C3276" s="3">
        <f>MEDIAN(H3276:K3276)</f>
        <v>39.185</v>
      </c>
      <c r="D3276" s="3">
        <f>ROUND(C3276*(1-Settings!$B$2),2)</f>
        <v>27.43</v>
      </c>
      <c r="E3276" s="2" t="inlineStr">
        <is>
          <t>Pokemon</t>
        </is>
      </c>
      <c r="F3276" s="2" t="inlineStr">
        <is>
          <t>Pack</t>
        </is>
      </c>
      <c r="G3276" s="2" t="inlineStr">
        <is>
          <t>SM - Ultra Prism</t>
        </is>
      </c>
      <c r="H3276" s="3" t="n">
        <v>29.69</v>
      </c>
      <c r="I3276" s="3" t="n">
        <v>49.67</v>
      </c>
      <c r="J3276" s="3" t="n">
        <v>48.68</v>
      </c>
      <c r="K3276" s="3" t="n">
        <v>24.99</v>
      </c>
      <c r="L3276" s="2" t="inlineStr">
        <is>
          <t>PriceCharting + TCGplayer</t>
        </is>
      </c>
      <c r="M3276" s="4" t="inlineStr">
        <is>
          <t>https://www.pricecharting.com/game/pokemon-ultra-prism/booster-pack</t>
        </is>
      </c>
      <c r="N3276" s="4" t="inlineStr">
        <is>
          <t>https://www.tcgplayer.com/product/155662</t>
        </is>
      </c>
    </row>
    <row r="3277">
      <c r="A3277" s="2" t="inlineStr">
        <is>
          <t>Ultra Prism Single Pack Blister [Alolan Sandshrew]</t>
        </is>
      </c>
      <c r="B3277" s="3">
        <f>IF(H3277&lt;&gt;"",H3277,IF(I3277&lt;&gt;"",I3277,IF(J3277&lt;&gt;"",J3277,K3277)))</f>
        <v>191.95</v>
      </c>
      <c r="C3277" s="3">
        <f>MEDIAN(H3277:K3277)</f>
        <v>148.475</v>
      </c>
      <c r="D3277" s="3">
        <f>ROUND(C3277*(1-Settings!$B$2),2)</f>
        <v>103.93</v>
      </c>
      <c r="E3277" s="2" t="inlineStr">
        <is>
          <t>Pokemon</t>
        </is>
      </c>
      <c r="F3277" s="2" t="inlineStr">
        <is>
          <t>Pack</t>
        </is>
      </c>
      <c r="G3277" s="2" t="inlineStr">
        <is>
          <t>SM - Ultra Prism</t>
        </is>
      </c>
      <c r="H3277" s="3" t="n"/>
      <c r="I3277" s="3" t="n"/>
      <c r="J3277" s="3" t="n">
        <v>191.95</v>
      </c>
      <c r="K3277" s="3" t="n">
        <v>105</v>
      </c>
      <c r="L3277" s="2" t="inlineStr">
        <is>
          <t>TCGplayer</t>
        </is>
      </c>
      <c r="N3277" s="4" t="inlineStr">
        <is>
          <t>https://www.tcgplayer.com/product/162039</t>
        </is>
      </c>
    </row>
    <row r="3278">
      <c r="A3278" s="2" t="inlineStr">
        <is>
          <t>Unbroken Bonds 3 Pack Blister [Sceptile]</t>
        </is>
      </c>
      <c r="B3278" s="3">
        <f>IF(H3278&lt;&gt;"",H3278,IF(I3278&lt;&gt;"",I3278,IF(J3278&lt;&gt;"",J3278,K3278)))</f>
        <v>249.82</v>
      </c>
      <c r="C3278" s="3">
        <f>MEDIAN(H3278:K3278)</f>
        <v>249.99</v>
      </c>
      <c r="D3278" s="3">
        <f>ROUND(C3278*(1-Settings!$B$2),2)</f>
        <v>174.99</v>
      </c>
      <c r="E3278" s="2" t="inlineStr">
        <is>
          <t>Pokemon</t>
        </is>
      </c>
      <c r="F3278" s="2" t="inlineStr">
        <is>
          <t>Pack</t>
        </is>
      </c>
      <c r="G3278" s="2" t="inlineStr">
        <is>
          <t>SM - Unbroken Bonds</t>
        </is>
      </c>
      <c r="H3278" s="3" t="n"/>
      <c r="I3278" s="3" t="n">
        <v>249.82</v>
      </c>
      <c r="J3278" s="3" t="n">
        <v>274.99</v>
      </c>
      <c r="K3278" s="3" t="n">
        <v>249.99</v>
      </c>
      <c r="L3278" s="2" t="inlineStr">
        <is>
          <t>TCGplayer</t>
        </is>
      </c>
      <c r="N3278" s="4" t="inlineStr">
        <is>
          <t>https://www.tcgplayer.com/product/188410</t>
        </is>
      </c>
    </row>
    <row r="3279">
      <c r="A3279" s="2" t="inlineStr">
        <is>
          <t>Unbroken Bonds 3 Pack Blister [Typhlosion]</t>
        </is>
      </c>
      <c r="B3279" s="3">
        <f>IF(H3279&lt;&gt;"",H3279,IF(I3279&lt;&gt;"",I3279,IF(J3279&lt;&gt;"",J3279,K3279)))</f>
        <v>246.25</v>
      </c>
      <c r="C3279" s="3">
        <f>MEDIAN(H3279:K3279)</f>
        <v>299.95</v>
      </c>
      <c r="D3279" s="3">
        <f>ROUND(C3279*(1-Settings!$B$2),2)</f>
        <v>209.97</v>
      </c>
      <c r="E3279" s="2" t="inlineStr">
        <is>
          <t>Pokemon</t>
        </is>
      </c>
      <c r="F3279" s="2" t="inlineStr">
        <is>
          <t>Pack</t>
        </is>
      </c>
      <c r="G3279" s="2" t="inlineStr">
        <is>
          <t>SM - Unbroken Bonds</t>
        </is>
      </c>
      <c r="H3279" s="3" t="n"/>
      <c r="I3279" s="3" t="n">
        <v>246.25</v>
      </c>
      <c r="J3279" s="3" t="n">
        <v>299.96</v>
      </c>
      <c r="K3279" s="3" t="n">
        <v>299.95</v>
      </c>
      <c r="L3279" s="2" t="inlineStr">
        <is>
          <t>TCGplayer</t>
        </is>
      </c>
      <c r="N3279" s="4" t="inlineStr">
        <is>
          <t>https://www.tcgplayer.com/product/188411</t>
        </is>
      </c>
    </row>
    <row r="3280">
      <c r="A3280" s="2" t="inlineStr">
        <is>
          <t>Unbroken Bonds Booster Pack</t>
        </is>
      </c>
      <c r="B3280" s="3">
        <f>IF(H3280&lt;&gt;"",H3280,IF(I3280&lt;&gt;"",I3280,IF(J3280&lt;&gt;"",J3280,K3280)))</f>
        <v>16.55</v>
      </c>
      <c r="C3280" s="3">
        <f>MEDIAN(H3280:K3280)</f>
        <v>54.33</v>
      </c>
      <c r="D3280" s="3">
        <f>ROUND(C3280*(1-Settings!$B$2),2)</f>
        <v>38.03</v>
      </c>
      <c r="E3280" s="2" t="inlineStr">
        <is>
          <t>Pokemon</t>
        </is>
      </c>
      <c r="F3280" s="2" t="inlineStr">
        <is>
          <t>Pack</t>
        </is>
      </c>
      <c r="G3280" s="2" t="inlineStr">
        <is>
          <t>SM - Unbroken Bonds</t>
        </is>
      </c>
      <c r="H3280" s="3" t="n">
        <v>16.55</v>
      </c>
      <c r="I3280" s="3" t="n">
        <v>68.67</v>
      </c>
      <c r="J3280" s="3" t="n">
        <v>71.98999999999999</v>
      </c>
      <c r="K3280" s="3" t="n">
        <v>39.99</v>
      </c>
      <c r="L3280" s="2" t="inlineStr">
        <is>
          <t>PriceCharting + TCGplayer</t>
        </is>
      </c>
      <c r="M3280" s="4" t="inlineStr">
        <is>
          <t>https://www.pricecharting.com/game/pokemon-unbroken-bonds/booster-pack</t>
        </is>
      </c>
      <c r="N3280" s="4" t="inlineStr">
        <is>
          <t>https://www.tcgplayer.com/product/185718</t>
        </is>
      </c>
    </row>
    <row r="3281">
      <c r="A3281" s="2" t="inlineStr">
        <is>
          <t>Unbroken Bonds Single Pack Blister [Eevee]</t>
        </is>
      </c>
      <c r="B3281" s="3">
        <f>IF(H3281&lt;&gt;"",H3281,IF(I3281&lt;&gt;"",I3281,IF(J3281&lt;&gt;"",J3281,K3281)))</f>
        <v>86.69</v>
      </c>
      <c r="C3281" s="3">
        <f>MEDIAN(H3281:K3281)</f>
        <v>109.99</v>
      </c>
      <c r="D3281" s="3">
        <f>ROUND(C3281*(1-Settings!$B$2),2)</f>
        <v>76.99</v>
      </c>
      <c r="E3281" s="2" t="inlineStr">
        <is>
          <t>Pokemon</t>
        </is>
      </c>
      <c r="F3281" s="2" t="inlineStr">
        <is>
          <t>Pack</t>
        </is>
      </c>
      <c r="G3281" s="2" t="inlineStr">
        <is>
          <t>SM - Unbroken Bonds</t>
        </is>
      </c>
      <c r="H3281" s="3" t="n"/>
      <c r="I3281" s="3" t="n">
        <v>86.69</v>
      </c>
      <c r="J3281" s="3" t="n">
        <v>112.44</v>
      </c>
      <c r="K3281" s="3" t="n">
        <v>109.99</v>
      </c>
      <c r="L3281" s="2" t="inlineStr">
        <is>
          <t>TCGplayer</t>
        </is>
      </c>
      <c r="N3281" s="4" t="inlineStr">
        <is>
          <t>https://www.tcgplayer.com/product/188412</t>
        </is>
      </c>
    </row>
    <row r="3282">
      <c r="A3282" s="2" t="inlineStr">
        <is>
          <t>Unbroken Bonds Single Pack Blister [Pikachu]</t>
        </is>
      </c>
      <c r="B3282" s="3">
        <f>IF(H3282&lt;&gt;"",H3282,IF(I3282&lt;&gt;"",I3282,IF(J3282&lt;&gt;"",J3282,K3282)))</f>
        <v>98.67</v>
      </c>
      <c r="C3282" s="3">
        <f>MEDIAN(H3282:K3282)</f>
        <v>108.68</v>
      </c>
      <c r="D3282" s="3">
        <f>ROUND(C3282*(1-Settings!$B$2),2)</f>
        <v>76.08</v>
      </c>
      <c r="E3282" s="2" t="inlineStr">
        <is>
          <t>Pokemon</t>
        </is>
      </c>
      <c r="F3282" s="2" t="inlineStr">
        <is>
          <t>Pack</t>
        </is>
      </c>
      <c r="G3282" s="2" t="inlineStr">
        <is>
          <t>SM - Unbroken Bonds</t>
        </is>
      </c>
      <c r="H3282" s="3" t="n"/>
      <c r="I3282" s="3" t="n">
        <v>98.67</v>
      </c>
      <c r="J3282" s="3" t="n">
        <v>118.88</v>
      </c>
      <c r="K3282" s="3" t="n">
        <v>108.68</v>
      </c>
      <c r="L3282" s="2" t="inlineStr">
        <is>
          <t>TCGplayer</t>
        </is>
      </c>
      <c r="N3282" s="4" t="inlineStr">
        <is>
          <t>https://www.tcgplayer.com/product/188413</t>
        </is>
      </c>
    </row>
    <row r="3283">
      <c r="A3283" s="2" t="inlineStr">
        <is>
          <t>Unbroken Bonds Single Pack Blister [Steelix]</t>
        </is>
      </c>
      <c r="B3283" s="3">
        <f>IF(H3283&lt;&gt;"",H3283,IF(I3283&lt;&gt;"",I3283,IF(J3283&lt;&gt;"",J3283,K3283)))</f>
        <v>119.99</v>
      </c>
      <c r="C3283" s="3">
        <f>MEDIAN(H3283:K3283)</f>
        <v>119.99</v>
      </c>
      <c r="D3283" s="3">
        <f>ROUND(C3283*(1-Settings!$B$2),2)</f>
        <v>83.99</v>
      </c>
      <c r="E3283" s="2" t="inlineStr">
        <is>
          <t>Pokemon</t>
        </is>
      </c>
      <c r="F3283" s="2" t="inlineStr">
        <is>
          <t>Pack</t>
        </is>
      </c>
      <c r="G3283" s="2" t="inlineStr">
        <is>
          <t>SM - Unbroken Bonds</t>
        </is>
      </c>
      <c r="H3283" s="3" t="n"/>
      <c r="I3283" s="3" t="n">
        <v>119.99</v>
      </c>
      <c r="J3283" s="3" t="n"/>
      <c r="K3283" s="3" t="n"/>
      <c r="L3283" s="2" t="inlineStr">
        <is>
          <t>TCGplayer</t>
        </is>
      </c>
      <c r="N3283" s="4" t="inlineStr">
        <is>
          <t>https://www.tcgplayer.com/product/240188</t>
        </is>
      </c>
    </row>
    <row r="3284">
      <c r="A3284" s="2" t="inlineStr">
        <is>
          <t>Unbroken Bonds Single Pack Blister [Wailord]</t>
        </is>
      </c>
      <c r="B3284" s="3">
        <f>IF(H3284&lt;&gt;"",H3284,IF(I3284&lt;&gt;"",I3284,IF(J3284&lt;&gt;"",J3284,K3284)))</f>
        <v>120.0</v>
      </c>
      <c r="C3284" s="3">
        <f>MEDIAN(H3284:K3284)</f>
        <v>120.0</v>
      </c>
      <c r="D3284" s="3">
        <f>ROUND(C3284*(1-Settings!$B$2),2)</f>
        <v>84.0</v>
      </c>
      <c r="E3284" s="2" t="inlineStr">
        <is>
          <t>Pokemon</t>
        </is>
      </c>
      <c r="F3284" s="2" t="inlineStr">
        <is>
          <t>Pack</t>
        </is>
      </c>
      <c r="G3284" s="2" t="inlineStr">
        <is>
          <t>SM - Unbroken Bonds</t>
        </is>
      </c>
      <c r="H3284" s="3" t="n"/>
      <c r="I3284" s="3" t="n">
        <v>120</v>
      </c>
      <c r="J3284" s="3" t="n"/>
      <c r="K3284" s="3" t="n"/>
      <c r="L3284" s="2" t="inlineStr">
        <is>
          <t>TCGplayer</t>
        </is>
      </c>
      <c r="N3284" s="4" t="inlineStr">
        <is>
          <t>https://www.tcgplayer.com/product/240189</t>
        </is>
      </c>
    </row>
    <row r="3285">
      <c r="A3285" s="2" t="inlineStr">
        <is>
          <t>Unbroken Bonds Sleeved Booster Pack</t>
        </is>
      </c>
      <c r="B3285" s="3">
        <f>IF(H3285&lt;&gt;"",H3285,IF(I3285&lt;&gt;"",I3285,IF(J3285&lt;&gt;"",J3285,K3285)))</f>
        <v>87.0</v>
      </c>
      <c r="C3285" s="3">
        <f>MEDIAN(H3285:K3285)</f>
        <v>87.47999999999999</v>
      </c>
      <c r="D3285" s="3">
        <f>ROUND(C3285*(1-Settings!$B$2),2)</f>
        <v>61.24</v>
      </c>
      <c r="E3285" s="2" t="inlineStr">
        <is>
          <t>Pokemon</t>
        </is>
      </c>
      <c r="F3285" s="2" t="inlineStr">
        <is>
          <t>Pack</t>
        </is>
      </c>
      <c r="G3285" s="2" t="inlineStr">
        <is>
          <t>SM - Unbroken Bonds</t>
        </is>
      </c>
      <c r="H3285" s="3" t="n">
        <v>87</v>
      </c>
      <c r="I3285" s="3" t="n">
        <v>87.95999999999999</v>
      </c>
      <c r="J3285" s="3" t="n"/>
      <c r="K3285" s="3" t="n"/>
      <c r="L3285" s="2" t="inlineStr">
        <is>
          <t>PriceCharting + TCGplayer</t>
        </is>
      </c>
      <c r="M3285" s="4" t="inlineStr">
        <is>
          <t>https://www.pricecharting.com/game/pokemon-unbroken-bonds/sleeved-booster-pack</t>
        </is>
      </c>
      <c r="N3285" s="4" t="inlineStr">
        <is>
          <t>https://www.tcgplayer.com/product/524331</t>
        </is>
      </c>
    </row>
    <row r="3286">
      <c r="A3286" s="2" t="inlineStr">
        <is>
          <t>Unified Minds 3 Pack Blister [Stakataka]</t>
        </is>
      </c>
      <c r="B3286" s="3">
        <f>IF(H3286&lt;&gt;"",H3286,IF(I3286&lt;&gt;"",I3286,IF(J3286&lt;&gt;"",J3286,K3286)))</f>
        <v>330.0</v>
      </c>
      <c r="C3286" s="3">
        <f>MEDIAN(H3286:K3286)</f>
        <v>320.0</v>
      </c>
      <c r="D3286" s="3">
        <f>ROUND(C3286*(1-Settings!$B$2),2)</f>
        <v>224.0</v>
      </c>
      <c r="E3286" s="2" t="inlineStr">
        <is>
          <t>Pokemon</t>
        </is>
      </c>
      <c r="F3286" s="2" t="inlineStr">
        <is>
          <t>Pack</t>
        </is>
      </c>
      <c r="G3286" s="2" t="inlineStr">
        <is>
          <t>SM - Unified Minds</t>
        </is>
      </c>
      <c r="H3286" s="3" t="n"/>
      <c r="I3286" s="3" t="n"/>
      <c r="J3286" s="3" t="n">
        <v>330</v>
      </c>
      <c r="K3286" s="3" t="n">
        <v>310</v>
      </c>
      <c r="L3286" s="2" t="inlineStr">
        <is>
          <t>TCGplayer</t>
        </is>
      </c>
      <c r="N3286" s="4" t="inlineStr">
        <is>
          <t>https://www.tcgplayer.com/product/191884</t>
        </is>
      </c>
    </row>
    <row r="3287">
      <c r="A3287" s="2" t="inlineStr">
        <is>
          <t>Unified Minds 3 Pack Blister [Vikavolt]</t>
        </is>
      </c>
      <c r="B3287" s="3">
        <f>IF(H3287&lt;&gt;"",H3287,IF(I3287&lt;&gt;"",I3287,IF(J3287&lt;&gt;"",J3287,K3287)))</f>
        <v>328.9</v>
      </c>
      <c r="C3287" s="3">
        <f>MEDIAN(H3287:K3287)</f>
        <v>328.9</v>
      </c>
      <c r="D3287" s="3">
        <f>ROUND(C3287*(1-Settings!$B$2),2)</f>
        <v>230.23</v>
      </c>
      <c r="E3287" s="2" t="inlineStr">
        <is>
          <t>Pokemon</t>
        </is>
      </c>
      <c r="F3287" s="2" t="inlineStr">
        <is>
          <t>Pack</t>
        </is>
      </c>
      <c r="G3287" s="2" t="inlineStr">
        <is>
          <t>SM - Unified Minds</t>
        </is>
      </c>
      <c r="H3287" s="3" t="n"/>
      <c r="I3287" s="3" t="n">
        <v>328.9</v>
      </c>
      <c r="J3287" s="3" t="n">
        <v>330</v>
      </c>
      <c r="K3287" s="3" t="n">
        <v>315</v>
      </c>
      <c r="L3287" s="2" t="inlineStr">
        <is>
          <t>TCGplayer</t>
        </is>
      </c>
      <c r="N3287" s="4" t="inlineStr">
        <is>
          <t>https://www.tcgplayer.com/product/191885</t>
        </is>
      </c>
    </row>
    <row r="3288">
      <c r="A3288" s="2" t="inlineStr">
        <is>
          <t>Unified Minds Booster Pack</t>
        </is>
      </c>
      <c r="B3288" s="3">
        <f>IF(H3288&lt;&gt;"",H3288,IF(I3288&lt;&gt;"",I3288,IF(J3288&lt;&gt;"",J3288,K3288)))</f>
        <v>88.8</v>
      </c>
      <c r="C3288" s="3">
        <f>MEDIAN(H3288:K3288)</f>
        <v>84.275</v>
      </c>
      <c r="D3288" s="3">
        <f>ROUND(C3288*(1-Settings!$B$2),2)</f>
        <v>58.99</v>
      </c>
      <c r="E3288" s="2" t="inlineStr">
        <is>
          <t>Pokemon</t>
        </is>
      </c>
      <c r="F3288" s="2" t="inlineStr">
        <is>
          <t>Pack</t>
        </is>
      </c>
      <c r="G3288" s="2" t="inlineStr">
        <is>
          <t>SM - Unified Minds</t>
        </is>
      </c>
      <c r="H3288" s="3" t="n">
        <v>88.8</v>
      </c>
      <c r="I3288" s="3" t="n">
        <v>79.75</v>
      </c>
      <c r="J3288" s="3" t="n">
        <v>89.48999999999999</v>
      </c>
      <c r="K3288" s="3" t="n">
        <v>17.99</v>
      </c>
      <c r="L3288" s="2" t="inlineStr">
        <is>
          <t>PriceCharting + TCGplayer</t>
        </is>
      </c>
      <c r="M3288" s="4" t="inlineStr">
        <is>
          <t>https://www.pricecharting.com/game/pokemon-unified-minds/booster-pack</t>
        </is>
      </c>
      <c r="N3288" s="4" t="inlineStr">
        <is>
          <t>https://www.tcgplayer.com/product/191883</t>
        </is>
      </c>
    </row>
    <row r="3289">
      <c r="A3289" s="2" t="inlineStr">
        <is>
          <t>Unified Minds Mini Pack</t>
        </is>
      </c>
      <c r="B3289" s="3">
        <f>IF(H3289&lt;&gt;"",H3289,IF(I3289&lt;&gt;"",I3289,IF(J3289&lt;&gt;"",J3289,K3289)))</f>
        <v>20.33</v>
      </c>
      <c r="C3289" s="3">
        <f>MEDIAN(H3289:K3289)</f>
        <v>20.33</v>
      </c>
      <c r="D3289" s="3">
        <f>ROUND(C3289*(1-Settings!$B$2),2)</f>
        <v>14.23</v>
      </c>
      <c r="E3289" s="2" t="inlineStr">
        <is>
          <t>Pokemon</t>
        </is>
      </c>
      <c r="F3289" s="2" t="inlineStr">
        <is>
          <t>Pack</t>
        </is>
      </c>
      <c r="G3289" s="2" t="inlineStr">
        <is>
          <t>SM - Unified Minds</t>
        </is>
      </c>
      <c r="H3289" s="3" t="n"/>
      <c r="I3289" s="3" t="n">
        <v>20.33</v>
      </c>
      <c r="J3289" s="3" t="n">
        <v>26.5</v>
      </c>
      <c r="K3289" s="3" t="n">
        <v>20.33</v>
      </c>
      <c r="L3289" s="2" t="inlineStr">
        <is>
          <t>TCGplayer</t>
        </is>
      </c>
      <c r="N3289" s="4" t="inlineStr">
        <is>
          <t>https://www.tcgplayer.com/product/686509</t>
        </is>
      </c>
    </row>
    <row r="3290">
      <c r="A3290" s="2" t="inlineStr">
        <is>
          <t>Unified Minds Premium Checklane Blister [Umbreon]</t>
        </is>
      </c>
      <c r="B3290" s="3">
        <f>IF(H3290&lt;&gt;"",H3290,IF(I3290&lt;&gt;"",I3290,IF(J3290&lt;&gt;"",J3290,K3290)))</f>
        <v>149.99</v>
      </c>
      <c r="C3290" s="3">
        <f>MEDIAN(H3290:K3290)</f>
        <v>149.99</v>
      </c>
      <c r="D3290" s="3">
        <f>ROUND(C3290*(1-Settings!$B$2),2)</f>
        <v>104.99</v>
      </c>
      <c r="E3290" s="2" t="inlineStr">
        <is>
          <t>Pokemon</t>
        </is>
      </c>
      <c r="F3290" s="2" t="inlineStr">
        <is>
          <t>Pack</t>
        </is>
      </c>
      <c r="G3290" s="2" t="inlineStr">
        <is>
          <t>SM - Unified Minds</t>
        </is>
      </c>
      <c r="H3290" s="3" t="n"/>
      <c r="I3290" s="3" t="n">
        <v>149.99</v>
      </c>
      <c r="J3290" s="3" t="n">
        <v>275</v>
      </c>
      <c r="K3290" s="3" t="n">
        <v>19.69</v>
      </c>
      <c r="L3290" s="2" t="inlineStr">
        <is>
          <t>TCGplayer</t>
        </is>
      </c>
      <c r="N3290" s="4" t="inlineStr">
        <is>
          <t>https://www.tcgplayer.com/product/229579</t>
        </is>
      </c>
    </row>
    <row r="3291">
      <c r="A3291" s="2" t="inlineStr">
        <is>
          <t>Unified Minds Single Pack Blister [Pikachu]</t>
        </is>
      </c>
      <c r="B3291" s="3">
        <f>IF(H3291&lt;&gt;"",H3291,IF(I3291&lt;&gt;"",I3291,IF(J3291&lt;&gt;"",J3291,K3291)))</f>
        <v>200.0</v>
      </c>
      <c r="C3291" s="3">
        <f>MEDIAN(H3291:K3291)</f>
        <v>192.5</v>
      </c>
      <c r="D3291" s="3">
        <f>ROUND(C3291*(1-Settings!$B$2),2)</f>
        <v>134.75</v>
      </c>
      <c r="E3291" s="2" t="inlineStr">
        <is>
          <t>Pokemon</t>
        </is>
      </c>
      <c r="F3291" s="2" t="inlineStr">
        <is>
          <t>Pack</t>
        </is>
      </c>
      <c r="G3291" s="2" t="inlineStr">
        <is>
          <t>SM - Unified Minds</t>
        </is>
      </c>
      <c r="H3291" s="3" t="n"/>
      <c r="I3291" s="3" t="n"/>
      <c r="J3291" s="3" t="n">
        <v>200</v>
      </c>
      <c r="K3291" s="3" t="n">
        <v>185</v>
      </c>
      <c r="L3291" s="2" t="inlineStr">
        <is>
          <t>TCGplayer</t>
        </is>
      </c>
      <c r="N3291" s="4" t="inlineStr">
        <is>
          <t>https://www.tcgplayer.com/product/191886</t>
        </is>
      </c>
    </row>
    <row r="3292">
      <c r="A3292" s="2" t="inlineStr">
        <is>
          <t>Unified Minds Single Pack Blister [Sudowoodo]</t>
        </is>
      </c>
      <c r="B3292" s="3">
        <f>IF(H3292&lt;&gt;"",H3292,IF(I3292&lt;&gt;"",I3292,IF(J3292&lt;&gt;"",J3292,K3292)))</f>
        <v>99.49</v>
      </c>
      <c r="C3292" s="3">
        <f>MEDIAN(H3292:K3292)</f>
        <v>148.01</v>
      </c>
      <c r="D3292" s="3">
        <f>ROUND(C3292*(1-Settings!$B$2),2)</f>
        <v>103.61</v>
      </c>
      <c r="E3292" s="2" t="inlineStr">
        <is>
          <t>Pokemon</t>
        </is>
      </c>
      <c r="F3292" s="2" t="inlineStr">
        <is>
          <t>Pack</t>
        </is>
      </c>
      <c r="G3292" s="2" t="inlineStr">
        <is>
          <t>SM - Unified Minds</t>
        </is>
      </c>
      <c r="H3292" s="3" t="n"/>
      <c r="I3292" s="3" t="n">
        <v>99.48999999999999</v>
      </c>
      <c r="J3292" s="3" t="n">
        <v>150</v>
      </c>
      <c r="K3292" s="3" t="n">
        <v>148.01</v>
      </c>
      <c r="L3292" s="2" t="inlineStr">
        <is>
          <t>TCGplayer</t>
        </is>
      </c>
      <c r="N3292" s="4" t="inlineStr">
        <is>
          <t>https://www.tcgplayer.com/product/191887</t>
        </is>
      </c>
    </row>
    <row r="3293">
      <c r="A3293" s="2" t="inlineStr">
        <is>
          <t>Sun &amp; Moon Base Set 3 Pack Blister [Litten]</t>
        </is>
      </c>
      <c r="B3293" s="3">
        <f>IF(H3293&lt;&gt;"",H3293,IF(I3293&lt;&gt;"",I3293,IF(J3293&lt;&gt;"",J3293,K3293)))</f>
        <v>66.67</v>
      </c>
      <c r="C3293" s="3">
        <f>MEDIAN(H3293:K3293)</f>
        <v>66.67</v>
      </c>
      <c r="D3293" s="3">
        <f>ROUND(C3293*(1-Settings!$B$2),2)</f>
        <v>46.67</v>
      </c>
      <c r="E3293" s="2" t="inlineStr">
        <is>
          <t>Pokemon</t>
        </is>
      </c>
      <c r="F3293" s="2" t="inlineStr">
        <is>
          <t>Pack</t>
        </is>
      </c>
      <c r="G3293" s="2" t="inlineStr">
        <is>
          <t>SM Base Set</t>
        </is>
      </c>
      <c r="H3293" s="3" t="n"/>
      <c r="I3293" s="3" t="n">
        <v>66.67</v>
      </c>
      <c r="J3293" s="3" t="n"/>
      <c r="K3293" s="3" t="n"/>
      <c r="L3293" s="2" t="inlineStr">
        <is>
          <t>TCGplayer</t>
        </is>
      </c>
      <c r="N3293" s="4" t="inlineStr">
        <is>
          <t>https://www.tcgplayer.com/product/126054</t>
        </is>
      </c>
    </row>
    <row r="3294">
      <c r="A3294" s="2" t="inlineStr">
        <is>
          <t>Sun &amp; Moon Base Set 3 Pack Blister [Togedemaru]</t>
        </is>
      </c>
      <c r="B3294" s="3">
        <f>IF(H3294&lt;&gt;"",H3294,IF(I3294&lt;&gt;"",I3294,IF(J3294&lt;&gt;"",J3294,K3294)))</f>
        <v>121.99</v>
      </c>
      <c r="C3294" s="3">
        <f>MEDIAN(H3294:K3294)</f>
        <v>199.99</v>
      </c>
      <c r="D3294" s="3">
        <f>ROUND(C3294*(1-Settings!$B$2),2)</f>
        <v>139.99</v>
      </c>
      <c r="E3294" s="2" t="inlineStr">
        <is>
          <t>Pokemon</t>
        </is>
      </c>
      <c r="F3294" s="2" t="inlineStr">
        <is>
          <t>Pack</t>
        </is>
      </c>
      <c r="G3294" s="2" t="inlineStr">
        <is>
          <t>SM Base Set</t>
        </is>
      </c>
      <c r="H3294" s="3" t="n"/>
      <c r="I3294" s="3" t="n">
        <v>121.99</v>
      </c>
      <c r="J3294" s="3" t="n">
        <v>250</v>
      </c>
      <c r="K3294" s="3" t="n">
        <v>199.99</v>
      </c>
      <c r="L3294" s="2" t="inlineStr">
        <is>
          <t>TCGplayer</t>
        </is>
      </c>
      <c r="N3294" s="4" t="inlineStr">
        <is>
          <t>https://www.tcgplayer.com/product/126052</t>
        </is>
      </c>
    </row>
    <row r="3295">
      <c r="A3295" s="2" t="inlineStr">
        <is>
          <t>Sun &amp; Moon Booster Pack</t>
        </is>
      </c>
      <c r="B3295" s="3">
        <f>IF(H3295&lt;&gt;"",H3295,IF(I3295&lt;&gt;"",I3295,IF(J3295&lt;&gt;"",J3295,K3295)))</f>
        <v>22.97</v>
      </c>
      <c r="C3295" s="3">
        <f>MEDIAN(H3295:K3295)</f>
        <v>22.97</v>
      </c>
      <c r="D3295" s="3">
        <f>ROUND(C3295*(1-Settings!$B$2),2)</f>
        <v>16.08</v>
      </c>
      <c r="E3295" s="2" t="inlineStr">
        <is>
          <t>Pokemon</t>
        </is>
      </c>
      <c r="F3295" s="2" t="inlineStr">
        <is>
          <t>Pack</t>
        </is>
      </c>
      <c r="G3295" s="2" t="inlineStr">
        <is>
          <t>SM Base Set</t>
        </is>
      </c>
      <c r="H3295" s="3" t="n"/>
      <c r="I3295" s="3" t="n">
        <v>22.97</v>
      </c>
      <c r="J3295" s="3" t="n">
        <v>25</v>
      </c>
      <c r="K3295" s="3" t="n">
        <v>21</v>
      </c>
      <c r="L3295" s="2" t="inlineStr">
        <is>
          <t>TCGplayer</t>
        </is>
      </c>
      <c r="N3295" s="4" t="inlineStr">
        <is>
          <t>https://www.tcgplayer.com/product/129385</t>
        </is>
      </c>
    </row>
    <row r="3296">
      <c r="A3296" s="2" t="inlineStr">
        <is>
          <t>Sun &amp; Moon Single Blister Pack [Pikipek]</t>
        </is>
      </c>
      <c r="B3296" s="3">
        <f>IF(H3296&lt;&gt;"",H3296,IF(I3296&lt;&gt;"",I3296,IF(J3296&lt;&gt;"",J3296,K3296)))</f>
        <v>124.99</v>
      </c>
      <c r="C3296" s="3">
        <f>MEDIAN(H3296:K3296)</f>
        <v>87.49</v>
      </c>
      <c r="D3296" s="3">
        <f>ROUND(C3296*(1-Settings!$B$2),2)</f>
        <v>61.24</v>
      </c>
      <c r="E3296" s="2" t="inlineStr">
        <is>
          <t>Pokemon</t>
        </is>
      </c>
      <c r="F3296" s="2" t="inlineStr">
        <is>
          <t>Pack</t>
        </is>
      </c>
      <c r="G3296" s="2" t="inlineStr">
        <is>
          <t>SM Base Set</t>
        </is>
      </c>
      <c r="H3296" s="3" t="n"/>
      <c r="I3296" s="3" t="n"/>
      <c r="J3296" s="3" t="n">
        <v>124.99</v>
      </c>
      <c r="K3296" s="3" t="n">
        <v>49.99</v>
      </c>
      <c r="L3296" s="2" t="inlineStr">
        <is>
          <t>TCGplayer</t>
        </is>
      </c>
      <c r="N3296" s="4" t="inlineStr">
        <is>
          <t>https://www.tcgplayer.com/product/231690</t>
        </is>
      </c>
    </row>
    <row r="3297">
      <c r="A3297" s="2" t="inlineStr">
        <is>
          <t>Sun &amp; Moon Single Blister Pack [Rockruff]</t>
        </is>
      </c>
      <c r="B3297" s="3">
        <f>IF(H3297&lt;&gt;"",H3297,IF(I3297&lt;&gt;"",I3297,IF(J3297&lt;&gt;"",J3297,K3297)))</f>
        <v>129.97</v>
      </c>
      <c r="C3297" s="3">
        <f>MEDIAN(H3297:K3297)</f>
        <v>94.96000000000001</v>
      </c>
      <c r="D3297" s="3">
        <f>ROUND(C3297*(1-Settings!$B$2),2)</f>
        <v>66.47</v>
      </c>
      <c r="E3297" s="2" t="inlineStr">
        <is>
          <t>Pokemon</t>
        </is>
      </c>
      <c r="F3297" s="2" t="inlineStr">
        <is>
          <t>Pack</t>
        </is>
      </c>
      <c r="G3297" s="2" t="inlineStr">
        <is>
          <t>SM Base Set</t>
        </is>
      </c>
      <c r="H3297" s="3" t="n"/>
      <c r="I3297" s="3" t="n"/>
      <c r="J3297" s="3" t="n">
        <v>129.97</v>
      </c>
      <c r="K3297" s="3" t="n">
        <v>59.95</v>
      </c>
      <c r="L3297" s="2" t="inlineStr">
        <is>
          <t>TCGplayer</t>
        </is>
      </c>
      <c r="N3297" s="4" t="inlineStr">
        <is>
          <t>https://www.tcgplayer.com/product/231689</t>
        </is>
      </c>
    </row>
    <row r="3298">
      <c r="A3298" s="2" t="inlineStr">
        <is>
          <t>Double Blaze Booster Pack</t>
        </is>
      </c>
      <c r="B3298" s="3">
        <f>IF(H3298&lt;&gt;"",H3298,IF(I3298&lt;&gt;"",I3298,IF(J3298&lt;&gt;"",J3298,K3298)))</f>
        <v>39.99</v>
      </c>
      <c r="C3298" s="3">
        <f>MEDIAN(H3298:K3298)</f>
        <v>39.99</v>
      </c>
      <c r="D3298" s="3">
        <f>ROUND(C3298*(1-Settings!$B$2),2)</f>
        <v>27.99</v>
      </c>
      <c r="E3298" s="2" t="inlineStr">
        <is>
          <t>Pokemon</t>
        </is>
      </c>
      <c r="F3298" s="2" t="inlineStr">
        <is>
          <t>Pack</t>
        </is>
      </c>
      <c r="G3298" s="2" t="inlineStr">
        <is>
          <t>SM10: Double Blaze</t>
        </is>
      </c>
      <c r="H3298" s="3" t="n"/>
      <c r="I3298" s="3" t="n"/>
      <c r="J3298" s="3" t="n"/>
      <c r="K3298" s="3" t="n">
        <v>39.99</v>
      </c>
      <c r="L3298" s="2" t="inlineStr">
        <is>
          <t>TCGplayer</t>
        </is>
      </c>
      <c r="N3298" s="4" t="inlineStr">
        <is>
          <t>https://www.tcgplayer.com/product/576913</t>
        </is>
      </c>
    </row>
    <row r="3299">
      <c r="A3299" s="2" t="inlineStr">
        <is>
          <t>GG End Booster Pack</t>
        </is>
      </c>
      <c r="B3299" s="3">
        <f>IF(H3299&lt;&gt;"",H3299,IF(I3299&lt;&gt;"",I3299,IF(J3299&lt;&gt;"",J3299,K3299)))</f>
        <v>13.75</v>
      </c>
      <c r="C3299" s="3">
        <f>MEDIAN(H3299:K3299)</f>
        <v>11.875</v>
      </c>
      <c r="D3299" s="3">
        <f>ROUND(C3299*(1-Settings!$B$2),2)</f>
        <v>8.31</v>
      </c>
      <c r="E3299" s="2" t="inlineStr">
        <is>
          <t>Pokemon</t>
        </is>
      </c>
      <c r="F3299" s="2" t="inlineStr">
        <is>
          <t>Pack</t>
        </is>
      </c>
      <c r="G3299" s="2" t="inlineStr">
        <is>
          <t>SM10a: GG End</t>
        </is>
      </c>
      <c r="H3299" s="3" t="n"/>
      <c r="I3299" s="3" t="n">
        <v>13.75</v>
      </c>
      <c r="J3299" s="3" t="n"/>
      <c r="K3299" s="3" t="n">
        <v>10</v>
      </c>
      <c r="L3299" s="2" t="inlineStr">
        <is>
          <t>TCGplayer</t>
        </is>
      </c>
      <c r="N3299" s="4" t="inlineStr">
        <is>
          <t>https://www.tcgplayer.com/product/576950</t>
        </is>
      </c>
    </row>
    <row r="3300">
      <c r="A3300" s="2" t="inlineStr">
        <is>
          <t>Sky Legend Booster Pack</t>
        </is>
      </c>
      <c r="B3300" s="3">
        <f>IF(H3300&lt;&gt;"",H3300,IF(I3300&lt;&gt;"",I3300,IF(J3300&lt;&gt;"",J3300,K3300)))</f>
        <v>16.44</v>
      </c>
      <c r="C3300" s="3">
        <f>MEDIAN(H3300:K3300)</f>
        <v>17.695</v>
      </c>
      <c r="D3300" s="3">
        <f>ROUND(C3300*(1-Settings!$B$2),2)</f>
        <v>12.39</v>
      </c>
      <c r="E3300" s="2" t="inlineStr">
        <is>
          <t>Pokemon</t>
        </is>
      </c>
      <c r="F3300" s="2" t="inlineStr">
        <is>
          <t>Pack</t>
        </is>
      </c>
      <c r="G3300" s="2" t="inlineStr">
        <is>
          <t>SM10b: Sky Legend</t>
        </is>
      </c>
      <c r="H3300" s="3" t="n"/>
      <c r="I3300" s="3" t="n">
        <v>16.44</v>
      </c>
      <c r="J3300" s="3" t="n"/>
      <c r="K3300" s="3" t="n">
        <v>18.95</v>
      </c>
      <c r="L3300" s="2" t="inlineStr">
        <is>
          <t>TCGplayer</t>
        </is>
      </c>
      <c r="N3300" s="4" t="inlineStr">
        <is>
          <t>https://www.tcgplayer.com/product/576952</t>
        </is>
      </c>
    </row>
    <row r="3301">
      <c r="A3301" s="2" t="inlineStr">
        <is>
          <t>Miracle Twin Booster Pack</t>
        </is>
      </c>
      <c r="B3301" s="3">
        <f>IF(H3301&lt;&gt;"",H3301,IF(I3301&lt;&gt;"",I3301,IF(J3301&lt;&gt;"",J3301,K3301)))</f>
        <v>24.24</v>
      </c>
      <c r="C3301" s="3">
        <f>MEDIAN(H3301:K3301)</f>
        <v>15.62</v>
      </c>
      <c r="D3301" s="3">
        <f>ROUND(C3301*(1-Settings!$B$2),2)</f>
        <v>10.93</v>
      </c>
      <c r="E3301" s="2" t="inlineStr">
        <is>
          <t>Pokemon</t>
        </is>
      </c>
      <c r="F3301" s="2" t="inlineStr">
        <is>
          <t>Pack</t>
        </is>
      </c>
      <c r="G3301" s="2" t="inlineStr">
        <is>
          <t>SM11: Miracle Twin</t>
        </is>
      </c>
      <c r="H3301" s="3" t="n"/>
      <c r="I3301" s="3" t="n">
        <v>24.24</v>
      </c>
      <c r="J3301" s="3" t="n"/>
      <c r="K3301" s="3" t="n">
        <v>7</v>
      </c>
      <c r="L3301" s="2" t="inlineStr">
        <is>
          <t>TCGplayer</t>
        </is>
      </c>
      <c r="N3301" s="4" t="inlineStr">
        <is>
          <t>https://www.tcgplayer.com/product/576916</t>
        </is>
      </c>
    </row>
    <row r="3302">
      <c r="A3302" s="2" t="inlineStr">
        <is>
          <t>Remix Bout Booster Pack</t>
        </is>
      </c>
      <c r="B3302" s="3">
        <f>IF(H3302&lt;&gt;"",H3302,IF(I3302&lt;&gt;"",I3302,IF(J3302&lt;&gt;"",J3302,K3302)))</f>
        <v>16.33</v>
      </c>
      <c r="C3302" s="3">
        <f>MEDIAN(H3302:K3302)</f>
        <v>15.16</v>
      </c>
      <c r="D3302" s="3">
        <f>ROUND(C3302*(1-Settings!$B$2),2)</f>
        <v>10.61</v>
      </c>
      <c r="E3302" s="2" t="inlineStr">
        <is>
          <t>Pokemon</t>
        </is>
      </c>
      <c r="F3302" s="2" t="inlineStr">
        <is>
          <t>Pack</t>
        </is>
      </c>
      <c r="G3302" s="2" t="inlineStr">
        <is>
          <t>SM11a: Remix Bout</t>
        </is>
      </c>
      <c r="H3302" s="3" t="n"/>
      <c r="I3302" s="3" t="n">
        <v>16.33</v>
      </c>
      <c r="J3302" s="3" t="n"/>
      <c r="K3302" s="3" t="n">
        <v>13.99</v>
      </c>
      <c r="L3302" s="2" t="inlineStr">
        <is>
          <t>TCGplayer</t>
        </is>
      </c>
      <c r="N3302" s="4" t="inlineStr">
        <is>
          <t>https://www.tcgplayer.com/product/576954</t>
        </is>
      </c>
    </row>
    <row r="3303">
      <c r="A3303" s="2" t="inlineStr">
        <is>
          <t>Dream League Booster Pack</t>
        </is>
      </c>
      <c r="B3303" s="3">
        <f>IF(H3303&lt;&gt;"",H3303,IF(I3303&lt;&gt;"",I3303,IF(J3303&lt;&gt;"",J3303,K3303)))</f>
        <v>37.97</v>
      </c>
      <c r="C3303" s="3">
        <f>MEDIAN(H3303:K3303)</f>
        <v>38.980000000000004</v>
      </c>
      <c r="D3303" s="3">
        <f>ROUND(C3303*(1-Settings!$B$2),2)</f>
        <v>27.29</v>
      </c>
      <c r="E3303" s="2" t="inlineStr">
        <is>
          <t>Pokemon</t>
        </is>
      </c>
      <c r="F3303" s="2" t="inlineStr">
        <is>
          <t>Pack</t>
        </is>
      </c>
      <c r="G3303" s="2" t="inlineStr">
        <is>
          <t>SM11b: Dream League</t>
        </is>
      </c>
      <c r="H3303" s="3" t="n"/>
      <c r="I3303" s="3" t="n">
        <v>37.97</v>
      </c>
      <c r="J3303" s="3" t="n"/>
      <c r="K3303" s="3" t="n">
        <v>39.99</v>
      </c>
      <c r="L3303" s="2" t="inlineStr">
        <is>
          <t>TCGplayer</t>
        </is>
      </c>
      <c r="N3303" s="4" t="inlineStr">
        <is>
          <t>https://www.tcgplayer.com/product/576956</t>
        </is>
      </c>
    </row>
    <row r="3304">
      <c r="A3304" s="2" t="inlineStr">
        <is>
          <t>Alter Genesis Booster Pack</t>
        </is>
      </c>
      <c r="B3304" s="3">
        <f>IF(H3304&lt;&gt;"",H3304,IF(I3304&lt;&gt;"",I3304,IF(J3304&lt;&gt;"",J3304,K3304)))</f>
        <v>13.68</v>
      </c>
      <c r="C3304" s="3">
        <f>MEDIAN(H3304:K3304)</f>
        <v>12.84</v>
      </c>
      <c r="D3304" s="3">
        <f>ROUND(C3304*(1-Settings!$B$2),2)</f>
        <v>8.99</v>
      </c>
      <c r="E3304" s="2" t="inlineStr">
        <is>
          <t>Pokemon</t>
        </is>
      </c>
      <c r="F3304" s="2" t="inlineStr">
        <is>
          <t>Pack</t>
        </is>
      </c>
      <c r="G3304" s="2" t="inlineStr">
        <is>
          <t>SM12: Alter Genesis</t>
        </is>
      </c>
      <c r="H3304" s="3" t="n"/>
      <c r="I3304" s="3" t="n">
        <v>13.68</v>
      </c>
      <c r="J3304" s="3" t="n"/>
      <c r="K3304" s="3" t="n">
        <v>12</v>
      </c>
      <c r="L3304" s="2" t="inlineStr">
        <is>
          <t>TCGplayer</t>
        </is>
      </c>
      <c r="N3304" s="4" t="inlineStr">
        <is>
          <t>https://www.tcgplayer.com/product/576918</t>
        </is>
      </c>
    </row>
    <row r="3305">
      <c r="A3305" s="2" t="inlineStr">
        <is>
          <t>TAG TEAM GX: Tag All Stars Booster Pack</t>
        </is>
      </c>
      <c r="B3305" s="3">
        <f>IF(H3305&lt;&gt;"",H3305,IF(I3305&lt;&gt;"",I3305,IF(J3305&lt;&gt;"",J3305,K3305)))</f>
        <v>115.97</v>
      </c>
      <c r="C3305" s="3">
        <f>MEDIAN(H3305:K3305)</f>
        <v>117.97999999999999</v>
      </c>
      <c r="D3305" s="3">
        <f>ROUND(C3305*(1-Settings!$B$2),2)</f>
        <v>82.59</v>
      </c>
      <c r="E3305" s="2" t="inlineStr">
        <is>
          <t>Pokemon</t>
        </is>
      </c>
      <c r="F3305" s="2" t="inlineStr">
        <is>
          <t>Pack</t>
        </is>
      </c>
      <c r="G3305" s="2" t="inlineStr">
        <is>
          <t>SM12a: TAG TEAM GX: Tag All Stars</t>
        </is>
      </c>
      <c r="H3305" s="3" t="n"/>
      <c r="I3305" s="3" t="n">
        <v>115.97</v>
      </c>
      <c r="J3305" s="3" t="n"/>
      <c r="K3305" s="3" t="n">
        <v>119.99</v>
      </c>
      <c r="L3305" s="2" t="inlineStr">
        <is>
          <t>TCGplayer</t>
        </is>
      </c>
      <c r="N3305" s="4" t="inlineStr">
        <is>
          <t>https://www.tcgplayer.com/product/576963</t>
        </is>
      </c>
    </row>
    <row r="3306">
      <c r="A3306" s="2" t="inlineStr">
        <is>
          <t>Shining Legends Booster Pack</t>
        </is>
      </c>
      <c r="B3306" s="3">
        <f>IF(H3306&lt;&gt;"",H3306,IF(I3306&lt;&gt;"",I3306,IF(J3306&lt;&gt;"",J3306,K3306)))</f>
        <v>239.01</v>
      </c>
      <c r="C3306" s="3">
        <f>MEDIAN(H3306:K3306)</f>
        <v>239.01</v>
      </c>
      <c r="D3306" s="3">
        <f>ROUND(C3306*(1-Settings!$B$2),2)</f>
        <v>167.31</v>
      </c>
      <c r="E3306" s="2" t="inlineStr">
        <is>
          <t>Pokemon</t>
        </is>
      </c>
      <c r="F3306" s="2" t="inlineStr">
        <is>
          <t>Pack</t>
        </is>
      </c>
      <c r="G3306" s="2" t="inlineStr">
        <is>
          <t>SM3+: Shining Legends</t>
        </is>
      </c>
      <c r="H3306" s="3" t="n"/>
      <c r="I3306" s="3" t="n"/>
      <c r="J3306" s="3" t="n"/>
      <c r="K3306" s="3" t="n">
        <v>239.01</v>
      </c>
      <c r="L3306" s="2" t="inlineStr">
        <is>
          <t>TCGplayer</t>
        </is>
      </c>
      <c r="N3306" s="4" t="inlineStr">
        <is>
          <t>https://www.tcgplayer.com/product/576924</t>
        </is>
      </c>
    </row>
    <row r="3307">
      <c r="A3307" s="2" t="inlineStr">
        <is>
          <t>Awakened Heroes Booster Pack</t>
        </is>
      </c>
      <c r="B3307" s="3">
        <f>IF(H3307&lt;&gt;"",H3307,IF(I3307&lt;&gt;"",I3307,IF(J3307&lt;&gt;"",J3307,K3307)))</f>
        <v>32.0</v>
      </c>
      <c r="C3307" s="3">
        <f>MEDIAN(H3307:K3307)</f>
        <v>32.0</v>
      </c>
      <c r="D3307" s="3">
        <f>ROUND(C3307*(1-Settings!$B$2),2)</f>
        <v>22.4</v>
      </c>
      <c r="E3307" s="2" t="inlineStr">
        <is>
          <t>Pokemon</t>
        </is>
      </c>
      <c r="F3307" s="2" t="inlineStr">
        <is>
          <t>Pack</t>
        </is>
      </c>
      <c r="G3307" s="2" t="inlineStr">
        <is>
          <t>SM4S: Awakened Heroes</t>
        </is>
      </c>
      <c r="H3307" s="3" t="n"/>
      <c r="I3307" s="3" t="n"/>
      <c r="J3307" s="3" t="n"/>
      <c r="K3307" s="3" t="n">
        <v>32</v>
      </c>
      <c r="L3307" s="2" t="inlineStr">
        <is>
          <t>TCGplayer</t>
        </is>
      </c>
      <c r="N3307" s="4" t="inlineStr">
        <is>
          <t>https://www.tcgplayer.com/product/576868</t>
        </is>
      </c>
    </row>
    <row r="3308">
      <c r="A3308" s="2" t="inlineStr">
        <is>
          <t>Ultra Force Booster Pack</t>
        </is>
      </c>
      <c r="B3308" s="3">
        <f>IF(H3308&lt;&gt;"",H3308,IF(I3308&lt;&gt;"",I3308,IF(J3308&lt;&gt;"",J3308,K3308)))</f>
        <v>12.0</v>
      </c>
      <c r="C3308" s="3">
        <f>MEDIAN(H3308:K3308)</f>
        <v>12.0</v>
      </c>
      <c r="D3308" s="3">
        <f>ROUND(C3308*(1-Settings!$B$2),2)</f>
        <v>8.4</v>
      </c>
      <c r="E3308" s="2" t="inlineStr">
        <is>
          <t>Pokemon</t>
        </is>
      </c>
      <c r="F3308" s="2" t="inlineStr">
        <is>
          <t>Pack</t>
        </is>
      </c>
      <c r="G3308" s="2" t="inlineStr">
        <is>
          <t>SM5+: Ultra Force</t>
        </is>
      </c>
      <c r="H3308" s="3" t="n"/>
      <c r="I3308" s="3" t="n"/>
      <c r="J3308" s="3" t="n"/>
      <c r="K3308" s="3" t="n">
        <v>12</v>
      </c>
      <c r="L3308" s="2" t="inlineStr">
        <is>
          <t>TCGplayer</t>
        </is>
      </c>
      <c r="N3308" s="4" t="inlineStr">
        <is>
          <t>https://www.tcgplayer.com/product/576926</t>
        </is>
      </c>
    </row>
    <row r="3309">
      <c r="A3309" s="2" t="inlineStr">
        <is>
          <t>Ultra Moon Booster Pack</t>
        </is>
      </c>
      <c r="B3309" s="3">
        <f>IF(H3309&lt;&gt;"",H3309,IF(I3309&lt;&gt;"",I3309,IF(J3309&lt;&gt;"",J3309,K3309)))</f>
        <v>34.99</v>
      </c>
      <c r="C3309" s="3">
        <f>MEDIAN(H3309:K3309)</f>
        <v>34.99</v>
      </c>
      <c r="D3309" s="3">
        <f>ROUND(C3309*(1-Settings!$B$2),2)</f>
        <v>24.49</v>
      </c>
      <c r="E3309" s="2" t="inlineStr">
        <is>
          <t>Pokemon</t>
        </is>
      </c>
      <c r="F3309" s="2" t="inlineStr">
        <is>
          <t>Pack</t>
        </is>
      </c>
      <c r="G3309" s="2" t="inlineStr">
        <is>
          <t>SM5M: Ultra Moon</t>
        </is>
      </c>
      <c r="H3309" s="3" t="n"/>
      <c r="I3309" s="3" t="n"/>
      <c r="J3309" s="3" t="n"/>
      <c r="K3309" s="3" t="n">
        <v>34.99</v>
      </c>
      <c r="L3309" s="2" t="inlineStr">
        <is>
          <t>TCGplayer</t>
        </is>
      </c>
      <c r="N3309" s="4" t="inlineStr">
        <is>
          <t>https://www.tcgplayer.com/product/576903</t>
        </is>
      </c>
    </row>
    <row r="3310">
      <c r="A3310" s="2" t="inlineStr">
        <is>
          <t>Ultra Sun Booster Pack</t>
        </is>
      </c>
      <c r="B3310" s="3">
        <f>IF(H3310&lt;&gt;"",H3310,IF(I3310&lt;&gt;"",I3310,IF(J3310&lt;&gt;"",J3310,K3310)))</f>
        <v>19.99</v>
      </c>
      <c r="C3310" s="3">
        <f>MEDIAN(H3310:K3310)</f>
        <v>19.99</v>
      </c>
      <c r="D3310" s="3">
        <f>ROUND(C3310*(1-Settings!$B$2),2)</f>
        <v>13.99</v>
      </c>
      <c r="E3310" s="2" t="inlineStr">
        <is>
          <t>Pokemon</t>
        </is>
      </c>
      <c r="F3310" s="2" t="inlineStr">
        <is>
          <t>Pack</t>
        </is>
      </c>
      <c r="G3310" s="2" t="inlineStr">
        <is>
          <t>SM5S: Ultra Sun</t>
        </is>
      </c>
      <c r="H3310" s="3" t="n"/>
      <c r="I3310" s="3" t="n"/>
      <c r="J3310" s="3" t="n"/>
      <c r="K3310" s="3" t="n">
        <v>19.99</v>
      </c>
      <c r="L3310" s="2" t="inlineStr">
        <is>
          <t>TCGplayer</t>
        </is>
      </c>
      <c r="N3310" s="4" t="inlineStr">
        <is>
          <t>https://www.tcgplayer.com/product/576901</t>
        </is>
      </c>
    </row>
    <row r="3311">
      <c r="A3311" s="2" t="inlineStr">
        <is>
          <t>Forbidden Light Booster Pack</t>
        </is>
      </c>
      <c r="B3311" s="3">
        <f>IF(H3311&lt;&gt;"",H3311,IF(I3311&lt;&gt;"",I3311,IF(J3311&lt;&gt;"",J3311,K3311)))</f>
        <v>29.99</v>
      </c>
      <c r="C3311" s="3">
        <f>MEDIAN(H3311:K3311)</f>
        <v>29.99</v>
      </c>
      <c r="D3311" s="3">
        <f>ROUND(C3311*(1-Settings!$B$2),2)</f>
        <v>20.99</v>
      </c>
      <c r="E3311" s="2" t="inlineStr">
        <is>
          <t>Pokemon</t>
        </is>
      </c>
      <c r="F3311" s="2" t="inlineStr">
        <is>
          <t>Pack</t>
        </is>
      </c>
      <c r="G3311" s="2" t="inlineStr">
        <is>
          <t>SM6: Forbidden Light</t>
        </is>
      </c>
      <c r="H3311" s="3" t="n"/>
      <c r="I3311" s="3" t="n"/>
      <c r="J3311" s="3" t="n"/>
      <c r="K3311" s="3" t="n">
        <v>29.99</v>
      </c>
      <c r="L3311" s="2" t="inlineStr">
        <is>
          <t>TCGplayer</t>
        </is>
      </c>
      <c r="N3311" s="4" t="inlineStr">
        <is>
          <t>https://www.tcgplayer.com/product/576905</t>
        </is>
      </c>
    </row>
    <row r="3312">
      <c r="A3312" s="2" t="inlineStr">
        <is>
          <t>Dragon Storm Booster Pack</t>
        </is>
      </c>
      <c r="B3312" s="3">
        <f>IF(H3312&lt;&gt;"",H3312,IF(I3312&lt;&gt;"",I3312,IF(J3312&lt;&gt;"",J3312,K3312)))</f>
        <v>39.99</v>
      </c>
      <c r="C3312" s="3">
        <f>MEDIAN(H3312:K3312)</f>
        <v>39.99</v>
      </c>
      <c r="D3312" s="3">
        <f>ROUND(C3312*(1-Settings!$B$2),2)</f>
        <v>27.99</v>
      </c>
      <c r="E3312" s="2" t="inlineStr">
        <is>
          <t>Pokemon</t>
        </is>
      </c>
      <c r="F3312" s="2" t="inlineStr">
        <is>
          <t>Pack</t>
        </is>
      </c>
      <c r="G3312" s="2" t="inlineStr">
        <is>
          <t>SM6a: Dragon Storm</t>
        </is>
      </c>
      <c r="H3312" s="3" t="n"/>
      <c r="I3312" s="3" t="n">
        <v>39.99</v>
      </c>
      <c r="J3312" s="3" t="n"/>
      <c r="K3312" s="3" t="n">
        <v>39.99</v>
      </c>
      <c r="L3312" s="2" t="inlineStr">
        <is>
          <t>TCGplayer</t>
        </is>
      </c>
      <c r="N3312" s="4" t="inlineStr">
        <is>
          <t>https://www.tcgplayer.com/product/576928</t>
        </is>
      </c>
    </row>
    <row r="3313">
      <c r="A3313" s="2" t="inlineStr">
        <is>
          <t>Champion Road Booster Pack</t>
        </is>
      </c>
      <c r="B3313" s="3">
        <f>IF(H3313&lt;&gt;"",H3313,IF(I3313&lt;&gt;"",I3313,IF(J3313&lt;&gt;"",J3313,K3313)))</f>
        <v>34.99</v>
      </c>
      <c r="C3313" s="3">
        <f>MEDIAN(H3313:K3313)</f>
        <v>33.99</v>
      </c>
      <c r="D3313" s="3">
        <f>ROUND(C3313*(1-Settings!$B$2),2)</f>
        <v>23.79</v>
      </c>
      <c r="E3313" s="2" t="inlineStr">
        <is>
          <t>Pokemon</t>
        </is>
      </c>
      <c r="F3313" s="2" t="inlineStr">
        <is>
          <t>Pack</t>
        </is>
      </c>
      <c r="G3313" s="2" t="inlineStr">
        <is>
          <t>SM6b: Champion Road</t>
        </is>
      </c>
      <c r="H3313" s="3" t="n"/>
      <c r="I3313" s="3" t="n">
        <v>34.99</v>
      </c>
      <c r="J3313" s="3" t="n"/>
      <c r="K3313" s="3" t="n">
        <v>32.99</v>
      </c>
      <c r="L3313" s="2" t="inlineStr">
        <is>
          <t>TCGplayer</t>
        </is>
      </c>
      <c r="N3313" s="4" t="inlineStr">
        <is>
          <t>https://www.tcgplayer.com/product/576930</t>
        </is>
      </c>
    </row>
    <row r="3314">
      <c r="A3314" s="2" t="inlineStr">
        <is>
          <t>Thunderclap Spark Booster Pack</t>
        </is>
      </c>
      <c r="B3314" s="3">
        <f>IF(H3314&lt;&gt;"",H3314,IF(I3314&lt;&gt;"",I3314,IF(J3314&lt;&gt;"",J3314,K3314)))</f>
        <v>8.0</v>
      </c>
      <c r="C3314" s="3">
        <f>MEDIAN(H3314:K3314)</f>
        <v>8.0</v>
      </c>
      <c r="D3314" s="3">
        <f>ROUND(C3314*(1-Settings!$B$2),2)</f>
        <v>5.6</v>
      </c>
      <c r="E3314" s="2" t="inlineStr">
        <is>
          <t>Pokemon</t>
        </is>
      </c>
      <c r="F3314" s="2" t="inlineStr">
        <is>
          <t>Pack</t>
        </is>
      </c>
      <c r="G3314" s="2" t="inlineStr">
        <is>
          <t>SM7a: Thunderclap Spark</t>
        </is>
      </c>
      <c r="H3314" s="3" t="n"/>
      <c r="I3314" s="3" t="n"/>
      <c r="J3314" s="3" t="n"/>
      <c r="K3314" s="3" t="n">
        <v>8</v>
      </c>
      <c r="L3314" s="2" t="inlineStr">
        <is>
          <t>TCGplayer</t>
        </is>
      </c>
      <c r="N3314" s="4" t="inlineStr">
        <is>
          <t>https://www.tcgplayer.com/product/576932</t>
        </is>
      </c>
    </row>
    <row r="3315">
      <c r="A3315" s="2" t="inlineStr">
        <is>
          <t>Fairy Rise Booster Pack</t>
        </is>
      </c>
      <c r="B3315" s="3">
        <f>IF(H3315&lt;&gt;"",H3315,IF(I3315&lt;&gt;"",I3315,IF(J3315&lt;&gt;"",J3315,K3315)))</f>
        <v>29.77</v>
      </c>
      <c r="C3315" s="3">
        <f>MEDIAN(H3315:K3315)</f>
        <v>26.975</v>
      </c>
      <c r="D3315" s="3">
        <f>ROUND(C3315*(1-Settings!$B$2),2)</f>
        <v>18.88</v>
      </c>
      <c r="E3315" s="2" t="inlineStr">
        <is>
          <t>Pokemon</t>
        </is>
      </c>
      <c r="F3315" s="2" t="inlineStr">
        <is>
          <t>Pack</t>
        </is>
      </c>
      <c r="G3315" s="2" t="inlineStr">
        <is>
          <t>SM7b: Fairy Rise</t>
        </is>
      </c>
      <c r="H3315" s="3" t="n"/>
      <c r="I3315" s="3" t="n">
        <v>29.77</v>
      </c>
      <c r="J3315" s="3" t="n"/>
      <c r="K3315" s="3" t="n">
        <v>24.18</v>
      </c>
      <c r="L3315" s="2" t="inlineStr">
        <is>
          <t>TCGplayer</t>
        </is>
      </c>
      <c r="N3315" s="4" t="inlineStr">
        <is>
          <t>https://www.tcgplayer.com/product/576941</t>
        </is>
      </c>
    </row>
    <row r="3316">
      <c r="A3316" s="2" t="inlineStr">
        <is>
          <t>Super-Burst Impact Booster Pack</t>
        </is>
      </c>
      <c r="B3316" s="3">
        <f>IF(H3316&lt;&gt;"",H3316,IF(I3316&lt;&gt;"",I3316,IF(J3316&lt;&gt;"",J3316,K3316)))</f>
        <v>39.99</v>
      </c>
      <c r="C3316" s="3">
        <f>MEDIAN(H3316:K3316)</f>
        <v>32.49</v>
      </c>
      <c r="D3316" s="3">
        <f>ROUND(C3316*(1-Settings!$B$2),2)</f>
        <v>22.74</v>
      </c>
      <c r="E3316" s="2" t="inlineStr">
        <is>
          <t>Pokemon</t>
        </is>
      </c>
      <c r="F3316" s="2" t="inlineStr">
        <is>
          <t>Pack</t>
        </is>
      </c>
      <c r="G3316" s="2" t="inlineStr">
        <is>
          <t>SM8: Super-Burst Impact</t>
        </is>
      </c>
      <c r="H3316" s="3" t="n"/>
      <c r="I3316" s="3" t="n">
        <v>39.99</v>
      </c>
      <c r="J3316" s="3" t="n"/>
      <c r="K3316" s="3" t="n">
        <v>24.99</v>
      </c>
      <c r="L3316" s="2" t="inlineStr">
        <is>
          <t>TCGplayer</t>
        </is>
      </c>
      <c r="N3316" s="4" t="inlineStr">
        <is>
          <t>https://www.tcgplayer.com/product/576909</t>
        </is>
      </c>
    </row>
    <row r="3317">
      <c r="A3317" s="2" t="inlineStr">
        <is>
          <t>Dark Order Booster Pack</t>
        </is>
      </c>
      <c r="B3317" s="3">
        <f>IF(H3317&lt;&gt;"",H3317,IF(I3317&lt;&gt;"",I3317,IF(J3317&lt;&gt;"",J3317,K3317)))</f>
        <v>11.99</v>
      </c>
      <c r="C3317" s="3">
        <f>MEDIAN(H3317:K3317)</f>
        <v>11.995000000000001</v>
      </c>
      <c r="D3317" s="3">
        <f>ROUND(C3317*(1-Settings!$B$2),2)</f>
        <v>8.4</v>
      </c>
      <c r="E3317" s="2" t="inlineStr">
        <is>
          <t>Pokemon</t>
        </is>
      </c>
      <c r="F3317" s="2" t="inlineStr">
        <is>
          <t>Pack</t>
        </is>
      </c>
      <c r="G3317" s="2" t="inlineStr">
        <is>
          <t>SM8a: Dark Order</t>
        </is>
      </c>
      <c r="H3317" s="3" t="n"/>
      <c r="I3317" s="3" t="n">
        <v>11.99</v>
      </c>
      <c r="J3317" s="3" t="n"/>
      <c r="K3317" s="3" t="n">
        <v>12</v>
      </c>
      <c r="L3317" s="2" t="inlineStr">
        <is>
          <t>TCGplayer</t>
        </is>
      </c>
      <c r="N3317" s="4" t="inlineStr">
        <is>
          <t>https://www.tcgplayer.com/product/576943</t>
        </is>
      </c>
    </row>
    <row r="3318">
      <c r="A3318" s="2" t="inlineStr">
        <is>
          <t>GX Ultra Shiny Booster Pack</t>
        </is>
      </c>
      <c r="B3318" s="3">
        <f>IF(H3318&lt;&gt;"",H3318,IF(I3318&lt;&gt;"",I3318,IF(J3318&lt;&gt;"",J3318,K3318)))</f>
        <v>85.0</v>
      </c>
      <c r="C3318" s="3">
        <f>MEDIAN(H3318:K3318)</f>
        <v>85.0</v>
      </c>
      <c r="D3318" s="3">
        <f>ROUND(C3318*(1-Settings!$B$2),2)</f>
        <v>59.5</v>
      </c>
      <c r="E3318" s="2" t="inlineStr">
        <is>
          <t>Pokemon</t>
        </is>
      </c>
      <c r="F3318" s="2" t="inlineStr">
        <is>
          <t>Pack</t>
        </is>
      </c>
      <c r="G3318" s="2" t="inlineStr">
        <is>
          <t>SM8b: GX Ultra Shiny</t>
        </is>
      </c>
      <c r="H3318" s="3" t="n"/>
      <c r="I3318" s="3" t="n"/>
      <c r="J3318" s="3" t="n"/>
      <c r="K3318" s="3" t="n">
        <v>85</v>
      </c>
      <c r="L3318" s="2" t="inlineStr">
        <is>
          <t>TCGplayer</t>
        </is>
      </c>
      <c r="N3318" s="4" t="inlineStr">
        <is>
          <t>https://www.tcgplayer.com/product/576960</t>
        </is>
      </c>
    </row>
    <row r="3319">
      <c r="A3319" s="2" t="inlineStr">
        <is>
          <t>Tag Bolt Booster Pack</t>
        </is>
      </c>
      <c r="B3319" s="3">
        <f>IF(H3319&lt;&gt;"",H3319,IF(I3319&lt;&gt;"",I3319,IF(J3319&lt;&gt;"",J3319,K3319)))</f>
        <v>51.38</v>
      </c>
      <c r="C3319" s="3">
        <f>MEDIAN(H3319:K3319)</f>
        <v>70.685</v>
      </c>
      <c r="D3319" s="3">
        <f>ROUND(C3319*(1-Settings!$B$2),2)</f>
        <v>49.48</v>
      </c>
      <c r="E3319" s="2" t="inlineStr">
        <is>
          <t>Pokemon</t>
        </is>
      </c>
      <c r="F3319" s="2" t="inlineStr">
        <is>
          <t>Pack</t>
        </is>
      </c>
      <c r="G3319" s="2" t="inlineStr">
        <is>
          <t>SM9: Tag Bolt</t>
        </is>
      </c>
      <c r="H3319" s="3" t="n"/>
      <c r="I3319" s="3" t="n">
        <v>51.38</v>
      </c>
      <c r="J3319" s="3" t="n"/>
      <c r="K3319" s="3" t="n">
        <v>89.98999999999999</v>
      </c>
      <c r="L3319" s="2" t="inlineStr">
        <is>
          <t>TCGplayer</t>
        </is>
      </c>
      <c r="N3319" s="4" t="inlineStr">
        <is>
          <t>https://www.tcgplayer.com/product/576911</t>
        </is>
      </c>
    </row>
    <row r="3320">
      <c r="A3320" s="2" t="inlineStr">
        <is>
          <t>Night Unison Booster Pack</t>
        </is>
      </c>
      <c r="B3320" s="3">
        <f>IF(H3320&lt;&gt;"",H3320,IF(I3320&lt;&gt;"",I3320,IF(J3320&lt;&gt;"",J3320,K3320)))</f>
        <v>49.99</v>
      </c>
      <c r="C3320" s="3">
        <f>MEDIAN(H3320:K3320)</f>
        <v>49.99</v>
      </c>
      <c r="D3320" s="3">
        <f>ROUND(C3320*(1-Settings!$B$2),2)</f>
        <v>34.99</v>
      </c>
      <c r="E3320" s="2" t="inlineStr">
        <is>
          <t>Pokemon</t>
        </is>
      </c>
      <c r="F3320" s="2" t="inlineStr">
        <is>
          <t>Pack</t>
        </is>
      </c>
      <c r="G3320" s="2" t="inlineStr">
        <is>
          <t>SM9a: Night Unison</t>
        </is>
      </c>
      <c r="H3320" s="3" t="n"/>
      <c r="I3320" s="3" t="n"/>
      <c r="J3320" s="3" t="n"/>
      <c r="K3320" s="3" t="n">
        <v>49.99</v>
      </c>
      <c r="L3320" s="2" t="inlineStr">
        <is>
          <t>TCGplayer</t>
        </is>
      </c>
      <c r="N3320" s="4" t="inlineStr">
        <is>
          <t>https://www.tcgplayer.com/product/576945</t>
        </is>
      </c>
    </row>
    <row r="3321">
      <c r="A3321" s="2" t="inlineStr">
        <is>
          <t>Full Metal Wall Booster Pack</t>
        </is>
      </c>
      <c r="B3321" s="3">
        <f>IF(H3321&lt;&gt;"",H3321,IF(I3321&lt;&gt;"",I3321,IF(J3321&lt;&gt;"",J3321,K3321)))</f>
        <v>18.0</v>
      </c>
      <c r="C3321" s="3">
        <f>MEDIAN(H3321:K3321)</f>
        <v>18.0</v>
      </c>
      <c r="D3321" s="3">
        <f>ROUND(C3321*(1-Settings!$B$2),2)</f>
        <v>12.6</v>
      </c>
      <c r="E3321" s="2" t="inlineStr">
        <is>
          <t>Pokemon</t>
        </is>
      </c>
      <c r="F3321" s="2" t="inlineStr">
        <is>
          <t>Pack</t>
        </is>
      </c>
      <c r="G3321" s="2" t="inlineStr">
        <is>
          <t>SM9b: Full Metal Wall</t>
        </is>
      </c>
      <c r="H3321" s="3" t="n"/>
      <c r="I3321" s="3" t="n"/>
      <c r="J3321" s="3" t="n"/>
      <c r="K3321" s="3" t="n">
        <v>18</v>
      </c>
      <c r="L3321" s="2" t="inlineStr">
        <is>
          <t>TCGplayer</t>
        </is>
      </c>
      <c r="N3321" s="4" t="inlineStr">
        <is>
          <t>https://www.tcgplayer.com/product/576947</t>
        </is>
      </c>
    </row>
    <row r="3322">
      <c r="A3322" s="2" t="inlineStr">
        <is>
          <t>Great Detective Pikachu Booster Pack</t>
        </is>
      </c>
      <c r="B3322" s="3">
        <f>IF(H3322&lt;&gt;"",H3322,IF(I3322&lt;&gt;"",I3322,IF(J3322&lt;&gt;"",J3322,K3322)))</f>
        <v>39.99</v>
      </c>
      <c r="C3322" s="3">
        <f>MEDIAN(H3322:K3322)</f>
        <v>39.790000000000006</v>
      </c>
      <c r="D3322" s="3">
        <f>ROUND(C3322*(1-Settings!$B$2),2)</f>
        <v>27.85</v>
      </c>
      <c r="E3322" s="2" t="inlineStr">
        <is>
          <t>Pokemon</t>
        </is>
      </c>
      <c r="F3322" s="2" t="inlineStr">
        <is>
          <t>Pack</t>
        </is>
      </c>
      <c r="G3322" s="2" t="inlineStr">
        <is>
          <t>smP2: Great Detective Pikachu</t>
        </is>
      </c>
      <c r="H3322" s="3" t="n"/>
      <c r="I3322" s="3" t="n">
        <v>39.99</v>
      </c>
      <c r="J3322" s="3" t="n"/>
      <c r="K3322" s="3" t="n">
        <v>39.59</v>
      </c>
      <c r="L3322" s="2" t="inlineStr">
        <is>
          <t>TCGplayer</t>
        </is>
      </c>
      <c r="N3322" s="4" t="inlineStr">
        <is>
          <t>https://www.tcgplayer.com/product/656885</t>
        </is>
      </c>
    </row>
    <row r="3323">
      <c r="A3323" s="2" t="inlineStr">
        <is>
          <t>Steam Siege Blister Pack: Floette</t>
        </is>
      </c>
      <c r="B3323" s="3">
        <f>IF(H3323&lt;&gt;"",H3323,IF(I3323&lt;&gt;"",I3323,IF(J3323&lt;&gt;"",J3323,K3323)))</f>
        <v>39.92</v>
      </c>
      <c r="C3323" s="3">
        <f>MEDIAN(H3323:K3323)</f>
        <v>39.92</v>
      </c>
      <c r="D3323" s="3">
        <f>ROUND(C3323*(1-Settings!$B$2),2)</f>
        <v>27.94</v>
      </c>
      <c r="E3323" s="2" t="inlineStr">
        <is>
          <t>Pokemon</t>
        </is>
      </c>
      <c r="F3323" s="2" t="inlineStr">
        <is>
          <t>Pack</t>
        </is>
      </c>
      <c r="G3323" s="2" t="inlineStr">
        <is>
          <t>Steam Siege</t>
        </is>
      </c>
      <c r="H3323" s="3" t="n">
        <v>39.92</v>
      </c>
      <c r="I3323" s="3" t="n"/>
      <c r="J3323" s="3" t="n"/>
      <c r="K3323" s="3" t="n"/>
      <c r="L3323" s="2" t="inlineStr">
        <is>
          <t>PriceCharting</t>
        </is>
      </c>
      <c r="M3323" s="4" t="inlineStr">
        <is>
          <t>https://www.pricecharting.com/game/pokemon-steam-siege/blister-pack-floette</t>
        </is>
      </c>
    </row>
    <row r="3324">
      <c r="A3324" s="2" t="inlineStr">
        <is>
          <t>Steam Siege Blister Pack: Lucario</t>
        </is>
      </c>
      <c r="B3324" s="3">
        <f>IF(H3324&lt;&gt;"",H3324,IF(I3324&lt;&gt;"",I3324,IF(J3324&lt;&gt;"",J3324,K3324)))</f>
        <v>59.95</v>
      </c>
      <c r="C3324" s="3">
        <f>MEDIAN(H3324:K3324)</f>
        <v>59.95</v>
      </c>
      <c r="D3324" s="3">
        <f>ROUND(C3324*(1-Settings!$B$2),2)</f>
        <v>41.97</v>
      </c>
      <c r="E3324" s="2" t="inlineStr">
        <is>
          <t>Pokemon</t>
        </is>
      </c>
      <c r="F3324" s="2" t="inlineStr">
        <is>
          <t>Pack</t>
        </is>
      </c>
      <c r="G3324" s="2" t="inlineStr">
        <is>
          <t>Steam Siege</t>
        </is>
      </c>
      <c r="H3324" s="3" t="n">
        <v>59.95</v>
      </c>
      <c r="I3324" s="3" t="n"/>
      <c r="J3324" s="3" t="n"/>
      <c r="K3324" s="3" t="n"/>
      <c r="L3324" s="2" t="inlineStr">
        <is>
          <t>PriceCharting</t>
        </is>
      </c>
      <c r="M3324" s="4" t="inlineStr">
        <is>
          <t>https://www.pricecharting.com/game/pokemon-steam-siege/blister-pack-lucario</t>
        </is>
      </c>
    </row>
    <row r="3325">
      <c r="A3325" s="2" t="inlineStr">
        <is>
          <t>Steam Siege Booster Pack</t>
        </is>
      </c>
      <c r="B3325" s="3">
        <f>IF(H3325&lt;&gt;"",H3325,IF(I3325&lt;&gt;"",I3325,IF(J3325&lt;&gt;"",J3325,K3325)))</f>
        <v>32.39</v>
      </c>
      <c r="C3325" s="3">
        <f>MEDIAN(H3325:K3325)</f>
        <v>32.39</v>
      </c>
      <c r="D3325" s="3">
        <f>ROUND(C3325*(1-Settings!$B$2),2)</f>
        <v>22.67</v>
      </c>
      <c r="E3325" s="2" t="inlineStr">
        <is>
          <t>Pokemon</t>
        </is>
      </c>
      <c r="F3325" s="2" t="inlineStr">
        <is>
          <t>Pack</t>
        </is>
      </c>
      <c r="G3325" s="2" t="inlineStr">
        <is>
          <t>Steam Siege</t>
        </is>
      </c>
      <c r="H3325" s="3" t="n">
        <v>32.39</v>
      </c>
      <c r="I3325" s="3" t="n"/>
      <c r="J3325" s="3" t="n"/>
      <c r="K3325" s="3" t="n"/>
      <c r="L3325" s="2" t="inlineStr">
        <is>
          <t>PriceCharting</t>
        </is>
      </c>
      <c r="M3325" s="4" t="inlineStr">
        <is>
          <t>https://www.pricecharting.com/game/pokemon-steam-siege/booster-pack</t>
        </is>
      </c>
    </row>
    <row r="3326">
      <c r="A3326" s="2" t="inlineStr">
        <is>
          <t>Steam Siege Sleeved Booster Pack</t>
        </is>
      </c>
      <c r="B3326" s="3">
        <f>IF(H3326&lt;&gt;"",H3326,IF(I3326&lt;&gt;"",I3326,IF(J3326&lt;&gt;"",J3326,K3326)))</f>
        <v>29.94</v>
      </c>
      <c r="C3326" s="3">
        <f>MEDIAN(H3326:K3326)</f>
        <v>29.94</v>
      </c>
      <c r="D3326" s="3">
        <f>ROUND(C3326*(1-Settings!$B$2),2)</f>
        <v>20.96</v>
      </c>
      <c r="E3326" s="2" t="inlineStr">
        <is>
          <t>Pokemon</t>
        </is>
      </c>
      <c r="F3326" s="2" t="inlineStr">
        <is>
          <t>Pack</t>
        </is>
      </c>
      <c r="G3326" s="2" t="inlineStr">
        <is>
          <t>Steam Siege</t>
        </is>
      </c>
      <c r="H3326" s="3" t="n">
        <v>29.94</v>
      </c>
      <c r="I3326" s="3" t="n"/>
      <c r="J3326" s="3" t="n"/>
      <c r="K3326" s="3" t="n"/>
      <c r="L3326" s="2" t="inlineStr">
        <is>
          <t>PriceCharting</t>
        </is>
      </c>
      <c r="M3326" s="4" t="inlineStr">
        <is>
          <t>https://www.pricecharting.com/game/pokemon-steam-siege/sleeved-booster-pack</t>
        </is>
      </c>
    </row>
    <row r="3327">
      <c r="A3327" s="2" t="inlineStr">
        <is>
          <t>Stellar Crown Booster Pack</t>
        </is>
      </c>
      <c r="B3327" s="3">
        <f>IF(H3327&lt;&gt;"",H3327,IF(I3327&lt;&gt;"",I3327,IF(J3327&lt;&gt;"",J3327,K3327)))</f>
        <v>11.79</v>
      </c>
      <c r="C3327" s="3">
        <f>MEDIAN(H3327:K3327)</f>
        <v>11.79</v>
      </c>
      <c r="D3327" s="3">
        <f>ROUND(C3327*(1-Settings!$B$2),2)</f>
        <v>8.25</v>
      </c>
      <c r="E3327" s="2" t="inlineStr">
        <is>
          <t>Pokemon</t>
        </is>
      </c>
      <c r="F3327" s="2" t="inlineStr">
        <is>
          <t>Pack</t>
        </is>
      </c>
      <c r="G3327" s="2" t="inlineStr">
        <is>
          <t>Stellar Crown</t>
        </is>
      </c>
      <c r="H3327" s="3" t="n">
        <v>11.79</v>
      </c>
      <c r="I3327" s="3" t="n"/>
      <c r="J3327" s="3" t="n"/>
      <c r="K3327" s="3" t="n"/>
      <c r="L3327" s="2" t="inlineStr">
        <is>
          <t>PriceCharting</t>
        </is>
      </c>
      <c r="M3327" s="4" t="inlineStr">
        <is>
          <t>https://www.pricecharting.com/game/pokemon-stellar-crown/booster-pack</t>
        </is>
      </c>
    </row>
    <row r="3328">
      <c r="A3328" s="2" t="inlineStr">
        <is>
          <t>Stellar Crown Horsea Blister Pack</t>
        </is>
      </c>
      <c r="B3328" s="3">
        <f>IF(H3328&lt;&gt;"",H3328,IF(I3328&lt;&gt;"",I3328,IF(J3328&lt;&gt;"",J3328,K3328)))</f>
        <v>12.39</v>
      </c>
      <c r="C3328" s="3">
        <f>MEDIAN(H3328:K3328)</f>
        <v>12.39</v>
      </c>
      <c r="D3328" s="3">
        <f>ROUND(C3328*(1-Settings!$B$2),2)</f>
        <v>8.67</v>
      </c>
      <c r="E3328" s="2" t="inlineStr">
        <is>
          <t>Pokemon</t>
        </is>
      </c>
      <c r="F3328" s="2" t="inlineStr">
        <is>
          <t>Pack</t>
        </is>
      </c>
      <c r="G3328" s="2" t="inlineStr">
        <is>
          <t>Stellar Crown</t>
        </is>
      </c>
      <c r="H3328" s="3" t="n">
        <v>12.39</v>
      </c>
      <c r="I3328" s="3" t="n"/>
      <c r="J3328" s="3" t="n"/>
      <c r="K3328" s="3" t="n"/>
      <c r="L3328" s="2" t="inlineStr">
        <is>
          <t>PriceCharting</t>
        </is>
      </c>
      <c r="M3328" s="4" t="inlineStr">
        <is>
          <t>https://www.pricecharting.com/game/pokemon-stellar-crown/horsea-blister-pack</t>
        </is>
      </c>
    </row>
    <row r="3329">
      <c r="A3329" s="2" t="inlineStr">
        <is>
          <t>Stellar Crown Iron Thorns Blister Pack</t>
        </is>
      </c>
      <c r="B3329" s="3">
        <f>IF(H3329&lt;&gt;"",H3329,IF(I3329&lt;&gt;"",I3329,IF(J3329&lt;&gt;"",J3329,K3329)))</f>
        <v>16.63</v>
      </c>
      <c r="C3329" s="3">
        <f>MEDIAN(H3329:K3329)</f>
        <v>16.63</v>
      </c>
      <c r="D3329" s="3">
        <f>ROUND(C3329*(1-Settings!$B$2),2)</f>
        <v>11.64</v>
      </c>
      <c r="E3329" s="2" t="inlineStr">
        <is>
          <t>Pokemon</t>
        </is>
      </c>
      <c r="F3329" s="2" t="inlineStr">
        <is>
          <t>Pack</t>
        </is>
      </c>
      <c r="G3329" s="2" t="inlineStr">
        <is>
          <t>Stellar Crown</t>
        </is>
      </c>
      <c r="H3329" s="3" t="n">
        <v>16.63</v>
      </c>
      <c r="I3329" s="3" t="n"/>
      <c r="J3329" s="3" t="n"/>
      <c r="K3329" s="3" t="n"/>
      <c r="L3329" s="2" t="inlineStr">
        <is>
          <t>PriceCharting</t>
        </is>
      </c>
      <c r="M3329" s="4" t="inlineStr">
        <is>
          <t>https://www.pricecharting.com/game/pokemon-stellar-crown/iron-thorns-blister-pack</t>
        </is>
      </c>
    </row>
    <row r="3330">
      <c r="A3330" s="2" t="inlineStr">
        <is>
          <t>Stellar Crown Latias 3 Pack Blister</t>
        </is>
      </c>
      <c r="B3330" s="3">
        <f>IF(H3330&lt;&gt;"",H3330,IF(I3330&lt;&gt;"",I3330,IF(J3330&lt;&gt;"",J3330,K3330)))</f>
        <v>35.75</v>
      </c>
      <c r="C3330" s="3">
        <f>MEDIAN(H3330:K3330)</f>
        <v>35.75</v>
      </c>
      <c r="D3330" s="3">
        <f>ROUND(C3330*(1-Settings!$B$2),2)</f>
        <v>25.03</v>
      </c>
      <c r="E3330" s="2" t="inlineStr">
        <is>
          <t>Pokemon</t>
        </is>
      </c>
      <c r="F3330" s="2" t="inlineStr">
        <is>
          <t>Pack</t>
        </is>
      </c>
      <c r="G3330" s="2" t="inlineStr">
        <is>
          <t>Stellar Crown</t>
        </is>
      </c>
      <c r="H3330" s="3" t="n">
        <v>35.75</v>
      </c>
      <c r="I3330" s="3" t="n"/>
      <c r="J3330" s="3" t="n"/>
      <c r="K3330" s="3" t="n"/>
      <c r="L3330" s="2" t="inlineStr">
        <is>
          <t>PriceCharting</t>
        </is>
      </c>
      <c r="M3330" s="4" t="inlineStr">
        <is>
          <t>https://www.pricecharting.com/game/pokemon-stellar-crown/latias-3-pack-blister</t>
        </is>
      </c>
    </row>
    <row r="3331">
      <c r="A3331" s="2" t="inlineStr">
        <is>
          <t>Stellar Crown Porygon2 Blister Pack</t>
        </is>
      </c>
      <c r="B3331" s="3">
        <f>IF(H3331&lt;&gt;"",H3331,IF(I3331&lt;&gt;"",I3331,IF(J3331&lt;&gt;"",J3331,K3331)))</f>
        <v>12.64</v>
      </c>
      <c r="C3331" s="3">
        <f>MEDIAN(H3331:K3331)</f>
        <v>12.64</v>
      </c>
      <c r="D3331" s="3">
        <f>ROUND(C3331*(1-Settings!$B$2),2)</f>
        <v>8.85</v>
      </c>
      <c r="E3331" s="2" t="inlineStr">
        <is>
          <t>Pokemon</t>
        </is>
      </c>
      <c r="F3331" s="2" t="inlineStr">
        <is>
          <t>Pack</t>
        </is>
      </c>
      <c r="G3331" s="2" t="inlineStr">
        <is>
          <t>Stellar Crown</t>
        </is>
      </c>
      <c r="H3331" s="3" t="n">
        <v>12.64</v>
      </c>
      <c r="I3331" s="3" t="n"/>
      <c r="J3331" s="3" t="n"/>
      <c r="K3331" s="3" t="n"/>
      <c r="L3331" s="2" t="inlineStr">
        <is>
          <t>PriceCharting</t>
        </is>
      </c>
      <c r="M3331" s="4" t="inlineStr">
        <is>
          <t>https://www.pricecharting.com/game/pokemon-stellar-crown/porygon2-blister-pack</t>
        </is>
      </c>
    </row>
    <row r="3332">
      <c r="A3332" s="2" t="inlineStr">
        <is>
          <t>Stellar Crown Roaring Moon Blister Pack</t>
        </is>
      </c>
      <c r="B3332" s="3">
        <f>IF(H3332&lt;&gt;"",H3332,IF(I3332&lt;&gt;"",I3332,IF(J3332&lt;&gt;"",J3332,K3332)))</f>
        <v>13.74</v>
      </c>
      <c r="C3332" s="3">
        <f>MEDIAN(H3332:K3332)</f>
        <v>13.74</v>
      </c>
      <c r="D3332" s="3">
        <f>ROUND(C3332*(1-Settings!$B$2),2)</f>
        <v>9.62</v>
      </c>
      <c r="E3332" s="2" t="inlineStr">
        <is>
          <t>Pokemon</t>
        </is>
      </c>
      <c r="F3332" s="2" t="inlineStr">
        <is>
          <t>Pack</t>
        </is>
      </c>
      <c r="G3332" s="2" t="inlineStr">
        <is>
          <t>Stellar Crown</t>
        </is>
      </c>
      <c r="H3332" s="3" t="n">
        <v>13.74</v>
      </c>
      <c r="I3332" s="3" t="n"/>
      <c r="J3332" s="3" t="n"/>
      <c r="K3332" s="3" t="n"/>
      <c r="L3332" s="2" t="inlineStr">
        <is>
          <t>PriceCharting</t>
        </is>
      </c>
      <c r="M3332" s="4" t="inlineStr">
        <is>
          <t>https://www.pricecharting.com/game/pokemon-stellar-crown/roaring-moon-blister-pack</t>
        </is>
      </c>
    </row>
    <row r="3333">
      <c r="A3333" s="2" t="inlineStr">
        <is>
          <t>Stellar Crown Sleeved Booster Pack</t>
        </is>
      </c>
      <c r="B3333" s="3">
        <f>IF(H3333&lt;&gt;"",H3333,IF(I3333&lt;&gt;"",I3333,IF(J3333&lt;&gt;"",J3333,K3333)))</f>
        <v>11.73</v>
      </c>
      <c r="C3333" s="3">
        <f>MEDIAN(H3333:K3333)</f>
        <v>11.73</v>
      </c>
      <c r="D3333" s="3">
        <f>ROUND(C3333*(1-Settings!$B$2),2)</f>
        <v>8.21</v>
      </c>
      <c r="E3333" s="2" t="inlineStr">
        <is>
          <t>Pokemon</t>
        </is>
      </c>
      <c r="F3333" s="2" t="inlineStr">
        <is>
          <t>Pack</t>
        </is>
      </c>
      <c r="G3333" s="2" t="inlineStr">
        <is>
          <t>Stellar Crown</t>
        </is>
      </c>
      <c r="H3333" s="3" t="n">
        <v>11.73</v>
      </c>
      <c r="I3333" s="3" t="n"/>
      <c r="J3333" s="3" t="n"/>
      <c r="K3333" s="3" t="n"/>
      <c r="L3333" s="2" t="inlineStr">
        <is>
          <t>PriceCharting</t>
        </is>
      </c>
      <c r="M3333" s="4" t="inlineStr">
        <is>
          <t>https://www.pricecharting.com/game/pokemon-stellar-crown/sleeved-booster-pack</t>
        </is>
      </c>
    </row>
    <row r="3334">
      <c r="A3334" s="2" t="inlineStr">
        <is>
          <t>Stormfront Blister Pack</t>
        </is>
      </c>
      <c r="B3334" s="3">
        <f>IF(H3334&lt;&gt;"",H3334,IF(I3334&lt;&gt;"",I3334,IF(J3334&lt;&gt;"",J3334,K3334)))</f>
        <v>359.43</v>
      </c>
      <c r="C3334" s="3">
        <f>MEDIAN(H3334:K3334)</f>
        <v>359.43</v>
      </c>
      <c r="D3334" s="3">
        <f>ROUND(C3334*(1-Settings!$B$2),2)</f>
        <v>251.6</v>
      </c>
      <c r="E3334" s="2" t="inlineStr">
        <is>
          <t>Pokemon</t>
        </is>
      </c>
      <c r="F3334" s="2" t="inlineStr">
        <is>
          <t>Pack</t>
        </is>
      </c>
      <c r="G3334" s="2" t="inlineStr">
        <is>
          <t>Stormfront</t>
        </is>
      </c>
      <c r="H3334" s="3" t="n">
        <v>359.43</v>
      </c>
      <c r="I3334" s="3" t="n"/>
      <c r="J3334" s="3" t="n"/>
      <c r="K3334" s="3" t="n"/>
      <c r="L3334" s="2" t="inlineStr">
        <is>
          <t>PriceCharting</t>
        </is>
      </c>
      <c r="M3334" s="4" t="inlineStr">
        <is>
          <t>https://www.pricecharting.com/game/pokemon-stormfront/blister-pack</t>
        </is>
      </c>
    </row>
    <row r="3335">
      <c r="A3335" s="2" t="inlineStr">
        <is>
          <t>Stormfront Booster Pack</t>
        </is>
      </c>
      <c r="B3335" s="3">
        <f>IF(H3335&lt;&gt;"",H3335,IF(I3335&lt;&gt;"",I3335,IF(J3335&lt;&gt;"",J3335,K3335)))</f>
        <v>299.99</v>
      </c>
      <c r="C3335" s="3">
        <f>MEDIAN(H3335:K3335)</f>
        <v>299.99</v>
      </c>
      <c r="D3335" s="3">
        <f>ROUND(C3335*(1-Settings!$B$2),2)</f>
        <v>209.99</v>
      </c>
      <c r="E3335" s="2" t="inlineStr">
        <is>
          <t>Pokemon</t>
        </is>
      </c>
      <c r="F3335" s="2" t="inlineStr">
        <is>
          <t>Pack</t>
        </is>
      </c>
      <c r="G3335" s="2" t="inlineStr">
        <is>
          <t>Stormfront</t>
        </is>
      </c>
      <c r="H3335" s="3" t="n">
        <v>299.99</v>
      </c>
      <c r="I3335" s="3" t="n"/>
      <c r="J3335" s="3" t="n"/>
      <c r="K3335" s="3" t="n"/>
      <c r="L3335" s="2" t="inlineStr">
        <is>
          <t>PriceCharting</t>
        </is>
      </c>
      <c r="M3335" s="4" t="inlineStr">
        <is>
          <t>https://www.pricecharting.com/game/pokemon-stormfront/booster-pack</t>
        </is>
      </c>
    </row>
    <row r="3336">
      <c r="A3336" s="2" t="inlineStr">
        <is>
          <t>Stormfront Booster Pack</t>
        </is>
      </c>
      <c r="B3336" s="3">
        <f>IF(H3336&lt;&gt;"",H3336,IF(I3336&lt;&gt;"",I3336,IF(J3336&lt;&gt;"",J3336,K3336)))</f>
        <v>545.27</v>
      </c>
      <c r="C3336" s="3">
        <f>MEDIAN(H3336:K3336)</f>
        <v>849.99</v>
      </c>
      <c r="D3336" s="3">
        <f>ROUND(C3336*(1-Settings!$B$2),2)</f>
        <v>594.99</v>
      </c>
      <c r="E3336" s="2" t="inlineStr">
        <is>
          <t>Pokemon</t>
        </is>
      </c>
      <c r="F3336" s="2" t="inlineStr">
        <is>
          <t>Pack</t>
        </is>
      </c>
      <c r="G3336" s="2" t="inlineStr">
        <is>
          <t>Stormfront</t>
        </is>
      </c>
      <c r="H3336" s="3" t="n"/>
      <c r="I3336" s="3" t="n">
        <v>545.27</v>
      </c>
      <c r="J3336" s="3" t="n">
        <v>900</v>
      </c>
      <c r="K3336" s="3" t="n">
        <v>849.99</v>
      </c>
      <c r="L3336" s="2" t="inlineStr">
        <is>
          <t>TCGplayer</t>
        </is>
      </c>
      <c r="N3336" s="4" t="inlineStr">
        <is>
          <t>https://www.tcgplayer.com/product/98589</t>
        </is>
      </c>
    </row>
    <row r="3337">
      <c r="A3337" s="2" t="inlineStr">
        <is>
          <t>Supreme Victors Blister Pack</t>
        </is>
      </c>
      <c r="B3337" s="3">
        <f>IF(H3337&lt;&gt;"",H3337,IF(I3337&lt;&gt;"",I3337,IF(J3337&lt;&gt;"",J3337,K3337)))</f>
        <v>830.0</v>
      </c>
      <c r="C3337" s="3">
        <f>MEDIAN(H3337:K3337)</f>
        <v>830.0</v>
      </c>
      <c r="D3337" s="3">
        <f>ROUND(C3337*(1-Settings!$B$2),2)</f>
        <v>581.0</v>
      </c>
      <c r="E3337" s="2" t="inlineStr">
        <is>
          <t>Pokemon</t>
        </is>
      </c>
      <c r="F3337" s="2" t="inlineStr">
        <is>
          <t>Pack</t>
        </is>
      </c>
      <c r="G3337" s="2" t="inlineStr">
        <is>
          <t>Supreme Victors</t>
        </is>
      </c>
      <c r="H3337" s="3" t="n">
        <v>830</v>
      </c>
      <c r="I3337" s="3" t="n"/>
      <c r="J3337" s="3" t="n"/>
      <c r="K3337" s="3" t="n"/>
      <c r="L3337" s="2" t="inlineStr">
        <is>
          <t>PriceCharting</t>
        </is>
      </c>
      <c r="M3337" s="4" t="inlineStr">
        <is>
          <t>https://www.pricecharting.com/game/pokemon-supreme-victors/blister-pack</t>
        </is>
      </c>
    </row>
    <row r="3338">
      <c r="A3338" s="2" t="inlineStr">
        <is>
          <t>Supreme Victors Booster Pack</t>
        </is>
      </c>
      <c r="B3338" s="3">
        <f>IF(H3338&lt;&gt;"",H3338,IF(I3338&lt;&gt;"",I3338,IF(J3338&lt;&gt;"",J3338,K3338)))</f>
        <v>441.9</v>
      </c>
      <c r="C3338" s="3">
        <f>MEDIAN(H3338:K3338)</f>
        <v>758.3299999999999</v>
      </c>
      <c r="D3338" s="3">
        <f>ROUND(C3338*(1-Settings!$B$2),2)</f>
        <v>530.83</v>
      </c>
      <c r="E3338" s="2" t="inlineStr">
        <is>
          <t>Pokemon</t>
        </is>
      </c>
      <c r="F3338" s="2" t="inlineStr">
        <is>
          <t>Pack</t>
        </is>
      </c>
      <c r="G3338" s="2" t="inlineStr">
        <is>
          <t>Supreme Victors</t>
        </is>
      </c>
      <c r="H3338" s="3" t="n">
        <v>441.9</v>
      </c>
      <c r="I3338" s="3" t="n">
        <v>716.66</v>
      </c>
      <c r="J3338" s="3" t="n">
        <v>899.98</v>
      </c>
      <c r="K3338" s="3" t="n">
        <v>800</v>
      </c>
      <c r="L3338" s="2" t="inlineStr">
        <is>
          <t>PriceCharting + TCGplayer</t>
        </is>
      </c>
      <c r="M3338" s="4" t="inlineStr">
        <is>
          <t>https://www.pricecharting.com/game/pokemon-supreme-victors/booster-pack</t>
        </is>
      </c>
      <c r="N3338" s="4" t="inlineStr">
        <is>
          <t>https://www.tcgplayer.com/product/98574</t>
        </is>
      </c>
    </row>
    <row r="3339">
      <c r="A3339" s="2" t="inlineStr">
        <is>
          <t>Surging Sparks Abra Checklane Blister</t>
        </is>
      </c>
      <c r="B3339" s="3">
        <f>IF(H3339&lt;&gt;"",H3339,IF(I3339&lt;&gt;"",I3339,IF(J3339&lt;&gt;"",J3339,K3339)))</f>
        <v>34.0</v>
      </c>
      <c r="C3339" s="3">
        <f>MEDIAN(H3339:K3339)</f>
        <v>34.0</v>
      </c>
      <c r="D3339" s="3">
        <f>ROUND(C3339*(1-Settings!$B$2),2)</f>
        <v>23.8</v>
      </c>
      <c r="E3339" s="2" t="inlineStr">
        <is>
          <t>Pokemon</t>
        </is>
      </c>
      <c r="F3339" s="2" t="inlineStr">
        <is>
          <t>Pack</t>
        </is>
      </c>
      <c r="G3339" s="2" t="inlineStr">
        <is>
          <t>Surging Sparks</t>
        </is>
      </c>
      <c r="H3339" s="3" t="n">
        <v>34</v>
      </c>
      <c r="I3339" s="3" t="n"/>
      <c r="J3339" s="3" t="n"/>
      <c r="K3339" s="3" t="n"/>
      <c r="L3339" s="2" t="inlineStr">
        <is>
          <t>PriceCharting</t>
        </is>
      </c>
      <c r="M3339" s="4" t="inlineStr">
        <is>
          <t>https://www.pricecharting.com/game/pokemon-surging-sparks/abra-checklane-blister</t>
        </is>
      </c>
    </row>
    <row r="3340">
      <c r="A3340" s="2" t="inlineStr">
        <is>
          <t>Surging Sparks Arcanine Checklane Blister</t>
        </is>
      </c>
      <c r="B3340" s="3">
        <f>IF(H3340&lt;&gt;"",H3340,IF(I3340&lt;&gt;"",I3340,IF(J3340&lt;&gt;"",J3340,K3340)))</f>
        <v>24.99</v>
      </c>
      <c r="C3340" s="3">
        <f>MEDIAN(H3340:K3340)</f>
        <v>24.99</v>
      </c>
      <c r="D3340" s="3">
        <f>ROUND(C3340*(1-Settings!$B$2),2)</f>
        <v>17.49</v>
      </c>
      <c r="E3340" s="2" t="inlineStr">
        <is>
          <t>Pokemon</t>
        </is>
      </c>
      <c r="F3340" s="2" t="inlineStr">
        <is>
          <t>Pack</t>
        </is>
      </c>
      <c r="G3340" s="2" t="inlineStr">
        <is>
          <t>Surging Sparks</t>
        </is>
      </c>
      <c r="H3340" s="3" t="n">
        <v>24.99</v>
      </c>
      <c r="I3340" s="3" t="n"/>
      <c r="J3340" s="3" t="n"/>
      <c r="K3340" s="3" t="n"/>
      <c r="L3340" s="2" t="inlineStr">
        <is>
          <t>PriceCharting</t>
        </is>
      </c>
      <c r="M3340" s="4" t="inlineStr">
        <is>
          <t>https://www.pricecharting.com/game/pokemon-surging-sparks/arcanine-checklane-blister</t>
        </is>
      </c>
    </row>
    <row r="3341">
      <c r="A3341" s="2" t="inlineStr">
        <is>
          <t>Surging Sparks Litwick Checklane Blister</t>
        </is>
      </c>
      <c r="B3341" s="3">
        <f>IF(H3341&lt;&gt;"",H3341,IF(I3341&lt;&gt;"",I3341,IF(J3341&lt;&gt;"",J3341,K3341)))</f>
        <v>39.5</v>
      </c>
      <c r="C3341" s="3">
        <f>MEDIAN(H3341:K3341)</f>
        <v>39.5</v>
      </c>
      <c r="D3341" s="3">
        <f>ROUND(C3341*(1-Settings!$B$2),2)</f>
        <v>27.65</v>
      </c>
      <c r="E3341" s="2" t="inlineStr">
        <is>
          <t>Pokemon</t>
        </is>
      </c>
      <c r="F3341" s="2" t="inlineStr">
        <is>
          <t>Pack</t>
        </is>
      </c>
      <c r="G3341" s="2" t="inlineStr">
        <is>
          <t>Surging Sparks</t>
        </is>
      </c>
      <c r="H3341" s="3" t="n">
        <v>39.5</v>
      </c>
      <c r="I3341" s="3" t="n"/>
      <c r="J3341" s="3" t="n"/>
      <c r="K3341" s="3" t="n"/>
      <c r="L3341" s="2" t="inlineStr">
        <is>
          <t>PriceCharting</t>
        </is>
      </c>
      <c r="M3341" s="4" t="inlineStr">
        <is>
          <t>https://www.pricecharting.com/game/pokemon-surging-sparks/litwick-checklane-blister</t>
        </is>
      </c>
    </row>
    <row r="3342">
      <c r="A3342" s="2" t="inlineStr">
        <is>
          <t>Surging Sparks Parchirisu Blister Pack</t>
        </is>
      </c>
      <c r="B3342" s="3">
        <f>IF(H3342&lt;&gt;"",H3342,IF(I3342&lt;&gt;"",I3342,IF(J3342&lt;&gt;"",J3342,K3342)))</f>
        <v>11.13</v>
      </c>
      <c r="C3342" s="3">
        <f>MEDIAN(H3342:K3342)</f>
        <v>11.13</v>
      </c>
      <c r="D3342" s="3">
        <f>ROUND(C3342*(1-Settings!$B$2),2)</f>
        <v>7.79</v>
      </c>
      <c r="E3342" s="2" t="inlineStr">
        <is>
          <t>Pokemon</t>
        </is>
      </c>
      <c r="F3342" s="2" t="inlineStr">
        <is>
          <t>Pack</t>
        </is>
      </c>
      <c r="G3342" s="2" t="inlineStr">
        <is>
          <t>Surging Sparks</t>
        </is>
      </c>
      <c r="H3342" s="3" t="n">
        <v>11.13</v>
      </c>
      <c r="I3342" s="3" t="n"/>
      <c r="J3342" s="3" t="n"/>
      <c r="K3342" s="3" t="n"/>
      <c r="L3342" s="2" t="inlineStr">
        <is>
          <t>PriceCharting</t>
        </is>
      </c>
      <c r="M3342" s="4" t="inlineStr">
        <is>
          <t>https://www.pricecharting.com/game/pokemon-surging-sparks/parchirisu-blister-pack</t>
        </is>
      </c>
    </row>
    <row r="3343">
      <c r="A3343" s="2" t="inlineStr">
        <is>
          <t>Surging Sparks Premium Checklane Blister [Sinistcha]</t>
        </is>
      </c>
      <c r="B3343" s="3">
        <f>IF(H3343&lt;&gt;"",H3343,IF(I3343&lt;&gt;"",I3343,IF(J3343&lt;&gt;"",J3343,K3343)))</f>
        <v>15.07</v>
      </c>
      <c r="C3343" s="3">
        <f>MEDIAN(H3343:K3343)</f>
        <v>15.07</v>
      </c>
      <c r="D3343" s="3">
        <f>ROUND(C3343*(1-Settings!$B$2),2)</f>
        <v>10.55</v>
      </c>
      <c r="E3343" s="2" t="inlineStr">
        <is>
          <t>Pokemon</t>
        </is>
      </c>
      <c r="F3343" s="2" t="inlineStr">
        <is>
          <t>Pack</t>
        </is>
      </c>
      <c r="G3343" s="2" t="inlineStr">
        <is>
          <t>Surging Sparks</t>
        </is>
      </c>
      <c r="H3343" s="3" t="n">
        <v>15.07</v>
      </c>
      <c r="I3343" s="3" t="n"/>
      <c r="J3343" s="3" t="n"/>
      <c r="K3343" s="3" t="n"/>
      <c r="L3343" s="2" t="inlineStr">
        <is>
          <t>PriceCharting</t>
        </is>
      </c>
      <c r="M3343" s="4" t="inlineStr">
        <is>
          <t>https://www.pricecharting.com/game/pokemon-surging-sparks/premium-checklane-blister-sinistcha</t>
        </is>
      </c>
    </row>
    <row r="3344">
      <c r="A3344" s="2" t="inlineStr">
        <is>
          <t>Surging Sparks Quagsire 3 Pack Blisters</t>
        </is>
      </c>
      <c r="B3344" s="3">
        <f>IF(H3344&lt;&gt;"",H3344,IF(I3344&lt;&gt;"",I3344,IF(J3344&lt;&gt;"",J3344,K3344)))</f>
        <v>42.0</v>
      </c>
      <c r="C3344" s="3">
        <f>MEDIAN(H3344:K3344)</f>
        <v>42.0</v>
      </c>
      <c r="D3344" s="3">
        <f>ROUND(C3344*(1-Settings!$B$2),2)</f>
        <v>29.4</v>
      </c>
      <c r="E3344" s="2" t="inlineStr">
        <is>
          <t>Pokemon</t>
        </is>
      </c>
      <c r="F3344" s="2" t="inlineStr">
        <is>
          <t>Pack</t>
        </is>
      </c>
      <c r="G3344" s="2" t="inlineStr">
        <is>
          <t>Surging Sparks</t>
        </is>
      </c>
      <c r="H3344" s="3" t="n">
        <v>42</v>
      </c>
      <c r="I3344" s="3" t="n"/>
      <c r="J3344" s="3" t="n"/>
      <c r="K3344" s="3" t="n"/>
      <c r="L3344" s="2" t="inlineStr">
        <is>
          <t>PriceCharting</t>
        </is>
      </c>
      <c r="M3344" s="4" t="inlineStr">
        <is>
          <t>https://www.pricecharting.com/game/pokemon-surging-sparks/quagsire-3-pack-blisters</t>
        </is>
      </c>
    </row>
    <row r="3345">
      <c r="A3345" s="2" t="inlineStr">
        <is>
          <t>Surging Sparks Sealed Fun Pack</t>
        </is>
      </c>
      <c r="B3345" s="3">
        <f>IF(H3345&lt;&gt;"",H3345,IF(I3345&lt;&gt;"",I3345,IF(J3345&lt;&gt;"",J3345,K3345)))</f>
        <v>9.38</v>
      </c>
      <c r="C3345" s="3">
        <f>MEDIAN(H3345:K3345)</f>
        <v>9.38</v>
      </c>
      <c r="D3345" s="3">
        <f>ROUND(C3345*(1-Settings!$B$2),2)</f>
        <v>6.57</v>
      </c>
      <c r="E3345" s="2" t="inlineStr">
        <is>
          <t>Pokemon</t>
        </is>
      </c>
      <c r="F3345" s="2" t="inlineStr">
        <is>
          <t>Pack</t>
        </is>
      </c>
      <c r="G3345" s="2" t="inlineStr">
        <is>
          <t>Surging Sparks</t>
        </is>
      </c>
      <c r="H3345" s="3" t="n">
        <v>9.380000000000001</v>
      </c>
      <c r="I3345" s="3" t="n"/>
      <c r="J3345" s="3" t="n"/>
      <c r="K3345" s="3" t="n"/>
      <c r="L3345" s="2" t="inlineStr">
        <is>
          <t>PriceCharting</t>
        </is>
      </c>
      <c r="M3345" s="4" t="inlineStr">
        <is>
          <t>https://www.pricecharting.com/game/pokemon-surging-sparks/sealed-fun-pack</t>
        </is>
      </c>
    </row>
    <row r="3346">
      <c r="A3346" s="2" t="inlineStr">
        <is>
          <t>Surging Sparks Wooper Blister Pack</t>
        </is>
      </c>
      <c r="B3346" s="3">
        <f>IF(H3346&lt;&gt;"",H3346,IF(I3346&lt;&gt;"",I3346,IF(J3346&lt;&gt;"",J3346,K3346)))</f>
        <v>13.57</v>
      </c>
      <c r="C3346" s="3">
        <f>MEDIAN(H3346:K3346)</f>
        <v>13.57</v>
      </c>
      <c r="D3346" s="3">
        <f>ROUND(C3346*(1-Settings!$B$2),2)</f>
        <v>9.5</v>
      </c>
      <c r="E3346" s="2" t="inlineStr">
        <is>
          <t>Pokemon</t>
        </is>
      </c>
      <c r="F3346" s="2" t="inlineStr">
        <is>
          <t>Pack</t>
        </is>
      </c>
      <c r="G3346" s="2" t="inlineStr">
        <is>
          <t>Surging Sparks</t>
        </is>
      </c>
      <c r="H3346" s="3" t="n">
        <v>13.57</v>
      </c>
      <c r="I3346" s="3" t="n"/>
      <c r="J3346" s="3" t="n"/>
      <c r="K3346" s="3" t="n"/>
      <c r="L3346" s="2" t="inlineStr">
        <is>
          <t>PriceCharting</t>
        </is>
      </c>
      <c r="M3346" s="4" t="inlineStr">
        <is>
          <t>https://www.pricecharting.com/game/pokemon-surging-sparks/wooper-blister-pack</t>
        </is>
      </c>
    </row>
    <row r="3347">
      <c r="A3347" s="2" t="inlineStr">
        <is>
          <t>Surging Sparks Zapdos 3 Pack Blisters</t>
        </is>
      </c>
      <c r="B3347" s="3">
        <f>IF(H3347&lt;&gt;"",H3347,IF(I3347&lt;&gt;"",I3347,IF(J3347&lt;&gt;"",J3347,K3347)))</f>
        <v>32.53</v>
      </c>
      <c r="C3347" s="3">
        <f>MEDIAN(H3347:K3347)</f>
        <v>32.53</v>
      </c>
      <c r="D3347" s="3">
        <f>ROUND(C3347*(1-Settings!$B$2),2)</f>
        <v>22.77</v>
      </c>
      <c r="E3347" s="2" t="inlineStr">
        <is>
          <t>Pokemon</t>
        </is>
      </c>
      <c r="F3347" s="2" t="inlineStr">
        <is>
          <t>Pack</t>
        </is>
      </c>
      <c r="G3347" s="2" t="inlineStr">
        <is>
          <t>Surging Sparks</t>
        </is>
      </c>
      <c r="H3347" s="3" t="n">
        <v>32.53</v>
      </c>
      <c r="I3347" s="3" t="n"/>
      <c r="J3347" s="3" t="n"/>
      <c r="K3347" s="3" t="n"/>
      <c r="L3347" s="2" t="inlineStr">
        <is>
          <t>PriceCharting</t>
        </is>
      </c>
      <c r="M3347" s="4" t="inlineStr">
        <is>
          <t>https://www.pricecharting.com/game/pokemon-surging-sparks/zapdos-3-pack-blisters</t>
        </is>
      </c>
    </row>
    <row r="3348">
      <c r="A3348" s="2" t="inlineStr">
        <is>
          <t>2024 Pokemon Japan Illustration Contest Promo 3-Card Pack</t>
        </is>
      </c>
      <c r="B3348" s="3">
        <f>IF(H3348&lt;&gt;"",H3348,IF(I3348&lt;&gt;"",I3348,IF(J3348&lt;&gt;"",J3348,K3348)))</f>
        <v>38.03</v>
      </c>
      <c r="C3348" s="3">
        <f>MEDIAN(H3348:K3348)</f>
        <v>35.46</v>
      </c>
      <c r="D3348" s="3">
        <f>ROUND(C3348*(1-Settings!$B$2),2)</f>
        <v>24.82</v>
      </c>
      <c r="E3348" s="2" t="inlineStr">
        <is>
          <t>Pokemon</t>
        </is>
      </c>
      <c r="F3348" s="2" t="inlineStr">
        <is>
          <t>Pack</t>
        </is>
      </c>
      <c r="G3348" s="2" t="inlineStr">
        <is>
          <t>SV-P Promotional Cards</t>
        </is>
      </c>
      <c r="H3348" s="3" t="n"/>
      <c r="I3348" s="3" t="n">
        <v>38.03</v>
      </c>
      <c r="J3348" s="3" t="n"/>
      <c r="K3348" s="3" t="n">
        <v>32.89</v>
      </c>
      <c r="L3348" s="2" t="inlineStr">
        <is>
          <t>TCGplayer</t>
        </is>
      </c>
      <c r="N3348" s="4" t="inlineStr">
        <is>
          <t>https://www.tcgplayer.com/product/628278</t>
        </is>
      </c>
    </row>
    <row r="3349">
      <c r="A3349" s="2" t="inlineStr">
        <is>
          <t>Scarlet &amp; Violet 3 Pack Blister [Arcanine]</t>
        </is>
      </c>
      <c r="B3349" s="3">
        <f>IF(H3349&lt;&gt;"",H3349,IF(I3349&lt;&gt;"",I3349,IF(J3349&lt;&gt;"",J3349,K3349)))</f>
        <v>35.2</v>
      </c>
      <c r="C3349" s="3">
        <f>MEDIAN(H3349:K3349)</f>
        <v>35.2</v>
      </c>
      <c r="D3349" s="3">
        <f>ROUND(C3349*(1-Settings!$B$2),2)</f>
        <v>24.64</v>
      </c>
      <c r="E3349" s="2" t="inlineStr">
        <is>
          <t>Pokemon</t>
        </is>
      </c>
      <c r="F3349" s="2" t="inlineStr">
        <is>
          <t>Pack</t>
        </is>
      </c>
      <c r="G3349" s="2" t="inlineStr">
        <is>
          <t>SV01: Scarlet &amp; Violet Base Set</t>
        </is>
      </c>
      <c r="H3349" s="3" t="n"/>
      <c r="I3349" s="3" t="n">
        <v>35.2</v>
      </c>
      <c r="J3349" s="3" t="n">
        <v>39.99</v>
      </c>
      <c r="K3349" s="3" t="n">
        <v>25</v>
      </c>
      <c r="L3349" s="2" t="inlineStr">
        <is>
          <t>TCGplayer</t>
        </is>
      </c>
      <c r="N3349" s="4" t="inlineStr">
        <is>
          <t>https://www.tcgplayer.com/product/478761</t>
        </is>
      </c>
    </row>
    <row r="3350">
      <c r="A3350" s="2" t="inlineStr">
        <is>
          <t>Scarlet &amp; Violet 3 Pack Blister [Dondozo]</t>
        </is>
      </c>
      <c r="B3350" s="3">
        <f>IF(H3350&lt;&gt;"",H3350,IF(I3350&lt;&gt;"",I3350,IF(J3350&lt;&gt;"",J3350,K3350)))</f>
        <v>30.95</v>
      </c>
      <c r="C3350" s="3">
        <f>MEDIAN(H3350:K3350)</f>
        <v>30.95</v>
      </c>
      <c r="D3350" s="3">
        <f>ROUND(C3350*(1-Settings!$B$2),2)</f>
        <v>21.67</v>
      </c>
      <c r="E3350" s="2" t="inlineStr">
        <is>
          <t>Pokemon</t>
        </is>
      </c>
      <c r="F3350" s="2" t="inlineStr">
        <is>
          <t>Pack</t>
        </is>
      </c>
      <c r="G3350" s="2" t="inlineStr">
        <is>
          <t>SV01: Scarlet &amp; Violet Base Set</t>
        </is>
      </c>
      <c r="H3350" s="3" t="n"/>
      <c r="I3350" s="3" t="n">
        <v>30.95</v>
      </c>
      <c r="J3350" s="3" t="n">
        <v>36.99</v>
      </c>
      <c r="K3350" s="3" t="n">
        <v>30.65</v>
      </c>
      <c r="L3350" s="2" t="inlineStr">
        <is>
          <t>TCGplayer</t>
        </is>
      </c>
      <c r="N3350" s="4" t="inlineStr">
        <is>
          <t>https://www.tcgplayer.com/product/478762</t>
        </is>
      </c>
    </row>
    <row r="3351">
      <c r="A3351" s="2" t="inlineStr">
        <is>
          <t>Scarlet &amp; Violet 3 Pack Blister [Set of 2]</t>
        </is>
      </c>
      <c r="B3351" s="3">
        <f>IF(H3351&lt;&gt;"",H3351,IF(I3351&lt;&gt;"",I3351,IF(J3351&lt;&gt;"",J3351,K3351)))</f>
        <v>62.25</v>
      </c>
      <c r="C3351" s="3">
        <f>MEDIAN(H3351:K3351)</f>
        <v>62.25</v>
      </c>
      <c r="D3351" s="3">
        <f>ROUND(C3351*(1-Settings!$B$2),2)</f>
        <v>43.58</v>
      </c>
      <c r="E3351" s="2" t="inlineStr">
        <is>
          <t>Pokemon</t>
        </is>
      </c>
      <c r="F3351" s="2" t="inlineStr">
        <is>
          <t>Pack</t>
        </is>
      </c>
      <c r="G3351" s="2" t="inlineStr">
        <is>
          <t>SV01: Scarlet &amp; Violet Base Set</t>
        </is>
      </c>
      <c r="H3351" s="3" t="n"/>
      <c r="I3351" s="3" t="n">
        <v>62.25</v>
      </c>
      <c r="J3351" s="3" t="n">
        <v>62.25</v>
      </c>
      <c r="K3351" s="3" t="n">
        <v>54</v>
      </c>
      <c r="L3351" s="2" t="inlineStr">
        <is>
          <t>TCGplayer</t>
        </is>
      </c>
      <c r="N3351" s="4" t="inlineStr">
        <is>
          <t>https://www.tcgplayer.com/product/478763</t>
        </is>
      </c>
    </row>
    <row r="3352">
      <c r="A3352" s="2" t="inlineStr">
        <is>
          <t>Scarlet &amp; Violet Booster Pack</t>
        </is>
      </c>
      <c r="B3352" s="3">
        <f>IF(H3352&lt;&gt;"",H3352,IF(I3352&lt;&gt;"",I3352,IF(J3352&lt;&gt;"",J3352,K3352)))</f>
        <v>9.1</v>
      </c>
      <c r="C3352" s="3">
        <f>MEDIAN(H3352:K3352)</f>
        <v>9.1</v>
      </c>
      <c r="D3352" s="3">
        <f>ROUND(C3352*(1-Settings!$B$2),2)</f>
        <v>6.37</v>
      </c>
      <c r="E3352" s="2" t="inlineStr">
        <is>
          <t>Pokemon</t>
        </is>
      </c>
      <c r="F3352" s="2" t="inlineStr">
        <is>
          <t>Pack</t>
        </is>
      </c>
      <c r="G3352" s="2" t="inlineStr">
        <is>
          <t>SV01: Scarlet &amp; Violet Base Set</t>
        </is>
      </c>
      <c r="H3352" s="3" t="n"/>
      <c r="I3352" s="3" t="n">
        <v>9.1</v>
      </c>
      <c r="J3352" s="3" t="n">
        <v>9.35</v>
      </c>
      <c r="K3352" s="3" t="n">
        <v>4.99</v>
      </c>
      <c r="L3352" s="2" t="inlineStr">
        <is>
          <t>TCGplayer</t>
        </is>
      </c>
      <c r="N3352" s="4" t="inlineStr">
        <is>
          <t>https://www.tcgplayer.com/product/476451</t>
        </is>
      </c>
    </row>
    <row r="3353">
      <c r="A3353" s="2" t="inlineStr">
        <is>
          <t>Scarlet &amp; Violet Fun Pack</t>
        </is>
      </c>
      <c r="B3353" s="3">
        <f>IF(H3353&lt;&gt;"",H3353,IF(I3353&lt;&gt;"",I3353,IF(J3353&lt;&gt;"",J3353,K3353)))</f>
        <v>6.97</v>
      </c>
      <c r="C3353" s="3">
        <f>MEDIAN(H3353:K3353)</f>
        <v>6.97</v>
      </c>
      <c r="D3353" s="3">
        <f>ROUND(C3353*(1-Settings!$B$2),2)</f>
        <v>4.88</v>
      </c>
      <c r="E3353" s="2" t="inlineStr">
        <is>
          <t>Pokemon</t>
        </is>
      </c>
      <c r="F3353" s="2" t="inlineStr">
        <is>
          <t>Pack</t>
        </is>
      </c>
      <c r="G3353" s="2" t="inlineStr">
        <is>
          <t>SV01: Scarlet &amp; Violet Base Set</t>
        </is>
      </c>
      <c r="H3353" s="3" t="n"/>
      <c r="I3353" s="3" t="n">
        <v>6.97</v>
      </c>
      <c r="J3353" s="3" t="n">
        <v>7.25</v>
      </c>
      <c r="K3353" s="3" t="n">
        <v>3.14</v>
      </c>
      <c r="L3353" s="2" t="inlineStr">
        <is>
          <t>TCGplayer</t>
        </is>
      </c>
      <c r="N3353" s="4" t="inlineStr">
        <is>
          <t>https://www.tcgplayer.com/product/530121</t>
        </is>
      </c>
    </row>
    <row r="3354">
      <c r="A3354" s="2" t="inlineStr">
        <is>
          <t>Scarlet &amp; Violet Premium Checklane Blister [Gengar]</t>
        </is>
      </c>
      <c r="B3354" s="3">
        <f>IF(H3354&lt;&gt;"",H3354,IF(I3354&lt;&gt;"",I3354,IF(J3354&lt;&gt;"",J3354,K3354)))</f>
        <v>30.0</v>
      </c>
      <c r="C3354" s="3">
        <f>MEDIAN(H3354:K3354)</f>
        <v>30.0</v>
      </c>
      <c r="D3354" s="3">
        <f>ROUND(C3354*(1-Settings!$B$2),2)</f>
        <v>21.0</v>
      </c>
      <c r="E3354" s="2" t="inlineStr">
        <is>
          <t>Pokemon</t>
        </is>
      </c>
      <c r="F3354" s="2" t="inlineStr">
        <is>
          <t>Pack</t>
        </is>
      </c>
      <c r="G3354" s="2" t="inlineStr">
        <is>
          <t>SV01: Scarlet &amp; Violet Base Set</t>
        </is>
      </c>
      <c r="H3354" s="3" t="n"/>
      <c r="I3354" s="3" t="n">
        <v>30</v>
      </c>
      <c r="J3354" s="3" t="n"/>
      <c r="K3354" s="3" t="n"/>
      <c r="L3354" s="2" t="inlineStr">
        <is>
          <t>TCGplayer</t>
        </is>
      </c>
      <c r="N3354" s="4" t="inlineStr">
        <is>
          <t>https://www.tcgplayer.com/product/479328</t>
        </is>
      </c>
    </row>
    <row r="3355">
      <c r="A3355" s="2" t="inlineStr">
        <is>
          <t>Scarlet &amp; Violet Premium Checklane Blister [Hisuian Arcanine]</t>
        </is>
      </c>
      <c r="B3355" s="3">
        <f>IF(H3355&lt;&gt;"",H3355,IF(I3355&lt;&gt;"",I3355,IF(J3355&lt;&gt;"",J3355,K3355)))</f>
        <v>16.5</v>
      </c>
      <c r="C3355" s="3">
        <f>MEDIAN(H3355:K3355)</f>
        <v>12.25</v>
      </c>
      <c r="D3355" s="3">
        <f>ROUND(C3355*(1-Settings!$B$2),2)</f>
        <v>8.58</v>
      </c>
      <c r="E3355" s="2" t="inlineStr">
        <is>
          <t>Pokemon</t>
        </is>
      </c>
      <c r="F3355" s="2" t="inlineStr">
        <is>
          <t>Pack</t>
        </is>
      </c>
      <c r="G3355" s="2" t="inlineStr">
        <is>
          <t>SV01: Scarlet &amp; Violet Base Set</t>
        </is>
      </c>
      <c r="H3355" s="3" t="n"/>
      <c r="I3355" s="3" t="n"/>
      <c r="J3355" s="3" t="n">
        <v>16.5</v>
      </c>
      <c r="K3355" s="3" t="n">
        <v>8</v>
      </c>
      <c r="L3355" s="2" t="inlineStr">
        <is>
          <t>TCGplayer</t>
        </is>
      </c>
      <c r="N3355" s="4" t="inlineStr">
        <is>
          <t>https://www.tcgplayer.com/product/497166</t>
        </is>
      </c>
    </row>
    <row r="3356">
      <c r="A3356" s="2" t="inlineStr">
        <is>
          <t>Scarlet &amp; Violet Premium Checklane Blister [Hisuian Zoroark]</t>
        </is>
      </c>
      <c r="B3356" s="3">
        <f>IF(H3356&lt;&gt;"",H3356,IF(I3356&lt;&gt;"",I3356,IF(J3356&lt;&gt;"",J3356,K3356)))</f>
        <v>12.0</v>
      </c>
      <c r="C3356" s="3">
        <f>MEDIAN(H3356:K3356)</f>
        <v>12.0</v>
      </c>
      <c r="D3356" s="3">
        <f>ROUND(C3356*(1-Settings!$B$2),2)</f>
        <v>8.4</v>
      </c>
      <c r="E3356" s="2" t="inlineStr">
        <is>
          <t>Pokemon</t>
        </is>
      </c>
      <c r="F3356" s="2" t="inlineStr">
        <is>
          <t>Pack</t>
        </is>
      </c>
      <c r="G3356" s="2" t="inlineStr">
        <is>
          <t>SV01: Scarlet &amp; Violet Base Set</t>
        </is>
      </c>
      <c r="H3356" s="3" t="n"/>
      <c r="I3356" s="3" t="n">
        <v>12</v>
      </c>
      <c r="J3356" s="3" t="n">
        <v>17.99</v>
      </c>
      <c r="K3356" s="3" t="n">
        <v>8</v>
      </c>
      <c r="L3356" s="2" t="inlineStr">
        <is>
          <t>TCGplayer</t>
        </is>
      </c>
      <c r="N3356" s="4" t="inlineStr">
        <is>
          <t>https://www.tcgplayer.com/product/497167</t>
        </is>
      </c>
    </row>
    <row r="3357">
      <c r="A3357" s="2" t="inlineStr">
        <is>
          <t>Scarlet &amp; Violet Premium Checklane Blister [Machamp]</t>
        </is>
      </c>
      <c r="B3357" s="3">
        <f>IF(H3357&lt;&gt;"",H3357,IF(I3357&lt;&gt;"",I3357,IF(J3357&lt;&gt;"",J3357,K3357)))</f>
        <v>30.0</v>
      </c>
      <c r="C3357" s="3">
        <f>MEDIAN(H3357:K3357)</f>
        <v>30.0</v>
      </c>
      <c r="D3357" s="3">
        <f>ROUND(C3357*(1-Settings!$B$2),2)</f>
        <v>21.0</v>
      </c>
      <c r="E3357" s="2" t="inlineStr">
        <is>
          <t>Pokemon</t>
        </is>
      </c>
      <c r="F3357" s="2" t="inlineStr">
        <is>
          <t>Pack</t>
        </is>
      </c>
      <c r="G3357" s="2" t="inlineStr">
        <is>
          <t>SV01: Scarlet &amp; Violet Base Set</t>
        </is>
      </c>
      <c r="H3357" s="3" t="n"/>
      <c r="I3357" s="3" t="n">
        <v>30</v>
      </c>
      <c r="J3357" s="3" t="n">
        <v>30</v>
      </c>
      <c r="K3357" s="3" t="n">
        <v>30</v>
      </c>
      <c r="L3357" s="2" t="inlineStr">
        <is>
          <t>TCGplayer</t>
        </is>
      </c>
      <c r="N3357" s="4" t="inlineStr">
        <is>
          <t>https://www.tcgplayer.com/product/479330</t>
        </is>
      </c>
    </row>
    <row r="3358">
      <c r="A3358" s="2" t="inlineStr">
        <is>
          <t>Scarlet &amp; Violet Single Pack Blister [Espathra]</t>
        </is>
      </c>
      <c r="B3358" s="3">
        <f>IF(H3358&lt;&gt;"",H3358,IF(I3358&lt;&gt;"",I3358,IF(J3358&lt;&gt;"",J3358,K3358)))</f>
        <v>13.26</v>
      </c>
      <c r="C3358" s="3">
        <f>MEDIAN(H3358:K3358)</f>
        <v>13.26</v>
      </c>
      <c r="D3358" s="3">
        <f>ROUND(C3358*(1-Settings!$B$2),2)</f>
        <v>9.28</v>
      </c>
      <c r="E3358" s="2" t="inlineStr">
        <is>
          <t>Pokemon</t>
        </is>
      </c>
      <c r="F3358" s="2" t="inlineStr">
        <is>
          <t>Pack</t>
        </is>
      </c>
      <c r="G3358" s="2" t="inlineStr">
        <is>
          <t>SV01: Scarlet &amp; Violet Base Set</t>
        </is>
      </c>
      <c r="H3358" s="3" t="n"/>
      <c r="I3358" s="3" t="n">
        <v>13.26</v>
      </c>
      <c r="J3358" s="3" t="n">
        <v>14.99</v>
      </c>
      <c r="K3358" s="3" t="n">
        <v>9.85</v>
      </c>
      <c r="L3358" s="2" t="inlineStr">
        <is>
          <t>TCGplayer</t>
        </is>
      </c>
      <c r="N3358" s="4" t="inlineStr">
        <is>
          <t>https://www.tcgplayer.com/product/478766</t>
        </is>
      </c>
    </row>
    <row r="3359">
      <c r="A3359" s="2" t="inlineStr">
        <is>
          <t>Scarlet &amp; Violet Single Pack Blister [Set of 2]</t>
        </is>
      </c>
      <c r="B3359" s="3">
        <f>IF(H3359&lt;&gt;"",H3359,IF(I3359&lt;&gt;"",I3359,IF(J3359&lt;&gt;"",J3359,K3359)))</f>
        <v>23.56</v>
      </c>
      <c r="C3359" s="3">
        <f>MEDIAN(H3359:K3359)</f>
        <v>23.09</v>
      </c>
      <c r="D3359" s="3">
        <f>ROUND(C3359*(1-Settings!$B$2),2)</f>
        <v>16.16</v>
      </c>
      <c r="E3359" s="2" t="inlineStr">
        <is>
          <t>Pokemon</t>
        </is>
      </c>
      <c r="F3359" s="2" t="inlineStr">
        <is>
          <t>Pack</t>
        </is>
      </c>
      <c r="G3359" s="2" t="inlineStr">
        <is>
          <t>SV01: Scarlet &amp; Violet Base Set</t>
        </is>
      </c>
      <c r="H3359" s="3" t="n"/>
      <c r="I3359" s="3" t="n">
        <v>23.56</v>
      </c>
      <c r="J3359" s="3" t="n">
        <v>23.09</v>
      </c>
      <c r="K3359" s="3" t="n">
        <v>18</v>
      </c>
      <c r="L3359" s="2" t="inlineStr">
        <is>
          <t>TCGplayer</t>
        </is>
      </c>
      <c r="N3359" s="4" t="inlineStr">
        <is>
          <t>https://www.tcgplayer.com/product/478767</t>
        </is>
      </c>
    </row>
    <row r="3360">
      <c r="A3360" s="2" t="inlineStr">
        <is>
          <t>Scarlet &amp; Violet Single Pack Blister [Spidops]</t>
        </is>
      </c>
      <c r="B3360" s="3">
        <f>IF(H3360&lt;&gt;"",H3360,IF(I3360&lt;&gt;"",I3360,IF(J3360&lt;&gt;"",J3360,K3360)))</f>
        <v>12.33</v>
      </c>
      <c r="C3360" s="3">
        <f>MEDIAN(H3360:K3360)</f>
        <v>12.33</v>
      </c>
      <c r="D3360" s="3">
        <f>ROUND(C3360*(1-Settings!$B$2),2)</f>
        <v>8.63</v>
      </c>
      <c r="E3360" s="2" t="inlineStr">
        <is>
          <t>Pokemon</t>
        </is>
      </c>
      <c r="F3360" s="2" t="inlineStr">
        <is>
          <t>Pack</t>
        </is>
      </c>
      <c r="G3360" s="2" t="inlineStr">
        <is>
          <t>SV01: Scarlet &amp; Violet Base Set</t>
        </is>
      </c>
      <c r="H3360" s="3" t="n"/>
      <c r="I3360" s="3" t="n">
        <v>12.33</v>
      </c>
      <c r="J3360" s="3" t="n">
        <v>15</v>
      </c>
      <c r="K3360" s="3" t="n">
        <v>10.99</v>
      </c>
      <c r="L3360" s="2" t="inlineStr">
        <is>
          <t>TCGplayer</t>
        </is>
      </c>
      <c r="N3360" s="4" t="inlineStr">
        <is>
          <t>https://www.tcgplayer.com/product/478765</t>
        </is>
      </c>
    </row>
    <row r="3361">
      <c r="A3361" s="2" t="inlineStr">
        <is>
          <t>Scarlet &amp; Violet Sleeved Booster Pack</t>
        </is>
      </c>
      <c r="B3361" s="3">
        <f>IF(H3361&lt;&gt;"",H3361,IF(I3361&lt;&gt;"",I3361,IF(J3361&lt;&gt;"",J3361,K3361)))</f>
        <v>11.05</v>
      </c>
      <c r="C3361" s="3">
        <f>MEDIAN(H3361:K3361)</f>
        <v>11.05</v>
      </c>
      <c r="D3361" s="3">
        <f>ROUND(C3361*(1-Settings!$B$2),2)</f>
        <v>7.74</v>
      </c>
      <c r="E3361" s="2" t="inlineStr">
        <is>
          <t>Pokemon</t>
        </is>
      </c>
      <c r="F3361" s="2" t="inlineStr">
        <is>
          <t>Pack</t>
        </is>
      </c>
      <c r="G3361" s="2" t="inlineStr">
        <is>
          <t>SV01: Scarlet &amp; Violet Base Set</t>
        </is>
      </c>
      <c r="H3361" s="3" t="n"/>
      <c r="I3361" s="3" t="n">
        <v>11.05</v>
      </c>
      <c r="J3361" s="3" t="n">
        <v>11.88</v>
      </c>
      <c r="K3361" s="3" t="n">
        <v>8.99</v>
      </c>
      <c r="L3361" s="2" t="inlineStr">
        <is>
          <t>TCGplayer</t>
        </is>
      </c>
      <c r="N3361" s="4" t="inlineStr">
        <is>
          <t>https://www.tcgplayer.com/product/478273</t>
        </is>
      </c>
    </row>
    <row r="3362">
      <c r="A3362" s="2" t="inlineStr">
        <is>
          <t>Paldea Evolved 3 Pack Blister [Set of 2]</t>
        </is>
      </c>
      <c r="B3362" s="3">
        <f>IF(H3362&lt;&gt;"",H3362,IF(I3362&lt;&gt;"",I3362,IF(J3362&lt;&gt;"",J3362,K3362)))</f>
        <v>97.7</v>
      </c>
      <c r="C3362" s="3">
        <f>MEDIAN(H3362:K3362)</f>
        <v>97.7</v>
      </c>
      <c r="D3362" s="3">
        <f>ROUND(C3362*(1-Settings!$B$2),2)</f>
        <v>68.39</v>
      </c>
      <c r="E3362" s="2" t="inlineStr">
        <is>
          <t>Pokemon</t>
        </is>
      </c>
      <c r="F3362" s="2" t="inlineStr">
        <is>
          <t>Pack</t>
        </is>
      </c>
      <c r="G3362" s="2" t="inlineStr">
        <is>
          <t>SV02: Paldea Evolved</t>
        </is>
      </c>
      <c r="H3362" s="3" t="n"/>
      <c r="I3362" s="3" t="n">
        <v>97.7</v>
      </c>
      <c r="J3362" s="3" t="n">
        <v>99.48999999999999</v>
      </c>
      <c r="K3362" s="3" t="n">
        <v>91.2</v>
      </c>
      <c r="L3362" s="2" t="inlineStr">
        <is>
          <t>TCGplayer</t>
        </is>
      </c>
      <c r="N3362" s="4" t="inlineStr">
        <is>
          <t>https://www.tcgplayer.com/product/496908</t>
        </is>
      </c>
    </row>
    <row r="3363">
      <c r="A3363" s="2" t="inlineStr">
        <is>
          <t>Paldea Evolved 3 Pack Blister [Tinkatink]</t>
        </is>
      </c>
      <c r="B3363" s="3">
        <f>IF(H3363&lt;&gt;"",H3363,IF(I3363&lt;&gt;"",I3363,IF(J3363&lt;&gt;"",J3363,K3363)))</f>
        <v>48.84</v>
      </c>
      <c r="C3363" s="3">
        <f>MEDIAN(H3363:K3363)</f>
        <v>48.84</v>
      </c>
      <c r="D3363" s="3">
        <f>ROUND(C3363*(1-Settings!$B$2),2)</f>
        <v>34.19</v>
      </c>
      <c r="E3363" s="2" t="inlineStr">
        <is>
          <t>Pokemon</t>
        </is>
      </c>
      <c r="F3363" s="2" t="inlineStr">
        <is>
          <t>Pack</t>
        </is>
      </c>
      <c r="G3363" s="2" t="inlineStr">
        <is>
          <t>SV02: Paldea Evolved</t>
        </is>
      </c>
      <c r="H3363" s="3" t="n"/>
      <c r="I3363" s="3" t="n">
        <v>48.84</v>
      </c>
      <c r="J3363" s="3" t="n">
        <v>52.84</v>
      </c>
      <c r="K3363" s="3" t="n">
        <v>43.99</v>
      </c>
      <c r="L3363" s="2" t="inlineStr">
        <is>
          <t>TCGplayer</t>
        </is>
      </c>
      <c r="N3363" s="4" t="inlineStr">
        <is>
          <t>https://www.tcgplayer.com/product/493997</t>
        </is>
      </c>
    </row>
    <row r="3364">
      <c r="A3364" s="2" t="inlineStr">
        <is>
          <t>Paldea Evolved 3 Pack Blister [Varoom]</t>
        </is>
      </c>
      <c r="B3364" s="3">
        <f>IF(H3364&lt;&gt;"",H3364,IF(I3364&lt;&gt;"",I3364,IF(J3364&lt;&gt;"",J3364,K3364)))</f>
        <v>44.11</v>
      </c>
      <c r="C3364" s="3">
        <f>MEDIAN(H3364:K3364)</f>
        <v>44.99</v>
      </c>
      <c r="D3364" s="3">
        <f>ROUND(C3364*(1-Settings!$B$2),2)</f>
        <v>31.49</v>
      </c>
      <c r="E3364" s="2" t="inlineStr">
        <is>
          <t>Pokemon</t>
        </is>
      </c>
      <c r="F3364" s="2" t="inlineStr">
        <is>
          <t>Pack</t>
        </is>
      </c>
      <c r="G3364" s="2" t="inlineStr">
        <is>
          <t>SV02: Paldea Evolved</t>
        </is>
      </c>
      <c r="H3364" s="3" t="n"/>
      <c r="I3364" s="3" t="n">
        <v>44.11</v>
      </c>
      <c r="J3364" s="3" t="n">
        <v>59.65</v>
      </c>
      <c r="K3364" s="3" t="n">
        <v>44.99</v>
      </c>
      <c r="L3364" s="2" t="inlineStr">
        <is>
          <t>TCGplayer</t>
        </is>
      </c>
      <c r="N3364" s="4" t="inlineStr">
        <is>
          <t>https://www.tcgplayer.com/product/493998</t>
        </is>
      </c>
    </row>
    <row r="3365">
      <c r="A3365" s="2" t="inlineStr">
        <is>
          <t>Paldea Evolved Booster Pack</t>
        </is>
      </c>
      <c r="B3365" s="3">
        <f>IF(H3365&lt;&gt;"",H3365,IF(I3365&lt;&gt;"",I3365,IF(J3365&lt;&gt;"",J3365,K3365)))</f>
        <v>16.4</v>
      </c>
      <c r="C3365" s="3">
        <f>MEDIAN(H3365:K3365)</f>
        <v>15.905</v>
      </c>
      <c r="D3365" s="3">
        <f>ROUND(C3365*(1-Settings!$B$2),2)</f>
        <v>11.13</v>
      </c>
      <c r="E3365" s="2" t="inlineStr">
        <is>
          <t>Pokemon</t>
        </is>
      </c>
      <c r="F3365" s="2" t="inlineStr">
        <is>
          <t>Pack</t>
        </is>
      </c>
      <c r="G3365" s="2" t="inlineStr">
        <is>
          <t>SV02: Paldea Evolved</t>
        </is>
      </c>
      <c r="H3365" s="3" t="n">
        <v>16.4</v>
      </c>
      <c r="I3365" s="3" t="n">
        <v>15.54</v>
      </c>
      <c r="J3365" s="3" t="n">
        <v>16.27</v>
      </c>
      <c r="K3365" s="3" t="n">
        <v>13</v>
      </c>
      <c r="L3365" s="2" t="inlineStr">
        <is>
          <t>PriceCharting + TCGplayer</t>
        </is>
      </c>
      <c r="M3365" s="4" t="inlineStr">
        <is>
          <t>https://www.pricecharting.com/game/pokemon-paldea-evolved/booster-pack</t>
        </is>
      </c>
      <c r="N3365" s="4" t="inlineStr">
        <is>
          <t>https://www.tcgplayer.com/product/493976</t>
        </is>
      </c>
    </row>
    <row r="3366">
      <c r="A3366" s="2" t="inlineStr">
        <is>
          <t>Paldea Evolved Fun Pack</t>
        </is>
      </c>
      <c r="B3366" s="3">
        <f>IF(H3366&lt;&gt;"",H3366,IF(I3366&lt;&gt;"",I3366,IF(J3366&lt;&gt;"",J3366,K3366)))</f>
        <v>7.58</v>
      </c>
      <c r="C3366" s="3">
        <f>MEDIAN(H3366:K3366)</f>
        <v>7.58</v>
      </c>
      <c r="D3366" s="3">
        <f>ROUND(C3366*(1-Settings!$B$2),2)</f>
        <v>5.31</v>
      </c>
      <c r="E3366" s="2" t="inlineStr">
        <is>
          <t>Pokemon</t>
        </is>
      </c>
      <c r="F3366" s="2" t="inlineStr">
        <is>
          <t>Pack</t>
        </is>
      </c>
      <c r="G3366" s="2" t="inlineStr">
        <is>
          <t>SV02: Paldea Evolved</t>
        </is>
      </c>
      <c r="H3366" s="3" t="n"/>
      <c r="I3366" s="3" t="n">
        <v>7.58</v>
      </c>
      <c r="J3366" s="3" t="n">
        <v>7.76</v>
      </c>
      <c r="K3366" s="3" t="n">
        <v>5</v>
      </c>
      <c r="L3366" s="2" t="inlineStr">
        <is>
          <t>TCGplayer</t>
        </is>
      </c>
      <c r="N3366" s="4" t="inlineStr">
        <is>
          <t>https://www.tcgplayer.com/product/530106</t>
        </is>
      </c>
    </row>
    <row r="3367">
      <c r="A3367" s="2" t="inlineStr">
        <is>
          <t>Paldea Evolved Premium Checklane Blister [Pawmot]</t>
        </is>
      </c>
      <c r="B3367" s="3">
        <f>IF(H3367&lt;&gt;"",H3367,IF(I3367&lt;&gt;"",I3367,IF(J3367&lt;&gt;"",J3367,K3367)))</f>
        <v>24.95</v>
      </c>
      <c r="C3367" s="3">
        <f>MEDIAN(H3367:K3367)</f>
        <v>24.95</v>
      </c>
      <c r="D3367" s="3">
        <f>ROUND(C3367*(1-Settings!$B$2),2)</f>
        <v>17.47</v>
      </c>
      <c r="E3367" s="2" t="inlineStr">
        <is>
          <t>Pokemon</t>
        </is>
      </c>
      <c r="F3367" s="2" t="inlineStr">
        <is>
          <t>Pack</t>
        </is>
      </c>
      <c r="G3367" s="2" t="inlineStr">
        <is>
          <t>SV02: Paldea Evolved</t>
        </is>
      </c>
      <c r="H3367" s="3" t="n"/>
      <c r="I3367" s="3" t="n">
        <v>24.95</v>
      </c>
      <c r="J3367" s="3" t="n">
        <v>29.99</v>
      </c>
      <c r="K3367" s="3" t="n">
        <v>21.99</v>
      </c>
      <c r="L3367" s="2" t="inlineStr">
        <is>
          <t>TCGplayer</t>
        </is>
      </c>
      <c r="N3367" s="4" t="inlineStr">
        <is>
          <t>https://www.tcgplayer.com/product/622967</t>
        </is>
      </c>
    </row>
    <row r="3368">
      <c r="A3368" s="2" t="inlineStr">
        <is>
          <t>Paldea Evolved Single Pack Blister [Armarouge]</t>
        </is>
      </c>
      <c r="B3368" s="3">
        <f>IF(H3368&lt;&gt;"",H3368,IF(I3368&lt;&gt;"",I3368,IF(J3368&lt;&gt;"",J3368,K3368)))</f>
        <v>46.96</v>
      </c>
      <c r="C3368" s="3">
        <f>MEDIAN(H3368:K3368)</f>
        <v>46.96</v>
      </c>
      <c r="D3368" s="3">
        <f>ROUND(C3368*(1-Settings!$B$2),2)</f>
        <v>32.87</v>
      </c>
      <c r="E3368" s="2" t="inlineStr">
        <is>
          <t>Pokemon</t>
        </is>
      </c>
      <c r="F3368" s="2" t="inlineStr">
        <is>
          <t>Pack</t>
        </is>
      </c>
      <c r="G3368" s="2" t="inlineStr">
        <is>
          <t>SV02: Paldea Evolved</t>
        </is>
      </c>
      <c r="H3368" s="3" t="n"/>
      <c r="I3368" s="3" t="n">
        <v>46.96</v>
      </c>
      <c r="J3368" s="3" t="n"/>
      <c r="K3368" s="3" t="n"/>
      <c r="L3368" s="2" t="inlineStr">
        <is>
          <t>TCGplayer</t>
        </is>
      </c>
      <c r="N3368" s="4" t="inlineStr">
        <is>
          <t>https://www.tcgplayer.com/product/618829</t>
        </is>
      </c>
    </row>
    <row r="3369">
      <c r="A3369" s="2" t="inlineStr">
        <is>
          <t>Paldea Evolved Single Pack Blister [Dondonzo]</t>
        </is>
      </c>
      <c r="B3369" s="3">
        <f>IF(H3369&lt;&gt;"",H3369,IF(I3369&lt;&gt;"",I3369,IF(J3369&lt;&gt;"",J3369,K3369)))</f>
        <v>29.97</v>
      </c>
      <c r="C3369" s="3">
        <f>MEDIAN(H3369:K3369)</f>
        <v>29.97</v>
      </c>
      <c r="D3369" s="3">
        <f>ROUND(C3369*(1-Settings!$B$2),2)</f>
        <v>20.98</v>
      </c>
      <c r="E3369" s="2" t="inlineStr">
        <is>
          <t>Pokemon</t>
        </is>
      </c>
      <c r="F3369" s="2" t="inlineStr">
        <is>
          <t>Pack</t>
        </is>
      </c>
      <c r="G3369" s="2" t="inlineStr">
        <is>
          <t>SV02: Paldea Evolved</t>
        </is>
      </c>
      <c r="H3369" s="3" t="n"/>
      <c r="I3369" s="3" t="n">
        <v>29.97</v>
      </c>
      <c r="J3369" s="3" t="n">
        <v>37.45</v>
      </c>
      <c r="K3369" s="3" t="n">
        <v>25</v>
      </c>
      <c r="L3369" s="2" t="inlineStr">
        <is>
          <t>TCGplayer</t>
        </is>
      </c>
      <c r="N3369" s="4" t="inlineStr">
        <is>
          <t>https://www.tcgplayer.com/product/617015</t>
        </is>
      </c>
    </row>
    <row r="3370">
      <c r="A3370" s="2" t="inlineStr">
        <is>
          <t>Paldea Evolved Single Pack Blister [Growlithe]</t>
        </is>
      </c>
      <c r="B3370" s="3">
        <f>IF(H3370&lt;&gt;"",H3370,IF(I3370&lt;&gt;"",I3370,IF(J3370&lt;&gt;"",J3370,K3370)))</f>
        <v>18.61</v>
      </c>
      <c r="C3370" s="3">
        <f>MEDIAN(H3370:K3370)</f>
        <v>18.61</v>
      </c>
      <c r="D3370" s="3">
        <f>ROUND(C3370*(1-Settings!$B$2),2)</f>
        <v>13.03</v>
      </c>
      <c r="E3370" s="2" t="inlineStr">
        <is>
          <t>Pokemon</t>
        </is>
      </c>
      <c r="F3370" s="2" t="inlineStr">
        <is>
          <t>Pack</t>
        </is>
      </c>
      <c r="G3370" s="2" t="inlineStr">
        <is>
          <t>SV02: Paldea Evolved</t>
        </is>
      </c>
      <c r="H3370" s="3" t="n"/>
      <c r="I3370" s="3" t="n">
        <v>18.61</v>
      </c>
      <c r="J3370" s="3" t="n">
        <v>19.99</v>
      </c>
      <c r="K3370" s="3" t="n">
        <v>18.27</v>
      </c>
      <c r="L3370" s="2" t="inlineStr">
        <is>
          <t>TCGplayer</t>
        </is>
      </c>
      <c r="N3370" s="4" t="inlineStr">
        <is>
          <t>https://www.tcgplayer.com/product/494001</t>
        </is>
      </c>
    </row>
    <row r="3371">
      <c r="A3371" s="2" t="inlineStr">
        <is>
          <t>Paldea Evolved Single Pack Blister [Smoliv]</t>
        </is>
      </c>
      <c r="B3371" s="3">
        <f>IF(H3371&lt;&gt;"",H3371,IF(I3371&lt;&gt;"",I3371,IF(J3371&lt;&gt;"",J3371,K3371)))</f>
        <v>14.94</v>
      </c>
      <c r="C3371" s="3">
        <f>MEDIAN(H3371:K3371)</f>
        <v>17.0</v>
      </c>
      <c r="D3371" s="3">
        <f>ROUND(C3371*(1-Settings!$B$2),2)</f>
        <v>11.9</v>
      </c>
      <c r="E3371" s="2" t="inlineStr">
        <is>
          <t>Pokemon</t>
        </is>
      </c>
      <c r="F3371" s="2" t="inlineStr">
        <is>
          <t>Pack</t>
        </is>
      </c>
      <c r="G3371" s="2" t="inlineStr">
        <is>
          <t>SV02: Paldea Evolved</t>
        </is>
      </c>
      <c r="H3371" s="3" t="n"/>
      <c r="I3371" s="3" t="n">
        <v>14.94</v>
      </c>
      <c r="J3371" s="3" t="n">
        <v>19.84</v>
      </c>
      <c r="K3371" s="3" t="n">
        <v>17</v>
      </c>
      <c r="L3371" s="2" t="inlineStr">
        <is>
          <t>TCGplayer</t>
        </is>
      </c>
      <c r="N3371" s="4" t="inlineStr">
        <is>
          <t>https://www.tcgplayer.com/product/493999</t>
        </is>
      </c>
    </row>
    <row r="3372">
      <c r="A3372" s="2" t="inlineStr">
        <is>
          <t>Paldea Evolved Sleeved Booster Pack</t>
        </is>
      </c>
      <c r="B3372" s="3">
        <f>IF(H3372&lt;&gt;"",H3372,IF(I3372&lt;&gt;"",I3372,IF(J3372&lt;&gt;"",J3372,K3372)))</f>
        <v>17.24</v>
      </c>
      <c r="C3372" s="3">
        <f>MEDIAN(H3372:K3372)</f>
        <v>17.225</v>
      </c>
      <c r="D3372" s="3">
        <f>ROUND(C3372*(1-Settings!$B$2),2)</f>
        <v>12.06</v>
      </c>
      <c r="E3372" s="2" t="inlineStr">
        <is>
          <t>Pokemon</t>
        </is>
      </c>
      <c r="F3372" s="2" t="inlineStr">
        <is>
          <t>Pack</t>
        </is>
      </c>
      <c r="G3372" s="2" t="inlineStr">
        <is>
          <t>SV02: Paldea Evolved</t>
        </is>
      </c>
      <c r="H3372" s="3" t="n">
        <v>17.24</v>
      </c>
      <c r="I3372" s="3" t="n">
        <v>17.21</v>
      </c>
      <c r="J3372" s="3" t="n">
        <v>18</v>
      </c>
      <c r="K3372" s="3" t="n">
        <v>14.99</v>
      </c>
      <c r="L3372" s="2" t="inlineStr">
        <is>
          <t>PriceCharting + TCGplayer</t>
        </is>
      </c>
      <c r="M3372" s="4" t="inlineStr">
        <is>
          <t>https://www.pricecharting.com/game/pokemon-paldea-evolved/sleeved-booster-pack</t>
        </is>
      </c>
      <c r="N3372" s="4" t="inlineStr">
        <is>
          <t>https://www.tcgplayer.com/product/496927</t>
        </is>
      </c>
    </row>
    <row r="3373">
      <c r="A3373" s="2" t="inlineStr">
        <is>
          <t>Obsidian Flames 3 Pack Blister [Eevee]</t>
        </is>
      </c>
      <c r="B3373" s="3">
        <f>IF(H3373&lt;&gt;"",H3373,IF(I3373&lt;&gt;"",I3373,IF(J3373&lt;&gt;"",J3373,K3373)))</f>
        <v>41.03</v>
      </c>
      <c r="C3373" s="3">
        <f>MEDIAN(H3373:K3373)</f>
        <v>41.03</v>
      </c>
      <c r="D3373" s="3">
        <f>ROUND(C3373*(1-Settings!$B$2),2)</f>
        <v>28.72</v>
      </c>
      <c r="E3373" s="2" t="inlineStr">
        <is>
          <t>Pokemon</t>
        </is>
      </c>
      <c r="F3373" s="2" t="inlineStr">
        <is>
          <t>Pack</t>
        </is>
      </c>
      <c r="G3373" s="2" t="inlineStr">
        <is>
          <t>SV03: Obsidian Flames</t>
        </is>
      </c>
      <c r="H3373" s="3" t="n"/>
      <c r="I3373" s="3" t="n">
        <v>41.03</v>
      </c>
      <c r="J3373" s="3" t="n">
        <v>42</v>
      </c>
      <c r="K3373" s="3" t="n">
        <v>40</v>
      </c>
      <c r="L3373" s="2" t="inlineStr">
        <is>
          <t>TCGplayer</t>
        </is>
      </c>
      <c r="N3373" s="4" t="inlineStr">
        <is>
          <t>https://www.tcgplayer.com/product/501259</t>
        </is>
      </c>
    </row>
    <row r="3374">
      <c r="A3374" s="2" t="inlineStr">
        <is>
          <t>Obsidian Flames 3 Pack Blister [Houndstone]</t>
        </is>
      </c>
      <c r="B3374" s="3">
        <f>IF(H3374&lt;&gt;"",H3374,IF(I3374&lt;&gt;"",I3374,IF(J3374&lt;&gt;"",J3374,K3374)))</f>
        <v>38.39</v>
      </c>
      <c r="C3374" s="3">
        <f>MEDIAN(H3374:K3374)</f>
        <v>38.39</v>
      </c>
      <c r="D3374" s="3">
        <f>ROUND(C3374*(1-Settings!$B$2),2)</f>
        <v>26.87</v>
      </c>
      <c r="E3374" s="2" t="inlineStr">
        <is>
          <t>Pokemon</t>
        </is>
      </c>
      <c r="F3374" s="2" t="inlineStr">
        <is>
          <t>Pack</t>
        </is>
      </c>
      <c r="G3374" s="2" t="inlineStr">
        <is>
          <t>SV03: Obsidian Flames</t>
        </is>
      </c>
      <c r="H3374" s="3" t="n"/>
      <c r="I3374" s="3" t="n">
        <v>38.39</v>
      </c>
      <c r="J3374" s="3" t="n">
        <v>44.32</v>
      </c>
      <c r="K3374" s="3" t="n">
        <v>35</v>
      </c>
      <c r="L3374" s="2" t="inlineStr">
        <is>
          <t>TCGplayer</t>
        </is>
      </c>
      <c r="N3374" s="4" t="inlineStr">
        <is>
          <t>https://www.tcgplayer.com/product/501260</t>
        </is>
      </c>
    </row>
    <row r="3375">
      <c r="A3375" s="2" t="inlineStr">
        <is>
          <t>Obsidian Flames 3 Pack Blister [Set of 2]</t>
        </is>
      </c>
      <c r="B3375" s="3">
        <f>IF(H3375&lt;&gt;"",H3375,IF(I3375&lt;&gt;"",I3375,IF(J3375&lt;&gt;"",J3375,K3375)))</f>
        <v>49.66</v>
      </c>
      <c r="C3375" s="3">
        <f>MEDIAN(H3375:K3375)</f>
        <v>49.66</v>
      </c>
      <c r="D3375" s="3">
        <f>ROUND(C3375*(1-Settings!$B$2),2)</f>
        <v>34.76</v>
      </c>
      <c r="E3375" s="2" t="inlineStr">
        <is>
          <t>Pokemon</t>
        </is>
      </c>
      <c r="F3375" s="2" t="inlineStr">
        <is>
          <t>Pack</t>
        </is>
      </c>
      <c r="G3375" s="2" t="inlineStr">
        <is>
          <t>SV03: Obsidian Flames</t>
        </is>
      </c>
      <c r="H3375" s="3" t="n"/>
      <c r="I3375" s="3" t="n">
        <v>49.66</v>
      </c>
      <c r="J3375" s="3" t="n"/>
      <c r="K3375" s="3" t="n"/>
      <c r="L3375" s="2" t="inlineStr">
        <is>
          <t>TCGplayer</t>
        </is>
      </c>
      <c r="N3375" s="4" t="inlineStr">
        <is>
          <t>https://www.tcgplayer.com/product/501261</t>
        </is>
      </c>
    </row>
    <row r="3376">
      <c r="A3376" s="2" t="inlineStr">
        <is>
          <t>Obsidian Flames Booster Pack</t>
        </is>
      </c>
      <c r="B3376" s="3">
        <f>IF(H3376&lt;&gt;"",H3376,IF(I3376&lt;&gt;"",I3376,IF(J3376&lt;&gt;"",J3376,K3376)))</f>
        <v>13.44</v>
      </c>
      <c r="C3376" s="3">
        <f>MEDIAN(H3376:K3376)</f>
        <v>13.11</v>
      </c>
      <c r="D3376" s="3">
        <f>ROUND(C3376*(1-Settings!$B$2),2)</f>
        <v>9.18</v>
      </c>
      <c r="E3376" s="2" t="inlineStr">
        <is>
          <t>Pokemon</t>
        </is>
      </c>
      <c r="F3376" s="2" t="inlineStr">
        <is>
          <t>Pack</t>
        </is>
      </c>
      <c r="G3376" s="2" t="inlineStr">
        <is>
          <t>SV03: Obsidian Flames</t>
        </is>
      </c>
      <c r="H3376" s="3" t="n">
        <v>13.44</v>
      </c>
      <c r="I3376" s="3" t="n">
        <v>13.03</v>
      </c>
      <c r="J3376" s="3" t="n">
        <v>13.19</v>
      </c>
      <c r="K3376" s="3" t="n">
        <v>10</v>
      </c>
      <c r="L3376" s="2" t="inlineStr">
        <is>
          <t>PriceCharting + TCGplayer</t>
        </is>
      </c>
      <c r="M3376" s="4" t="inlineStr">
        <is>
          <t>https://www.pricecharting.com/game/pokemon-obsidian-flames/booster-pack</t>
        </is>
      </c>
      <c r="N3376" s="4" t="inlineStr">
        <is>
          <t>https://www.tcgplayer.com/product/501256</t>
        </is>
      </c>
    </row>
    <row r="3377">
      <c r="A3377" s="2" t="inlineStr">
        <is>
          <t>Obsidian Flames Single Blister Pack [Houndstone]</t>
        </is>
      </c>
      <c r="B3377" s="3">
        <f>IF(H3377&lt;&gt;"",H3377,IF(I3377&lt;&gt;"",I3377,IF(J3377&lt;&gt;"",J3377,K3377)))</f>
        <v>21.49</v>
      </c>
      <c r="C3377" s="3">
        <f>MEDIAN(H3377:K3377)</f>
        <v>21.49</v>
      </c>
      <c r="D3377" s="3">
        <f>ROUND(C3377*(1-Settings!$B$2),2)</f>
        <v>15.04</v>
      </c>
      <c r="E3377" s="2" t="inlineStr">
        <is>
          <t>Pokemon</t>
        </is>
      </c>
      <c r="F3377" s="2" t="inlineStr">
        <is>
          <t>Pack</t>
        </is>
      </c>
      <c r="G3377" s="2" t="inlineStr">
        <is>
          <t>SV03: Obsidian Flames</t>
        </is>
      </c>
      <c r="H3377" s="3" t="n"/>
      <c r="I3377" s="3" t="n">
        <v>21.49</v>
      </c>
      <c r="J3377" s="3" t="n">
        <v>21.49</v>
      </c>
      <c r="K3377" s="3" t="n">
        <v>21.4</v>
      </c>
      <c r="L3377" s="2" t="inlineStr">
        <is>
          <t>TCGplayer</t>
        </is>
      </c>
      <c r="N3377" s="4" t="inlineStr">
        <is>
          <t>https://www.tcgplayer.com/product/557086</t>
        </is>
      </c>
    </row>
    <row r="3378">
      <c r="A3378" s="2" t="inlineStr">
        <is>
          <t>Obsidian Flames Single Blister Pack [Kingambit]</t>
        </is>
      </c>
      <c r="B3378" s="3">
        <f>IF(H3378&lt;&gt;"",H3378,IF(I3378&lt;&gt;"",I3378,IF(J3378&lt;&gt;"",J3378,K3378)))</f>
        <v>49.99</v>
      </c>
      <c r="C3378" s="3">
        <f>MEDIAN(H3378:K3378)</f>
        <v>33.99</v>
      </c>
      <c r="D3378" s="3">
        <f>ROUND(C3378*(1-Settings!$B$2),2)</f>
        <v>23.79</v>
      </c>
      <c r="E3378" s="2" t="inlineStr">
        <is>
          <t>Pokemon</t>
        </is>
      </c>
      <c r="F3378" s="2" t="inlineStr">
        <is>
          <t>Pack</t>
        </is>
      </c>
      <c r="G3378" s="2" t="inlineStr">
        <is>
          <t>SV03: Obsidian Flames</t>
        </is>
      </c>
      <c r="H3378" s="3" t="n"/>
      <c r="I3378" s="3" t="n">
        <v>49.99</v>
      </c>
      <c r="J3378" s="3" t="n">
        <v>33.99</v>
      </c>
      <c r="K3378" s="3" t="n">
        <v>29.99</v>
      </c>
      <c r="L3378" s="2" t="inlineStr">
        <is>
          <t>TCGplayer</t>
        </is>
      </c>
      <c r="N3378" s="4" t="inlineStr">
        <is>
          <t>https://www.tcgplayer.com/product/557085</t>
        </is>
      </c>
    </row>
    <row r="3379">
      <c r="A3379" s="2" t="inlineStr">
        <is>
          <t>Obsidian Flames Single Blister Pack [Revavroom]</t>
        </is>
      </c>
      <c r="B3379" s="3">
        <f>IF(H3379&lt;&gt;"",H3379,IF(I3379&lt;&gt;"",I3379,IF(J3379&lt;&gt;"",J3379,K3379)))</f>
        <v>17.6</v>
      </c>
      <c r="C3379" s="3">
        <f>MEDIAN(H3379:K3379)</f>
        <v>20.0</v>
      </c>
      <c r="D3379" s="3">
        <f>ROUND(C3379*(1-Settings!$B$2),2)</f>
        <v>14.0</v>
      </c>
      <c r="E3379" s="2" t="inlineStr">
        <is>
          <t>Pokemon</t>
        </is>
      </c>
      <c r="F3379" s="2" t="inlineStr">
        <is>
          <t>Pack</t>
        </is>
      </c>
      <c r="G3379" s="2" t="inlineStr">
        <is>
          <t>SV03: Obsidian Flames</t>
        </is>
      </c>
      <c r="H3379" s="3" t="n"/>
      <c r="I3379" s="3" t="n">
        <v>17.6</v>
      </c>
      <c r="J3379" s="3" t="n">
        <v>20.49</v>
      </c>
      <c r="K3379" s="3" t="n">
        <v>20</v>
      </c>
      <c r="L3379" s="2" t="inlineStr">
        <is>
          <t>TCGplayer</t>
        </is>
      </c>
      <c r="N3379" s="4" t="inlineStr">
        <is>
          <t>https://www.tcgplayer.com/product/557087</t>
        </is>
      </c>
    </row>
    <row r="3380">
      <c r="A3380" s="2" t="inlineStr">
        <is>
          <t>Obsidian Flames Single Pack Blister [Paldean Wooper]</t>
        </is>
      </c>
      <c r="B3380" s="3">
        <f>IF(H3380&lt;&gt;"",H3380,IF(I3380&lt;&gt;"",I3380,IF(J3380&lt;&gt;"",J3380,K3380)))</f>
        <v>15.2</v>
      </c>
      <c r="C3380" s="3">
        <f>MEDIAN(H3380:K3380)</f>
        <v>15.2</v>
      </c>
      <c r="D3380" s="3">
        <f>ROUND(C3380*(1-Settings!$B$2),2)</f>
        <v>10.64</v>
      </c>
      <c r="E3380" s="2" t="inlineStr">
        <is>
          <t>Pokemon</t>
        </is>
      </c>
      <c r="F3380" s="2" t="inlineStr">
        <is>
          <t>Pack</t>
        </is>
      </c>
      <c r="G3380" s="2" t="inlineStr">
        <is>
          <t>SV03: Obsidian Flames</t>
        </is>
      </c>
      <c r="H3380" s="3" t="n"/>
      <c r="I3380" s="3" t="n">
        <v>15.2</v>
      </c>
      <c r="J3380" s="3" t="n">
        <v>19.68</v>
      </c>
      <c r="K3380" s="3" t="n">
        <v>14.5</v>
      </c>
      <c r="L3380" s="2" t="inlineStr">
        <is>
          <t>TCGplayer</t>
        </is>
      </c>
      <c r="N3380" s="4" t="inlineStr">
        <is>
          <t>https://www.tcgplayer.com/product/512047</t>
        </is>
      </c>
    </row>
    <row r="3381">
      <c r="A3381" s="2" t="inlineStr">
        <is>
          <t>Obsidian Flames Single Pack Blister [Pawmi]</t>
        </is>
      </c>
      <c r="B3381" s="3">
        <f>IF(H3381&lt;&gt;"",H3381,IF(I3381&lt;&gt;"",I3381,IF(J3381&lt;&gt;"",J3381,K3381)))</f>
        <v>14.55</v>
      </c>
      <c r="C3381" s="3">
        <f>MEDIAN(H3381:K3381)</f>
        <v>14.55</v>
      </c>
      <c r="D3381" s="3">
        <f>ROUND(C3381*(1-Settings!$B$2),2)</f>
        <v>10.19</v>
      </c>
      <c r="E3381" s="2" t="inlineStr">
        <is>
          <t>Pokemon</t>
        </is>
      </c>
      <c r="F3381" s="2" t="inlineStr">
        <is>
          <t>Pack</t>
        </is>
      </c>
      <c r="G3381" s="2" t="inlineStr">
        <is>
          <t>SV03: Obsidian Flames</t>
        </is>
      </c>
      <c r="H3381" s="3" t="n"/>
      <c r="I3381" s="3" t="n">
        <v>14.55</v>
      </c>
      <c r="J3381" s="3" t="n">
        <v>15.99</v>
      </c>
      <c r="K3381" s="3" t="n">
        <v>14</v>
      </c>
      <c r="L3381" s="2" t="inlineStr">
        <is>
          <t>TCGplayer</t>
        </is>
      </c>
      <c r="N3381" s="4" t="inlineStr">
        <is>
          <t>https://www.tcgplayer.com/product/501262</t>
        </is>
      </c>
    </row>
    <row r="3382">
      <c r="A3382" s="2" t="inlineStr">
        <is>
          <t>Obsidian Flames Sleeved Booster Pack</t>
        </is>
      </c>
      <c r="B3382" s="3">
        <f>IF(H3382&lt;&gt;"",H3382,IF(I3382&lt;&gt;"",I3382,IF(J3382&lt;&gt;"",J3382,K3382)))</f>
        <v>13.44</v>
      </c>
      <c r="C3382" s="3">
        <f>MEDIAN(H3382:K3382)</f>
        <v>13.455</v>
      </c>
      <c r="D3382" s="3">
        <f>ROUND(C3382*(1-Settings!$B$2),2)</f>
        <v>9.42</v>
      </c>
      <c r="E3382" s="2" t="inlineStr">
        <is>
          <t>Pokemon</t>
        </is>
      </c>
      <c r="F3382" s="2" t="inlineStr">
        <is>
          <t>Pack</t>
        </is>
      </c>
      <c r="G3382" s="2" t="inlineStr">
        <is>
          <t>SV03: Obsidian Flames</t>
        </is>
      </c>
      <c r="H3382" s="3" t="n">
        <v>13.44</v>
      </c>
      <c r="I3382" s="3" t="n">
        <v>13.74</v>
      </c>
      <c r="J3382" s="3" t="n">
        <v>13.47</v>
      </c>
      <c r="K3382" s="3" t="n">
        <v>4.48</v>
      </c>
      <c r="L3382" s="2" t="inlineStr">
        <is>
          <t>PriceCharting + TCGplayer</t>
        </is>
      </c>
      <c r="M3382" s="4" t="inlineStr">
        <is>
          <t>https://www.pricecharting.com/game/pokemon-obsidian-flames/sleeved-booster-pack</t>
        </is>
      </c>
      <c r="N3382" s="4" t="inlineStr">
        <is>
          <t>https://www.tcgplayer.com/product/534087</t>
        </is>
      </c>
    </row>
    <row r="3383">
      <c r="A3383" s="2" t="inlineStr">
        <is>
          <t>Paradox Rift 3 Pack Blister [Arctibax]</t>
        </is>
      </c>
      <c r="B3383" s="3">
        <f>IF(H3383&lt;&gt;"",H3383,IF(I3383&lt;&gt;"",I3383,IF(J3383&lt;&gt;"",J3383,K3383)))</f>
        <v>31.0</v>
      </c>
      <c r="C3383" s="3">
        <f>MEDIAN(H3383:K3383)</f>
        <v>30.73</v>
      </c>
      <c r="D3383" s="3">
        <f>ROUND(C3383*(1-Settings!$B$2),2)</f>
        <v>21.51</v>
      </c>
      <c r="E3383" s="2" t="inlineStr">
        <is>
          <t>Pokemon</t>
        </is>
      </c>
      <c r="F3383" s="2" t="inlineStr">
        <is>
          <t>Pack</t>
        </is>
      </c>
      <c r="G3383" s="2" t="inlineStr">
        <is>
          <t>SV04: Paradox Rift</t>
        </is>
      </c>
      <c r="H3383" s="3" t="n"/>
      <c r="I3383" s="3" t="n">
        <v>31</v>
      </c>
      <c r="J3383" s="3" t="n">
        <v>30.73</v>
      </c>
      <c r="K3383" s="3" t="n">
        <v>30.18</v>
      </c>
      <c r="L3383" s="2" t="inlineStr">
        <is>
          <t>TCGplayer</t>
        </is>
      </c>
      <c r="N3383" s="4" t="inlineStr">
        <is>
          <t>https://www.tcgplayer.com/product/513433</t>
        </is>
      </c>
    </row>
    <row r="3384">
      <c r="A3384" s="2" t="inlineStr">
        <is>
          <t>Paradox Rift 3 Pack Blister [Set of 2]</t>
        </is>
      </c>
      <c r="B3384" s="3">
        <f>IF(H3384&lt;&gt;"",H3384,IF(I3384&lt;&gt;"",I3384,IF(J3384&lt;&gt;"",J3384,K3384)))</f>
        <v>57.04</v>
      </c>
      <c r="C3384" s="3">
        <f>MEDIAN(H3384:K3384)</f>
        <v>74.67</v>
      </c>
      <c r="D3384" s="3">
        <f>ROUND(C3384*(1-Settings!$B$2),2)</f>
        <v>52.27</v>
      </c>
      <c r="E3384" s="2" t="inlineStr">
        <is>
          <t>Pokemon</t>
        </is>
      </c>
      <c r="F3384" s="2" t="inlineStr">
        <is>
          <t>Pack</t>
        </is>
      </c>
      <c r="G3384" s="2" t="inlineStr">
        <is>
          <t>SV04: Paradox Rift</t>
        </is>
      </c>
      <c r="H3384" s="3" t="n"/>
      <c r="I3384" s="3" t="n">
        <v>57.04</v>
      </c>
      <c r="J3384" s="3" t="n">
        <v>74.68000000000001</v>
      </c>
      <c r="K3384" s="3" t="n">
        <v>74.67</v>
      </c>
      <c r="L3384" s="2" t="inlineStr">
        <is>
          <t>TCGplayer</t>
        </is>
      </c>
      <c r="N3384" s="4" t="inlineStr">
        <is>
          <t>https://www.tcgplayer.com/product/513437</t>
        </is>
      </c>
    </row>
    <row r="3385">
      <c r="A3385" s="2" t="inlineStr">
        <is>
          <t>Paradox Rift Booster Pack</t>
        </is>
      </c>
      <c r="B3385" s="3">
        <f>IF(H3385&lt;&gt;"",H3385,IF(I3385&lt;&gt;"",I3385,IF(J3385&lt;&gt;"",J3385,K3385)))</f>
        <v>11.24</v>
      </c>
      <c r="C3385" s="3">
        <f>MEDIAN(H3385:K3385)</f>
        <v>8.715</v>
      </c>
      <c r="D3385" s="3">
        <f>ROUND(C3385*(1-Settings!$B$2),2)</f>
        <v>6.1</v>
      </c>
      <c r="E3385" s="2" t="inlineStr">
        <is>
          <t>Pokemon</t>
        </is>
      </c>
      <c r="F3385" s="2" t="inlineStr">
        <is>
          <t>Pack</t>
        </is>
      </c>
      <c r="G3385" s="2" t="inlineStr">
        <is>
          <t>SV04: Paradox Rift</t>
        </is>
      </c>
      <c r="H3385" s="3" t="n">
        <v>11.24</v>
      </c>
      <c r="I3385" s="3" t="n">
        <v>8.43</v>
      </c>
      <c r="J3385" s="3" t="n">
        <v>9</v>
      </c>
      <c r="K3385" s="3" t="n">
        <v>7</v>
      </c>
      <c r="L3385" s="2" t="inlineStr">
        <is>
          <t>PriceCharting + TCGplayer</t>
        </is>
      </c>
      <c r="M3385" s="4" t="inlineStr">
        <is>
          <t>https://www.pricecharting.com/game/pokemon-paradox-rift/booster-pack</t>
        </is>
      </c>
      <c r="N3385" s="4" t="inlineStr">
        <is>
          <t>https://www.tcgplayer.com/product/512822</t>
        </is>
      </c>
    </row>
    <row r="3386">
      <c r="A3386" s="2" t="inlineStr">
        <is>
          <t>Paradox Rift Fun Pack</t>
        </is>
      </c>
      <c r="B3386" s="3">
        <f>IF(H3386&lt;&gt;"",H3386,IF(I3386&lt;&gt;"",I3386,IF(J3386&lt;&gt;"",J3386,K3386)))</f>
        <v>14.99</v>
      </c>
      <c r="C3386" s="3">
        <f>MEDIAN(H3386:K3386)</f>
        <v>14.99</v>
      </c>
      <c r="D3386" s="3">
        <f>ROUND(C3386*(1-Settings!$B$2),2)</f>
        <v>10.49</v>
      </c>
      <c r="E3386" s="2" t="inlineStr">
        <is>
          <t>Pokemon</t>
        </is>
      </c>
      <c r="F3386" s="2" t="inlineStr">
        <is>
          <t>Pack</t>
        </is>
      </c>
      <c r="G3386" s="2" t="inlineStr">
        <is>
          <t>SV04: Paradox Rift</t>
        </is>
      </c>
      <c r="H3386" s="3" t="n"/>
      <c r="I3386" s="3" t="n">
        <v>14.99</v>
      </c>
      <c r="J3386" s="3" t="n">
        <v>14.99</v>
      </c>
      <c r="K3386" s="3" t="n">
        <v>8.99</v>
      </c>
      <c r="L3386" s="2" t="inlineStr">
        <is>
          <t>TCGplayer</t>
        </is>
      </c>
      <c r="N3386" s="4" t="inlineStr">
        <is>
          <t>https://www.tcgplayer.com/product/607504</t>
        </is>
      </c>
    </row>
    <row r="3387">
      <c r="A3387" s="2" t="inlineStr">
        <is>
          <t>Paradox Rift Premium Checklane Blister [Hydreigon]</t>
        </is>
      </c>
      <c r="B3387" s="3">
        <f>IF(H3387&lt;&gt;"",H3387,IF(I3387&lt;&gt;"",I3387,IF(J3387&lt;&gt;"",J3387,K3387)))</f>
        <v>27.5</v>
      </c>
      <c r="C3387" s="3">
        <f>MEDIAN(H3387:K3387)</f>
        <v>49.0</v>
      </c>
      <c r="D3387" s="3">
        <f>ROUND(C3387*(1-Settings!$B$2),2)</f>
        <v>34.3</v>
      </c>
      <c r="E3387" s="2" t="inlineStr">
        <is>
          <t>Pokemon</t>
        </is>
      </c>
      <c r="F3387" s="2" t="inlineStr">
        <is>
          <t>Pack</t>
        </is>
      </c>
      <c r="G3387" s="2" t="inlineStr">
        <is>
          <t>SV04: Paradox Rift</t>
        </is>
      </c>
      <c r="H3387" s="3" t="n"/>
      <c r="I3387" s="3" t="n">
        <v>27.5</v>
      </c>
      <c r="J3387" s="3" t="n">
        <v>49.5</v>
      </c>
      <c r="K3387" s="3" t="n">
        <v>49</v>
      </c>
      <c r="L3387" s="2" t="inlineStr">
        <is>
          <t>TCGplayer</t>
        </is>
      </c>
      <c r="N3387" s="4" t="inlineStr">
        <is>
          <t>https://www.tcgplayer.com/product/546605</t>
        </is>
      </c>
    </row>
    <row r="3388">
      <c r="A3388" s="2" t="inlineStr">
        <is>
          <t>Paradox Rift Single Pack Blister [Ceruledge]</t>
        </is>
      </c>
      <c r="B3388" s="3">
        <f>IF(H3388&lt;&gt;"",H3388,IF(I3388&lt;&gt;"",I3388,IF(J3388&lt;&gt;"",J3388,K3388)))</f>
        <v>42.0</v>
      </c>
      <c r="C3388" s="3">
        <f>MEDIAN(H3388:K3388)</f>
        <v>37.48</v>
      </c>
      <c r="D3388" s="3">
        <f>ROUND(C3388*(1-Settings!$B$2),2)</f>
        <v>26.24</v>
      </c>
      <c r="E3388" s="2" t="inlineStr">
        <is>
          <t>Pokemon</t>
        </is>
      </c>
      <c r="F3388" s="2" t="inlineStr">
        <is>
          <t>Pack</t>
        </is>
      </c>
      <c r="G3388" s="2" t="inlineStr">
        <is>
          <t>SV04: Paradox Rift</t>
        </is>
      </c>
      <c r="H3388" s="3" t="n"/>
      <c r="I3388" s="3" t="n">
        <v>42</v>
      </c>
      <c r="J3388" s="3" t="n">
        <v>37.48</v>
      </c>
      <c r="K3388" s="3" t="n">
        <v>34.96</v>
      </c>
      <c r="L3388" s="2" t="inlineStr">
        <is>
          <t>TCGplayer</t>
        </is>
      </c>
      <c r="N3388" s="4" t="inlineStr">
        <is>
          <t>https://www.tcgplayer.com/product/625582</t>
        </is>
      </c>
    </row>
    <row r="3389">
      <c r="A3389" s="2" t="inlineStr">
        <is>
          <t>Paradox Rift Single Pack Blister [Glimmora]</t>
        </is>
      </c>
      <c r="B3389" s="3">
        <f>IF(H3389&lt;&gt;"",H3389,IF(I3389&lt;&gt;"",I3389,IF(J3389&lt;&gt;"",J3389,K3389)))</f>
        <v>40.61</v>
      </c>
      <c r="C3389" s="3">
        <f>MEDIAN(H3389:K3389)</f>
        <v>40.305</v>
      </c>
      <c r="D3389" s="3">
        <f>ROUND(C3389*(1-Settings!$B$2),2)</f>
        <v>28.21</v>
      </c>
      <c r="E3389" s="2" t="inlineStr">
        <is>
          <t>Pokemon</t>
        </is>
      </c>
      <c r="F3389" s="2" t="inlineStr">
        <is>
          <t>Pack</t>
        </is>
      </c>
      <c r="G3389" s="2" t="inlineStr">
        <is>
          <t>SV04: Paradox Rift</t>
        </is>
      </c>
      <c r="H3389" s="3" t="n"/>
      <c r="I3389" s="3" t="n"/>
      <c r="J3389" s="3" t="n">
        <v>40.61</v>
      </c>
      <c r="K3389" s="3" t="n">
        <v>40</v>
      </c>
      <c r="L3389" s="2" t="inlineStr">
        <is>
          <t>TCGplayer</t>
        </is>
      </c>
      <c r="N3389" s="4" t="inlineStr">
        <is>
          <t>https://www.tcgplayer.com/product/625581</t>
        </is>
      </c>
    </row>
    <row r="3390">
      <c r="A3390" s="2" t="inlineStr">
        <is>
          <t>Paradox Rift Single Pack Blister [Pineco]</t>
        </is>
      </c>
      <c r="B3390" s="3">
        <f>IF(H3390&lt;&gt;"",H3390,IF(I3390&lt;&gt;"",I3390,IF(J3390&lt;&gt;"",J3390,K3390)))</f>
        <v>11.02</v>
      </c>
      <c r="C3390" s="3">
        <f>MEDIAN(H3390:K3390)</f>
        <v>11.0</v>
      </c>
      <c r="D3390" s="3">
        <f>ROUND(C3390*(1-Settings!$B$2),2)</f>
        <v>7.7</v>
      </c>
      <c r="E3390" s="2" t="inlineStr">
        <is>
          <t>Pokemon</t>
        </is>
      </c>
      <c r="F3390" s="2" t="inlineStr">
        <is>
          <t>Pack</t>
        </is>
      </c>
      <c r="G3390" s="2" t="inlineStr">
        <is>
          <t>SV04: Paradox Rift</t>
        </is>
      </c>
      <c r="H3390" s="3" t="n"/>
      <c r="I3390" s="3" t="n">
        <v>11.02</v>
      </c>
      <c r="J3390" s="3" t="n">
        <v>11</v>
      </c>
      <c r="K3390" s="3" t="n">
        <v>8.75</v>
      </c>
      <c r="L3390" s="2" t="inlineStr">
        <is>
          <t>TCGplayer</t>
        </is>
      </c>
      <c r="N3390" s="4" t="inlineStr">
        <is>
          <t>https://www.tcgplayer.com/product/514224</t>
        </is>
      </c>
    </row>
    <row r="3391">
      <c r="A3391" s="2" t="inlineStr">
        <is>
          <t>Paradox Rift Single Pack Blister [Sinistea]</t>
        </is>
      </c>
      <c r="B3391" s="3">
        <f>IF(H3391&lt;&gt;"",H3391,IF(I3391&lt;&gt;"",I3391,IF(J3391&lt;&gt;"",J3391,K3391)))</f>
        <v>10.91</v>
      </c>
      <c r="C3391" s="3">
        <f>MEDIAN(H3391:K3391)</f>
        <v>10.91</v>
      </c>
      <c r="D3391" s="3">
        <f>ROUND(C3391*(1-Settings!$B$2),2)</f>
        <v>7.64</v>
      </c>
      <c r="E3391" s="2" t="inlineStr">
        <is>
          <t>Pokemon</t>
        </is>
      </c>
      <c r="F3391" s="2" t="inlineStr">
        <is>
          <t>Pack</t>
        </is>
      </c>
      <c r="G3391" s="2" t="inlineStr">
        <is>
          <t>SV04: Paradox Rift</t>
        </is>
      </c>
      <c r="H3391" s="3" t="n"/>
      <c r="I3391" s="3" t="n">
        <v>10.91</v>
      </c>
      <c r="J3391" s="3" t="n">
        <v>14</v>
      </c>
      <c r="K3391" s="3" t="n">
        <v>8.99</v>
      </c>
      <c r="L3391" s="2" t="inlineStr">
        <is>
          <t>TCGplayer</t>
        </is>
      </c>
      <c r="N3391" s="4" t="inlineStr">
        <is>
          <t>https://www.tcgplayer.com/product/514223</t>
        </is>
      </c>
    </row>
    <row r="3392">
      <c r="A3392" s="2" t="inlineStr">
        <is>
          <t>Paradox Rift Sleeved Booster Pack</t>
        </is>
      </c>
      <c r="B3392" s="3">
        <f>IF(H3392&lt;&gt;"",H3392,IF(I3392&lt;&gt;"",I3392,IF(J3392&lt;&gt;"",J3392,K3392)))</f>
        <v>11.85</v>
      </c>
      <c r="C3392" s="3">
        <f>MEDIAN(H3392:K3392)</f>
        <v>11.594999999999999</v>
      </c>
      <c r="D3392" s="3">
        <f>ROUND(C3392*(1-Settings!$B$2),2)</f>
        <v>8.12</v>
      </c>
      <c r="E3392" s="2" t="inlineStr">
        <is>
          <t>Pokemon</t>
        </is>
      </c>
      <c r="F3392" s="2" t="inlineStr">
        <is>
          <t>Pack</t>
        </is>
      </c>
      <c r="G3392" s="2" t="inlineStr">
        <is>
          <t>SV04: Paradox Rift</t>
        </is>
      </c>
      <c r="H3392" s="3" t="n">
        <v>11.85</v>
      </c>
      <c r="I3392" s="3" t="n">
        <v>11.34</v>
      </c>
      <c r="J3392" s="3" t="n">
        <v>11.99</v>
      </c>
      <c r="K3392" s="3" t="n">
        <v>3.99</v>
      </c>
      <c r="L3392" s="2" t="inlineStr">
        <is>
          <t>PriceCharting + TCGplayer</t>
        </is>
      </c>
      <c r="M3392" s="4" t="inlineStr">
        <is>
          <t>https://www.pricecharting.com/game/pokemon-paradox-rift/sleeved-booster-pack</t>
        </is>
      </c>
      <c r="N3392" s="4" t="inlineStr">
        <is>
          <t>https://www.tcgplayer.com/product/517210</t>
        </is>
      </c>
    </row>
    <row r="3393">
      <c r="A3393" s="2" t="inlineStr">
        <is>
          <t>Temporal Forces 3 Pack Blister [Cleffa]</t>
        </is>
      </c>
      <c r="B3393" s="3">
        <f>IF(H3393&lt;&gt;"",H3393,IF(I3393&lt;&gt;"",I3393,IF(J3393&lt;&gt;"",J3393,K3393)))</f>
        <v>30.34</v>
      </c>
      <c r="C3393" s="3">
        <f>MEDIAN(H3393:K3393)</f>
        <v>30.36</v>
      </c>
      <c r="D3393" s="3">
        <f>ROUND(C3393*(1-Settings!$B$2),2)</f>
        <v>21.25</v>
      </c>
      <c r="E3393" s="2" t="inlineStr">
        <is>
          <t>Pokemon</t>
        </is>
      </c>
      <c r="F3393" s="2" t="inlineStr">
        <is>
          <t>Pack</t>
        </is>
      </c>
      <c r="G3393" s="2" t="inlineStr">
        <is>
          <t>SV05: Temporal Forces</t>
        </is>
      </c>
      <c r="H3393" s="3" t="n"/>
      <c r="I3393" s="3" t="n">
        <v>30.34</v>
      </c>
      <c r="J3393" s="3" t="n">
        <v>37.74</v>
      </c>
      <c r="K3393" s="3" t="n">
        <v>30.36</v>
      </c>
      <c r="L3393" s="2" t="inlineStr">
        <is>
          <t>TCGplayer</t>
        </is>
      </c>
      <c r="N3393" s="4" t="inlineStr">
        <is>
          <t>https://www.tcgplayer.com/product/536229</t>
        </is>
      </c>
    </row>
    <row r="3394">
      <c r="A3394" s="2" t="inlineStr">
        <is>
          <t>Temporal Forces 3 Pack Blister [Cyclizar]</t>
        </is>
      </c>
      <c r="B3394" s="3">
        <f>IF(H3394&lt;&gt;"",H3394,IF(I3394&lt;&gt;"",I3394,IF(J3394&lt;&gt;"",J3394,K3394)))</f>
        <v>34.49</v>
      </c>
      <c r="C3394" s="3">
        <f>MEDIAN(H3394:K3394)</f>
        <v>32.755</v>
      </c>
      <c r="D3394" s="3">
        <f>ROUND(C3394*(1-Settings!$B$2),2)</f>
        <v>22.93</v>
      </c>
      <c r="E3394" s="2" t="inlineStr">
        <is>
          <t>Pokemon</t>
        </is>
      </c>
      <c r="F3394" s="2" t="inlineStr">
        <is>
          <t>Pack</t>
        </is>
      </c>
      <c r="G3394" s="2" t="inlineStr">
        <is>
          <t>SV05: Temporal Forces</t>
        </is>
      </c>
      <c r="H3394" s="3" t="n">
        <v>34.49</v>
      </c>
      <c r="I3394" s="3" t="n">
        <v>31.02</v>
      </c>
      <c r="J3394" s="3" t="n">
        <v>39.74</v>
      </c>
      <c r="K3394" s="3" t="n">
        <v>30.79</v>
      </c>
      <c r="L3394" s="2" t="inlineStr">
        <is>
          <t>PriceCharting + TCGplayer</t>
        </is>
      </c>
      <c r="M3394" s="4" t="inlineStr">
        <is>
          <t>https://www.pricecharting.com/game/pokemon-temporal-forces/3-pack-blister-cyclizar</t>
        </is>
      </c>
      <c r="N3394" s="4" t="inlineStr">
        <is>
          <t>https://www.tcgplayer.com/product/536227</t>
        </is>
      </c>
    </row>
    <row r="3395">
      <c r="A3395" s="2" t="inlineStr">
        <is>
          <t>Temporal Forces Booster Pack</t>
        </is>
      </c>
      <c r="B3395" s="3">
        <f>IF(H3395&lt;&gt;"",H3395,IF(I3395&lt;&gt;"",I3395,IF(J3395&lt;&gt;"",J3395,K3395)))</f>
        <v>9.59</v>
      </c>
      <c r="C3395" s="3">
        <f>MEDIAN(H3395:K3395)</f>
        <v>9.43</v>
      </c>
      <c r="D3395" s="3">
        <f>ROUND(C3395*(1-Settings!$B$2),2)</f>
        <v>6.6</v>
      </c>
      <c r="E3395" s="2" t="inlineStr">
        <is>
          <t>Pokemon</t>
        </is>
      </c>
      <c r="F3395" s="2" t="inlineStr">
        <is>
          <t>Pack</t>
        </is>
      </c>
      <c r="G3395" s="2" t="inlineStr">
        <is>
          <t>SV05: Temporal Forces</t>
        </is>
      </c>
      <c r="H3395" s="3" t="n">
        <v>9.59</v>
      </c>
      <c r="I3395" s="3" t="n">
        <v>9.27</v>
      </c>
      <c r="J3395" s="3" t="n">
        <v>11.56</v>
      </c>
      <c r="K3395" s="3" t="n">
        <v>3.99</v>
      </c>
      <c r="L3395" s="2" t="inlineStr">
        <is>
          <t>PriceCharting + TCGplayer</t>
        </is>
      </c>
      <c r="M3395" s="4" t="inlineStr">
        <is>
          <t>https://www.pricecharting.com/game/pokemon-temporal-forces/booster-pack</t>
        </is>
      </c>
      <c r="N3395" s="4" t="inlineStr">
        <is>
          <t>https://www.tcgplayer.com/product/532841</t>
        </is>
      </c>
    </row>
    <row r="3396">
      <c r="A3396" s="2" t="inlineStr">
        <is>
          <t>Temporal Forces Fun Pack</t>
        </is>
      </c>
      <c r="B3396" s="3">
        <f>IF(H3396&lt;&gt;"",H3396,IF(I3396&lt;&gt;"",I3396,IF(J3396&lt;&gt;"",J3396,K3396)))</f>
        <v>10.62</v>
      </c>
      <c r="C3396" s="3">
        <f>MEDIAN(H3396:K3396)</f>
        <v>10.62</v>
      </c>
      <c r="D3396" s="3">
        <f>ROUND(C3396*(1-Settings!$B$2),2)</f>
        <v>7.43</v>
      </c>
      <c r="E3396" s="2" t="inlineStr">
        <is>
          <t>Pokemon</t>
        </is>
      </c>
      <c r="F3396" s="2" t="inlineStr">
        <is>
          <t>Pack</t>
        </is>
      </c>
      <c r="G3396" s="2" t="inlineStr">
        <is>
          <t>SV05: Temporal Forces</t>
        </is>
      </c>
      <c r="H3396" s="3" t="n"/>
      <c r="I3396" s="3" t="n">
        <v>10.62</v>
      </c>
      <c r="J3396" s="3" t="n">
        <v>10.62</v>
      </c>
      <c r="K3396" s="3" t="n">
        <v>10.62</v>
      </c>
      <c r="L3396" s="2" t="inlineStr">
        <is>
          <t>TCGplayer</t>
        </is>
      </c>
      <c r="N3396" s="4" t="inlineStr">
        <is>
          <t>https://www.tcgplayer.com/product/607502</t>
        </is>
      </c>
    </row>
    <row r="3397">
      <c r="A3397" s="2" t="inlineStr">
        <is>
          <t>Temporal Forces Premium Checklane Blister [Baxcalibur]</t>
        </is>
      </c>
      <c r="B3397" s="3">
        <f>IF(H3397&lt;&gt;"",H3397,IF(I3397&lt;&gt;"",I3397,IF(J3397&lt;&gt;"",J3397,K3397)))</f>
        <v>17.06</v>
      </c>
      <c r="C3397" s="3">
        <f>MEDIAN(H3397:K3397)</f>
        <v>17.06</v>
      </c>
      <c r="D3397" s="3">
        <f>ROUND(C3397*(1-Settings!$B$2),2)</f>
        <v>11.94</v>
      </c>
      <c r="E3397" s="2" t="inlineStr">
        <is>
          <t>Pokemon</t>
        </is>
      </c>
      <c r="F3397" s="2" t="inlineStr">
        <is>
          <t>Pack</t>
        </is>
      </c>
      <c r="G3397" s="2" t="inlineStr">
        <is>
          <t>SV05: Temporal Forces</t>
        </is>
      </c>
      <c r="H3397" s="3" t="n"/>
      <c r="I3397" s="3" t="n">
        <v>17.06</v>
      </c>
      <c r="J3397" s="3" t="n">
        <v>18.41</v>
      </c>
      <c r="K3397" s="3" t="n">
        <v>15.25</v>
      </c>
      <c r="L3397" s="2" t="inlineStr">
        <is>
          <t>TCGplayer</t>
        </is>
      </c>
      <c r="N3397" s="4" t="inlineStr">
        <is>
          <t>https://www.tcgplayer.com/product/544679</t>
        </is>
      </c>
    </row>
    <row r="3398">
      <c r="A3398" s="2" t="inlineStr">
        <is>
          <t>Temporal Forces Premium Checklane Blister [Togekiss]</t>
        </is>
      </c>
      <c r="B3398" s="3">
        <f>IF(H3398&lt;&gt;"",H3398,IF(I3398&lt;&gt;"",I3398,IF(J3398&lt;&gt;"",J3398,K3398)))</f>
        <v>20.36</v>
      </c>
      <c r="C3398" s="3">
        <f>MEDIAN(H3398:K3398)</f>
        <v>19.99</v>
      </c>
      <c r="D3398" s="3">
        <f>ROUND(C3398*(1-Settings!$B$2),2)</f>
        <v>13.99</v>
      </c>
      <c r="E3398" s="2" t="inlineStr">
        <is>
          <t>Pokemon</t>
        </is>
      </c>
      <c r="F3398" s="2" t="inlineStr">
        <is>
          <t>Pack</t>
        </is>
      </c>
      <c r="G3398" s="2" t="inlineStr">
        <is>
          <t>SV05: Temporal Forces</t>
        </is>
      </c>
      <c r="H3398" s="3" t="n"/>
      <c r="I3398" s="3" t="n">
        <v>20.36</v>
      </c>
      <c r="J3398" s="3" t="n">
        <v>19.99</v>
      </c>
      <c r="K3398" s="3" t="n">
        <v>1.45</v>
      </c>
      <c r="L3398" s="2" t="inlineStr">
        <is>
          <t>TCGplayer</t>
        </is>
      </c>
      <c r="N3398" s="4" t="inlineStr">
        <is>
          <t>https://www.tcgplayer.com/product/544687</t>
        </is>
      </c>
    </row>
    <row r="3399">
      <c r="A3399" s="2" t="inlineStr">
        <is>
          <t>Temporal Forces Single Pack Blister [Bellibolt]</t>
        </is>
      </c>
      <c r="B3399" s="3">
        <f>IF(H3399&lt;&gt;"",H3399,IF(I3399&lt;&gt;"",I3399,IF(J3399&lt;&gt;"",J3399,K3399)))</f>
        <v>11.23</v>
      </c>
      <c r="C3399" s="3">
        <f>MEDIAN(H3399:K3399)</f>
        <v>11.23</v>
      </c>
      <c r="D3399" s="3">
        <f>ROUND(C3399*(1-Settings!$B$2),2)</f>
        <v>7.86</v>
      </c>
      <c r="E3399" s="2" t="inlineStr">
        <is>
          <t>Pokemon</t>
        </is>
      </c>
      <c r="F3399" s="2" t="inlineStr">
        <is>
          <t>Pack</t>
        </is>
      </c>
      <c r="G3399" s="2" t="inlineStr">
        <is>
          <t>SV05: Temporal Forces</t>
        </is>
      </c>
      <c r="H3399" s="3" t="n"/>
      <c r="I3399" s="3" t="n">
        <v>11.23</v>
      </c>
      <c r="J3399" s="3" t="n">
        <v>11.9</v>
      </c>
      <c r="K3399" s="3" t="n">
        <v>9.99</v>
      </c>
      <c r="L3399" s="2" t="inlineStr">
        <is>
          <t>TCGplayer</t>
        </is>
      </c>
      <c r="N3399" s="4" t="inlineStr">
        <is>
          <t>https://www.tcgplayer.com/product/536594</t>
        </is>
      </c>
    </row>
    <row r="3400">
      <c r="A3400" s="2" t="inlineStr">
        <is>
          <t>Temporal Forces Single Pack Blister [Carvanha]</t>
        </is>
      </c>
      <c r="B3400" s="3">
        <f>IF(H3400&lt;&gt;"",H3400,IF(I3400&lt;&gt;"",I3400,IF(J3400&lt;&gt;"",J3400,K3400)))</f>
        <v>10.92</v>
      </c>
      <c r="C3400" s="3">
        <f>MEDIAN(H3400:K3400)</f>
        <v>10.92</v>
      </c>
      <c r="D3400" s="3">
        <f>ROUND(C3400*(1-Settings!$B$2),2)</f>
        <v>7.64</v>
      </c>
      <c r="E3400" s="2" t="inlineStr">
        <is>
          <t>Pokemon</t>
        </is>
      </c>
      <c r="F3400" s="2" t="inlineStr">
        <is>
          <t>Pack</t>
        </is>
      </c>
      <c r="G3400" s="2" t="inlineStr">
        <is>
          <t>SV05: Temporal Forces</t>
        </is>
      </c>
      <c r="H3400" s="3" t="n"/>
      <c r="I3400" s="3" t="n">
        <v>10.92</v>
      </c>
      <c r="J3400" s="3" t="n">
        <v>11.38</v>
      </c>
      <c r="K3400" s="3" t="n">
        <v>9.99</v>
      </c>
      <c r="L3400" s="2" t="inlineStr">
        <is>
          <t>TCGplayer</t>
        </is>
      </c>
      <c r="N3400" s="4" t="inlineStr">
        <is>
          <t>https://www.tcgplayer.com/product/536284</t>
        </is>
      </c>
    </row>
    <row r="3401">
      <c r="A3401" s="2" t="inlineStr">
        <is>
          <t>Temporal Forces Sleeved Booster Pack</t>
        </is>
      </c>
      <c r="B3401" s="3">
        <f>IF(H3401&lt;&gt;"",H3401,IF(I3401&lt;&gt;"",I3401,IF(J3401&lt;&gt;"",J3401,K3401)))</f>
        <v>11.5</v>
      </c>
      <c r="C3401" s="3">
        <f>MEDIAN(H3401:K3401)</f>
        <v>11.445</v>
      </c>
      <c r="D3401" s="3">
        <f>ROUND(C3401*(1-Settings!$B$2),2)</f>
        <v>8.01</v>
      </c>
      <c r="E3401" s="2" t="inlineStr">
        <is>
          <t>Pokemon</t>
        </is>
      </c>
      <c r="F3401" s="2" t="inlineStr">
        <is>
          <t>Pack</t>
        </is>
      </c>
      <c r="G3401" s="2" t="inlineStr">
        <is>
          <t>SV05: Temporal Forces</t>
        </is>
      </c>
      <c r="H3401" s="3" t="n">
        <v>11.5</v>
      </c>
      <c r="I3401" s="3" t="n">
        <v>11.39</v>
      </c>
      <c r="J3401" s="3" t="n">
        <v>12</v>
      </c>
      <c r="K3401" s="3" t="n">
        <v>3.99</v>
      </c>
      <c r="L3401" s="2" t="inlineStr">
        <is>
          <t>PriceCharting + TCGplayer</t>
        </is>
      </c>
      <c r="M3401" s="4" t="inlineStr">
        <is>
          <t>https://www.pricecharting.com/game/pokemon-temporal-forces/sleeved-booster-pack</t>
        </is>
      </c>
      <c r="N3401" s="4" t="inlineStr">
        <is>
          <t>https://www.tcgplayer.com/product/538787</t>
        </is>
      </c>
    </row>
    <row r="3402">
      <c r="A3402" s="2" t="inlineStr">
        <is>
          <t>Twilight Masquerade 3 Pack Blister [Revavroom]</t>
        </is>
      </c>
      <c r="B3402" s="3">
        <f>IF(H3402&lt;&gt;"",H3402,IF(I3402&lt;&gt;"",I3402,IF(J3402&lt;&gt;"",J3402,K3402)))</f>
        <v>26.73</v>
      </c>
      <c r="C3402" s="3">
        <f>MEDIAN(H3402:K3402)</f>
        <v>34.95</v>
      </c>
      <c r="D3402" s="3">
        <f>ROUND(C3402*(1-Settings!$B$2),2)</f>
        <v>24.47</v>
      </c>
      <c r="E3402" s="2" t="inlineStr">
        <is>
          <t>Pokemon</t>
        </is>
      </c>
      <c r="F3402" s="2" t="inlineStr">
        <is>
          <t>Pack</t>
        </is>
      </c>
      <c r="G3402" s="2" t="inlineStr">
        <is>
          <t>SV06: Twilight Masquerade</t>
        </is>
      </c>
      <c r="H3402" s="3" t="n">
        <v>26.73</v>
      </c>
      <c r="I3402" s="3" t="n">
        <v>34.91</v>
      </c>
      <c r="J3402" s="3" t="n">
        <v>36.99</v>
      </c>
      <c r="K3402" s="3" t="n">
        <v>34.99</v>
      </c>
      <c r="L3402" s="2" t="inlineStr">
        <is>
          <t>PriceCharting + TCGplayer</t>
        </is>
      </c>
      <c r="M3402" s="4" t="inlineStr">
        <is>
          <t>https://www.pricecharting.com/game/pokemon-twilight-masquerade/3-pack-blister-revavroom</t>
        </is>
      </c>
      <c r="N3402" s="4" t="inlineStr">
        <is>
          <t>https://www.tcgplayer.com/product/544172</t>
        </is>
      </c>
    </row>
    <row r="3403">
      <c r="A3403" s="2" t="inlineStr">
        <is>
          <t>Twilight Masquerade 3 Pack Blister [Snorlax]</t>
        </is>
      </c>
      <c r="B3403" s="3">
        <f>IF(H3403&lt;&gt;"",H3403,IF(I3403&lt;&gt;"",I3403,IF(J3403&lt;&gt;"",J3403,K3403)))</f>
        <v>72.86</v>
      </c>
      <c r="C3403" s="3">
        <f>MEDIAN(H3403:K3403)</f>
        <v>54.49</v>
      </c>
      <c r="D3403" s="3">
        <f>ROUND(C3403*(1-Settings!$B$2),2)</f>
        <v>38.14</v>
      </c>
      <c r="E3403" s="2" t="inlineStr">
        <is>
          <t>Pokemon</t>
        </is>
      </c>
      <c r="F3403" s="2" t="inlineStr">
        <is>
          <t>Pack</t>
        </is>
      </c>
      <c r="G3403" s="2" t="inlineStr">
        <is>
          <t>SV06: Twilight Masquerade</t>
        </is>
      </c>
      <c r="H3403" s="3" t="n">
        <v>72.86</v>
      </c>
      <c r="I3403" s="3" t="n">
        <v>45.32</v>
      </c>
      <c r="J3403" s="3" t="n">
        <v>59.99</v>
      </c>
      <c r="K3403" s="3" t="n">
        <v>48.99</v>
      </c>
      <c r="L3403" s="2" t="inlineStr">
        <is>
          <t>PriceCharting + TCGplayer</t>
        </is>
      </c>
      <c r="M3403" s="4" t="inlineStr">
        <is>
          <t>https://www.pricecharting.com/game/pokemon-twilight-masquerade/3-pack-blister-snorlax</t>
        </is>
      </c>
      <c r="N3403" s="4" t="inlineStr">
        <is>
          <t>https://www.tcgplayer.com/product/544171</t>
        </is>
      </c>
    </row>
    <row r="3404">
      <c r="A3404" s="2" t="inlineStr">
        <is>
          <t>Twilight Masquerade Booster Pack</t>
        </is>
      </c>
      <c r="B3404" s="3">
        <f>IF(H3404&lt;&gt;"",H3404,IF(I3404&lt;&gt;"",I3404,IF(J3404&lt;&gt;"",J3404,K3404)))</f>
        <v>8.95</v>
      </c>
      <c r="C3404" s="3">
        <f>MEDIAN(H3404:K3404)</f>
        <v>9.105</v>
      </c>
      <c r="D3404" s="3">
        <f>ROUND(C3404*(1-Settings!$B$2),2)</f>
        <v>6.37</v>
      </c>
      <c r="E3404" s="2" t="inlineStr">
        <is>
          <t>Pokemon</t>
        </is>
      </c>
      <c r="F3404" s="2" t="inlineStr">
        <is>
          <t>Pack</t>
        </is>
      </c>
      <c r="G3404" s="2" t="inlineStr">
        <is>
          <t>SV06: Twilight Masquerade</t>
        </is>
      </c>
      <c r="H3404" s="3" t="n">
        <v>8.949999999999999</v>
      </c>
      <c r="I3404" s="3" t="n">
        <v>9.26</v>
      </c>
      <c r="J3404" s="3" t="n">
        <v>10</v>
      </c>
      <c r="K3404" s="3" t="n">
        <v>2.5</v>
      </c>
      <c r="L3404" s="2" t="inlineStr">
        <is>
          <t>PriceCharting + TCGplayer</t>
        </is>
      </c>
      <c r="M3404" s="4" t="inlineStr">
        <is>
          <t>https://www.pricecharting.com/game/pokemon-twilight-masquerade/booster-pack</t>
        </is>
      </c>
      <c r="N3404" s="4" t="inlineStr">
        <is>
          <t>https://www.tcgplayer.com/product/543843</t>
        </is>
      </c>
    </row>
    <row r="3405">
      <c r="A3405" s="2" t="inlineStr">
        <is>
          <t>Twilight Masquerade Fun Pack</t>
        </is>
      </c>
      <c r="B3405" s="3">
        <f>IF(H3405&lt;&gt;"",H3405,IF(I3405&lt;&gt;"",I3405,IF(J3405&lt;&gt;"",J3405,K3405)))</f>
        <v>9.01</v>
      </c>
      <c r="C3405" s="3">
        <f>MEDIAN(H3405:K3405)</f>
        <v>9.01</v>
      </c>
      <c r="D3405" s="3">
        <f>ROUND(C3405*(1-Settings!$B$2),2)</f>
        <v>6.31</v>
      </c>
      <c r="E3405" s="2" t="inlineStr">
        <is>
          <t>Pokemon</t>
        </is>
      </c>
      <c r="F3405" s="2" t="inlineStr">
        <is>
          <t>Pack</t>
        </is>
      </c>
      <c r="G3405" s="2" t="inlineStr">
        <is>
          <t>SV06: Twilight Masquerade</t>
        </is>
      </c>
      <c r="H3405" s="3" t="n"/>
      <c r="I3405" s="3" t="n">
        <v>9.01</v>
      </c>
      <c r="J3405" s="3" t="n">
        <v>19.98</v>
      </c>
      <c r="K3405" s="3" t="n">
        <v>9.01</v>
      </c>
      <c r="L3405" s="2" t="inlineStr">
        <is>
          <t>TCGplayer</t>
        </is>
      </c>
      <c r="N3405" s="4" t="inlineStr">
        <is>
          <t>https://www.tcgplayer.com/product/607501</t>
        </is>
      </c>
    </row>
    <row r="3406">
      <c r="A3406" s="2" t="inlineStr">
        <is>
          <t>Twilight Masquerade Premium Checklane Blister [Horsea]</t>
        </is>
      </c>
      <c r="B3406" s="3">
        <f>IF(H3406&lt;&gt;"",H3406,IF(I3406&lt;&gt;"",I3406,IF(J3406&lt;&gt;"",J3406,K3406)))</f>
        <v>23.0</v>
      </c>
      <c r="C3406" s="3">
        <f>MEDIAN(H3406:K3406)</f>
        <v>24.0</v>
      </c>
      <c r="D3406" s="3">
        <f>ROUND(C3406*(1-Settings!$B$2),2)</f>
        <v>16.8</v>
      </c>
      <c r="E3406" s="2" t="inlineStr">
        <is>
          <t>Pokemon</t>
        </is>
      </c>
      <c r="F3406" s="2" t="inlineStr">
        <is>
          <t>Pack</t>
        </is>
      </c>
      <c r="G3406" s="2" t="inlineStr">
        <is>
          <t>SV06: Twilight Masquerade</t>
        </is>
      </c>
      <c r="H3406" s="3" t="n">
        <v>23</v>
      </c>
      <c r="I3406" s="3" t="n">
        <v>25</v>
      </c>
      <c r="J3406" s="3" t="n">
        <v>29.99</v>
      </c>
      <c r="K3406" s="3" t="n">
        <v>1.5</v>
      </c>
      <c r="L3406" s="2" t="inlineStr">
        <is>
          <t>PriceCharting + TCGplayer</t>
        </is>
      </c>
      <c r="M3406" s="4" t="inlineStr">
        <is>
          <t>https://www.pricecharting.com/game/pokemon-twilight-masquerade/premium-checklane-blister-horsea</t>
        </is>
      </c>
      <c r="N3406" s="4" t="inlineStr">
        <is>
          <t>https://www.tcgplayer.com/product/544182</t>
        </is>
      </c>
    </row>
    <row r="3407">
      <c r="A3407" s="2" t="inlineStr">
        <is>
          <t>Twilight Masquerade Premium Checklane Blister [Lokix]</t>
        </is>
      </c>
      <c r="B3407" s="3">
        <f>IF(H3407&lt;&gt;"",H3407,IF(I3407&lt;&gt;"",I3407,IF(J3407&lt;&gt;"",J3407,K3407)))</f>
        <v>23.22</v>
      </c>
      <c r="C3407" s="3">
        <f>MEDIAN(H3407:K3407)</f>
        <v>35.97</v>
      </c>
      <c r="D3407" s="3">
        <f>ROUND(C3407*(1-Settings!$B$2),2)</f>
        <v>25.18</v>
      </c>
      <c r="E3407" s="2" t="inlineStr">
        <is>
          <t>Pokemon</t>
        </is>
      </c>
      <c r="F3407" s="2" t="inlineStr">
        <is>
          <t>Pack</t>
        </is>
      </c>
      <c r="G3407" s="2" t="inlineStr">
        <is>
          <t>SV06: Twilight Masquerade</t>
        </is>
      </c>
      <c r="H3407" s="3" t="n"/>
      <c r="I3407" s="3" t="n">
        <v>23.22</v>
      </c>
      <c r="J3407" s="3" t="n">
        <v>39.69</v>
      </c>
      <c r="K3407" s="3" t="n">
        <v>35.97</v>
      </c>
      <c r="L3407" s="2" t="inlineStr">
        <is>
          <t>TCGplayer</t>
        </is>
      </c>
      <c r="N3407" s="4" t="inlineStr">
        <is>
          <t>https://www.tcgplayer.com/product/617190</t>
        </is>
      </c>
    </row>
    <row r="3408">
      <c r="A3408" s="2" t="inlineStr">
        <is>
          <t>Twilight Masquerade Premium Checklane Blister [Porygon]</t>
        </is>
      </c>
      <c r="B3408" s="3">
        <f>IF(H3408&lt;&gt;"",H3408,IF(I3408&lt;&gt;"",I3408,IF(J3408&lt;&gt;"",J3408,K3408)))</f>
        <v>23.73</v>
      </c>
      <c r="C3408" s="3">
        <f>MEDIAN(H3408:K3408)</f>
        <v>24.494999999999997</v>
      </c>
      <c r="D3408" s="3">
        <f>ROUND(C3408*(1-Settings!$B$2),2)</f>
        <v>17.15</v>
      </c>
      <c r="E3408" s="2" t="inlineStr">
        <is>
          <t>Pokemon</t>
        </is>
      </c>
      <c r="F3408" s="2" t="inlineStr">
        <is>
          <t>Pack</t>
        </is>
      </c>
      <c r="G3408" s="2" t="inlineStr">
        <is>
          <t>SV06: Twilight Masquerade</t>
        </is>
      </c>
      <c r="H3408" s="3" t="n">
        <v>23.73</v>
      </c>
      <c r="I3408" s="3" t="n">
        <v>24.99</v>
      </c>
      <c r="J3408" s="3" t="n">
        <v>24.99</v>
      </c>
      <c r="K3408" s="3" t="n">
        <v>24</v>
      </c>
      <c r="L3408" s="2" t="inlineStr">
        <is>
          <t>PriceCharting + TCGplayer</t>
        </is>
      </c>
      <c r="M3408" s="4" t="inlineStr">
        <is>
          <t>https://www.pricecharting.com/game/pokemon-twilight-masquerade/premium-checklane-blister-porygon</t>
        </is>
      </c>
      <c r="N3408" s="4" t="inlineStr">
        <is>
          <t>https://www.tcgplayer.com/product/544180</t>
        </is>
      </c>
    </row>
    <row r="3409">
      <c r="A3409" s="2" t="inlineStr">
        <is>
          <t>Twilight Masquerade Premium Checklane Blister [Steelix]</t>
        </is>
      </c>
      <c r="B3409" s="3">
        <f>IF(H3409&lt;&gt;"",H3409,IF(I3409&lt;&gt;"",I3409,IF(J3409&lt;&gt;"",J3409,K3409)))</f>
        <v>30.0</v>
      </c>
      <c r="C3409" s="3">
        <f>MEDIAN(H3409:K3409)</f>
        <v>30.0</v>
      </c>
      <c r="D3409" s="3">
        <f>ROUND(C3409*(1-Settings!$B$2),2)</f>
        <v>21.0</v>
      </c>
      <c r="E3409" s="2" t="inlineStr">
        <is>
          <t>Pokemon</t>
        </is>
      </c>
      <c r="F3409" s="2" t="inlineStr">
        <is>
          <t>Pack</t>
        </is>
      </c>
      <c r="G3409" s="2" t="inlineStr">
        <is>
          <t>SV06: Twilight Masquerade</t>
        </is>
      </c>
      <c r="H3409" s="3" t="n"/>
      <c r="I3409" s="3" t="n">
        <v>30</v>
      </c>
      <c r="J3409" s="3" t="n">
        <v>39.99</v>
      </c>
      <c r="K3409" s="3" t="n">
        <v>29.01</v>
      </c>
      <c r="L3409" s="2" t="inlineStr">
        <is>
          <t>TCGplayer</t>
        </is>
      </c>
      <c r="N3409" s="4" t="inlineStr">
        <is>
          <t>https://www.tcgplayer.com/product/617189</t>
        </is>
      </c>
    </row>
    <row r="3410">
      <c r="A3410" s="2" t="inlineStr">
        <is>
          <t>Twilight Masquerade Single Pack Blister [Pupitar]</t>
        </is>
      </c>
      <c r="B3410" s="3">
        <f>IF(H3410&lt;&gt;"",H3410,IF(I3410&lt;&gt;"",I3410,IF(J3410&lt;&gt;"",J3410,K3410)))</f>
        <v>10.6</v>
      </c>
      <c r="C3410" s="3">
        <f>MEDIAN(H3410:K3410)</f>
        <v>10.6</v>
      </c>
      <c r="D3410" s="3">
        <f>ROUND(C3410*(1-Settings!$B$2),2)</f>
        <v>7.42</v>
      </c>
      <c r="E3410" s="2" t="inlineStr">
        <is>
          <t>Pokemon</t>
        </is>
      </c>
      <c r="F3410" s="2" t="inlineStr">
        <is>
          <t>Pack</t>
        </is>
      </c>
      <c r="G3410" s="2" t="inlineStr">
        <is>
          <t>SV06: Twilight Masquerade</t>
        </is>
      </c>
      <c r="H3410" s="3" t="n"/>
      <c r="I3410" s="3" t="n">
        <v>10.6</v>
      </c>
      <c r="J3410" s="3" t="n">
        <v>10.76</v>
      </c>
      <c r="K3410" s="3" t="n">
        <v>9</v>
      </c>
      <c r="L3410" s="2" t="inlineStr">
        <is>
          <t>TCGplayer</t>
        </is>
      </c>
      <c r="N3410" s="4" t="inlineStr">
        <is>
          <t>https://www.tcgplayer.com/product/544177</t>
        </is>
      </c>
    </row>
    <row r="3411">
      <c r="A3411" s="2" t="inlineStr">
        <is>
          <t>Twilight Masquerade Single Pack Blister [Toxel]</t>
        </is>
      </c>
      <c r="B3411" s="3">
        <f>IF(H3411&lt;&gt;"",H3411,IF(I3411&lt;&gt;"",I3411,IF(J3411&lt;&gt;"",J3411,K3411)))</f>
        <v>9.9</v>
      </c>
      <c r="C3411" s="3">
        <f>MEDIAN(H3411:K3411)</f>
        <v>9.8</v>
      </c>
      <c r="D3411" s="3">
        <f>ROUND(C3411*(1-Settings!$B$2),2)</f>
        <v>6.86</v>
      </c>
      <c r="E3411" s="2" t="inlineStr">
        <is>
          <t>Pokemon</t>
        </is>
      </c>
      <c r="F3411" s="2" t="inlineStr">
        <is>
          <t>Pack</t>
        </is>
      </c>
      <c r="G3411" s="2" t="inlineStr">
        <is>
          <t>SV06: Twilight Masquerade</t>
        </is>
      </c>
      <c r="H3411" s="3" t="n"/>
      <c r="I3411" s="3" t="n">
        <v>9.9</v>
      </c>
      <c r="J3411" s="3" t="n">
        <v>9.800000000000001</v>
      </c>
      <c r="K3411" s="3" t="n">
        <v>9</v>
      </c>
      <c r="L3411" s="2" t="inlineStr">
        <is>
          <t>TCGplayer</t>
        </is>
      </c>
      <c r="N3411" s="4" t="inlineStr">
        <is>
          <t>https://www.tcgplayer.com/product/544179</t>
        </is>
      </c>
    </row>
    <row r="3412">
      <c r="A3412" s="2" t="inlineStr">
        <is>
          <t>Twilight Masquerade Sleeved Booster Pack</t>
        </is>
      </c>
      <c r="B3412" s="3">
        <f>IF(H3412&lt;&gt;"",H3412,IF(I3412&lt;&gt;"",I3412,IF(J3412&lt;&gt;"",J3412,K3412)))</f>
        <v>10.53</v>
      </c>
      <c r="C3412" s="3">
        <f>MEDIAN(H3412:K3412)</f>
        <v>10.5</v>
      </c>
      <c r="D3412" s="3">
        <f>ROUND(C3412*(1-Settings!$B$2),2)</f>
        <v>7.35</v>
      </c>
      <c r="E3412" s="2" t="inlineStr">
        <is>
          <t>Pokemon</t>
        </is>
      </c>
      <c r="F3412" s="2" t="inlineStr">
        <is>
          <t>Pack</t>
        </is>
      </c>
      <c r="G3412" s="2" t="inlineStr">
        <is>
          <t>SV06: Twilight Masquerade</t>
        </is>
      </c>
      <c r="H3412" s="3" t="n">
        <v>10.53</v>
      </c>
      <c r="I3412" s="3" t="n">
        <v>10.47</v>
      </c>
      <c r="J3412" s="3" t="n">
        <v>11.99</v>
      </c>
      <c r="K3412" s="3" t="n">
        <v>2.55</v>
      </c>
      <c r="L3412" s="2" t="inlineStr">
        <is>
          <t>PriceCharting + TCGplayer</t>
        </is>
      </c>
      <c r="M3412" s="4" t="inlineStr">
        <is>
          <t>https://www.pricecharting.com/game/pokemon-twilight-masquerade/sleeved-booster-pack</t>
        </is>
      </c>
      <c r="N3412" s="4" t="inlineStr">
        <is>
          <t>https://www.tcgplayer.com/product/544170</t>
        </is>
      </c>
    </row>
    <row r="3413">
      <c r="A3413" s="2" t="inlineStr">
        <is>
          <t>Stellar Crown 3 Pack Blisters [Tinkaton]</t>
        </is>
      </c>
      <c r="B3413" s="3">
        <f>IF(H3413&lt;&gt;"",H3413,IF(I3413&lt;&gt;"",I3413,IF(J3413&lt;&gt;"",J3413,K3413)))</f>
        <v>36.18</v>
      </c>
      <c r="C3413" s="3">
        <f>MEDIAN(H3413:K3413)</f>
        <v>36.18</v>
      </c>
      <c r="D3413" s="3">
        <f>ROUND(C3413*(1-Settings!$B$2),2)</f>
        <v>25.33</v>
      </c>
      <c r="E3413" s="2" t="inlineStr">
        <is>
          <t>Pokemon</t>
        </is>
      </c>
      <c r="F3413" s="2" t="inlineStr">
        <is>
          <t>Pack</t>
        </is>
      </c>
      <c r="G3413" s="2" t="inlineStr">
        <is>
          <t>SV07: Stellar Crown</t>
        </is>
      </c>
      <c r="H3413" s="3" t="n"/>
      <c r="I3413" s="3" t="n">
        <v>36.18</v>
      </c>
      <c r="J3413" s="3" t="n">
        <v>65</v>
      </c>
      <c r="K3413" s="3" t="n">
        <v>30</v>
      </c>
      <c r="L3413" s="2" t="inlineStr">
        <is>
          <t>TCGplayer</t>
        </is>
      </c>
      <c r="N3413" s="4" t="inlineStr">
        <is>
          <t>https://www.tcgplayer.com/product/557337</t>
        </is>
      </c>
    </row>
    <row r="3414">
      <c r="A3414" s="2" t="inlineStr">
        <is>
          <t>Stellar Crown Booster Pack</t>
        </is>
      </c>
      <c r="B3414" s="3">
        <f>IF(H3414&lt;&gt;"",H3414,IF(I3414&lt;&gt;"",I3414,IF(J3414&lt;&gt;"",J3414,K3414)))</f>
        <v>10.63</v>
      </c>
      <c r="C3414" s="3">
        <f>MEDIAN(H3414:K3414)</f>
        <v>10.63</v>
      </c>
      <c r="D3414" s="3">
        <f>ROUND(C3414*(1-Settings!$B$2),2)</f>
        <v>7.44</v>
      </c>
      <c r="E3414" s="2" t="inlineStr">
        <is>
          <t>Pokemon</t>
        </is>
      </c>
      <c r="F3414" s="2" t="inlineStr">
        <is>
          <t>Pack</t>
        </is>
      </c>
      <c r="G3414" s="2" t="inlineStr">
        <is>
          <t>SV07: Stellar Crown</t>
        </is>
      </c>
      <c r="H3414" s="3" t="n"/>
      <c r="I3414" s="3" t="n">
        <v>10.63</v>
      </c>
      <c r="J3414" s="3" t="n">
        <v>10.71</v>
      </c>
      <c r="K3414" s="3" t="n">
        <v>2.85</v>
      </c>
      <c r="L3414" s="2" t="inlineStr">
        <is>
          <t>TCGplayer</t>
        </is>
      </c>
      <c r="N3414" s="4" t="inlineStr">
        <is>
          <t>https://www.tcgplayer.com/product/557331</t>
        </is>
      </c>
    </row>
    <row r="3415">
      <c r="A3415" s="2" t="inlineStr">
        <is>
          <t>Stellar Crown Premium Checklane Blister [Iron Thorns]</t>
        </is>
      </c>
      <c r="B3415" s="3">
        <f>IF(H3415&lt;&gt;"",H3415,IF(I3415&lt;&gt;"",I3415,IF(J3415&lt;&gt;"",J3415,K3415)))</f>
        <v>16.17</v>
      </c>
      <c r="C3415" s="3">
        <f>MEDIAN(H3415:K3415)</f>
        <v>20.0</v>
      </c>
      <c r="D3415" s="3">
        <f>ROUND(C3415*(1-Settings!$B$2),2)</f>
        <v>14.0</v>
      </c>
      <c r="E3415" s="2" t="inlineStr">
        <is>
          <t>Pokemon</t>
        </is>
      </c>
      <c r="F3415" s="2" t="inlineStr">
        <is>
          <t>Pack</t>
        </is>
      </c>
      <c r="G3415" s="2" t="inlineStr">
        <is>
          <t>SV07: Stellar Crown</t>
        </is>
      </c>
      <c r="H3415" s="3" t="n"/>
      <c r="I3415" s="3" t="n">
        <v>16.17</v>
      </c>
      <c r="J3415" s="3" t="n">
        <v>23.74</v>
      </c>
      <c r="K3415" s="3" t="n">
        <v>20</v>
      </c>
      <c r="L3415" s="2" t="inlineStr">
        <is>
          <t>TCGplayer</t>
        </is>
      </c>
      <c r="N3415" s="4" t="inlineStr">
        <is>
          <t>https://www.tcgplayer.com/product/599943</t>
        </is>
      </c>
    </row>
    <row r="3416">
      <c r="A3416" s="2" t="inlineStr">
        <is>
          <t>Stellar Crown Premium Checklane Blister [Roaring Moon]</t>
        </is>
      </c>
      <c r="B3416" s="3">
        <f>IF(H3416&lt;&gt;"",H3416,IF(I3416&lt;&gt;"",I3416,IF(J3416&lt;&gt;"",J3416,K3416)))</f>
        <v>13.74</v>
      </c>
      <c r="C3416" s="3">
        <f>MEDIAN(H3416:K3416)</f>
        <v>13.85</v>
      </c>
      <c r="D3416" s="3">
        <f>ROUND(C3416*(1-Settings!$B$2),2)</f>
        <v>9.7</v>
      </c>
      <c r="E3416" s="2" t="inlineStr">
        <is>
          <t>Pokemon</t>
        </is>
      </c>
      <c r="F3416" s="2" t="inlineStr">
        <is>
          <t>Pack</t>
        </is>
      </c>
      <c r="G3416" s="2" t="inlineStr">
        <is>
          <t>SV07: Stellar Crown</t>
        </is>
      </c>
      <c r="H3416" s="3" t="n"/>
      <c r="I3416" s="3" t="n">
        <v>13.74</v>
      </c>
      <c r="J3416" s="3" t="n">
        <v>20.09</v>
      </c>
      <c r="K3416" s="3" t="n">
        <v>13.85</v>
      </c>
      <c r="L3416" s="2" t="inlineStr">
        <is>
          <t>TCGplayer</t>
        </is>
      </c>
      <c r="N3416" s="4" t="inlineStr">
        <is>
          <t>https://www.tcgplayer.com/product/599942</t>
        </is>
      </c>
    </row>
    <row r="3417">
      <c r="A3417" s="2" t="inlineStr">
        <is>
          <t>Stellar Crown Single Pack Blister [Horsea]</t>
        </is>
      </c>
      <c r="B3417" s="3">
        <f>IF(H3417&lt;&gt;"",H3417,IF(I3417&lt;&gt;"",I3417,IF(J3417&lt;&gt;"",J3417,K3417)))</f>
        <v>12.42</v>
      </c>
      <c r="C3417" s="3">
        <f>MEDIAN(H3417:K3417)</f>
        <v>19.99</v>
      </c>
      <c r="D3417" s="3">
        <f>ROUND(C3417*(1-Settings!$B$2),2)</f>
        <v>13.99</v>
      </c>
      <c r="E3417" s="2" t="inlineStr">
        <is>
          <t>Pokemon</t>
        </is>
      </c>
      <c r="F3417" s="2" t="inlineStr">
        <is>
          <t>Pack</t>
        </is>
      </c>
      <c r="G3417" s="2" t="inlineStr">
        <is>
          <t>SV07: Stellar Crown</t>
        </is>
      </c>
      <c r="H3417" s="3" t="n"/>
      <c r="I3417" s="3" t="n">
        <v>12.42</v>
      </c>
      <c r="J3417" s="3" t="n">
        <v>21.49</v>
      </c>
      <c r="K3417" s="3" t="n">
        <v>19.99</v>
      </c>
      <c r="L3417" s="2" t="inlineStr">
        <is>
          <t>TCGplayer</t>
        </is>
      </c>
      <c r="N3417" s="4" t="inlineStr">
        <is>
          <t>https://www.tcgplayer.com/product/557338</t>
        </is>
      </c>
    </row>
    <row r="3418">
      <c r="A3418" s="2" t="inlineStr">
        <is>
          <t>Stellar Crown Single Pack Blister [Porygon2]</t>
        </is>
      </c>
      <c r="B3418" s="3">
        <f>IF(H3418&lt;&gt;"",H3418,IF(I3418&lt;&gt;"",I3418,IF(J3418&lt;&gt;"",J3418,K3418)))</f>
        <v>12.42</v>
      </c>
      <c r="C3418" s="3">
        <f>MEDIAN(H3418:K3418)</f>
        <v>12.42</v>
      </c>
      <c r="D3418" s="3">
        <f>ROUND(C3418*(1-Settings!$B$2),2)</f>
        <v>8.69</v>
      </c>
      <c r="E3418" s="2" t="inlineStr">
        <is>
          <t>Pokemon</t>
        </is>
      </c>
      <c r="F3418" s="2" t="inlineStr">
        <is>
          <t>Pack</t>
        </is>
      </c>
      <c r="G3418" s="2" t="inlineStr">
        <is>
          <t>SV07: Stellar Crown</t>
        </is>
      </c>
      <c r="H3418" s="3" t="n"/>
      <c r="I3418" s="3" t="n">
        <v>12.42</v>
      </c>
      <c r="J3418" s="3" t="n">
        <v>13.65</v>
      </c>
      <c r="K3418" s="3" t="n">
        <v>11</v>
      </c>
      <c r="L3418" s="2" t="inlineStr">
        <is>
          <t>TCGplayer</t>
        </is>
      </c>
      <c r="N3418" s="4" t="inlineStr">
        <is>
          <t>https://www.tcgplayer.com/product/557341</t>
        </is>
      </c>
    </row>
    <row r="3419">
      <c r="A3419" s="2" t="inlineStr">
        <is>
          <t>Stellar Crown Sleeved Booster Pack</t>
        </is>
      </c>
      <c r="B3419" s="3">
        <f>IF(H3419&lt;&gt;"",H3419,IF(I3419&lt;&gt;"",I3419,IF(J3419&lt;&gt;"",J3419,K3419)))</f>
        <v>11.6</v>
      </c>
      <c r="C3419" s="3">
        <f>MEDIAN(H3419:K3419)</f>
        <v>11.24</v>
      </c>
      <c r="D3419" s="3">
        <f>ROUND(C3419*(1-Settings!$B$2),2)</f>
        <v>7.87</v>
      </c>
      <c r="E3419" s="2" t="inlineStr">
        <is>
          <t>Pokemon</t>
        </is>
      </c>
      <c r="F3419" s="2" t="inlineStr">
        <is>
          <t>Pack</t>
        </is>
      </c>
      <c r="G3419" s="2" t="inlineStr">
        <is>
          <t>SV07: Stellar Crown</t>
        </is>
      </c>
      <c r="H3419" s="3" t="n"/>
      <c r="I3419" s="3" t="n">
        <v>11.6</v>
      </c>
      <c r="J3419" s="3" t="n">
        <v>11.24</v>
      </c>
      <c r="K3419" s="3" t="n">
        <v>3.99</v>
      </c>
      <c r="L3419" s="2" t="inlineStr">
        <is>
          <t>TCGplayer</t>
        </is>
      </c>
      <c r="N3419" s="4" t="inlineStr">
        <is>
          <t>https://www.tcgplayer.com/product/557352</t>
        </is>
      </c>
    </row>
    <row r="3420">
      <c r="A3420" s="2" t="inlineStr">
        <is>
          <t>Surging Sparks 3 Pack Blisters [Quagsire]</t>
        </is>
      </c>
      <c r="B3420" s="3">
        <f>IF(H3420&lt;&gt;"",H3420,IF(I3420&lt;&gt;"",I3420,IF(J3420&lt;&gt;"",J3420,K3420)))</f>
        <v>43.44</v>
      </c>
      <c r="C3420" s="3">
        <f>MEDIAN(H3420:K3420)</f>
        <v>43.44</v>
      </c>
      <c r="D3420" s="3">
        <f>ROUND(C3420*(1-Settings!$B$2),2)</f>
        <v>30.41</v>
      </c>
      <c r="E3420" s="2" t="inlineStr">
        <is>
          <t>Pokemon</t>
        </is>
      </c>
      <c r="F3420" s="2" t="inlineStr">
        <is>
          <t>Pack</t>
        </is>
      </c>
      <c r="G3420" s="2" t="inlineStr">
        <is>
          <t>SV08: Surging Sparks</t>
        </is>
      </c>
      <c r="H3420" s="3" t="n"/>
      <c r="I3420" s="3" t="n">
        <v>43.44</v>
      </c>
      <c r="J3420" s="3" t="n">
        <v>44.99</v>
      </c>
      <c r="K3420" s="3" t="n">
        <v>30</v>
      </c>
      <c r="L3420" s="2" t="inlineStr">
        <is>
          <t>TCGplayer</t>
        </is>
      </c>
      <c r="N3420" s="4" t="inlineStr">
        <is>
          <t>https://www.tcgplayer.com/product/565635</t>
        </is>
      </c>
    </row>
    <row r="3421">
      <c r="A3421" s="2" t="inlineStr">
        <is>
          <t>Surging Sparks 3 Pack Blisters [Zapdos]</t>
        </is>
      </c>
      <c r="B3421" s="3">
        <f>IF(H3421&lt;&gt;"",H3421,IF(I3421&lt;&gt;"",I3421,IF(J3421&lt;&gt;"",J3421,K3421)))</f>
        <v>47.49</v>
      </c>
      <c r="C3421" s="3">
        <f>MEDIAN(H3421:K3421)</f>
        <v>47.49</v>
      </c>
      <c r="D3421" s="3">
        <f>ROUND(C3421*(1-Settings!$B$2),2)</f>
        <v>33.24</v>
      </c>
      <c r="E3421" s="2" t="inlineStr">
        <is>
          <t>Pokemon</t>
        </is>
      </c>
      <c r="F3421" s="2" t="inlineStr">
        <is>
          <t>Pack</t>
        </is>
      </c>
      <c r="G3421" s="2" t="inlineStr">
        <is>
          <t>SV08: Surging Sparks</t>
        </is>
      </c>
      <c r="H3421" s="3" t="n"/>
      <c r="I3421" s="3" t="n">
        <v>47.49</v>
      </c>
      <c r="J3421" s="3" t="n">
        <v>47.74</v>
      </c>
      <c r="K3421" s="3" t="n">
        <v>41</v>
      </c>
      <c r="L3421" s="2" t="inlineStr">
        <is>
          <t>TCGplayer</t>
        </is>
      </c>
      <c r="N3421" s="4" t="inlineStr">
        <is>
          <t>https://www.tcgplayer.com/product/565634</t>
        </is>
      </c>
    </row>
    <row r="3422">
      <c r="A3422" s="2" t="inlineStr">
        <is>
          <t>Surging Sparks Booster Pack</t>
        </is>
      </c>
      <c r="B3422" s="3">
        <f>IF(H3422&lt;&gt;"",H3422,IF(I3422&lt;&gt;"",I3422,IF(J3422&lt;&gt;"",J3422,K3422)))</f>
        <v>8.47</v>
      </c>
      <c r="C3422" s="3">
        <f>MEDIAN(H3422:K3422)</f>
        <v>8.485</v>
      </c>
      <c r="D3422" s="3">
        <f>ROUND(C3422*(1-Settings!$B$2),2)</f>
        <v>5.94</v>
      </c>
      <c r="E3422" s="2" t="inlineStr">
        <is>
          <t>Pokemon</t>
        </is>
      </c>
      <c r="F3422" s="2" t="inlineStr">
        <is>
          <t>Pack</t>
        </is>
      </c>
      <c r="G3422" s="2" t="inlineStr">
        <is>
          <t>SV08: Surging Sparks</t>
        </is>
      </c>
      <c r="H3422" s="3" t="n">
        <v>8.470000000000001</v>
      </c>
      <c r="I3422" s="3" t="n">
        <v>8.5</v>
      </c>
      <c r="J3422" s="3" t="n">
        <v>8.99</v>
      </c>
      <c r="K3422" s="3" t="n">
        <v>2.24</v>
      </c>
      <c r="L3422" s="2" t="inlineStr">
        <is>
          <t>PriceCharting + TCGplayer</t>
        </is>
      </c>
      <c r="M3422" s="4" t="inlineStr">
        <is>
          <t>https://www.pricecharting.com/game/pokemon-surging-sparks/booster-pack</t>
        </is>
      </c>
      <c r="N3422" s="4" t="inlineStr">
        <is>
          <t>https://www.tcgplayer.com/product/565604</t>
        </is>
      </c>
    </row>
    <row r="3423">
      <c r="A3423" s="2" t="inlineStr">
        <is>
          <t>Surging Sparks Premium Checklane Blister [Chandelure]</t>
        </is>
      </c>
      <c r="B3423" s="3">
        <f>IF(H3423&lt;&gt;"",H3423,IF(I3423&lt;&gt;"",I3423,IF(J3423&lt;&gt;"",J3423,K3423)))</f>
        <v>38.25</v>
      </c>
      <c r="C3423" s="3">
        <f>MEDIAN(H3423:K3423)</f>
        <v>40.0</v>
      </c>
      <c r="D3423" s="3">
        <f>ROUND(C3423*(1-Settings!$B$2),2)</f>
        <v>28.0</v>
      </c>
      <c r="E3423" s="2" t="inlineStr">
        <is>
          <t>Pokemon</t>
        </is>
      </c>
      <c r="F3423" s="2" t="inlineStr">
        <is>
          <t>Pack</t>
        </is>
      </c>
      <c r="G3423" s="2" t="inlineStr">
        <is>
          <t>SV08: Surging Sparks</t>
        </is>
      </c>
      <c r="H3423" s="3" t="n"/>
      <c r="I3423" s="3" t="n">
        <v>38.25</v>
      </c>
      <c r="J3423" s="3" t="n">
        <v>42.49</v>
      </c>
      <c r="K3423" s="3" t="n">
        <v>40</v>
      </c>
      <c r="L3423" s="2" t="inlineStr">
        <is>
          <t>TCGplayer</t>
        </is>
      </c>
      <c r="N3423" s="4" t="inlineStr">
        <is>
          <t>https://www.tcgplayer.com/product/565639</t>
        </is>
      </c>
    </row>
    <row r="3424">
      <c r="A3424" s="2" t="inlineStr">
        <is>
          <t>Surging Sparks Single Pack Blister [Hisuian Arcanine]</t>
        </is>
      </c>
      <c r="B3424" s="3">
        <f>IF(H3424&lt;&gt;"",H3424,IF(I3424&lt;&gt;"",I3424,IF(J3424&lt;&gt;"",J3424,K3424)))</f>
        <v>24.15</v>
      </c>
      <c r="C3424" s="3">
        <f>MEDIAN(H3424:K3424)</f>
        <v>34.99</v>
      </c>
      <c r="D3424" s="3">
        <f>ROUND(C3424*(1-Settings!$B$2),2)</f>
        <v>24.49</v>
      </c>
      <c r="E3424" s="2" t="inlineStr">
        <is>
          <t>Pokemon</t>
        </is>
      </c>
      <c r="F3424" s="2" t="inlineStr">
        <is>
          <t>Pack</t>
        </is>
      </c>
      <c r="G3424" s="2" t="inlineStr">
        <is>
          <t>SV08: Surging Sparks</t>
        </is>
      </c>
      <c r="H3424" s="3" t="n"/>
      <c r="I3424" s="3" t="n">
        <v>24.15</v>
      </c>
      <c r="J3424" s="3" t="n">
        <v>38.24</v>
      </c>
      <c r="K3424" s="3" t="n">
        <v>34.99</v>
      </c>
      <c r="L3424" s="2" t="inlineStr">
        <is>
          <t>TCGplayer</t>
        </is>
      </c>
      <c r="N3424" s="4" t="inlineStr">
        <is>
          <t>https://www.tcgplayer.com/product/606613</t>
        </is>
      </c>
    </row>
    <row r="3425">
      <c r="A3425" s="2" t="inlineStr">
        <is>
          <t>Surging Sparks Single Pack Blister [Pachirisu]</t>
        </is>
      </c>
      <c r="B3425" s="3">
        <f>IF(H3425&lt;&gt;"",H3425,IF(I3425&lt;&gt;"",I3425,IF(J3425&lt;&gt;"",J3425,K3425)))</f>
        <v>12.06</v>
      </c>
      <c r="C3425" s="3">
        <f>MEDIAN(H3425:K3425)</f>
        <v>12.06</v>
      </c>
      <c r="D3425" s="3">
        <f>ROUND(C3425*(1-Settings!$B$2),2)</f>
        <v>8.44</v>
      </c>
      <c r="E3425" s="2" t="inlineStr">
        <is>
          <t>Pokemon</t>
        </is>
      </c>
      <c r="F3425" s="2" t="inlineStr">
        <is>
          <t>Pack</t>
        </is>
      </c>
      <c r="G3425" s="2" t="inlineStr">
        <is>
          <t>SV08: Surging Sparks</t>
        </is>
      </c>
      <c r="H3425" s="3" t="n"/>
      <c r="I3425" s="3" t="n">
        <v>12.06</v>
      </c>
      <c r="J3425" s="3" t="n">
        <v>15</v>
      </c>
      <c r="K3425" s="3" t="n">
        <v>10.99</v>
      </c>
      <c r="L3425" s="2" t="inlineStr">
        <is>
          <t>TCGplayer</t>
        </is>
      </c>
      <c r="N3425" s="4" t="inlineStr">
        <is>
          <t>https://www.tcgplayer.com/product/565637</t>
        </is>
      </c>
    </row>
    <row r="3426">
      <c r="A3426" s="2" t="inlineStr">
        <is>
          <t>Surging Sparks Single Pack Blister [Sinistcha]</t>
        </is>
      </c>
      <c r="B3426" s="3">
        <f>IF(H3426&lt;&gt;"",H3426,IF(I3426&lt;&gt;"",I3426,IF(J3426&lt;&gt;"",J3426,K3426)))</f>
        <v>15.01</v>
      </c>
      <c r="C3426" s="3">
        <f>MEDIAN(H3426:K3426)</f>
        <v>14.97</v>
      </c>
      <c r="D3426" s="3">
        <f>ROUND(C3426*(1-Settings!$B$2),2)</f>
        <v>10.48</v>
      </c>
      <c r="E3426" s="2" t="inlineStr">
        <is>
          <t>Pokemon</t>
        </is>
      </c>
      <c r="F3426" s="2" t="inlineStr">
        <is>
          <t>Pack</t>
        </is>
      </c>
      <c r="G3426" s="2" t="inlineStr">
        <is>
          <t>SV08: Surging Sparks</t>
        </is>
      </c>
      <c r="H3426" s="3" t="n"/>
      <c r="I3426" s="3" t="n">
        <v>15.01</v>
      </c>
      <c r="J3426" s="3" t="n">
        <v>14.97</v>
      </c>
      <c r="K3426" s="3" t="n">
        <v>14.96</v>
      </c>
      <c r="L3426" s="2" t="inlineStr">
        <is>
          <t>TCGplayer</t>
        </is>
      </c>
      <c r="N3426" s="4" t="inlineStr">
        <is>
          <t>https://www.tcgplayer.com/product/606614</t>
        </is>
      </c>
    </row>
    <row r="3427">
      <c r="A3427" s="2" t="inlineStr">
        <is>
          <t>Surging Sparks Single Pack Blister [Wooper]</t>
        </is>
      </c>
      <c r="B3427" s="3">
        <f>IF(H3427&lt;&gt;"",H3427,IF(I3427&lt;&gt;"",I3427,IF(J3427&lt;&gt;"",J3427,K3427)))</f>
        <v>12.87</v>
      </c>
      <c r="C3427" s="3">
        <f>MEDIAN(H3427:K3427)</f>
        <v>12.87</v>
      </c>
      <c r="D3427" s="3">
        <f>ROUND(C3427*(1-Settings!$B$2),2)</f>
        <v>9.01</v>
      </c>
      <c r="E3427" s="2" t="inlineStr">
        <is>
          <t>Pokemon</t>
        </is>
      </c>
      <c r="F3427" s="2" t="inlineStr">
        <is>
          <t>Pack</t>
        </is>
      </c>
      <c r="G3427" s="2" t="inlineStr">
        <is>
          <t>SV08: Surging Sparks</t>
        </is>
      </c>
      <c r="H3427" s="3" t="n"/>
      <c r="I3427" s="3" t="n">
        <v>12.87</v>
      </c>
      <c r="J3427" s="3" t="n">
        <v>14.78</v>
      </c>
      <c r="K3427" s="3" t="n">
        <v>12</v>
      </c>
      <c r="L3427" s="2" t="inlineStr">
        <is>
          <t>TCGplayer</t>
        </is>
      </c>
      <c r="N3427" s="4" t="inlineStr">
        <is>
          <t>https://www.tcgplayer.com/product/565636</t>
        </is>
      </c>
    </row>
    <row r="3428">
      <c r="A3428" s="2" t="inlineStr">
        <is>
          <t>Surging Sparks Sleeved Booster Pack</t>
        </is>
      </c>
      <c r="B3428" s="3">
        <f>IF(H3428&lt;&gt;"",H3428,IF(I3428&lt;&gt;"",I3428,IF(J3428&lt;&gt;"",J3428,K3428)))</f>
        <v>12.0</v>
      </c>
      <c r="C3428" s="3">
        <f>MEDIAN(H3428:K3428)</f>
        <v>11.86</v>
      </c>
      <c r="D3428" s="3">
        <f>ROUND(C3428*(1-Settings!$B$2),2)</f>
        <v>8.3</v>
      </c>
      <c r="E3428" s="2" t="inlineStr">
        <is>
          <t>Pokemon</t>
        </is>
      </c>
      <c r="F3428" s="2" t="inlineStr">
        <is>
          <t>Pack</t>
        </is>
      </c>
      <c r="G3428" s="2" t="inlineStr">
        <is>
          <t>SV08: Surging Sparks</t>
        </is>
      </c>
      <c r="H3428" s="3" t="n">
        <v>12</v>
      </c>
      <c r="I3428" s="3" t="n">
        <v>11.72</v>
      </c>
      <c r="J3428" s="3" t="n">
        <v>12.22</v>
      </c>
      <c r="K3428" s="3" t="n">
        <v>0.01</v>
      </c>
      <c r="L3428" s="2" t="inlineStr">
        <is>
          <t>PriceCharting + TCGplayer</t>
        </is>
      </c>
      <c r="M3428" s="4" t="inlineStr">
        <is>
          <t>https://www.pricecharting.com/game/pokemon-surging-sparks/sleeved-booster-pack</t>
        </is>
      </c>
      <c r="N3428" s="4" t="inlineStr">
        <is>
          <t>https://www.tcgplayer.com/product/565602</t>
        </is>
      </c>
    </row>
    <row r="3429">
      <c r="A3429" s="2" t="inlineStr">
        <is>
          <t>Journey Together 3 Pack Blister [Scrafty]</t>
        </is>
      </c>
      <c r="B3429" s="3">
        <f>IF(H3429&lt;&gt;"",H3429,IF(I3429&lt;&gt;"",I3429,IF(J3429&lt;&gt;"",J3429,K3429)))</f>
        <v>26.5</v>
      </c>
      <c r="C3429" s="3">
        <f>MEDIAN(H3429:K3429)</f>
        <v>26.64</v>
      </c>
      <c r="D3429" s="3">
        <f>ROUND(C3429*(1-Settings!$B$2),2)</f>
        <v>18.65</v>
      </c>
      <c r="E3429" s="2" t="inlineStr">
        <is>
          <t>Pokemon</t>
        </is>
      </c>
      <c r="F3429" s="2" t="inlineStr">
        <is>
          <t>Pack</t>
        </is>
      </c>
      <c r="G3429" s="2" t="inlineStr">
        <is>
          <t>SV09: Journey Together</t>
        </is>
      </c>
      <c r="H3429" s="3" t="n">
        <v>26.5</v>
      </c>
      <c r="I3429" s="3" t="n">
        <v>26.78</v>
      </c>
      <c r="J3429" s="3" t="n">
        <v>28</v>
      </c>
      <c r="K3429" s="3" t="n">
        <v>21</v>
      </c>
      <c r="L3429" s="2" t="inlineStr">
        <is>
          <t>PriceCharting + TCGplayer</t>
        </is>
      </c>
      <c r="M3429" s="4" t="inlineStr">
        <is>
          <t>https://www.pricecharting.com/game/pokemon-journey-together/3-pack-blister-scrafty</t>
        </is>
      </c>
      <c r="N3429" s="4" t="inlineStr">
        <is>
          <t>https://www.tcgplayer.com/product/610948</t>
        </is>
      </c>
    </row>
    <row r="3430">
      <c r="A3430" s="2" t="inlineStr">
        <is>
          <t>Journey Together 3 Pack Blister [Set of 2]</t>
        </is>
      </c>
      <c r="B3430" s="3">
        <f>IF(H3430&lt;&gt;"",H3430,IF(I3430&lt;&gt;"",I3430,IF(J3430&lt;&gt;"",J3430,K3430)))</f>
        <v>42.45</v>
      </c>
      <c r="C3430" s="3">
        <f>MEDIAN(H3430:K3430)</f>
        <v>49.99</v>
      </c>
      <c r="D3430" s="3">
        <f>ROUND(C3430*(1-Settings!$B$2),2)</f>
        <v>34.99</v>
      </c>
      <c r="E3430" s="2" t="inlineStr">
        <is>
          <t>Pokemon</t>
        </is>
      </c>
      <c r="F3430" s="2" t="inlineStr">
        <is>
          <t>Pack</t>
        </is>
      </c>
      <c r="G3430" s="2" t="inlineStr">
        <is>
          <t>SV09: Journey Together</t>
        </is>
      </c>
      <c r="H3430" s="3" t="n"/>
      <c r="I3430" s="3" t="n">
        <v>42.45</v>
      </c>
      <c r="J3430" s="3" t="n">
        <v>54.88</v>
      </c>
      <c r="K3430" s="3" t="n">
        <v>49.99</v>
      </c>
      <c r="L3430" s="2" t="inlineStr">
        <is>
          <t>TCGplayer</t>
        </is>
      </c>
      <c r="N3430" s="4" t="inlineStr">
        <is>
          <t>https://www.tcgplayer.com/product/631972</t>
        </is>
      </c>
    </row>
    <row r="3431">
      <c r="A3431" s="2" t="inlineStr">
        <is>
          <t>Journey Together 3 Pack Blister [Yanmega]</t>
        </is>
      </c>
      <c r="B3431" s="3">
        <f>IF(H3431&lt;&gt;"",H3431,IF(I3431&lt;&gt;"",I3431,IF(J3431&lt;&gt;"",J3431,K3431)))</f>
        <v>24.49</v>
      </c>
      <c r="C3431" s="3">
        <f>MEDIAN(H3431:K3431)</f>
        <v>24.284999999999997</v>
      </c>
      <c r="D3431" s="3">
        <f>ROUND(C3431*(1-Settings!$B$2),2)</f>
        <v>17.0</v>
      </c>
      <c r="E3431" s="2" t="inlineStr">
        <is>
          <t>Pokemon</t>
        </is>
      </c>
      <c r="F3431" s="2" t="inlineStr">
        <is>
          <t>Pack</t>
        </is>
      </c>
      <c r="G3431" s="2" t="inlineStr">
        <is>
          <t>SV09: Journey Together</t>
        </is>
      </c>
      <c r="H3431" s="3" t="n">
        <v>24.49</v>
      </c>
      <c r="I3431" s="3" t="n">
        <v>24.08</v>
      </c>
      <c r="J3431" s="3" t="n">
        <v>28</v>
      </c>
      <c r="K3431" s="3" t="n">
        <v>22.5</v>
      </c>
      <c r="L3431" s="2" t="inlineStr">
        <is>
          <t>PriceCharting + TCGplayer</t>
        </is>
      </c>
      <c r="M3431" s="4" t="inlineStr">
        <is>
          <t>https://www.pricecharting.com/game/pokemon-journey-together/3-pack-blister-yanmega</t>
        </is>
      </c>
      <c r="N3431" s="4" t="inlineStr">
        <is>
          <t>https://www.tcgplayer.com/product/610940</t>
        </is>
      </c>
    </row>
    <row r="3432">
      <c r="A3432" s="2" t="inlineStr">
        <is>
          <t>Journey Together Booster Pack</t>
        </is>
      </c>
      <c r="B3432" s="3">
        <f>IF(H3432&lt;&gt;"",H3432,IF(I3432&lt;&gt;"",I3432,IF(J3432&lt;&gt;"",J3432,K3432)))</f>
        <v>6.74</v>
      </c>
      <c r="C3432" s="3">
        <f>MEDIAN(H3432:K3432)</f>
        <v>6.775</v>
      </c>
      <c r="D3432" s="3">
        <f>ROUND(C3432*(1-Settings!$B$2),2)</f>
        <v>4.74</v>
      </c>
      <c r="E3432" s="2" t="inlineStr">
        <is>
          <t>Pokemon</t>
        </is>
      </c>
      <c r="F3432" s="2" t="inlineStr">
        <is>
          <t>Pack</t>
        </is>
      </c>
      <c r="G3432" s="2" t="inlineStr">
        <is>
          <t>SV09: Journey Together</t>
        </is>
      </c>
      <c r="H3432" s="3" t="n">
        <v>6.74</v>
      </c>
      <c r="I3432" s="3" t="n">
        <v>6.81</v>
      </c>
      <c r="J3432" s="3" t="n">
        <v>6.99</v>
      </c>
      <c r="K3432" s="3" t="n">
        <v>5.79</v>
      </c>
      <c r="L3432" s="2" t="inlineStr">
        <is>
          <t>PriceCharting + TCGplayer</t>
        </is>
      </c>
      <c r="M3432" s="4" t="inlineStr">
        <is>
          <t>https://www.pricecharting.com/game/pokemon-journey-together/booster-pack</t>
        </is>
      </c>
      <c r="N3432" s="4" t="inlineStr">
        <is>
          <t>https://www.tcgplayer.com/product/610935</t>
        </is>
      </c>
    </row>
    <row r="3433">
      <c r="A3433" s="2" t="inlineStr">
        <is>
          <t>Journey Together Fun Pack</t>
        </is>
      </c>
      <c r="B3433" s="3">
        <f>IF(H3433&lt;&gt;"",H3433,IF(I3433&lt;&gt;"",I3433,IF(J3433&lt;&gt;"",J3433,K3433)))</f>
        <v>4.07</v>
      </c>
      <c r="C3433" s="3">
        <f>MEDIAN(H3433:K3433)</f>
        <v>4.07</v>
      </c>
      <c r="D3433" s="3">
        <f>ROUND(C3433*(1-Settings!$B$2),2)</f>
        <v>2.85</v>
      </c>
      <c r="E3433" s="2" t="inlineStr">
        <is>
          <t>Pokemon</t>
        </is>
      </c>
      <c r="F3433" s="2" t="inlineStr">
        <is>
          <t>Pack</t>
        </is>
      </c>
      <c r="G3433" s="2" t="inlineStr">
        <is>
          <t>SV09: Journey Together</t>
        </is>
      </c>
      <c r="H3433" s="3" t="n"/>
      <c r="I3433" s="3" t="n">
        <v>4.07</v>
      </c>
      <c r="J3433" s="3" t="n">
        <v>4.99</v>
      </c>
      <c r="K3433" s="3" t="n">
        <v>3.89</v>
      </c>
      <c r="L3433" s="2" t="inlineStr">
        <is>
          <t>TCGplayer</t>
        </is>
      </c>
      <c r="N3433" s="4" t="inlineStr">
        <is>
          <t>https://www.tcgplayer.com/product/647762</t>
        </is>
      </c>
    </row>
    <row r="3434">
      <c r="A3434" s="2" t="inlineStr">
        <is>
          <t>Journey Together Premium Checklane Blister [Klinklang]</t>
        </is>
      </c>
      <c r="B3434" s="3">
        <f>IF(H3434&lt;&gt;"",H3434,IF(I3434&lt;&gt;"",I3434,IF(J3434&lt;&gt;"",J3434,K3434)))</f>
        <v>36.77</v>
      </c>
      <c r="C3434" s="3">
        <f>MEDIAN(H3434:K3434)</f>
        <v>18.880000000000003</v>
      </c>
      <c r="D3434" s="3">
        <f>ROUND(C3434*(1-Settings!$B$2),2)</f>
        <v>13.22</v>
      </c>
      <c r="E3434" s="2" t="inlineStr">
        <is>
          <t>Pokemon</t>
        </is>
      </c>
      <c r="F3434" s="2" t="inlineStr">
        <is>
          <t>Pack</t>
        </is>
      </c>
      <c r="G3434" s="2" t="inlineStr">
        <is>
          <t>SV09: Journey Together</t>
        </is>
      </c>
      <c r="H3434" s="3" t="n"/>
      <c r="I3434" s="3" t="n">
        <v>36.77</v>
      </c>
      <c r="J3434" s="3" t="n"/>
      <c r="K3434" s="3" t="n">
        <v>0.99</v>
      </c>
      <c r="L3434" s="2" t="inlineStr">
        <is>
          <t>TCGplayer</t>
        </is>
      </c>
      <c r="N3434" s="4" t="inlineStr">
        <is>
          <t>https://www.tcgplayer.com/product/610952</t>
        </is>
      </c>
    </row>
    <row r="3435">
      <c r="A3435" s="2" t="inlineStr">
        <is>
          <t>Journey Together Premium Checklane Blister [Rhyperior]</t>
        </is>
      </c>
      <c r="B3435" s="3">
        <f>IF(H3435&lt;&gt;"",H3435,IF(I3435&lt;&gt;"",I3435,IF(J3435&lt;&gt;"",J3435,K3435)))</f>
        <v>41.99</v>
      </c>
      <c r="C3435" s="3">
        <f>MEDIAN(H3435:K3435)</f>
        <v>41.99</v>
      </c>
      <c r="D3435" s="3">
        <f>ROUND(C3435*(1-Settings!$B$2),2)</f>
        <v>29.39</v>
      </c>
      <c r="E3435" s="2" t="inlineStr">
        <is>
          <t>Pokemon</t>
        </is>
      </c>
      <c r="F3435" s="2" t="inlineStr">
        <is>
          <t>Pack</t>
        </is>
      </c>
      <c r="G3435" s="2" t="inlineStr">
        <is>
          <t>SV09: Journey Together</t>
        </is>
      </c>
      <c r="H3435" s="3" t="n"/>
      <c r="I3435" s="3" t="n">
        <v>41.99</v>
      </c>
      <c r="J3435" s="3" t="n">
        <v>41.99</v>
      </c>
      <c r="K3435" s="3" t="n">
        <v>38.98</v>
      </c>
      <c r="L3435" s="2" t="inlineStr">
        <is>
          <t>TCGplayer</t>
        </is>
      </c>
      <c r="N3435" s="4" t="inlineStr">
        <is>
          <t>https://www.tcgplayer.com/product/610951</t>
        </is>
      </c>
    </row>
    <row r="3436">
      <c r="A3436" s="2" t="inlineStr">
        <is>
          <t>Journey Together Single Pack Blister [Archaludon]</t>
        </is>
      </c>
      <c r="B3436" s="3">
        <f>IF(H3436&lt;&gt;"",H3436,IF(I3436&lt;&gt;"",I3436,IF(J3436&lt;&gt;"",J3436,K3436)))</f>
        <v>13.04</v>
      </c>
      <c r="C3436" s="3">
        <f>MEDIAN(H3436:K3436)</f>
        <v>16.3</v>
      </c>
      <c r="D3436" s="3">
        <f>ROUND(C3436*(1-Settings!$B$2),2)</f>
        <v>11.41</v>
      </c>
      <c r="E3436" s="2" t="inlineStr">
        <is>
          <t>Pokemon</t>
        </is>
      </c>
      <c r="F3436" s="2" t="inlineStr">
        <is>
          <t>Pack</t>
        </is>
      </c>
      <c r="G3436" s="2" t="inlineStr">
        <is>
          <t>SV09: Journey Together</t>
        </is>
      </c>
      <c r="H3436" s="3" t="n"/>
      <c r="I3436" s="3" t="n">
        <v>13.04</v>
      </c>
      <c r="J3436" s="3" t="n">
        <v>18.15</v>
      </c>
      <c r="K3436" s="3" t="n">
        <v>16.3</v>
      </c>
      <c r="L3436" s="2" t="inlineStr">
        <is>
          <t>TCGplayer</t>
        </is>
      </c>
      <c r="N3436" s="4" t="inlineStr">
        <is>
          <t>https://www.tcgplayer.com/product/626562</t>
        </is>
      </c>
    </row>
    <row r="3437">
      <c r="A3437" s="2" t="inlineStr">
        <is>
          <t>Journey Together Single Pack Blister [Melmetal]</t>
        </is>
      </c>
      <c r="B3437" s="3">
        <f>IF(H3437&lt;&gt;"",H3437,IF(I3437&lt;&gt;"",I3437,IF(J3437&lt;&gt;"",J3437,K3437)))</f>
        <v>31.5</v>
      </c>
      <c r="C3437" s="3">
        <f>MEDIAN(H3437:K3437)</f>
        <v>31.5</v>
      </c>
      <c r="D3437" s="3">
        <f>ROUND(C3437*(1-Settings!$B$2),2)</f>
        <v>22.05</v>
      </c>
      <c r="E3437" s="2" t="inlineStr">
        <is>
          <t>Pokemon</t>
        </is>
      </c>
      <c r="F3437" s="2" t="inlineStr">
        <is>
          <t>Pack</t>
        </is>
      </c>
      <c r="G3437" s="2" t="inlineStr">
        <is>
          <t>SV09: Journey Together</t>
        </is>
      </c>
      <c r="H3437" s="3" t="n"/>
      <c r="I3437" s="3" t="n">
        <v>31.5</v>
      </c>
      <c r="J3437" s="3" t="n">
        <v>39.38</v>
      </c>
      <c r="K3437" s="3" t="n">
        <v>30</v>
      </c>
      <c r="L3437" s="2" t="inlineStr">
        <is>
          <t>TCGplayer</t>
        </is>
      </c>
      <c r="N3437" s="4" t="inlineStr">
        <is>
          <t>https://www.tcgplayer.com/product/626630</t>
        </is>
      </c>
    </row>
    <row r="3438">
      <c r="A3438" s="2" t="inlineStr">
        <is>
          <t>Journey Together Single Pack Blister [Scraggy]</t>
        </is>
      </c>
      <c r="B3438" s="3">
        <f>IF(H3438&lt;&gt;"",H3438,IF(I3438&lt;&gt;"",I3438,IF(J3438&lt;&gt;"",J3438,K3438)))</f>
        <v>10.17</v>
      </c>
      <c r="C3438" s="3">
        <f>MEDIAN(H3438:K3438)</f>
        <v>10.17</v>
      </c>
      <c r="D3438" s="3">
        <f>ROUND(C3438*(1-Settings!$B$2),2)</f>
        <v>7.12</v>
      </c>
      <c r="E3438" s="2" t="inlineStr">
        <is>
          <t>Pokemon</t>
        </is>
      </c>
      <c r="F3438" s="2" t="inlineStr">
        <is>
          <t>Pack</t>
        </is>
      </c>
      <c r="G3438" s="2" t="inlineStr">
        <is>
          <t>SV09: Journey Together</t>
        </is>
      </c>
      <c r="H3438" s="3" t="n"/>
      <c r="I3438" s="3" t="n">
        <v>10.17</v>
      </c>
      <c r="J3438" s="3" t="n">
        <v>11.8</v>
      </c>
      <c r="K3438" s="3" t="n">
        <v>8</v>
      </c>
      <c r="L3438" s="2" t="inlineStr">
        <is>
          <t>TCGplayer</t>
        </is>
      </c>
      <c r="N3438" s="4" t="inlineStr">
        <is>
          <t>https://www.tcgplayer.com/product/610949</t>
        </is>
      </c>
    </row>
    <row r="3439">
      <c r="A3439" s="2" t="inlineStr">
        <is>
          <t>Journey Together Single Pack Blister [Yanma]</t>
        </is>
      </c>
      <c r="B3439" s="3">
        <f>IF(H3439&lt;&gt;"",H3439,IF(I3439&lt;&gt;"",I3439,IF(J3439&lt;&gt;"",J3439,K3439)))</f>
        <v>11.45</v>
      </c>
      <c r="C3439" s="3">
        <f>MEDIAN(H3439:K3439)</f>
        <v>11.45</v>
      </c>
      <c r="D3439" s="3">
        <f>ROUND(C3439*(1-Settings!$B$2),2)</f>
        <v>8.02</v>
      </c>
      <c r="E3439" s="2" t="inlineStr">
        <is>
          <t>Pokemon</t>
        </is>
      </c>
      <c r="F3439" s="2" t="inlineStr">
        <is>
          <t>Pack</t>
        </is>
      </c>
      <c r="G3439" s="2" t="inlineStr">
        <is>
          <t>SV09: Journey Together</t>
        </is>
      </c>
      <c r="H3439" s="3" t="n"/>
      <c r="I3439" s="3" t="n">
        <v>11.45</v>
      </c>
      <c r="J3439" s="3" t="n">
        <v>12.68</v>
      </c>
      <c r="K3439" s="3" t="n">
        <v>8</v>
      </c>
      <c r="L3439" s="2" t="inlineStr">
        <is>
          <t>TCGplayer</t>
        </is>
      </c>
      <c r="N3439" s="4" t="inlineStr">
        <is>
          <t>https://www.tcgplayer.com/product/610950</t>
        </is>
      </c>
    </row>
    <row r="3440">
      <c r="A3440" s="2" t="inlineStr">
        <is>
          <t>Journey Together Sleeved Booster Pack</t>
        </is>
      </c>
      <c r="B3440" s="3">
        <f>IF(H3440&lt;&gt;"",H3440,IF(I3440&lt;&gt;"",I3440,IF(J3440&lt;&gt;"",J3440,K3440)))</f>
        <v>9.19</v>
      </c>
      <c r="C3440" s="3">
        <f>MEDIAN(H3440:K3440)</f>
        <v>9.09</v>
      </c>
      <c r="D3440" s="3">
        <f>ROUND(C3440*(1-Settings!$B$2),2)</f>
        <v>6.36</v>
      </c>
      <c r="E3440" s="2" t="inlineStr">
        <is>
          <t>Pokemon</t>
        </is>
      </c>
      <c r="F3440" s="2" t="inlineStr">
        <is>
          <t>Pack</t>
        </is>
      </c>
      <c r="G3440" s="2" t="inlineStr">
        <is>
          <t>SV09: Journey Together</t>
        </is>
      </c>
      <c r="H3440" s="3" t="n">
        <v>9.19</v>
      </c>
      <c r="I3440" s="3" t="n">
        <v>8.99</v>
      </c>
      <c r="J3440" s="3" t="n">
        <v>9.41</v>
      </c>
      <c r="K3440" s="3" t="n">
        <v>2.79</v>
      </c>
      <c r="L3440" s="2" t="inlineStr">
        <is>
          <t>PriceCharting + TCGplayer</t>
        </is>
      </c>
      <c r="M3440" s="4" t="inlineStr">
        <is>
          <t>https://www.pricecharting.com/game/pokemon-journey-together/sleeved-booster-pack</t>
        </is>
      </c>
      <c r="N3440" s="4" t="inlineStr">
        <is>
          <t>https://www.tcgplayer.com/product/610934</t>
        </is>
      </c>
    </row>
    <row r="3441">
      <c r="A3441" s="2" t="inlineStr">
        <is>
          <t>Destined Rivals 3 Pack Blister [Kangaskhan]</t>
        </is>
      </c>
      <c r="B3441" s="3">
        <f>IF(H3441&lt;&gt;"",H3441,IF(I3441&lt;&gt;"",I3441,IF(J3441&lt;&gt;"",J3441,K3441)))</f>
        <v>49.99</v>
      </c>
      <c r="C3441" s="3">
        <f>MEDIAN(H3441:K3441)</f>
        <v>50.24</v>
      </c>
      <c r="D3441" s="3">
        <f>ROUND(C3441*(1-Settings!$B$2),2)</f>
        <v>35.17</v>
      </c>
      <c r="E3441" s="2" t="inlineStr">
        <is>
          <t>Pokemon</t>
        </is>
      </c>
      <c r="F3441" s="2" t="inlineStr">
        <is>
          <t>Pack</t>
        </is>
      </c>
      <c r="G3441" s="2" t="inlineStr">
        <is>
          <t>SV10: Destined Rivals</t>
        </is>
      </c>
      <c r="H3441" s="3" t="n">
        <v>49.99</v>
      </c>
      <c r="I3441" s="3" t="n">
        <v>50.49</v>
      </c>
      <c r="J3441" s="3" t="n">
        <v>52.99</v>
      </c>
      <c r="K3441" s="3" t="n">
        <v>48.22</v>
      </c>
      <c r="L3441" s="2" t="inlineStr">
        <is>
          <t>PriceCharting + TCGplayer</t>
        </is>
      </c>
      <c r="M3441" s="4" t="inlineStr">
        <is>
          <t>https://www.pricecharting.com/game/pokemon-destined-rivals/3-pack-blister-kangaskhan</t>
        </is>
      </c>
      <c r="N3441" s="4" t="inlineStr">
        <is>
          <t>https://www.tcgplayer.com/product/625683</t>
        </is>
      </c>
    </row>
    <row r="3442">
      <c r="A3442" s="2" t="inlineStr">
        <is>
          <t>Destined Rivals 3 Pack Blister [Zebstrika]</t>
        </is>
      </c>
      <c r="B3442" s="3">
        <f>IF(H3442&lt;&gt;"",H3442,IF(I3442&lt;&gt;"",I3442,IF(J3442&lt;&gt;"",J3442,K3442)))</f>
        <v>48.99</v>
      </c>
      <c r="C3442" s="3">
        <f>MEDIAN(H3442:K3442)</f>
        <v>47.015</v>
      </c>
      <c r="D3442" s="3">
        <f>ROUND(C3442*(1-Settings!$B$2),2)</f>
        <v>32.91</v>
      </c>
      <c r="E3442" s="2" t="inlineStr">
        <is>
          <t>Pokemon</t>
        </is>
      </c>
      <c r="F3442" s="2" t="inlineStr">
        <is>
          <t>Pack</t>
        </is>
      </c>
      <c r="G3442" s="2" t="inlineStr">
        <is>
          <t>SV10: Destined Rivals</t>
        </is>
      </c>
      <c r="H3442" s="3" t="n">
        <v>48.99</v>
      </c>
      <c r="I3442" s="3" t="n">
        <v>45.9</v>
      </c>
      <c r="J3442" s="3" t="n">
        <v>48.13</v>
      </c>
      <c r="K3442" s="3" t="n">
        <v>38.99</v>
      </c>
      <c r="L3442" s="2" t="inlineStr">
        <is>
          <t>PriceCharting + TCGplayer</t>
        </is>
      </c>
      <c r="M3442" s="4" t="inlineStr">
        <is>
          <t>https://www.pricecharting.com/game/pokemon-destined-rivals/3-pack-blister-zebstrika</t>
        </is>
      </c>
      <c r="N3442" s="4" t="inlineStr">
        <is>
          <t>https://www.tcgplayer.com/product/625684</t>
        </is>
      </c>
    </row>
    <row r="3443">
      <c r="A3443" s="2" t="inlineStr">
        <is>
          <t>Destined Rivals Booster Pack</t>
        </is>
      </c>
      <c r="B3443" s="3">
        <f>IF(H3443&lt;&gt;"",H3443,IF(I3443&lt;&gt;"",I3443,IF(J3443&lt;&gt;"",J3443,K3443)))</f>
        <v>9.25</v>
      </c>
      <c r="C3443" s="3">
        <f>MEDIAN(H3443:K3443)</f>
        <v>9.129999999999999</v>
      </c>
      <c r="D3443" s="3">
        <f>ROUND(C3443*(1-Settings!$B$2),2)</f>
        <v>6.39</v>
      </c>
      <c r="E3443" s="2" t="inlineStr">
        <is>
          <t>Pokemon</t>
        </is>
      </c>
      <c r="F3443" s="2" t="inlineStr">
        <is>
          <t>Pack</t>
        </is>
      </c>
      <c r="G3443" s="2" t="inlineStr">
        <is>
          <t>SV10: Destined Rivals</t>
        </is>
      </c>
      <c r="H3443" s="3" t="n">
        <v>9.25</v>
      </c>
      <c r="I3443" s="3" t="n">
        <v>9.01</v>
      </c>
      <c r="J3443" s="3" t="n">
        <v>9.5</v>
      </c>
      <c r="K3443" s="3" t="n">
        <v>2.27</v>
      </c>
      <c r="L3443" s="2" t="inlineStr">
        <is>
          <t>PriceCharting + TCGplayer</t>
        </is>
      </c>
      <c r="M3443" s="4" t="inlineStr">
        <is>
          <t>https://www.pricecharting.com/game/pokemon-destined-rivals/booster-pack</t>
        </is>
      </c>
      <c r="N3443" s="4" t="inlineStr">
        <is>
          <t>https://www.tcgplayer.com/product/624683</t>
        </is>
      </c>
    </row>
    <row r="3444">
      <c r="A3444" s="2" t="inlineStr">
        <is>
          <t>Destined Rivals Fun Pack</t>
        </is>
      </c>
      <c r="B3444" s="3">
        <f>IF(H3444&lt;&gt;"",H3444,IF(I3444&lt;&gt;"",I3444,IF(J3444&lt;&gt;"",J3444,K3444)))</f>
        <v>5.74</v>
      </c>
      <c r="C3444" s="3">
        <f>MEDIAN(H3444:K3444)</f>
        <v>5.775</v>
      </c>
      <c r="D3444" s="3">
        <f>ROUND(C3444*(1-Settings!$B$2),2)</f>
        <v>4.04</v>
      </c>
      <c r="E3444" s="2" t="inlineStr">
        <is>
          <t>Pokemon</t>
        </is>
      </c>
      <c r="F3444" s="2" t="inlineStr">
        <is>
          <t>Pack</t>
        </is>
      </c>
      <c r="G3444" s="2" t="inlineStr">
        <is>
          <t>SV10: Destined Rivals</t>
        </is>
      </c>
      <c r="H3444" s="3" t="n">
        <v>5.74</v>
      </c>
      <c r="I3444" s="3" t="n">
        <v>5.81</v>
      </c>
      <c r="J3444" s="3" t="n">
        <v>6.02</v>
      </c>
      <c r="K3444" s="3" t="n">
        <v>5.48</v>
      </c>
      <c r="L3444" s="2" t="inlineStr">
        <is>
          <t>PriceCharting + TCGplayer</t>
        </is>
      </c>
      <c r="M3444" s="4" t="inlineStr">
        <is>
          <t>https://www.pricecharting.com/game/pokemon-destined-rivals/fun-pack</t>
        </is>
      </c>
      <c r="N3444" s="4" t="inlineStr">
        <is>
          <t>https://www.tcgplayer.com/product/650765</t>
        </is>
      </c>
    </row>
    <row r="3445">
      <c r="A3445" s="2" t="inlineStr">
        <is>
          <t>Destined Rivals Premium Checklane Blister [Skeledirge]</t>
        </is>
      </c>
      <c r="B3445" s="3">
        <f>IF(H3445&lt;&gt;"",H3445,IF(I3445&lt;&gt;"",I3445,IF(J3445&lt;&gt;"",J3445,K3445)))</f>
        <v>54.98</v>
      </c>
      <c r="C3445" s="3">
        <f>MEDIAN(H3445:K3445)</f>
        <v>41.745000000000005</v>
      </c>
      <c r="D3445" s="3">
        <f>ROUND(C3445*(1-Settings!$B$2),2)</f>
        <v>29.22</v>
      </c>
      <c r="E3445" s="2" t="inlineStr">
        <is>
          <t>Pokemon</t>
        </is>
      </c>
      <c r="F3445" s="2" t="inlineStr">
        <is>
          <t>Pack</t>
        </is>
      </c>
      <c r="G3445" s="2" t="inlineStr">
        <is>
          <t>SV10: Destined Rivals</t>
        </is>
      </c>
      <c r="H3445" s="3" t="n">
        <v>54.98</v>
      </c>
      <c r="I3445" s="3" t="n">
        <v>43.49</v>
      </c>
      <c r="J3445" s="3" t="n">
        <v>40</v>
      </c>
      <c r="K3445" s="3" t="n">
        <v>35.75</v>
      </c>
      <c r="L3445" s="2" t="inlineStr">
        <is>
          <t>PriceCharting + TCGplayer</t>
        </is>
      </c>
      <c r="M3445" s="4" t="inlineStr">
        <is>
          <t>https://www.pricecharting.com/game/pokemon-destined-rivals/premium-checklane-blister-skeledirge</t>
        </is>
      </c>
      <c r="N3445" s="4" t="inlineStr">
        <is>
          <t>https://www.tcgplayer.com/product/625687</t>
        </is>
      </c>
    </row>
    <row r="3446">
      <c r="A3446" s="2" t="inlineStr">
        <is>
          <t>Destined Rivals Premium Checklane Blister [Togekiss]</t>
        </is>
      </c>
      <c r="B3446" s="3">
        <f>IF(H3446&lt;&gt;"",H3446,IF(I3446&lt;&gt;"",I3446,IF(J3446&lt;&gt;"",J3446,K3446)))</f>
        <v>37.85</v>
      </c>
      <c r="C3446" s="3">
        <f>MEDIAN(H3446:K3446)</f>
        <v>38.754999999999995</v>
      </c>
      <c r="D3446" s="3">
        <f>ROUND(C3446*(1-Settings!$B$2),2)</f>
        <v>27.13</v>
      </c>
      <c r="E3446" s="2" t="inlineStr">
        <is>
          <t>Pokemon</t>
        </is>
      </c>
      <c r="F3446" s="2" t="inlineStr">
        <is>
          <t>Pack</t>
        </is>
      </c>
      <c r="G3446" s="2" t="inlineStr">
        <is>
          <t>SV10: Destined Rivals</t>
        </is>
      </c>
      <c r="H3446" s="3" t="n">
        <v>37.85</v>
      </c>
      <c r="I3446" s="3" t="n">
        <v>39.66</v>
      </c>
      <c r="J3446" s="3" t="n">
        <v>43.98</v>
      </c>
      <c r="K3446" s="3" t="n">
        <v>36.75</v>
      </c>
      <c r="L3446" s="2" t="inlineStr">
        <is>
          <t>PriceCharting + TCGplayer</t>
        </is>
      </c>
      <c r="M3446" s="4" t="inlineStr">
        <is>
          <t>https://www.pricecharting.com/game/pokemon-destined-rivals/premium-checklane-blister-togekiss</t>
        </is>
      </c>
      <c r="N3446" s="4" t="inlineStr">
        <is>
          <t>https://www.tcgplayer.com/product/625688</t>
        </is>
      </c>
    </row>
    <row r="3447">
      <c r="A3447" s="2" t="inlineStr">
        <is>
          <t>Destined Rivals Sleeved Booster Pack</t>
        </is>
      </c>
      <c r="B3447" s="3">
        <f>IF(H3447&lt;&gt;"",H3447,IF(I3447&lt;&gt;"",I3447,IF(J3447&lt;&gt;"",J3447,K3447)))</f>
        <v>10.75</v>
      </c>
      <c r="C3447" s="3">
        <f>MEDIAN(H3447:K3447)</f>
        <v>10.2</v>
      </c>
      <c r="D3447" s="3">
        <f>ROUND(C3447*(1-Settings!$B$2),2)</f>
        <v>7.14</v>
      </c>
      <c r="E3447" s="2" t="inlineStr">
        <is>
          <t>Pokemon</t>
        </is>
      </c>
      <c r="F3447" s="2" t="inlineStr">
        <is>
          <t>Pack</t>
        </is>
      </c>
      <c r="G3447" s="2" t="inlineStr">
        <is>
          <t>SV10: Destined Rivals</t>
        </is>
      </c>
      <c r="H3447" s="3" t="n">
        <v>10.75</v>
      </c>
      <c r="I3447" s="3" t="n">
        <v>9.65</v>
      </c>
      <c r="J3447" s="3" t="n">
        <v>12</v>
      </c>
      <c r="K3447" s="3" t="n">
        <v>2.96</v>
      </c>
      <c r="L3447" s="2" t="inlineStr">
        <is>
          <t>PriceCharting + TCGplayer</t>
        </is>
      </c>
      <c r="M3447" s="4" t="inlineStr">
        <is>
          <t>https://www.pricecharting.com/game/pokemon-destined-rivals/sleeved-booster-pack</t>
        </is>
      </c>
      <c r="N3447" s="4" t="inlineStr">
        <is>
          <t>https://www.tcgplayer.com/product/624684</t>
        </is>
      </c>
    </row>
    <row r="3448">
      <c r="A3448" s="2" t="inlineStr">
        <is>
          <t>Glory of Team Rocket Booster Pack</t>
        </is>
      </c>
      <c r="B3448" s="3">
        <f>IF(H3448&lt;&gt;"",H3448,IF(I3448&lt;&gt;"",I3448,IF(J3448&lt;&gt;"",J3448,K3448)))</f>
        <v>5.73</v>
      </c>
      <c r="C3448" s="3">
        <f>MEDIAN(H3448:K3448)</f>
        <v>4.205</v>
      </c>
      <c r="D3448" s="3">
        <f>ROUND(C3448*(1-Settings!$B$2),2)</f>
        <v>2.94</v>
      </c>
      <c r="E3448" s="2" t="inlineStr">
        <is>
          <t>Pokemon</t>
        </is>
      </c>
      <c r="F3448" s="2" t="inlineStr">
        <is>
          <t>Pack</t>
        </is>
      </c>
      <c r="G3448" s="2" t="inlineStr">
        <is>
          <t>SV10: The Glory of Team Rocket</t>
        </is>
      </c>
      <c r="H3448" s="3" t="n"/>
      <c r="I3448" s="3" t="n">
        <v>5.73</v>
      </c>
      <c r="J3448" s="3" t="n"/>
      <c r="K3448" s="3" t="n">
        <v>2.68</v>
      </c>
      <c r="L3448" s="2" t="inlineStr">
        <is>
          <t>TCGplayer</t>
        </is>
      </c>
      <c r="N3448" s="4" t="inlineStr">
        <is>
          <t>https://www.tcgplayer.com/product/629198</t>
        </is>
      </c>
    </row>
    <row r="3449">
      <c r="A3449" s="2" t="inlineStr">
        <is>
          <t>Black Bolt Booster Pack</t>
        </is>
      </c>
      <c r="B3449" s="3">
        <f>IF(H3449&lt;&gt;"",H3449,IF(I3449&lt;&gt;"",I3449,IF(J3449&lt;&gt;"",J3449,K3449)))</f>
        <v>9.68</v>
      </c>
      <c r="C3449" s="3">
        <f>MEDIAN(H3449:K3449)</f>
        <v>6.835</v>
      </c>
      <c r="D3449" s="3">
        <f>ROUND(C3449*(1-Settings!$B$2),2)</f>
        <v>4.78</v>
      </c>
      <c r="E3449" s="2" t="inlineStr">
        <is>
          <t>Pokemon</t>
        </is>
      </c>
      <c r="F3449" s="2" t="inlineStr">
        <is>
          <t>Pack</t>
        </is>
      </c>
      <c r="G3449" s="2" t="inlineStr">
        <is>
          <t>SV11B: Black Bolt</t>
        </is>
      </c>
      <c r="H3449" s="3" t="n"/>
      <c r="I3449" s="3" t="n">
        <v>9.68</v>
      </c>
      <c r="J3449" s="3" t="n"/>
      <c r="K3449" s="3" t="n">
        <v>3.99</v>
      </c>
      <c r="L3449" s="2" t="inlineStr">
        <is>
          <t>TCGplayer</t>
        </is>
      </c>
      <c r="N3449" s="4" t="inlineStr">
        <is>
          <t>https://www.tcgplayer.com/product/636736</t>
        </is>
      </c>
    </row>
    <row r="3450">
      <c r="A3450" s="2" t="inlineStr">
        <is>
          <t>Black Bolt Deluxe Booster Pack</t>
        </is>
      </c>
      <c r="B3450" s="3">
        <f>IF(H3450&lt;&gt;"",H3450,IF(I3450&lt;&gt;"",I3450,IF(J3450&lt;&gt;"",J3450,K3450)))</f>
        <v>53.33</v>
      </c>
      <c r="C3450" s="3">
        <f>MEDIAN(H3450:K3450)</f>
        <v>64.16499999999999</v>
      </c>
      <c r="D3450" s="3">
        <f>ROUND(C3450*(1-Settings!$B$2),2)</f>
        <v>44.92</v>
      </c>
      <c r="E3450" s="2" t="inlineStr">
        <is>
          <t>Pokemon</t>
        </is>
      </c>
      <c r="F3450" s="2" t="inlineStr">
        <is>
          <t>Pack</t>
        </is>
      </c>
      <c r="G3450" s="2" t="inlineStr">
        <is>
          <t>SV11B: Black Bolt</t>
        </is>
      </c>
      <c r="H3450" s="3" t="n"/>
      <c r="I3450" s="3" t="n">
        <v>53.33</v>
      </c>
      <c r="J3450" s="3" t="n"/>
      <c r="K3450" s="3" t="n">
        <v>75</v>
      </c>
      <c r="L3450" s="2" t="inlineStr">
        <is>
          <t>TCGplayer</t>
        </is>
      </c>
      <c r="N3450" s="4" t="inlineStr">
        <is>
          <t>https://www.tcgplayer.com/product/636739</t>
        </is>
      </c>
    </row>
    <row r="3451">
      <c r="A3451" s="2" t="inlineStr">
        <is>
          <t>White Flare Booster Pack</t>
        </is>
      </c>
      <c r="B3451" s="3">
        <f>IF(H3451&lt;&gt;"",H3451,IF(I3451&lt;&gt;"",I3451,IF(J3451&lt;&gt;"",J3451,K3451)))</f>
        <v>9.85</v>
      </c>
      <c r="C3451" s="3">
        <f>MEDIAN(H3451:K3451)</f>
        <v>6.92</v>
      </c>
      <c r="D3451" s="3">
        <f>ROUND(C3451*(1-Settings!$B$2),2)</f>
        <v>4.84</v>
      </c>
      <c r="E3451" s="2" t="inlineStr">
        <is>
          <t>Pokemon</t>
        </is>
      </c>
      <c r="F3451" s="2" t="inlineStr">
        <is>
          <t>Pack</t>
        </is>
      </c>
      <c r="G3451" s="2" t="inlineStr">
        <is>
          <t>SV11W: White Flare</t>
        </is>
      </c>
      <c r="H3451" s="3" t="n"/>
      <c r="I3451" s="3" t="n">
        <v>9.85</v>
      </c>
      <c r="J3451" s="3" t="n"/>
      <c r="K3451" s="3" t="n">
        <v>3.99</v>
      </c>
      <c r="L3451" s="2" t="inlineStr">
        <is>
          <t>TCGplayer</t>
        </is>
      </c>
      <c r="N3451" s="4" t="inlineStr">
        <is>
          <t>https://www.tcgplayer.com/product/636737</t>
        </is>
      </c>
    </row>
    <row r="3452">
      <c r="A3452" s="2" t="inlineStr">
        <is>
          <t>White Flare Deluxe Booster Pack</t>
        </is>
      </c>
      <c r="B3452" s="3">
        <f>IF(H3452&lt;&gt;"",H3452,IF(I3452&lt;&gt;"",I3452,IF(J3452&lt;&gt;"",J3452,K3452)))</f>
        <v>36.47</v>
      </c>
      <c r="C3452" s="3">
        <f>MEDIAN(H3452:K3452)</f>
        <v>48.235</v>
      </c>
      <c r="D3452" s="3">
        <f>ROUND(C3452*(1-Settings!$B$2),2)</f>
        <v>33.76</v>
      </c>
      <c r="E3452" s="2" t="inlineStr">
        <is>
          <t>Pokemon</t>
        </is>
      </c>
      <c r="F3452" s="2" t="inlineStr">
        <is>
          <t>Pack</t>
        </is>
      </c>
      <c r="G3452" s="2" t="inlineStr">
        <is>
          <t>SV11W: White Flare</t>
        </is>
      </c>
      <c r="H3452" s="3" t="n"/>
      <c r="I3452" s="3" t="n">
        <v>36.47</v>
      </c>
      <c r="J3452" s="3" t="n"/>
      <c r="K3452" s="3" t="n">
        <v>60</v>
      </c>
      <c r="L3452" s="2" t="inlineStr">
        <is>
          <t>TCGplayer</t>
        </is>
      </c>
      <c r="N3452" s="4" t="inlineStr">
        <is>
          <t>https://www.tcgplayer.com/product/636738</t>
        </is>
      </c>
    </row>
    <row r="3453">
      <c r="A3453" s="2" t="inlineStr">
        <is>
          <t>Triple Beat Booster Pack</t>
        </is>
      </c>
      <c r="B3453" s="3">
        <f>IF(H3453&lt;&gt;"",H3453,IF(I3453&lt;&gt;"",I3453,IF(J3453&lt;&gt;"",J3453,K3453)))</f>
        <v>5.5</v>
      </c>
      <c r="C3453" s="3">
        <f>MEDIAN(H3453:K3453)</f>
        <v>3.875</v>
      </c>
      <c r="D3453" s="3">
        <f>ROUND(C3453*(1-Settings!$B$2),2)</f>
        <v>2.71</v>
      </c>
      <c r="E3453" s="2" t="inlineStr">
        <is>
          <t>Pokemon</t>
        </is>
      </c>
      <c r="F3453" s="2" t="inlineStr">
        <is>
          <t>Pack</t>
        </is>
      </c>
      <c r="G3453" s="2" t="inlineStr">
        <is>
          <t>SV1a: Triplet Beat</t>
        </is>
      </c>
      <c r="H3453" s="3" t="n"/>
      <c r="I3453" s="3" t="n">
        <v>5.5</v>
      </c>
      <c r="J3453" s="3" t="n"/>
      <c r="K3453" s="3" t="n">
        <v>2.25</v>
      </c>
      <c r="L3453" s="2" t="inlineStr">
        <is>
          <t>TCGplayer</t>
        </is>
      </c>
      <c r="N3453" s="4" t="inlineStr">
        <is>
          <t>https://www.tcgplayer.com/product/565249</t>
        </is>
      </c>
    </row>
    <row r="3454">
      <c r="A3454" s="2" t="inlineStr">
        <is>
          <t>Scarlet ex Booster Pack</t>
        </is>
      </c>
      <c r="B3454" s="3">
        <f>IF(H3454&lt;&gt;"",H3454,IF(I3454&lt;&gt;"",I3454,IF(J3454&lt;&gt;"",J3454,K3454)))</f>
        <v>3.81</v>
      </c>
      <c r="C3454" s="3">
        <f>MEDIAN(H3454:K3454)</f>
        <v>3.4000000000000004</v>
      </c>
      <c r="D3454" s="3">
        <f>ROUND(C3454*(1-Settings!$B$2),2)</f>
        <v>2.38</v>
      </c>
      <c r="E3454" s="2" t="inlineStr">
        <is>
          <t>Pokemon</t>
        </is>
      </c>
      <c r="F3454" s="2" t="inlineStr">
        <is>
          <t>Pack</t>
        </is>
      </c>
      <c r="G3454" s="2" t="inlineStr">
        <is>
          <t>SV1S: Scarlet ex</t>
        </is>
      </c>
      <c r="H3454" s="3" t="n"/>
      <c r="I3454" s="3" t="n">
        <v>3.81</v>
      </c>
      <c r="J3454" s="3" t="n"/>
      <c r="K3454" s="3" t="n">
        <v>2.99</v>
      </c>
      <c r="L3454" s="2" t="inlineStr">
        <is>
          <t>TCGplayer</t>
        </is>
      </c>
      <c r="N3454" s="4" t="inlineStr">
        <is>
          <t>https://www.tcgplayer.com/product/565246</t>
        </is>
      </c>
    </row>
    <row r="3455">
      <c r="A3455" s="2" t="inlineStr">
        <is>
          <t>Violet ex Booster Pack</t>
        </is>
      </c>
      <c r="B3455" s="3">
        <f>IF(H3455&lt;&gt;"",H3455,IF(I3455&lt;&gt;"",I3455,IF(J3455&lt;&gt;"",J3455,K3455)))</f>
        <v>3.15</v>
      </c>
      <c r="C3455" s="3">
        <f>MEDIAN(H3455:K3455)</f>
        <v>3.0149999999999997</v>
      </c>
      <c r="D3455" s="3">
        <f>ROUND(C3455*(1-Settings!$B$2),2)</f>
        <v>2.11</v>
      </c>
      <c r="E3455" s="2" t="inlineStr">
        <is>
          <t>Pokemon</t>
        </is>
      </c>
      <c r="F3455" s="2" t="inlineStr">
        <is>
          <t>Pack</t>
        </is>
      </c>
      <c r="G3455" s="2" t="inlineStr">
        <is>
          <t>SV1V: Violet ex</t>
        </is>
      </c>
      <c r="H3455" s="3" t="n"/>
      <c r="I3455" s="3" t="n">
        <v>3.15</v>
      </c>
      <c r="J3455" s="3" t="n"/>
      <c r="K3455" s="3" t="n">
        <v>2.88</v>
      </c>
      <c r="L3455" s="2" t="inlineStr">
        <is>
          <t>TCGplayer</t>
        </is>
      </c>
      <c r="N3455" s="4" t="inlineStr">
        <is>
          <t>https://www.tcgplayer.com/product/565245</t>
        </is>
      </c>
    </row>
    <row r="3456">
      <c r="A3456" s="2" t="inlineStr">
        <is>
          <t>Pokemon Card 151 Booster Pack</t>
        </is>
      </c>
      <c r="B3456" s="3">
        <f>IF(H3456&lt;&gt;"",H3456,IF(I3456&lt;&gt;"",I3456,IF(J3456&lt;&gt;"",J3456,K3456)))</f>
        <v>20.26</v>
      </c>
      <c r="C3456" s="3">
        <f>MEDIAN(H3456:K3456)</f>
        <v>11.425</v>
      </c>
      <c r="D3456" s="3">
        <f>ROUND(C3456*(1-Settings!$B$2),2)</f>
        <v>8.0</v>
      </c>
      <c r="E3456" s="2" t="inlineStr">
        <is>
          <t>Pokemon</t>
        </is>
      </c>
      <c r="F3456" s="2" t="inlineStr">
        <is>
          <t>Pack</t>
        </is>
      </c>
      <c r="G3456" s="2" t="inlineStr">
        <is>
          <t>SV2a: Pokemon Card 151</t>
        </is>
      </c>
      <c r="H3456" s="3" t="n"/>
      <c r="I3456" s="3" t="n">
        <v>20.26</v>
      </c>
      <c r="J3456" s="3" t="n"/>
      <c r="K3456" s="3" t="n">
        <v>2.59</v>
      </c>
      <c r="L3456" s="2" t="inlineStr">
        <is>
          <t>TCGplayer</t>
        </is>
      </c>
      <c r="N3456" s="4" t="inlineStr">
        <is>
          <t>https://www.tcgplayer.com/product/565242</t>
        </is>
      </c>
    </row>
    <row r="3457">
      <c r="A3457" s="2" t="inlineStr">
        <is>
          <t>Clay Burst Booster Pack</t>
        </is>
      </c>
      <c r="B3457" s="3">
        <f>IF(H3457&lt;&gt;"",H3457,IF(I3457&lt;&gt;"",I3457,IF(J3457&lt;&gt;"",J3457,K3457)))</f>
        <v>3.71</v>
      </c>
      <c r="C3457" s="3">
        <f>MEDIAN(H3457:K3457)</f>
        <v>3.35</v>
      </c>
      <c r="D3457" s="3">
        <f>ROUND(C3457*(1-Settings!$B$2),2)</f>
        <v>2.35</v>
      </c>
      <c r="E3457" s="2" t="inlineStr">
        <is>
          <t>Pokemon</t>
        </is>
      </c>
      <c r="F3457" s="2" t="inlineStr">
        <is>
          <t>Pack</t>
        </is>
      </c>
      <c r="G3457" s="2" t="inlineStr">
        <is>
          <t>SV2D: Clay Burst</t>
        </is>
      </c>
      <c r="H3457" s="3" t="n"/>
      <c r="I3457" s="3" t="n">
        <v>3.71</v>
      </c>
      <c r="J3457" s="3" t="n"/>
      <c r="K3457" s="3" t="n">
        <v>2.99</v>
      </c>
      <c r="L3457" s="2" t="inlineStr">
        <is>
          <t>TCGplayer</t>
        </is>
      </c>
      <c r="N3457" s="4" t="inlineStr">
        <is>
          <t>https://www.tcgplayer.com/product/565241</t>
        </is>
      </c>
    </row>
    <row r="3458">
      <c r="A3458" s="2" t="inlineStr">
        <is>
          <t>Snow Hazard Booster Pack</t>
        </is>
      </c>
      <c r="B3458" s="3">
        <f>IF(H3458&lt;&gt;"",H3458,IF(I3458&lt;&gt;"",I3458,IF(J3458&lt;&gt;"",J3458,K3458)))</f>
        <v>3.68</v>
      </c>
      <c r="C3458" s="3">
        <f>MEDIAN(H3458:K3458)</f>
        <v>2.84</v>
      </c>
      <c r="D3458" s="3">
        <f>ROUND(C3458*(1-Settings!$B$2),2)</f>
        <v>1.99</v>
      </c>
      <c r="E3458" s="2" t="inlineStr">
        <is>
          <t>Pokemon</t>
        </is>
      </c>
      <c r="F3458" s="2" t="inlineStr">
        <is>
          <t>Pack</t>
        </is>
      </c>
      <c r="G3458" s="2" t="inlineStr">
        <is>
          <t>SV2P: Snow Hazard</t>
        </is>
      </c>
      <c r="H3458" s="3" t="n"/>
      <c r="I3458" s="3" t="n">
        <v>3.68</v>
      </c>
      <c r="J3458" s="3" t="n"/>
      <c r="K3458" s="3" t="n">
        <v>2</v>
      </c>
      <c r="L3458" s="2" t="inlineStr">
        <is>
          <t>TCGplayer</t>
        </is>
      </c>
      <c r="N3458" s="4" t="inlineStr">
        <is>
          <t>https://www.tcgplayer.com/product/565238</t>
        </is>
      </c>
    </row>
    <row r="3459">
      <c r="A3459" s="2" t="inlineStr">
        <is>
          <t>Ruler of the Black Flame Booster Pack</t>
        </is>
      </c>
      <c r="B3459" s="3">
        <f>IF(H3459&lt;&gt;"",H3459,IF(I3459&lt;&gt;"",I3459,IF(J3459&lt;&gt;"",J3459,K3459)))</f>
        <v>4.82</v>
      </c>
      <c r="C3459" s="3">
        <f>MEDIAN(H3459:K3459)</f>
        <v>4.35</v>
      </c>
      <c r="D3459" s="3">
        <f>ROUND(C3459*(1-Settings!$B$2),2)</f>
        <v>3.05</v>
      </c>
      <c r="E3459" s="2" t="inlineStr">
        <is>
          <t>Pokemon</t>
        </is>
      </c>
      <c r="F3459" s="2" t="inlineStr">
        <is>
          <t>Pack</t>
        </is>
      </c>
      <c r="G3459" s="2" t="inlineStr">
        <is>
          <t>SV3: Ruler of the Black Flame</t>
        </is>
      </c>
      <c r="H3459" s="3" t="n"/>
      <c r="I3459" s="3" t="n">
        <v>4.82</v>
      </c>
      <c r="J3459" s="3" t="n"/>
      <c r="K3459" s="3" t="n">
        <v>3.88</v>
      </c>
      <c r="L3459" s="2" t="inlineStr">
        <is>
          <t>TCGplayer</t>
        </is>
      </c>
      <c r="N3459" s="4" t="inlineStr">
        <is>
          <t>https://www.tcgplayer.com/product/565237</t>
        </is>
      </c>
    </row>
    <row r="3460">
      <c r="A3460" s="2" t="inlineStr">
        <is>
          <t>Raging Surf Booster Pack</t>
        </is>
      </c>
      <c r="B3460" s="3">
        <f>IF(H3460&lt;&gt;"",H3460,IF(I3460&lt;&gt;"",I3460,IF(J3460&lt;&gt;"",J3460,K3460)))</f>
        <v>5.41</v>
      </c>
      <c r="C3460" s="3">
        <f>MEDIAN(H3460:K3460)</f>
        <v>3.95</v>
      </c>
      <c r="D3460" s="3">
        <f>ROUND(C3460*(1-Settings!$B$2),2)</f>
        <v>2.77</v>
      </c>
      <c r="E3460" s="2" t="inlineStr">
        <is>
          <t>Pokemon</t>
        </is>
      </c>
      <c r="F3460" s="2" t="inlineStr">
        <is>
          <t>Pack</t>
        </is>
      </c>
      <c r="G3460" s="2" t="inlineStr">
        <is>
          <t>SV3a: Raging Surf</t>
        </is>
      </c>
      <c r="H3460" s="3" t="n"/>
      <c r="I3460" s="3" t="n">
        <v>5.41</v>
      </c>
      <c r="J3460" s="3" t="n"/>
      <c r="K3460" s="3" t="n">
        <v>2.49</v>
      </c>
      <c r="L3460" s="2" t="inlineStr">
        <is>
          <t>TCGplayer</t>
        </is>
      </c>
      <c r="N3460" s="4" t="inlineStr">
        <is>
          <t>https://www.tcgplayer.com/product/565234</t>
        </is>
      </c>
    </row>
    <row r="3461">
      <c r="A3461" s="2" t="inlineStr">
        <is>
          <t>Shiny Treasure ex High Class Booster Pack</t>
        </is>
      </c>
      <c r="B3461" s="3">
        <f>IF(H3461&lt;&gt;"",H3461,IF(I3461&lt;&gt;"",I3461,IF(J3461&lt;&gt;"",J3461,K3461)))</f>
        <v>13.47</v>
      </c>
      <c r="C3461" s="3">
        <f>MEDIAN(H3461:K3461)</f>
        <v>11.735</v>
      </c>
      <c r="D3461" s="3">
        <f>ROUND(C3461*(1-Settings!$B$2),2)</f>
        <v>8.21</v>
      </c>
      <c r="E3461" s="2" t="inlineStr">
        <is>
          <t>Pokemon</t>
        </is>
      </c>
      <c r="F3461" s="2" t="inlineStr">
        <is>
          <t>Pack</t>
        </is>
      </c>
      <c r="G3461" s="2" t="inlineStr">
        <is>
          <t>SV4a: Shiny Treasure ex</t>
        </is>
      </c>
      <c r="H3461" s="3" t="n"/>
      <c r="I3461" s="3" t="n">
        <v>13.47</v>
      </c>
      <c r="J3461" s="3" t="n"/>
      <c r="K3461" s="3" t="n">
        <v>10</v>
      </c>
      <c r="L3461" s="2" t="inlineStr">
        <is>
          <t>TCGplayer</t>
        </is>
      </c>
      <c r="N3461" s="4" t="inlineStr">
        <is>
          <t>https://www.tcgplayer.com/product/565233</t>
        </is>
      </c>
    </row>
    <row r="3462">
      <c r="A3462" s="2" t="inlineStr">
        <is>
          <t>Ancient Roar Booster Pack</t>
        </is>
      </c>
      <c r="B3462" s="3">
        <f>IF(H3462&lt;&gt;"",H3462,IF(I3462&lt;&gt;"",I3462,IF(J3462&lt;&gt;"",J3462,K3462)))</f>
        <v>3.65</v>
      </c>
      <c r="C3462" s="3">
        <f>MEDIAN(H3462:K3462)</f>
        <v>2.985</v>
      </c>
      <c r="D3462" s="3">
        <f>ROUND(C3462*(1-Settings!$B$2),2)</f>
        <v>2.09</v>
      </c>
      <c r="E3462" s="2" t="inlineStr">
        <is>
          <t>Pokemon</t>
        </is>
      </c>
      <c r="F3462" s="2" t="inlineStr">
        <is>
          <t>Pack</t>
        </is>
      </c>
      <c r="G3462" s="2" t="inlineStr">
        <is>
          <t>SV4K: Ancient Roar</t>
        </is>
      </c>
      <c r="H3462" s="3" t="n"/>
      <c r="I3462" s="3" t="n">
        <v>3.65</v>
      </c>
      <c r="J3462" s="3" t="n"/>
      <c r="K3462" s="3" t="n">
        <v>2.32</v>
      </c>
      <c r="L3462" s="2" t="inlineStr">
        <is>
          <t>TCGplayer</t>
        </is>
      </c>
      <c r="N3462" s="4" t="inlineStr">
        <is>
          <t>https://www.tcgplayer.com/product/565230</t>
        </is>
      </c>
    </row>
    <row r="3463">
      <c r="A3463" s="2" t="inlineStr">
        <is>
          <t>Future Flash Booster Pack</t>
        </is>
      </c>
      <c r="B3463" s="3">
        <f>IF(H3463&lt;&gt;"",H3463,IF(I3463&lt;&gt;"",I3463,IF(J3463&lt;&gt;"",J3463,K3463)))</f>
        <v>3.48</v>
      </c>
      <c r="C3463" s="3">
        <f>MEDIAN(H3463:K3463)</f>
        <v>2.74</v>
      </c>
      <c r="D3463" s="3">
        <f>ROUND(C3463*(1-Settings!$B$2),2)</f>
        <v>1.92</v>
      </c>
      <c r="E3463" s="2" t="inlineStr">
        <is>
          <t>Pokemon</t>
        </is>
      </c>
      <c r="F3463" s="2" t="inlineStr">
        <is>
          <t>Pack</t>
        </is>
      </c>
      <c r="G3463" s="2" t="inlineStr">
        <is>
          <t>SV4M: Future Flash</t>
        </is>
      </c>
      <c r="H3463" s="3" t="n"/>
      <c r="I3463" s="3" t="n">
        <v>3.48</v>
      </c>
      <c r="J3463" s="3" t="n"/>
      <c r="K3463" s="3" t="n">
        <v>2</v>
      </c>
      <c r="L3463" s="2" t="inlineStr">
        <is>
          <t>TCGplayer</t>
        </is>
      </c>
      <c r="N3463" s="4" t="inlineStr">
        <is>
          <t>https://www.tcgplayer.com/product/565229</t>
        </is>
      </c>
    </row>
    <row r="3464">
      <c r="A3464" s="2" t="inlineStr">
        <is>
          <t>Crimson Haze Booster Pack</t>
        </is>
      </c>
      <c r="B3464" s="3">
        <f>IF(H3464&lt;&gt;"",H3464,IF(I3464&lt;&gt;"",I3464,IF(J3464&lt;&gt;"",J3464,K3464)))</f>
        <v>4.31</v>
      </c>
      <c r="C3464" s="3">
        <f>MEDIAN(H3464:K3464)</f>
        <v>3.28</v>
      </c>
      <c r="D3464" s="3">
        <f>ROUND(C3464*(1-Settings!$B$2),2)</f>
        <v>2.3</v>
      </c>
      <c r="E3464" s="2" t="inlineStr">
        <is>
          <t>Pokemon</t>
        </is>
      </c>
      <c r="F3464" s="2" t="inlineStr">
        <is>
          <t>Pack</t>
        </is>
      </c>
      <c r="G3464" s="2" t="inlineStr">
        <is>
          <t>SV5a: Crimson Haze</t>
        </is>
      </c>
      <c r="H3464" s="3" t="n"/>
      <c r="I3464" s="3" t="n">
        <v>4.31</v>
      </c>
      <c r="J3464" s="3" t="n"/>
      <c r="K3464" s="3" t="n">
        <v>2.25</v>
      </c>
      <c r="L3464" s="2" t="inlineStr">
        <is>
          <t>TCGplayer</t>
        </is>
      </c>
      <c r="N3464" s="4" t="inlineStr">
        <is>
          <t>https://www.tcgplayer.com/product/565227</t>
        </is>
      </c>
    </row>
    <row r="3465">
      <c r="A3465" s="2" t="inlineStr">
        <is>
          <t>Wild Force Booster Pack</t>
        </is>
      </c>
      <c r="B3465" s="3">
        <f>IF(H3465&lt;&gt;"",H3465,IF(I3465&lt;&gt;"",I3465,IF(J3465&lt;&gt;"",J3465,K3465)))</f>
        <v>3.95</v>
      </c>
      <c r="C3465" s="3">
        <f>MEDIAN(H3465:K3465)</f>
        <v>3.1</v>
      </c>
      <c r="D3465" s="3">
        <f>ROUND(C3465*(1-Settings!$B$2),2)</f>
        <v>2.17</v>
      </c>
      <c r="E3465" s="2" t="inlineStr">
        <is>
          <t>Pokemon</t>
        </is>
      </c>
      <c r="F3465" s="2" t="inlineStr">
        <is>
          <t>Pack</t>
        </is>
      </c>
      <c r="G3465" s="2" t="inlineStr">
        <is>
          <t>SV5K: Wild Force</t>
        </is>
      </c>
      <c r="H3465" s="3" t="n"/>
      <c r="I3465" s="3" t="n">
        <v>3.95</v>
      </c>
      <c r="J3465" s="3" t="n"/>
      <c r="K3465" s="3" t="n">
        <v>2.25</v>
      </c>
      <c r="L3465" s="2" t="inlineStr">
        <is>
          <t>TCGplayer</t>
        </is>
      </c>
      <c r="N3465" s="4" t="inlineStr">
        <is>
          <t>https://www.tcgplayer.com/product/565224</t>
        </is>
      </c>
    </row>
    <row r="3466">
      <c r="A3466" s="2" t="inlineStr">
        <is>
          <t>Cyber Judge Booster Pack</t>
        </is>
      </c>
      <c r="B3466" s="3">
        <f>IF(H3466&lt;&gt;"",H3466,IF(I3466&lt;&gt;"",I3466,IF(J3466&lt;&gt;"",J3466,K3466)))</f>
        <v>3.39</v>
      </c>
      <c r="C3466" s="3">
        <f>MEDIAN(H3466:K3466)</f>
        <v>2.855</v>
      </c>
      <c r="D3466" s="3">
        <f>ROUND(C3466*(1-Settings!$B$2),2)</f>
        <v>2.0</v>
      </c>
      <c r="E3466" s="2" t="inlineStr">
        <is>
          <t>Pokemon</t>
        </is>
      </c>
      <c r="F3466" s="2" t="inlineStr">
        <is>
          <t>Pack</t>
        </is>
      </c>
      <c r="G3466" s="2" t="inlineStr">
        <is>
          <t>SV5M: Cyber Judge</t>
        </is>
      </c>
      <c r="H3466" s="3" t="n"/>
      <c r="I3466" s="3" t="n">
        <v>3.39</v>
      </c>
      <c r="J3466" s="3" t="n"/>
      <c r="K3466" s="3" t="n">
        <v>2.32</v>
      </c>
      <c r="L3466" s="2" t="inlineStr">
        <is>
          <t>TCGplayer</t>
        </is>
      </c>
      <c r="N3466" s="4" t="inlineStr">
        <is>
          <t>https://www.tcgplayer.com/product/565223</t>
        </is>
      </c>
    </row>
    <row r="3467">
      <c r="A3467" s="2" t="inlineStr">
        <is>
          <t>Transformation Mask Booster Pack</t>
        </is>
      </c>
      <c r="B3467" s="3">
        <f>IF(H3467&lt;&gt;"",H3467,IF(I3467&lt;&gt;"",I3467,IF(J3467&lt;&gt;"",J3467,K3467)))</f>
        <v>3.81</v>
      </c>
      <c r="C3467" s="3">
        <f>MEDIAN(H3467:K3467)</f>
        <v>3.135</v>
      </c>
      <c r="D3467" s="3">
        <f>ROUND(C3467*(1-Settings!$B$2),2)</f>
        <v>2.19</v>
      </c>
      <c r="E3467" s="2" t="inlineStr">
        <is>
          <t>Pokemon</t>
        </is>
      </c>
      <c r="F3467" s="2" t="inlineStr">
        <is>
          <t>Pack</t>
        </is>
      </c>
      <c r="G3467" s="2" t="inlineStr">
        <is>
          <t>SV6: Transformation Mask</t>
        </is>
      </c>
      <c r="H3467" s="3" t="n"/>
      <c r="I3467" s="3" t="n">
        <v>3.81</v>
      </c>
      <c r="J3467" s="3" t="n"/>
      <c r="K3467" s="3" t="n">
        <v>2.46</v>
      </c>
      <c r="L3467" s="2" t="inlineStr">
        <is>
          <t>TCGplayer</t>
        </is>
      </c>
      <c r="N3467" s="4" t="inlineStr">
        <is>
          <t>https://www.tcgplayer.com/product/565220</t>
        </is>
      </c>
    </row>
    <row r="3468">
      <c r="A3468" s="2" t="inlineStr">
        <is>
          <t>Night Wanderer Booster Pack</t>
        </is>
      </c>
      <c r="B3468" s="3">
        <f>IF(H3468&lt;&gt;"",H3468,IF(I3468&lt;&gt;"",I3468,IF(J3468&lt;&gt;"",J3468,K3468)))</f>
        <v>3.58</v>
      </c>
      <c r="C3468" s="3">
        <f>MEDIAN(H3468:K3468)</f>
        <v>2.94</v>
      </c>
      <c r="D3468" s="3">
        <f>ROUND(C3468*(1-Settings!$B$2),2)</f>
        <v>2.06</v>
      </c>
      <c r="E3468" s="2" t="inlineStr">
        <is>
          <t>Pokemon</t>
        </is>
      </c>
      <c r="F3468" s="2" t="inlineStr">
        <is>
          <t>Pack</t>
        </is>
      </c>
      <c r="G3468" s="2" t="inlineStr">
        <is>
          <t>SV6a: Night Wanderer</t>
        </is>
      </c>
      <c r="H3468" s="3" t="n"/>
      <c r="I3468" s="3" t="n">
        <v>3.58</v>
      </c>
      <c r="J3468" s="3" t="n"/>
      <c r="K3468" s="3" t="n">
        <v>2.3</v>
      </c>
      <c r="L3468" s="2" t="inlineStr">
        <is>
          <t>TCGplayer</t>
        </is>
      </c>
      <c r="N3468" s="4" t="inlineStr">
        <is>
          <t>https://www.tcgplayer.com/product/565219</t>
        </is>
      </c>
    </row>
    <row r="3469">
      <c r="A3469" s="2" t="inlineStr">
        <is>
          <t>Stellar Miracle Booster Pack</t>
        </is>
      </c>
      <c r="B3469" s="3">
        <f>IF(H3469&lt;&gt;"",H3469,IF(I3469&lt;&gt;"",I3469,IF(J3469&lt;&gt;"",J3469,K3469)))</f>
        <v>3.83</v>
      </c>
      <c r="C3469" s="3">
        <f>MEDIAN(H3469:K3469)</f>
        <v>2.915</v>
      </c>
      <c r="D3469" s="3">
        <f>ROUND(C3469*(1-Settings!$B$2),2)</f>
        <v>2.04</v>
      </c>
      <c r="E3469" s="2" t="inlineStr">
        <is>
          <t>Pokemon</t>
        </is>
      </c>
      <c r="F3469" s="2" t="inlineStr">
        <is>
          <t>Pack</t>
        </is>
      </c>
      <c r="G3469" s="2" t="inlineStr">
        <is>
          <t>SV7: Stellar Miracle</t>
        </is>
      </c>
      <c r="H3469" s="3" t="n"/>
      <c r="I3469" s="3" t="n">
        <v>3.83</v>
      </c>
      <c r="J3469" s="3" t="n"/>
      <c r="K3469" s="3" t="n">
        <v>2</v>
      </c>
      <c r="L3469" s="2" t="inlineStr">
        <is>
          <t>TCGplayer</t>
        </is>
      </c>
      <c r="N3469" s="4" t="inlineStr">
        <is>
          <t>https://www.tcgplayer.com/product/565216</t>
        </is>
      </c>
    </row>
    <row r="3470">
      <c r="A3470" s="2" t="inlineStr">
        <is>
          <t>Paradise Dragona Booster Pack</t>
        </is>
      </c>
      <c r="B3470" s="3">
        <f>IF(H3470&lt;&gt;"",H3470,IF(I3470&lt;&gt;"",I3470,IF(J3470&lt;&gt;"",J3470,K3470)))</f>
        <v>4.04</v>
      </c>
      <c r="C3470" s="3">
        <f>MEDIAN(H3470:K3470)</f>
        <v>3.975</v>
      </c>
      <c r="D3470" s="3">
        <f>ROUND(C3470*(1-Settings!$B$2),2)</f>
        <v>2.78</v>
      </c>
      <c r="E3470" s="2" t="inlineStr">
        <is>
          <t>Pokemon</t>
        </is>
      </c>
      <c r="F3470" s="2" t="inlineStr">
        <is>
          <t>Pack</t>
        </is>
      </c>
      <c r="G3470" s="2" t="inlineStr">
        <is>
          <t>SV7a: Paradise Dragona</t>
        </is>
      </c>
      <c r="H3470" s="3" t="n"/>
      <c r="I3470" s="3" t="n">
        <v>4.04</v>
      </c>
      <c r="J3470" s="3" t="n"/>
      <c r="K3470" s="3" t="n">
        <v>3.91</v>
      </c>
      <c r="L3470" s="2" t="inlineStr">
        <is>
          <t>TCGplayer</t>
        </is>
      </c>
      <c r="N3470" s="4" t="inlineStr">
        <is>
          <t>https://www.tcgplayer.com/product/580710</t>
        </is>
      </c>
    </row>
    <row r="3471">
      <c r="A3471" s="2" t="inlineStr">
        <is>
          <t>Super Electric Breaker Booster Pack</t>
        </is>
      </c>
      <c r="B3471" s="3">
        <f>IF(H3471&lt;&gt;"",H3471,IF(I3471&lt;&gt;"",I3471,IF(J3471&lt;&gt;"",J3471,K3471)))</f>
        <v>5.04</v>
      </c>
      <c r="C3471" s="3">
        <f>MEDIAN(H3471:K3471)</f>
        <v>3.7199999999999998</v>
      </c>
      <c r="D3471" s="3">
        <f>ROUND(C3471*(1-Settings!$B$2),2)</f>
        <v>2.6</v>
      </c>
      <c r="E3471" s="2" t="inlineStr">
        <is>
          <t>Pokemon</t>
        </is>
      </c>
      <c r="F3471" s="2" t="inlineStr">
        <is>
          <t>Pack</t>
        </is>
      </c>
      <c r="G3471" s="2" t="inlineStr">
        <is>
          <t>SV8: Super Electric Breaker</t>
        </is>
      </c>
      <c r="H3471" s="3" t="n"/>
      <c r="I3471" s="3" t="n">
        <v>5.04</v>
      </c>
      <c r="J3471" s="3" t="n"/>
      <c r="K3471" s="3" t="n">
        <v>2.4</v>
      </c>
      <c r="L3471" s="2" t="inlineStr">
        <is>
          <t>TCGplayer</t>
        </is>
      </c>
      <c r="N3471" s="4" t="inlineStr">
        <is>
          <t>https://www.tcgplayer.com/product/587727</t>
        </is>
      </c>
    </row>
    <row r="3472">
      <c r="A3472" s="2" t="inlineStr">
        <is>
          <t>Terastal Fest ex Booster Pack</t>
        </is>
      </c>
      <c r="B3472" s="3">
        <f>IF(H3472&lt;&gt;"",H3472,IF(I3472&lt;&gt;"",I3472,IF(J3472&lt;&gt;"",J3472,K3472)))</f>
        <v>10.66</v>
      </c>
      <c r="C3472" s="3">
        <f>MEDIAN(H3472:K3472)</f>
        <v>9.185</v>
      </c>
      <c r="D3472" s="3">
        <f>ROUND(C3472*(1-Settings!$B$2),2)</f>
        <v>6.43</v>
      </c>
      <c r="E3472" s="2" t="inlineStr">
        <is>
          <t>Pokemon</t>
        </is>
      </c>
      <c r="F3472" s="2" t="inlineStr">
        <is>
          <t>Pack</t>
        </is>
      </c>
      <c r="G3472" s="2" t="inlineStr">
        <is>
          <t>SV8a: Terastal Fest ex</t>
        </is>
      </c>
      <c r="H3472" s="3" t="n"/>
      <c r="I3472" s="3" t="n">
        <v>10.66</v>
      </c>
      <c r="J3472" s="3" t="n"/>
      <c r="K3472" s="3" t="n">
        <v>7.71</v>
      </c>
      <c r="L3472" s="2" t="inlineStr">
        <is>
          <t>TCGplayer</t>
        </is>
      </c>
      <c r="N3472" s="4" t="inlineStr">
        <is>
          <t>https://www.tcgplayer.com/product/603429</t>
        </is>
      </c>
    </row>
    <row r="3473">
      <c r="A3473" s="2" t="inlineStr">
        <is>
          <t>Battle Partner Booster Pack</t>
        </is>
      </c>
      <c r="B3473" s="3">
        <f>IF(H3473&lt;&gt;"",H3473,IF(I3473&lt;&gt;"",I3473,IF(J3473&lt;&gt;"",J3473,K3473)))</f>
        <v>3.77</v>
      </c>
      <c r="C3473" s="3">
        <f>MEDIAN(H3473:K3473)</f>
        <v>2.86</v>
      </c>
      <c r="D3473" s="3">
        <f>ROUND(C3473*(1-Settings!$B$2),2)</f>
        <v>2.0</v>
      </c>
      <c r="E3473" s="2" t="inlineStr">
        <is>
          <t>Pokemon</t>
        </is>
      </c>
      <c r="F3473" s="2" t="inlineStr">
        <is>
          <t>Pack</t>
        </is>
      </c>
      <c r="G3473" s="2" t="inlineStr">
        <is>
          <t>SV9: Battle Partners</t>
        </is>
      </c>
      <c r="H3473" s="3" t="n"/>
      <c r="I3473" s="3" t="n">
        <v>3.77</v>
      </c>
      <c r="J3473" s="3" t="n"/>
      <c r="K3473" s="3" t="n">
        <v>1.95</v>
      </c>
      <c r="L3473" s="2" t="inlineStr">
        <is>
          <t>TCGplayer</t>
        </is>
      </c>
      <c r="N3473" s="4" t="inlineStr">
        <is>
          <t>https://www.tcgplayer.com/product/614703</t>
        </is>
      </c>
    </row>
    <row r="3474">
      <c r="A3474" s="2" t="inlineStr">
        <is>
          <t>Heat Wave Arena Booster Pack</t>
        </is>
      </c>
      <c r="B3474" s="3">
        <f>IF(H3474&lt;&gt;"",H3474,IF(I3474&lt;&gt;"",I3474,IF(J3474&lt;&gt;"",J3474,K3474)))</f>
        <v>3.68</v>
      </c>
      <c r="C3474" s="3">
        <f>MEDIAN(H3474:K3474)</f>
        <v>3.04</v>
      </c>
      <c r="D3474" s="3">
        <f>ROUND(C3474*(1-Settings!$B$2),2)</f>
        <v>2.13</v>
      </c>
      <c r="E3474" s="2" t="inlineStr">
        <is>
          <t>Pokemon</t>
        </is>
      </c>
      <c r="F3474" s="2" t="inlineStr">
        <is>
          <t>Pack</t>
        </is>
      </c>
      <c r="G3474" s="2" t="inlineStr">
        <is>
          <t>SV9a: Heat Wave Arena</t>
        </is>
      </c>
      <c r="H3474" s="3" t="n"/>
      <c r="I3474" s="3" t="n">
        <v>3.68</v>
      </c>
      <c r="J3474" s="3" t="n"/>
      <c r="K3474" s="3" t="n">
        <v>2.4</v>
      </c>
      <c r="L3474" s="2" t="inlineStr">
        <is>
          <t>TCGplayer</t>
        </is>
      </c>
      <c r="N3474" s="4" t="inlineStr">
        <is>
          <t>https://www.tcgplayer.com/product/623311</t>
        </is>
      </c>
    </row>
    <row r="3475">
      <c r="A3475" s="2" t="inlineStr">
        <is>
          <t>Black Bolt Booster Pack</t>
        </is>
      </c>
      <c r="B3475" s="3">
        <f>IF(H3475&lt;&gt;"",H3475,IF(I3475&lt;&gt;"",I3475,IF(J3475&lt;&gt;"",J3475,K3475)))</f>
        <v>15.1</v>
      </c>
      <c r="C3475" s="3">
        <f>MEDIAN(H3475:K3475)</f>
        <v>14.99</v>
      </c>
      <c r="D3475" s="3">
        <f>ROUND(C3475*(1-Settings!$B$2),2)</f>
        <v>10.49</v>
      </c>
      <c r="E3475" s="2" t="inlineStr">
        <is>
          <t>Pokemon</t>
        </is>
      </c>
      <c r="F3475" s="2" t="inlineStr">
        <is>
          <t>Pack</t>
        </is>
      </c>
      <c r="G3475" s="2" t="inlineStr">
        <is>
          <t>SV: Black Bolt</t>
        </is>
      </c>
      <c r="H3475" s="3" t="n">
        <v>15.1</v>
      </c>
      <c r="I3475" s="3" t="n">
        <v>14.88</v>
      </c>
      <c r="J3475" s="3" t="n">
        <v>15.97</v>
      </c>
      <c r="K3475" s="3" t="n">
        <v>4.9</v>
      </c>
      <c r="L3475" s="2" t="inlineStr">
        <is>
          <t>PriceCharting + TCGplayer</t>
        </is>
      </c>
      <c r="M3475" s="4" t="inlineStr">
        <is>
          <t>https://www.pricecharting.com/game/pokemon-black-bolt/booster-pack</t>
        </is>
      </c>
      <c r="N3475" s="4" t="inlineStr">
        <is>
          <t>https://www.tcgplayer.com/product/630434</t>
        </is>
      </c>
    </row>
    <row r="3476">
      <c r="A3476" s="2" t="inlineStr">
        <is>
          <t>Paldean Fates Booster Pack</t>
        </is>
      </c>
      <c r="B3476" s="3">
        <f>IF(H3476&lt;&gt;"",H3476,IF(I3476&lt;&gt;"",I3476,IF(J3476&lt;&gt;"",J3476,K3476)))</f>
        <v>24.61</v>
      </c>
      <c r="C3476" s="3">
        <f>MEDIAN(H3476:K3476)</f>
        <v>24.725</v>
      </c>
      <c r="D3476" s="3">
        <f>ROUND(C3476*(1-Settings!$B$2),2)</f>
        <v>17.31</v>
      </c>
      <c r="E3476" s="2" t="inlineStr">
        <is>
          <t>Pokemon</t>
        </is>
      </c>
      <c r="F3476" s="2" t="inlineStr">
        <is>
          <t>Pack</t>
        </is>
      </c>
      <c r="G3476" s="2" t="inlineStr">
        <is>
          <t>SV: Paldean Fates</t>
        </is>
      </c>
      <c r="H3476" s="3" t="n">
        <v>24.61</v>
      </c>
      <c r="I3476" s="3" t="n">
        <v>24.84</v>
      </c>
      <c r="J3476" s="3" t="n">
        <v>26.5</v>
      </c>
      <c r="K3476" s="3" t="n">
        <v>14.43</v>
      </c>
      <c r="L3476" s="2" t="inlineStr">
        <is>
          <t>PriceCharting + TCGplayer</t>
        </is>
      </c>
      <c r="M3476" s="4" t="inlineStr">
        <is>
          <t>https://www.pricecharting.com/game/pokemon-paldean-fates/booster-pack</t>
        </is>
      </c>
      <c r="N3476" s="4" t="inlineStr">
        <is>
          <t>https://www.tcgplayer.com/product/528038</t>
        </is>
      </c>
    </row>
    <row r="3477">
      <c r="A3477" s="2" t="inlineStr">
        <is>
          <t>Prismatic Evolutions Booster Pack</t>
        </is>
      </c>
      <c r="B3477" s="3">
        <f>IF(H3477&lt;&gt;"",H3477,IF(I3477&lt;&gt;"",I3477,IF(J3477&lt;&gt;"",J3477,K3477)))</f>
        <v>14.63</v>
      </c>
      <c r="C3477" s="3">
        <f>MEDIAN(H3477:K3477)</f>
        <v>14.435</v>
      </c>
      <c r="D3477" s="3">
        <f>ROUND(C3477*(1-Settings!$B$2),2)</f>
        <v>10.1</v>
      </c>
      <c r="E3477" s="2" t="inlineStr">
        <is>
          <t>Pokemon</t>
        </is>
      </c>
      <c r="F3477" s="2" t="inlineStr">
        <is>
          <t>Pack</t>
        </is>
      </c>
      <c r="G3477" s="2" t="inlineStr">
        <is>
          <t>SV: Prismatic Evolutions</t>
        </is>
      </c>
      <c r="H3477" s="3" t="n">
        <v>14.63</v>
      </c>
      <c r="I3477" s="3" t="n">
        <v>14.24</v>
      </c>
      <c r="J3477" s="3" t="n">
        <v>15.08</v>
      </c>
      <c r="K3477" s="3" t="n">
        <v>7.15</v>
      </c>
      <c r="L3477" s="2" t="inlineStr">
        <is>
          <t>PriceCharting + TCGplayer</t>
        </is>
      </c>
      <c r="M3477" s="4" t="inlineStr">
        <is>
          <t>https://www.pricecharting.com/game/pokemon-prismatic-evolutions/booster-pack</t>
        </is>
      </c>
      <c r="N3477" s="4" t="inlineStr">
        <is>
          <t>https://www.tcgplayer.com/product/593294</t>
        </is>
      </c>
    </row>
    <row r="3478">
      <c r="A3478" s="2" t="inlineStr">
        <is>
          <t>151 Booster Pack</t>
        </is>
      </c>
      <c r="B3478" s="3">
        <f>IF(H3478&lt;&gt;"",H3478,IF(I3478&lt;&gt;"",I3478,IF(J3478&lt;&gt;"",J3478,K3478)))</f>
        <v>29.76</v>
      </c>
      <c r="C3478" s="3">
        <f>MEDIAN(H3478:K3478)</f>
        <v>29.76</v>
      </c>
      <c r="D3478" s="3">
        <f>ROUND(C3478*(1-Settings!$B$2),2)</f>
        <v>20.83</v>
      </c>
      <c r="E3478" s="2" t="inlineStr">
        <is>
          <t>Pokemon</t>
        </is>
      </c>
      <c r="F3478" s="2" t="inlineStr">
        <is>
          <t>Pack</t>
        </is>
      </c>
      <c r="G3478" s="2" t="inlineStr">
        <is>
          <t>SV: Scarlet &amp; Violet 151</t>
        </is>
      </c>
      <c r="H3478" s="3" t="n"/>
      <c r="I3478" s="3" t="n">
        <v>29.76</v>
      </c>
      <c r="J3478" s="3" t="n">
        <v>30</v>
      </c>
      <c r="K3478" s="3" t="n">
        <v>22.99</v>
      </c>
      <c r="L3478" s="2" t="inlineStr">
        <is>
          <t>TCGplayer</t>
        </is>
      </c>
      <c r="N3478" s="4" t="inlineStr">
        <is>
          <t>https://www.tcgplayer.com/product/504467</t>
        </is>
      </c>
    </row>
    <row r="3479">
      <c r="A3479" s="2" t="inlineStr">
        <is>
          <t>Shrouded Fable 3 Pack Blister [Pecharunt]</t>
        </is>
      </c>
      <c r="B3479" s="3">
        <f>IF(H3479&lt;&gt;"",H3479,IF(I3479&lt;&gt;"",I3479,IF(J3479&lt;&gt;"",J3479,K3479)))</f>
        <v>34.67</v>
      </c>
      <c r="C3479" s="3">
        <f>MEDIAN(H3479:K3479)</f>
        <v>43.69</v>
      </c>
      <c r="D3479" s="3">
        <f>ROUND(C3479*(1-Settings!$B$2),2)</f>
        <v>30.58</v>
      </c>
      <c r="E3479" s="2" t="inlineStr">
        <is>
          <t>Pokemon</t>
        </is>
      </c>
      <c r="F3479" s="2" t="inlineStr">
        <is>
          <t>Pack</t>
        </is>
      </c>
      <c r="G3479" s="2" t="inlineStr">
        <is>
          <t>SV: Shrouded Fable</t>
        </is>
      </c>
      <c r="H3479" s="3" t="n"/>
      <c r="I3479" s="3" t="n">
        <v>34.67</v>
      </c>
      <c r="J3479" s="3" t="n">
        <v>55</v>
      </c>
      <c r="K3479" s="3" t="n">
        <v>43.69</v>
      </c>
      <c r="L3479" s="2" t="inlineStr">
        <is>
          <t>TCGplayer</t>
        </is>
      </c>
      <c r="N3479" s="4" t="inlineStr">
        <is>
          <t>https://www.tcgplayer.com/product/553007</t>
        </is>
      </c>
    </row>
    <row r="3480">
      <c r="A3480" s="2" t="inlineStr">
        <is>
          <t>Shrouded Fable Booster Pack</t>
        </is>
      </c>
      <c r="B3480" s="3">
        <f>IF(H3480&lt;&gt;"",H3480,IF(I3480&lt;&gt;"",I3480,IF(J3480&lt;&gt;"",J3480,K3480)))</f>
        <v>13.36</v>
      </c>
      <c r="C3480" s="3">
        <f>MEDIAN(H3480:K3480)</f>
        <v>13.905</v>
      </c>
      <c r="D3480" s="3">
        <f>ROUND(C3480*(1-Settings!$B$2),2)</f>
        <v>9.73</v>
      </c>
      <c r="E3480" s="2" t="inlineStr">
        <is>
          <t>Pokemon</t>
        </is>
      </c>
      <c r="F3480" s="2" t="inlineStr">
        <is>
          <t>Pack</t>
        </is>
      </c>
      <c r="G3480" s="2" t="inlineStr">
        <is>
          <t>SV: Shrouded Fable</t>
        </is>
      </c>
      <c r="H3480" s="3" t="n">
        <v>13.36</v>
      </c>
      <c r="I3480" s="3" t="n">
        <v>14.45</v>
      </c>
      <c r="J3480" s="3" t="n">
        <v>14.67</v>
      </c>
      <c r="K3480" s="3" t="n">
        <v>3.99</v>
      </c>
      <c r="L3480" s="2" t="inlineStr">
        <is>
          <t>PriceCharting + TCGplayer</t>
        </is>
      </c>
      <c r="M3480" s="4" t="inlineStr">
        <is>
          <t>https://www.pricecharting.com/game/pokemon-shrouded-fable/booster-pack</t>
        </is>
      </c>
      <c r="N3480" s="4" t="inlineStr">
        <is>
          <t>https://www.tcgplayer.com/product/552997</t>
        </is>
      </c>
    </row>
    <row r="3481">
      <c r="A3481" s="2" t="inlineStr">
        <is>
          <t>White Flare Booster Pack</t>
        </is>
      </c>
      <c r="B3481" s="3">
        <f>IF(H3481&lt;&gt;"",H3481,IF(I3481&lt;&gt;"",I3481,IF(J3481&lt;&gt;"",J3481,K3481)))</f>
        <v>13.73</v>
      </c>
      <c r="C3481" s="3">
        <f>MEDIAN(H3481:K3481)</f>
        <v>13.965</v>
      </c>
      <c r="D3481" s="3">
        <f>ROUND(C3481*(1-Settings!$B$2),2)</f>
        <v>9.78</v>
      </c>
      <c r="E3481" s="2" t="inlineStr">
        <is>
          <t>Pokemon</t>
        </is>
      </c>
      <c r="F3481" s="2" t="inlineStr">
        <is>
          <t>Pack</t>
        </is>
      </c>
      <c r="G3481" s="2" t="inlineStr">
        <is>
          <t>SV: White Flare</t>
        </is>
      </c>
      <c r="H3481" s="3" t="n">
        <v>13.73</v>
      </c>
      <c r="I3481" s="3" t="n">
        <v>14.2</v>
      </c>
      <c r="J3481" s="3" t="n">
        <v>15.99</v>
      </c>
      <c r="K3481" s="3" t="n">
        <v>4.75</v>
      </c>
      <c r="L3481" s="2" t="inlineStr">
        <is>
          <t>PriceCharting + TCGplayer</t>
        </is>
      </c>
      <c r="M3481" s="4" t="inlineStr">
        <is>
          <t>https://www.pricecharting.com/game/pokemon-white-flare/booster-pack</t>
        </is>
      </c>
      <c r="N3481" s="4" t="inlineStr">
        <is>
          <t>https://www.tcgplayer.com/product/630699</t>
        </is>
      </c>
    </row>
    <row r="3482">
      <c r="A3482" s="2" t="inlineStr">
        <is>
          <t>Sword &amp; Shield 3 Pack Blister [Galarian Ponyta]</t>
        </is>
      </c>
      <c r="B3482" s="3">
        <f>IF(H3482&lt;&gt;"",H3482,IF(I3482&lt;&gt;"",I3482,IF(J3482&lt;&gt;"",J3482,K3482)))</f>
        <v>64.96</v>
      </c>
      <c r="C3482" s="3">
        <f>MEDIAN(H3482:K3482)</f>
        <v>64.96</v>
      </c>
      <c r="D3482" s="3">
        <f>ROUND(C3482*(1-Settings!$B$2),2)</f>
        <v>45.47</v>
      </c>
      <c r="E3482" s="2" t="inlineStr">
        <is>
          <t>Pokemon</t>
        </is>
      </c>
      <c r="F3482" s="2" t="inlineStr">
        <is>
          <t>Pack</t>
        </is>
      </c>
      <c r="G3482" s="2" t="inlineStr">
        <is>
          <t>SWSH01: Sword &amp; Shield Base Set</t>
        </is>
      </c>
      <c r="H3482" s="3" t="n"/>
      <c r="I3482" s="3" t="n">
        <v>64.95999999999999</v>
      </c>
      <c r="J3482" s="3" t="n"/>
      <c r="K3482" s="3" t="n"/>
      <c r="L3482" s="2" t="inlineStr">
        <is>
          <t>TCGplayer</t>
        </is>
      </c>
      <c r="N3482" s="4" t="inlineStr">
        <is>
          <t>https://www.tcgplayer.com/product/206030</t>
        </is>
      </c>
    </row>
    <row r="3483">
      <c r="A3483" s="2" t="inlineStr">
        <is>
          <t>Sword &amp; Shield Booster Pack</t>
        </is>
      </c>
      <c r="B3483" s="3">
        <f>IF(H3483&lt;&gt;"",H3483,IF(I3483&lt;&gt;"",I3483,IF(J3483&lt;&gt;"",J3483,K3483)))</f>
        <v>11.09</v>
      </c>
      <c r="C3483" s="3">
        <f>MEDIAN(H3483:K3483)</f>
        <v>11.09</v>
      </c>
      <c r="D3483" s="3">
        <f>ROUND(C3483*(1-Settings!$B$2),2)</f>
        <v>7.76</v>
      </c>
      <c r="E3483" s="2" t="inlineStr">
        <is>
          <t>Pokemon</t>
        </is>
      </c>
      <c r="F3483" s="2" t="inlineStr">
        <is>
          <t>Pack</t>
        </is>
      </c>
      <c r="G3483" s="2" t="inlineStr">
        <is>
          <t>SWSH01: Sword &amp; Shield Base Set</t>
        </is>
      </c>
      <c r="H3483" s="3" t="n"/>
      <c r="I3483" s="3" t="n">
        <v>11.09</v>
      </c>
      <c r="J3483" s="3" t="n">
        <v>12</v>
      </c>
      <c r="K3483" s="3" t="n">
        <v>9.039999999999999</v>
      </c>
      <c r="L3483" s="2" t="inlineStr">
        <is>
          <t>TCGplayer</t>
        </is>
      </c>
      <c r="N3483" s="4" t="inlineStr">
        <is>
          <t>https://www.tcgplayer.com/product/206028</t>
        </is>
      </c>
    </row>
    <row r="3484">
      <c r="A3484" s="2" t="inlineStr">
        <is>
          <t>Sword &amp; Shield Single Blister Pack [Wooloo]</t>
        </is>
      </c>
      <c r="B3484" s="3">
        <f>IF(H3484&lt;&gt;"",H3484,IF(I3484&lt;&gt;"",I3484,IF(J3484&lt;&gt;"",J3484,K3484)))</f>
        <v>18.49</v>
      </c>
      <c r="C3484" s="3">
        <f>MEDIAN(H3484:K3484)</f>
        <v>19.99</v>
      </c>
      <c r="D3484" s="3">
        <f>ROUND(C3484*(1-Settings!$B$2),2)</f>
        <v>13.99</v>
      </c>
      <c r="E3484" s="2" t="inlineStr">
        <is>
          <t>Pokemon</t>
        </is>
      </c>
      <c r="F3484" s="2" t="inlineStr">
        <is>
          <t>Pack</t>
        </is>
      </c>
      <c r="G3484" s="2" t="inlineStr">
        <is>
          <t>SWSH01: Sword &amp; Shield Base Set</t>
        </is>
      </c>
      <c r="H3484" s="3" t="n"/>
      <c r="I3484" s="3" t="n">
        <v>18.49</v>
      </c>
      <c r="J3484" s="3" t="n">
        <v>25</v>
      </c>
      <c r="K3484" s="3" t="n">
        <v>19.99</v>
      </c>
      <c r="L3484" s="2" t="inlineStr">
        <is>
          <t>TCGplayer</t>
        </is>
      </c>
      <c r="N3484" s="4" t="inlineStr">
        <is>
          <t>https://www.tcgplayer.com/product/206031</t>
        </is>
      </c>
    </row>
    <row r="3485">
      <c r="A3485" s="2" t="inlineStr">
        <is>
          <t>Sword and Shield Base Set Sleeved Booster Pack</t>
        </is>
      </c>
      <c r="B3485" s="3">
        <f>IF(H3485&lt;&gt;"",H3485,IF(I3485&lt;&gt;"",I3485,IF(J3485&lt;&gt;"",J3485,K3485)))</f>
        <v>16.44</v>
      </c>
      <c r="C3485" s="3">
        <f>MEDIAN(H3485:K3485)</f>
        <v>16.44</v>
      </c>
      <c r="D3485" s="3">
        <f>ROUND(C3485*(1-Settings!$B$2),2)</f>
        <v>11.51</v>
      </c>
      <c r="E3485" s="2" t="inlineStr">
        <is>
          <t>Pokemon</t>
        </is>
      </c>
      <c r="F3485" s="2" t="inlineStr">
        <is>
          <t>Pack</t>
        </is>
      </c>
      <c r="G3485" s="2" t="inlineStr">
        <is>
          <t>SWSH01: Sword &amp; Shield Base Set</t>
        </is>
      </c>
      <c r="H3485" s="3" t="n"/>
      <c r="I3485" s="3" t="n">
        <v>16.44</v>
      </c>
      <c r="J3485" s="3" t="n">
        <v>19</v>
      </c>
      <c r="K3485" s="3" t="n">
        <v>15.75</v>
      </c>
      <c r="L3485" s="2" t="inlineStr">
        <is>
          <t>TCGplayer</t>
        </is>
      </c>
      <c r="N3485" s="4" t="inlineStr">
        <is>
          <t>https://www.tcgplayer.com/product/263544</t>
        </is>
      </c>
    </row>
    <row r="3486">
      <c r="A3486" s="2" t="inlineStr">
        <is>
          <t>Rebel Clash 3 Pack Blister [Duraludon]</t>
        </is>
      </c>
      <c r="B3486" s="3">
        <f>IF(H3486&lt;&gt;"",H3486,IF(I3486&lt;&gt;"",I3486,IF(J3486&lt;&gt;"",J3486,K3486)))</f>
        <v>42.0</v>
      </c>
      <c r="C3486" s="3">
        <f>MEDIAN(H3486:K3486)</f>
        <v>67.0</v>
      </c>
      <c r="D3486" s="3">
        <f>ROUND(C3486*(1-Settings!$B$2),2)</f>
        <v>46.9</v>
      </c>
      <c r="E3486" s="2" t="inlineStr">
        <is>
          <t>Pokemon</t>
        </is>
      </c>
      <c r="F3486" s="2" t="inlineStr">
        <is>
          <t>Pack</t>
        </is>
      </c>
      <c r="G3486" s="2" t="inlineStr">
        <is>
          <t>SWSH02: Rebel Clash</t>
        </is>
      </c>
      <c r="H3486" s="3" t="n">
        <v>42</v>
      </c>
      <c r="I3486" s="3" t="n">
        <v>59</v>
      </c>
      <c r="J3486" s="3" t="n">
        <v>82.47</v>
      </c>
      <c r="K3486" s="3" t="n">
        <v>75</v>
      </c>
      <c r="L3486" s="2" t="inlineStr">
        <is>
          <t>PriceCharting + TCGplayer</t>
        </is>
      </c>
      <c r="M3486" s="4" t="inlineStr">
        <is>
          <t>https://www.pricecharting.com/game/pokemon-rebel-clash/3-pack-blister-duraludon</t>
        </is>
      </c>
      <c r="N3486" s="4" t="inlineStr">
        <is>
          <t>https://www.tcgplayer.com/product/210567</t>
        </is>
      </c>
    </row>
    <row r="3487">
      <c r="A3487" s="2" t="inlineStr">
        <is>
          <t>Rebel Clash 3 Pack Blister [Rayquaza]</t>
        </is>
      </c>
      <c r="B3487" s="3">
        <f>IF(H3487&lt;&gt;"",H3487,IF(I3487&lt;&gt;"",I3487,IF(J3487&lt;&gt;"",J3487,K3487)))</f>
        <v>67.12</v>
      </c>
      <c r="C3487" s="3">
        <f>MEDIAN(H3487:K3487)</f>
        <v>68.385</v>
      </c>
      <c r="D3487" s="3">
        <f>ROUND(C3487*(1-Settings!$B$2),2)</f>
        <v>47.87</v>
      </c>
      <c r="E3487" s="2" t="inlineStr">
        <is>
          <t>Pokemon</t>
        </is>
      </c>
      <c r="F3487" s="2" t="inlineStr">
        <is>
          <t>Pack</t>
        </is>
      </c>
      <c r="G3487" s="2" t="inlineStr">
        <is>
          <t>SWSH02: Rebel Clash</t>
        </is>
      </c>
      <c r="H3487" s="3" t="n">
        <v>67.12</v>
      </c>
      <c r="I3487" s="3" t="n">
        <v>45.99</v>
      </c>
      <c r="J3487" s="3" t="n">
        <v>84.81999999999999</v>
      </c>
      <c r="K3487" s="3" t="n">
        <v>69.65000000000001</v>
      </c>
      <c r="L3487" s="2" t="inlineStr">
        <is>
          <t>PriceCharting + TCGplayer</t>
        </is>
      </c>
      <c r="M3487" s="4" t="inlineStr">
        <is>
          <t>https://www.pricecharting.com/game/pokemon-rebel-clash/3-pack-blister-rayquaza</t>
        </is>
      </c>
      <c r="N3487" s="4" t="inlineStr">
        <is>
          <t>https://www.tcgplayer.com/product/210568</t>
        </is>
      </c>
    </row>
    <row r="3488">
      <c r="A3488" s="2" t="inlineStr">
        <is>
          <t>Rebel Clash Booster Pack</t>
        </is>
      </c>
      <c r="B3488" s="3">
        <f>IF(H3488&lt;&gt;"",H3488,IF(I3488&lt;&gt;"",I3488,IF(J3488&lt;&gt;"",J3488,K3488)))</f>
        <v>13.26</v>
      </c>
      <c r="C3488" s="3">
        <f>MEDIAN(H3488:K3488)</f>
        <v>12.085</v>
      </c>
      <c r="D3488" s="3">
        <f>ROUND(C3488*(1-Settings!$B$2),2)</f>
        <v>8.46</v>
      </c>
      <c r="E3488" s="2" t="inlineStr">
        <is>
          <t>Pokemon</t>
        </is>
      </c>
      <c r="F3488" s="2" t="inlineStr">
        <is>
          <t>Pack</t>
        </is>
      </c>
      <c r="G3488" s="2" t="inlineStr">
        <is>
          <t>SWSH02: Rebel Clash</t>
        </is>
      </c>
      <c r="H3488" s="3" t="n">
        <v>13.26</v>
      </c>
      <c r="I3488" s="3" t="n">
        <v>12.28</v>
      </c>
      <c r="J3488" s="3" t="n">
        <v>11.89</v>
      </c>
      <c r="K3488" s="3" t="n">
        <v>9.23</v>
      </c>
      <c r="L3488" s="2" t="inlineStr">
        <is>
          <t>PriceCharting + TCGplayer</t>
        </is>
      </c>
      <c r="M3488" s="4" t="inlineStr">
        <is>
          <t>https://www.pricecharting.com/game/pokemon-rebel-clash/booster-pack</t>
        </is>
      </c>
      <c r="N3488" s="4" t="inlineStr">
        <is>
          <t>https://www.tcgplayer.com/product/210562</t>
        </is>
      </c>
    </row>
    <row r="3489">
      <c r="A3489" s="2" t="inlineStr">
        <is>
          <t>Rebel Clash Premium Checklane Blister [Galarian Obstagoon]</t>
        </is>
      </c>
      <c r="B3489" s="3">
        <f>IF(H3489&lt;&gt;"",H3489,IF(I3489&lt;&gt;"",I3489,IF(J3489&lt;&gt;"",J3489,K3489)))</f>
        <v>32.0</v>
      </c>
      <c r="C3489" s="3">
        <f>MEDIAN(H3489:K3489)</f>
        <v>31.990000000000002</v>
      </c>
      <c r="D3489" s="3">
        <f>ROUND(C3489*(1-Settings!$B$2),2)</f>
        <v>22.39</v>
      </c>
      <c r="E3489" s="2" t="inlineStr">
        <is>
          <t>Pokemon</t>
        </is>
      </c>
      <c r="F3489" s="2" t="inlineStr">
        <is>
          <t>Pack</t>
        </is>
      </c>
      <c r="G3489" s="2" t="inlineStr">
        <is>
          <t>SWSH02: Rebel Clash</t>
        </is>
      </c>
      <c r="H3489" s="3" t="n"/>
      <c r="I3489" s="3" t="n"/>
      <c r="J3489" s="3" t="n">
        <v>32</v>
      </c>
      <c r="K3489" s="3" t="n">
        <v>31.98</v>
      </c>
      <c r="L3489" s="2" t="inlineStr">
        <is>
          <t>TCGplayer</t>
        </is>
      </c>
      <c r="N3489" s="4" t="inlineStr">
        <is>
          <t>https://www.tcgplayer.com/product/276576</t>
        </is>
      </c>
    </row>
    <row r="3490">
      <c r="A3490" s="2" t="inlineStr">
        <is>
          <t>Rebel Clash Single Pack Blister [Mantine]</t>
        </is>
      </c>
      <c r="B3490" s="3">
        <f>IF(H3490&lt;&gt;"",H3490,IF(I3490&lt;&gt;"",I3490,IF(J3490&lt;&gt;"",J3490,K3490)))</f>
        <v>67.48</v>
      </c>
      <c r="C3490" s="3">
        <f>MEDIAN(H3490:K3490)</f>
        <v>63.725</v>
      </c>
      <c r="D3490" s="3">
        <f>ROUND(C3490*(1-Settings!$B$2),2)</f>
        <v>44.61</v>
      </c>
      <c r="E3490" s="2" t="inlineStr">
        <is>
          <t>Pokemon</t>
        </is>
      </c>
      <c r="F3490" s="2" t="inlineStr">
        <is>
          <t>Pack</t>
        </is>
      </c>
      <c r="G3490" s="2" t="inlineStr">
        <is>
          <t>SWSH02: Rebel Clash</t>
        </is>
      </c>
      <c r="H3490" s="3" t="n"/>
      <c r="I3490" s="3" t="n"/>
      <c r="J3490" s="3" t="n">
        <v>67.48</v>
      </c>
      <c r="K3490" s="3" t="n">
        <v>59.97</v>
      </c>
      <c r="L3490" s="2" t="inlineStr">
        <is>
          <t>TCGplayer</t>
        </is>
      </c>
      <c r="N3490" s="4" t="inlineStr">
        <is>
          <t>https://www.tcgplayer.com/product/210564</t>
        </is>
      </c>
    </row>
    <row r="3491">
      <c r="A3491" s="2" t="inlineStr">
        <is>
          <t>Rebel Clash Sleeved Booster Pack</t>
        </is>
      </c>
      <c r="B3491" s="3">
        <f>IF(H3491&lt;&gt;"",H3491,IF(I3491&lt;&gt;"",I3491,IF(J3491&lt;&gt;"",J3491,K3491)))</f>
        <v>24.62</v>
      </c>
      <c r="C3491" s="3">
        <f>MEDIAN(H3491:K3491)</f>
        <v>14.884999999999998</v>
      </c>
      <c r="D3491" s="3">
        <f>ROUND(C3491*(1-Settings!$B$2),2)</f>
        <v>10.42</v>
      </c>
      <c r="E3491" s="2" t="inlineStr">
        <is>
          <t>Pokemon</t>
        </is>
      </c>
      <c r="F3491" s="2" t="inlineStr">
        <is>
          <t>Pack</t>
        </is>
      </c>
      <c r="G3491" s="2" t="inlineStr">
        <is>
          <t>SWSH02: Rebel Clash</t>
        </is>
      </c>
      <c r="H3491" s="3" t="n">
        <v>24.62</v>
      </c>
      <c r="I3491" s="3" t="n">
        <v>12.78</v>
      </c>
      <c r="J3491" s="3" t="n">
        <v>16.99</v>
      </c>
      <c r="K3491" s="3" t="n">
        <v>11</v>
      </c>
      <c r="L3491" s="2" t="inlineStr">
        <is>
          <t>PriceCharting + TCGplayer</t>
        </is>
      </c>
      <c r="M3491" s="4" t="inlineStr">
        <is>
          <t>https://www.pricecharting.com/game/pokemon-rebel-clash/sleeved-booster-pack</t>
        </is>
      </c>
      <c r="N3491" s="4" t="inlineStr">
        <is>
          <t>https://www.tcgplayer.com/product/264421</t>
        </is>
      </c>
    </row>
    <row r="3492">
      <c r="A3492" s="2" t="inlineStr">
        <is>
          <t>Darkness Ablaze 3 Pack Blister [Eevee]</t>
        </is>
      </c>
      <c r="B3492" s="3">
        <f>IF(H3492&lt;&gt;"",H3492,IF(I3492&lt;&gt;"",I3492,IF(J3492&lt;&gt;"",J3492,K3492)))</f>
        <v>41.49</v>
      </c>
      <c r="C3492" s="3">
        <f>MEDIAN(H3492:K3492)</f>
        <v>47.89</v>
      </c>
      <c r="D3492" s="3">
        <f>ROUND(C3492*(1-Settings!$B$2),2)</f>
        <v>33.52</v>
      </c>
      <c r="E3492" s="2" t="inlineStr">
        <is>
          <t>Pokemon</t>
        </is>
      </c>
      <c r="F3492" s="2" t="inlineStr">
        <is>
          <t>Pack</t>
        </is>
      </c>
      <c r="G3492" s="2" t="inlineStr">
        <is>
          <t>SWSH03: Darkness Ablaze</t>
        </is>
      </c>
      <c r="H3492" s="3" t="n"/>
      <c r="I3492" s="3" t="n">
        <v>41.49</v>
      </c>
      <c r="J3492" s="3" t="n">
        <v>53.94</v>
      </c>
      <c r="K3492" s="3" t="n">
        <v>47.89</v>
      </c>
      <c r="L3492" s="2" t="inlineStr">
        <is>
          <t>TCGplayer</t>
        </is>
      </c>
      <c r="N3492" s="4" t="inlineStr">
        <is>
          <t>https://www.tcgplayer.com/product/216857</t>
        </is>
      </c>
    </row>
    <row r="3493">
      <c r="A3493" s="2" t="inlineStr">
        <is>
          <t>Darkness Ablaze 3 Pack Blister [Flareon]</t>
        </is>
      </c>
      <c r="B3493" s="3">
        <f>IF(H3493&lt;&gt;"",H3493,IF(I3493&lt;&gt;"",I3493,IF(J3493&lt;&gt;"",J3493,K3493)))</f>
        <v>47.17</v>
      </c>
      <c r="C3493" s="3">
        <f>MEDIAN(H3493:K3493)</f>
        <v>48.93</v>
      </c>
      <c r="D3493" s="3">
        <f>ROUND(C3493*(1-Settings!$B$2),2)</f>
        <v>34.25</v>
      </c>
      <c r="E3493" s="2" t="inlineStr">
        <is>
          <t>Pokemon</t>
        </is>
      </c>
      <c r="F3493" s="2" t="inlineStr">
        <is>
          <t>Pack</t>
        </is>
      </c>
      <c r="G3493" s="2" t="inlineStr">
        <is>
          <t>SWSH03: Darkness Ablaze</t>
        </is>
      </c>
      <c r="H3493" s="3" t="n"/>
      <c r="I3493" s="3" t="n">
        <v>47.17</v>
      </c>
      <c r="J3493" s="3" t="n">
        <v>54.46</v>
      </c>
      <c r="K3493" s="3" t="n">
        <v>48.93</v>
      </c>
      <c r="L3493" s="2" t="inlineStr">
        <is>
          <t>TCGplayer</t>
        </is>
      </c>
      <c r="N3493" s="4" t="inlineStr">
        <is>
          <t>https://www.tcgplayer.com/product/216858</t>
        </is>
      </c>
    </row>
    <row r="3494">
      <c r="A3494" s="2" t="inlineStr">
        <is>
          <t>Darkness Ablaze Booster Pack</t>
        </is>
      </c>
      <c r="B3494" s="3">
        <f>IF(H3494&lt;&gt;"",H3494,IF(I3494&lt;&gt;"",I3494,IF(J3494&lt;&gt;"",J3494,K3494)))</f>
        <v>7.0</v>
      </c>
      <c r="C3494" s="3">
        <f>MEDIAN(H3494:K3494)</f>
        <v>8.695</v>
      </c>
      <c r="D3494" s="3">
        <f>ROUND(C3494*(1-Settings!$B$2),2)</f>
        <v>6.09</v>
      </c>
      <c r="E3494" s="2" t="inlineStr">
        <is>
          <t>Pokemon</t>
        </is>
      </c>
      <c r="F3494" s="2" t="inlineStr">
        <is>
          <t>Pack</t>
        </is>
      </c>
      <c r="G3494" s="2" t="inlineStr">
        <is>
          <t>SWSH03: Darkness Ablaze</t>
        </is>
      </c>
      <c r="H3494" s="3" t="n">
        <v>7</v>
      </c>
      <c r="I3494" s="3" t="n">
        <v>9.85</v>
      </c>
      <c r="J3494" s="3" t="n">
        <v>10.49</v>
      </c>
      <c r="K3494" s="3" t="n">
        <v>7.54</v>
      </c>
      <c r="L3494" s="2" t="inlineStr">
        <is>
          <t>PriceCharting + TCGplayer</t>
        </is>
      </c>
      <c r="M3494" s="4" t="inlineStr">
        <is>
          <t>https://www.pricecharting.com/game/pokemon-darkness-ablaze/booster-pack</t>
        </is>
      </c>
      <c r="N3494" s="4" t="inlineStr">
        <is>
          <t>https://www.tcgplayer.com/product/216852</t>
        </is>
      </c>
    </row>
    <row r="3495">
      <c r="A3495" s="2" t="inlineStr">
        <is>
          <t>Darkness Ablaze Fun Pack</t>
        </is>
      </c>
      <c r="B3495" s="3">
        <f>IF(H3495&lt;&gt;"",H3495,IF(I3495&lt;&gt;"",I3495,IF(J3495&lt;&gt;"",J3495,K3495)))</f>
        <v>3.99</v>
      </c>
      <c r="C3495" s="3">
        <f>MEDIAN(H3495:K3495)</f>
        <v>51.495</v>
      </c>
      <c r="D3495" s="3">
        <f>ROUND(C3495*(1-Settings!$B$2),2)</f>
        <v>36.05</v>
      </c>
      <c r="E3495" s="2" t="inlineStr">
        <is>
          <t>Pokemon</t>
        </is>
      </c>
      <c r="F3495" s="2" t="inlineStr">
        <is>
          <t>Pack</t>
        </is>
      </c>
      <c r="G3495" s="2" t="inlineStr">
        <is>
          <t>SWSH03: Darkness Ablaze</t>
        </is>
      </c>
      <c r="H3495" s="3" t="n">
        <v>3.99</v>
      </c>
      <c r="I3495" s="3" t="n">
        <v>3.55</v>
      </c>
      <c r="J3495" s="3" t="n">
        <v>99</v>
      </c>
      <c r="K3495" s="3" t="n">
        <v>99</v>
      </c>
      <c r="L3495" s="2" t="inlineStr">
        <is>
          <t>PriceCharting + TCGplayer</t>
        </is>
      </c>
      <c r="M3495" s="4" t="inlineStr">
        <is>
          <t>https://www.pricecharting.com/game/pokemon-darkness-ablaze/fun-pack</t>
        </is>
      </c>
      <c r="N3495" s="4" t="inlineStr">
        <is>
          <t>https://www.tcgplayer.com/product/653206</t>
        </is>
      </c>
    </row>
    <row r="3496">
      <c r="A3496" s="2" t="inlineStr">
        <is>
          <t>Darkness Ablaze Premium Checklane Blister</t>
        </is>
      </c>
      <c r="B3496" s="3">
        <f>IF(H3496&lt;&gt;"",H3496,IF(I3496&lt;&gt;"",I3496,IF(J3496&lt;&gt;"",J3496,K3496)))</f>
        <v>22.7</v>
      </c>
      <c r="C3496" s="3">
        <f>MEDIAN(H3496:K3496)</f>
        <v>25.5</v>
      </c>
      <c r="D3496" s="3">
        <f>ROUND(C3496*(1-Settings!$B$2),2)</f>
        <v>17.85</v>
      </c>
      <c r="E3496" s="2" t="inlineStr">
        <is>
          <t>Pokemon</t>
        </is>
      </c>
      <c r="F3496" s="2" t="inlineStr">
        <is>
          <t>Pack</t>
        </is>
      </c>
      <c r="G3496" s="2" t="inlineStr">
        <is>
          <t>SWSH03: Darkness Ablaze</t>
        </is>
      </c>
      <c r="H3496" s="3" t="n"/>
      <c r="I3496" s="3" t="n">
        <v>22.7</v>
      </c>
      <c r="J3496" s="3" t="n">
        <v>25.5</v>
      </c>
      <c r="K3496" s="3" t="n">
        <v>25.5</v>
      </c>
      <c r="L3496" s="2" t="inlineStr">
        <is>
          <t>TCGplayer</t>
        </is>
      </c>
      <c r="N3496" s="4" t="inlineStr">
        <is>
          <t>https://www.tcgplayer.com/product/216863</t>
        </is>
      </c>
    </row>
    <row r="3497">
      <c r="A3497" s="2" t="inlineStr">
        <is>
          <t>Darkness Ablaze Premium Checklane Blister [Dragapult]</t>
        </is>
      </c>
      <c r="B3497" s="3">
        <f>IF(H3497&lt;&gt;"",H3497,IF(I3497&lt;&gt;"",I3497,IF(J3497&lt;&gt;"",J3497,K3497)))</f>
        <v>20.0</v>
      </c>
      <c r="C3497" s="3">
        <f>MEDIAN(H3497:K3497)</f>
        <v>20.0</v>
      </c>
      <c r="D3497" s="3">
        <f>ROUND(C3497*(1-Settings!$B$2),2)</f>
        <v>14.0</v>
      </c>
      <c r="E3497" s="2" t="inlineStr">
        <is>
          <t>Pokemon</t>
        </is>
      </c>
      <c r="F3497" s="2" t="inlineStr">
        <is>
          <t>Pack</t>
        </is>
      </c>
      <c r="G3497" s="2" t="inlineStr">
        <is>
          <t>SWSH03: Darkness Ablaze</t>
        </is>
      </c>
      <c r="H3497" s="3" t="n"/>
      <c r="I3497" s="3" t="n">
        <v>20</v>
      </c>
      <c r="J3497" s="3" t="n"/>
      <c r="K3497" s="3" t="n"/>
      <c r="L3497" s="2" t="inlineStr">
        <is>
          <t>TCGplayer</t>
        </is>
      </c>
      <c r="N3497" s="4" t="inlineStr">
        <is>
          <t>https://www.tcgplayer.com/product/220108</t>
        </is>
      </c>
    </row>
    <row r="3498">
      <c r="A3498" s="2" t="inlineStr">
        <is>
          <t>Darkness Ablaze Single Pack Blister [Hatenna]</t>
        </is>
      </c>
      <c r="B3498" s="3">
        <f>IF(H3498&lt;&gt;"",H3498,IF(I3498&lt;&gt;"",I3498,IF(J3498&lt;&gt;"",J3498,K3498)))</f>
        <v>13.64</v>
      </c>
      <c r="C3498" s="3">
        <f>MEDIAN(H3498:K3498)</f>
        <v>14.25</v>
      </c>
      <c r="D3498" s="3">
        <f>ROUND(C3498*(1-Settings!$B$2),2)</f>
        <v>9.98</v>
      </c>
      <c r="E3498" s="2" t="inlineStr">
        <is>
          <t>Pokemon</t>
        </is>
      </c>
      <c r="F3498" s="2" t="inlineStr">
        <is>
          <t>Pack</t>
        </is>
      </c>
      <c r="G3498" s="2" t="inlineStr">
        <is>
          <t>SWSH03: Darkness Ablaze</t>
        </is>
      </c>
      <c r="H3498" s="3" t="n"/>
      <c r="I3498" s="3" t="n">
        <v>13.64</v>
      </c>
      <c r="J3498" s="3" t="n">
        <v>20</v>
      </c>
      <c r="K3498" s="3" t="n">
        <v>14.25</v>
      </c>
      <c r="L3498" s="2" t="inlineStr">
        <is>
          <t>TCGplayer</t>
        </is>
      </c>
      <c r="N3498" s="4" t="inlineStr">
        <is>
          <t>https://www.tcgplayer.com/product/216859</t>
        </is>
      </c>
    </row>
    <row r="3499">
      <c r="A3499" s="2" t="inlineStr">
        <is>
          <t>Darkness Ablaze Single Pack Blister [Pikachu]</t>
        </is>
      </c>
      <c r="B3499" s="3">
        <f>IF(H3499&lt;&gt;"",H3499,IF(I3499&lt;&gt;"",I3499,IF(J3499&lt;&gt;"",J3499,K3499)))</f>
        <v>35.21</v>
      </c>
      <c r="C3499" s="3">
        <f>MEDIAN(H3499:K3499)</f>
        <v>39.99</v>
      </c>
      <c r="D3499" s="3">
        <f>ROUND(C3499*(1-Settings!$B$2),2)</f>
        <v>27.99</v>
      </c>
      <c r="E3499" s="2" t="inlineStr">
        <is>
          <t>Pokemon</t>
        </is>
      </c>
      <c r="F3499" s="2" t="inlineStr">
        <is>
          <t>Pack</t>
        </is>
      </c>
      <c r="G3499" s="2" t="inlineStr">
        <is>
          <t>SWSH03: Darkness Ablaze</t>
        </is>
      </c>
      <c r="H3499" s="3" t="n"/>
      <c r="I3499" s="3" t="n">
        <v>35.21</v>
      </c>
      <c r="J3499" s="3" t="n">
        <v>59.99</v>
      </c>
      <c r="K3499" s="3" t="n">
        <v>39.99</v>
      </c>
      <c r="L3499" s="2" t="inlineStr">
        <is>
          <t>TCGplayer</t>
        </is>
      </c>
      <c r="N3499" s="4" t="inlineStr">
        <is>
          <t>https://www.tcgplayer.com/product/216860</t>
        </is>
      </c>
    </row>
    <row r="3500">
      <c r="A3500" s="2" t="inlineStr">
        <is>
          <t>Darkness Ablaze Sleeved Booster Pack</t>
        </is>
      </c>
      <c r="B3500" s="3">
        <f>IF(H3500&lt;&gt;"",H3500,IF(I3500&lt;&gt;"",I3500,IF(J3500&lt;&gt;"",J3500,K3500)))</f>
        <v>11.45</v>
      </c>
      <c r="C3500" s="3">
        <f>MEDIAN(H3500:K3500)</f>
        <v>11.565</v>
      </c>
      <c r="D3500" s="3">
        <f>ROUND(C3500*(1-Settings!$B$2),2)</f>
        <v>8.1</v>
      </c>
      <c r="E3500" s="2" t="inlineStr">
        <is>
          <t>Pokemon</t>
        </is>
      </c>
      <c r="F3500" s="2" t="inlineStr">
        <is>
          <t>Pack</t>
        </is>
      </c>
      <c r="G3500" s="2" t="inlineStr">
        <is>
          <t>SWSH03: Darkness Ablaze</t>
        </is>
      </c>
      <c r="H3500" s="3" t="n">
        <v>11.45</v>
      </c>
      <c r="I3500" s="3" t="n">
        <v>11.68</v>
      </c>
      <c r="J3500" s="3" t="n">
        <v>13.49</v>
      </c>
      <c r="K3500" s="3" t="n">
        <v>10</v>
      </c>
      <c r="L3500" s="2" t="inlineStr">
        <is>
          <t>PriceCharting + TCGplayer</t>
        </is>
      </c>
      <c r="M3500" s="4" t="inlineStr">
        <is>
          <t>https://www.pricecharting.com/game/pokemon-darkness-ablaze/sleeved-booster-pack</t>
        </is>
      </c>
      <c r="N3500" s="4" t="inlineStr">
        <is>
          <t>https://www.tcgplayer.com/product/257320</t>
        </is>
      </c>
    </row>
    <row r="3501">
      <c r="A3501" s="2" t="inlineStr">
        <is>
          <t>Sword &amp; Shield Single Blister Pack [Cufant &amp; Copperajah]</t>
        </is>
      </c>
      <c r="B3501" s="3">
        <f>IF(H3501&lt;&gt;"",H3501,IF(I3501&lt;&gt;"",I3501,IF(J3501&lt;&gt;"",J3501,K3501)))</f>
        <v>10.0</v>
      </c>
      <c r="C3501" s="3">
        <f>MEDIAN(H3501:K3501)</f>
        <v>10.0</v>
      </c>
      <c r="D3501" s="3">
        <f>ROUND(C3501*(1-Settings!$B$2),2)</f>
        <v>7.0</v>
      </c>
      <c r="E3501" s="2" t="inlineStr">
        <is>
          <t>Pokemon</t>
        </is>
      </c>
      <c r="F3501" s="2" t="inlineStr">
        <is>
          <t>Pack</t>
        </is>
      </c>
      <c r="G3501" s="2" t="inlineStr">
        <is>
          <t>SWSH03: Darkness Ablaze</t>
        </is>
      </c>
      <c r="H3501" s="3" t="n"/>
      <c r="I3501" s="3" t="n">
        <v>10</v>
      </c>
      <c r="J3501" s="3" t="n"/>
      <c r="K3501" s="3" t="n"/>
      <c r="L3501" s="2" t="inlineStr">
        <is>
          <t>TCGplayer</t>
        </is>
      </c>
      <c r="N3501" s="4" t="inlineStr">
        <is>
          <t>https://www.tcgplayer.com/product/668526</t>
        </is>
      </c>
    </row>
    <row r="3502">
      <c r="A3502" s="2" t="inlineStr">
        <is>
          <t>Vivid Voltage 3 Pack Blister [Sobble]</t>
        </is>
      </c>
      <c r="B3502" s="3">
        <f>IF(H3502&lt;&gt;"",H3502,IF(I3502&lt;&gt;"",I3502,IF(J3502&lt;&gt;"",J3502,K3502)))</f>
        <v>43.65</v>
      </c>
      <c r="C3502" s="3">
        <f>MEDIAN(H3502:K3502)</f>
        <v>52.38</v>
      </c>
      <c r="D3502" s="3">
        <f>ROUND(C3502*(1-Settings!$B$2),2)</f>
        <v>36.67</v>
      </c>
      <c r="E3502" s="2" t="inlineStr">
        <is>
          <t>Pokemon</t>
        </is>
      </c>
      <c r="F3502" s="2" t="inlineStr">
        <is>
          <t>Pack</t>
        </is>
      </c>
      <c r="G3502" s="2" t="inlineStr">
        <is>
          <t>SWSH04: Vivid Voltage</t>
        </is>
      </c>
      <c r="H3502" s="3" t="n"/>
      <c r="I3502" s="3" t="n">
        <v>43.65</v>
      </c>
      <c r="J3502" s="3" t="n">
        <v>88.69</v>
      </c>
      <c r="K3502" s="3" t="n">
        <v>52.38</v>
      </c>
      <c r="L3502" s="2" t="inlineStr">
        <is>
          <t>TCGplayer</t>
        </is>
      </c>
      <c r="N3502" s="4" t="inlineStr">
        <is>
          <t>https://www.tcgplayer.com/product/221744</t>
        </is>
      </c>
    </row>
    <row r="3503">
      <c r="A3503" s="2" t="inlineStr">
        <is>
          <t>Vivid Voltage Booster Pack</t>
        </is>
      </c>
      <c r="B3503" s="3">
        <f>IF(H3503&lt;&gt;"",H3503,IF(I3503&lt;&gt;"",I3503,IF(J3503&lt;&gt;"",J3503,K3503)))</f>
        <v>11.01</v>
      </c>
      <c r="C3503" s="3">
        <f>MEDIAN(H3503:K3503)</f>
        <v>11.004999999999999</v>
      </c>
      <c r="D3503" s="3">
        <f>ROUND(C3503*(1-Settings!$B$2),2)</f>
        <v>7.7</v>
      </c>
      <c r="E3503" s="2" t="inlineStr">
        <is>
          <t>Pokemon</t>
        </is>
      </c>
      <c r="F3503" s="2" t="inlineStr">
        <is>
          <t>Pack</t>
        </is>
      </c>
      <c r="G3503" s="2" t="inlineStr">
        <is>
          <t>SWSH04: Vivid Voltage</t>
        </is>
      </c>
      <c r="H3503" s="3" t="n">
        <v>11.01</v>
      </c>
      <c r="I3503" s="3" t="n">
        <v>11.09</v>
      </c>
      <c r="J3503" s="3" t="n">
        <v>11</v>
      </c>
      <c r="K3503" s="3" t="n">
        <v>6</v>
      </c>
      <c r="L3503" s="2" t="inlineStr">
        <is>
          <t>PriceCharting + TCGplayer</t>
        </is>
      </c>
      <c r="M3503" s="4" t="inlineStr">
        <is>
          <t>https://www.pricecharting.com/game/pokemon-vivid-voltage/booster-pack</t>
        </is>
      </c>
      <c r="N3503" s="4" t="inlineStr">
        <is>
          <t>https://www.tcgplayer.com/product/221312</t>
        </is>
      </c>
    </row>
    <row r="3504">
      <c r="A3504" s="2" t="inlineStr">
        <is>
          <t>Vivid Voltage Premium Checklane Blister [Appletun]</t>
        </is>
      </c>
      <c r="B3504" s="3">
        <f>IF(H3504&lt;&gt;"",H3504,IF(I3504&lt;&gt;"",I3504,IF(J3504&lt;&gt;"",J3504,K3504)))</f>
        <v>10.0</v>
      </c>
      <c r="C3504" s="3">
        <f>MEDIAN(H3504:K3504)</f>
        <v>10.0</v>
      </c>
      <c r="D3504" s="3">
        <f>ROUND(C3504*(1-Settings!$B$2),2)</f>
        <v>7.0</v>
      </c>
      <c r="E3504" s="2" t="inlineStr">
        <is>
          <t>Pokemon</t>
        </is>
      </c>
      <c r="F3504" s="2" t="inlineStr">
        <is>
          <t>Pack</t>
        </is>
      </c>
      <c r="G3504" s="2" t="inlineStr">
        <is>
          <t>SWSH04: Vivid Voltage</t>
        </is>
      </c>
      <c r="H3504" s="3" t="n"/>
      <c r="I3504" s="3" t="n">
        <v>10</v>
      </c>
      <c r="J3504" s="3" t="n"/>
      <c r="K3504" s="3" t="n"/>
      <c r="L3504" s="2" t="inlineStr">
        <is>
          <t>TCGplayer</t>
        </is>
      </c>
      <c r="N3504" s="4" t="inlineStr">
        <is>
          <t>https://www.tcgplayer.com/product/230087</t>
        </is>
      </c>
    </row>
    <row r="3505">
      <c r="A3505" s="2" t="inlineStr">
        <is>
          <t>Vivid Voltage Single Pack Blister [Grookey]</t>
        </is>
      </c>
      <c r="B3505" s="3">
        <f>IF(H3505&lt;&gt;"",H3505,IF(I3505&lt;&gt;"",I3505,IF(J3505&lt;&gt;"",J3505,K3505)))</f>
        <v>17.36</v>
      </c>
      <c r="C3505" s="3">
        <f>MEDIAN(H3505:K3505)</f>
        <v>17.36</v>
      </c>
      <c r="D3505" s="3">
        <f>ROUND(C3505*(1-Settings!$B$2),2)</f>
        <v>12.15</v>
      </c>
      <c r="E3505" s="2" t="inlineStr">
        <is>
          <t>Pokemon</t>
        </is>
      </c>
      <c r="F3505" s="2" t="inlineStr">
        <is>
          <t>Pack</t>
        </is>
      </c>
      <c r="G3505" s="2" t="inlineStr">
        <is>
          <t>SWSH04: Vivid Voltage</t>
        </is>
      </c>
      <c r="H3505" s="3" t="n"/>
      <c r="I3505" s="3" t="n">
        <v>17.36</v>
      </c>
      <c r="J3505" s="3" t="n">
        <v>19.96</v>
      </c>
      <c r="K3505" s="3" t="n">
        <v>15.39</v>
      </c>
      <c r="L3505" s="2" t="inlineStr">
        <is>
          <t>TCGplayer</t>
        </is>
      </c>
      <c r="N3505" s="4" t="inlineStr">
        <is>
          <t>https://www.tcgplayer.com/product/221746</t>
        </is>
      </c>
    </row>
    <row r="3506">
      <c r="A3506" s="2" t="inlineStr">
        <is>
          <t>Vivid Voltage Single Pack Blister [Scorbunny]</t>
        </is>
      </c>
      <c r="B3506" s="3">
        <f>IF(H3506&lt;&gt;"",H3506,IF(I3506&lt;&gt;"",I3506,IF(J3506&lt;&gt;"",J3506,K3506)))</f>
        <v>19.73</v>
      </c>
      <c r="C3506" s="3">
        <f>MEDIAN(H3506:K3506)</f>
        <v>18.240000000000002</v>
      </c>
      <c r="D3506" s="3">
        <f>ROUND(C3506*(1-Settings!$B$2),2)</f>
        <v>12.77</v>
      </c>
      <c r="E3506" s="2" t="inlineStr">
        <is>
          <t>Pokemon</t>
        </is>
      </c>
      <c r="F3506" s="2" t="inlineStr">
        <is>
          <t>Pack</t>
        </is>
      </c>
      <c r="G3506" s="2" t="inlineStr">
        <is>
          <t>SWSH04: Vivid Voltage</t>
        </is>
      </c>
      <c r="H3506" s="3" t="n">
        <v>19.73</v>
      </c>
      <c r="I3506" s="3" t="n">
        <v>16.75</v>
      </c>
      <c r="J3506" s="3" t="n">
        <v>25.99</v>
      </c>
      <c r="K3506" s="3" t="n">
        <v>15.39</v>
      </c>
      <c r="L3506" s="2" t="inlineStr">
        <is>
          <t>PriceCharting + TCGplayer</t>
        </is>
      </c>
      <c r="M3506" s="4" t="inlineStr">
        <is>
          <t>https://www.pricecharting.com/game/pokemon-vivid-voltage/single-pack-blister-scorbunny</t>
        </is>
      </c>
      <c r="N3506" s="4" t="inlineStr">
        <is>
          <t>https://www.tcgplayer.com/product/221747</t>
        </is>
      </c>
    </row>
    <row r="3507">
      <c r="A3507" s="2" t="inlineStr">
        <is>
          <t>Vivid Voltage Sleeved Booster Pack</t>
        </is>
      </c>
      <c r="B3507" s="3">
        <f>IF(H3507&lt;&gt;"",H3507,IF(I3507&lt;&gt;"",I3507,IF(J3507&lt;&gt;"",J3507,K3507)))</f>
        <v>12.5</v>
      </c>
      <c r="C3507" s="3">
        <f>MEDIAN(H3507:K3507)</f>
        <v>12.335</v>
      </c>
      <c r="D3507" s="3">
        <f>ROUND(C3507*(1-Settings!$B$2),2)</f>
        <v>8.63</v>
      </c>
      <c r="E3507" s="2" t="inlineStr">
        <is>
          <t>Pokemon</t>
        </is>
      </c>
      <c r="F3507" s="2" t="inlineStr">
        <is>
          <t>Pack</t>
        </is>
      </c>
      <c r="G3507" s="2" t="inlineStr">
        <is>
          <t>SWSH04: Vivid Voltage</t>
        </is>
      </c>
      <c r="H3507" s="3" t="n">
        <v>12.5</v>
      </c>
      <c r="I3507" s="3" t="n">
        <v>12.17</v>
      </c>
      <c r="J3507" s="3" t="n">
        <v>16.99</v>
      </c>
      <c r="K3507" s="3" t="n">
        <v>7</v>
      </c>
      <c r="L3507" s="2" t="inlineStr">
        <is>
          <t>PriceCharting + TCGplayer</t>
        </is>
      </c>
      <c r="M3507" s="4" t="inlineStr">
        <is>
          <t>https://www.pricecharting.com/game/pokemon-vivid-voltage/sleeved-booster-pack</t>
        </is>
      </c>
      <c r="N3507" s="4" t="inlineStr">
        <is>
          <t>https://www.tcgplayer.com/product/245143</t>
        </is>
      </c>
    </row>
    <row r="3508">
      <c r="A3508" s="2" t="inlineStr">
        <is>
          <t>Battle Styles 3 Pack Blister [Eevee]</t>
        </is>
      </c>
      <c r="B3508" s="3">
        <f>IF(H3508&lt;&gt;"",H3508,IF(I3508&lt;&gt;"",I3508,IF(J3508&lt;&gt;"",J3508,K3508)))</f>
        <v>28.32</v>
      </c>
      <c r="C3508" s="3">
        <f>MEDIAN(H3508:K3508)</f>
        <v>30.0</v>
      </c>
      <c r="D3508" s="3">
        <f>ROUND(C3508*(1-Settings!$B$2),2)</f>
        <v>21.0</v>
      </c>
      <c r="E3508" s="2" t="inlineStr">
        <is>
          <t>Pokemon</t>
        </is>
      </c>
      <c r="F3508" s="2" t="inlineStr">
        <is>
          <t>Pack</t>
        </is>
      </c>
      <c r="G3508" s="2" t="inlineStr">
        <is>
          <t>SWSH05: Battle Styles</t>
        </is>
      </c>
      <c r="H3508" s="3" t="n"/>
      <c r="I3508" s="3" t="n">
        <v>28.32</v>
      </c>
      <c r="J3508" s="3" t="n">
        <v>43.34</v>
      </c>
      <c r="K3508" s="3" t="n">
        <v>30</v>
      </c>
      <c r="L3508" s="2" t="inlineStr">
        <is>
          <t>TCGplayer</t>
        </is>
      </c>
      <c r="N3508" s="4" t="inlineStr">
        <is>
          <t>https://www.tcgplayer.com/product/229283</t>
        </is>
      </c>
    </row>
    <row r="3509">
      <c r="A3509" s="2" t="inlineStr">
        <is>
          <t>Battle Styles 3 Pack Blister [Jolteon]</t>
        </is>
      </c>
      <c r="B3509" s="3">
        <f>IF(H3509&lt;&gt;"",H3509,IF(I3509&lt;&gt;"",I3509,IF(J3509&lt;&gt;"",J3509,K3509)))</f>
        <v>39.48</v>
      </c>
      <c r="C3509" s="3">
        <f>MEDIAN(H3509:K3509)</f>
        <v>38.48</v>
      </c>
      <c r="D3509" s="3">
        <f>ROUND(C3509*(1-Settings!$B$2),2)</f>
        <v>26.94</v>
      </c>
      <c r="E3509" s="2" t="inlineStr">
        <is>
          <t>Pokemon</t>
        </is>
      </c>
      <c r="F3509" s="2" t="inlineStr">
        <is>
          <t>Pack</t>
        </is>
      </c>
      <c r="G3509" s="2" t="inlineStr">
        <is>
          <t>SWSH05: Battle Styles</t>
        </is>
      </c>
      <c r="H3509" s="3" t="n"/>
      <c r="I3509" s="3" t="n">
        <v>39.48</v>
      </c>
      <c r="J3509" s="3" t="n">
        <v>38.48</v>
      </c>
      <c r="K3509" s="3" t="n">
        <v>30</v>
      </c>
      <c r="L3509" s="2" t="inlineStr">
        <is>
          <t>TCGplayer</t>
        </is>
      </c>
      <c r="N3509" s="4" t="inlineStr">
        <is>
          <t>https://www.tcgplayer.com/product/229282</t>
        </is>
      </c>
    </row>
    <row r="3510">
      <c r="A3510" s="2" t="inlineStr">
        <is>
          <t>Battle Styles Booster Pack</t>
        </is>
      </c>
      <c r="B3510" s="3">
        <f>IF(H3510&lt;&gt;"",H3510,IF(I3510&lt;&gt;"",I3510,IF(J3510&lt;&gt;"",J3510,K3510)))</f>
        <v>9.52</v>
      </c>
      <c r="C3510" s="3">
        <f>MEDIAN(H3510:K3510)</f>
        <v>9.53</v>
      </c>
      <c r="D3510" s="3">
        <f>ROUND(C3510*(1-Settings!$B$2),2)</f>
        <v>6.67</v>
      </c>
      <c r="E3510" s="2" t="inlineStr">
        <is>
          <t>Pokemon</t>
        </is>
      </c>
      <c r="F3510" s="2" t="inlineStr">
        <is>
          <t>Pack</t>
        </is>
      </c>
      <c r="G3510" s="2" t="inlineStr">
        <is>
          <t>SWSH05: Battle Styles</t>
        </is>
      </c>
      <c r="H3510" s="3" t="n">
        <v>9.52</v>
      </c>
      <c r="I3510" s="3" t="n">
        <v>9.56</v>
      </c>
      <c r="J3510" s="3" t="n">
        <v>9.539999999999999</v>
      </c>
      <c r="K3510" s="3" t="n">
        <v>7.99</v>
      </c>
      <c r="L3510" s="2" t="inlineStr">
        <is>
          <t>PriceCharting + TCGplayer</t>
        </is>
      </c>
      <c r="M3510" s="4" t="inlineStr">
        <is>
          <t>https://www.pricecharting.com/game/pokemon-battle-styles/booster-pack</t>
        </is>
      </c>
      <c r="N3510" s="4" t="inlineStr">
        <is>
          <t>https://www.tcgplayer.com/product/229276</t>
        </is>
      </c>
    </row>
    <row r="3511">
      <c r="A3511" s="2" t="inlineStr">
        <is>
          <t>Battle Styles Premium Checklane Blister [Golisopod]</t>
        </is>
      </c>
      <c r="B3511" s="3">
        <f>IF(H3511&lt;&gt;"",H3511,IF(I3511&lt;&gt;"",I3511,IF(J3511&lt;&gt;"",J3511,K3511)))</f>
        <v>19.0</v>
      </c>
      <c r="C3511" s="3">
        <f>MEDIAN(H3511:K3511)</f>
        <v>19.0</v>
      </c>
      <c r="D3511" s="3">
        <f>ROUND(C3511*(1-Settings!$B$2),2)</f>
        <v>13.3</v>
      </c>
      <c r="E3511" s="2" t="inlineStr">
        <is>
          <t>Pokemon</t>
        </is>
      </c>
      <c r="F3511" s="2" t="inlineStr">
        <is>
          <t>Pack</t>
        </is>
      </c>
      <c r="G3511" s="2" t="inlineStr">
        <is>
          <t>SWSH05: Battle Styles</t>
        </is>
      </c>
      <c r="H3511" s="3" t="n"/>
      <c r="I3511" s="3" t="n">
        <v>19</v>
      </c>
      <c r="J3511" s="3" t="n"/>
      <c r="K3511" s="3" t="n"/>
      <c r="L3511" s="2" t="inlineStr">
        <is>
          <t>TCGplayer</t>
        </is>
      </c>
      <c r="N3511" s="4" t="inlineStr">
        <is>
          <t>https://www.tcgplayer.com/product/236457</t>
        </is>
      </c>
    </row>
    <row r="3512">
      <c r="A3512" s="2" t="inlineStr">
        <is>
          <t>Battle Styles Single Pack Blister [Arrokuda]</t>
        </is>
      </c>
      <c r="B3512" s="3">
        <f>IF(H3512&lt;&gt;"",H3512,IF(I3512&lt;&gt;"",I3512,IF(J3512&lt;&gt;"",J3512,K3512)))</f>
        <v>11.05</v>
      </c>
      <c r="C3512" s="3">
        <f>MEDIAN(H3512:K3512)</f>
        <v>11.95</v>
      </c>
      <c r="D3512" s="3">
        <f>ROUND(C3512*(1-Settings!$B$2),2)</f>
        <v>8.37</v>
      </c>
      <c r="E3512" s="2" t="inlineStr">
        <is>
          <t>Pokemon</t>
        </is>
      </c>
      <c r="F3512" s="2" t="inlineStr">
        <is>
          <t>Pack</t>
        </is>
      </c>
      <c r="G3512" s="2" t="inlineStr">
        <is>
          <t>SWSH05: Battle Styles</t>
        </is>
      </c>
      <c r="H3512" s="3" t="n"/>
      <c r="I3512" s="3" t="n">
        <v>11.05</v>
      </c>
      <c r="J3512" s="3" t="n">
        <v>11.95</v>
      </c>
      <c r="K3512" s="3" t="n">
        <v>11.95</v>
      </c>
      <c r="L3512" s="2" t="inlineStr">
        <is>
          <t>TCGplayer</t>
        </is>
      </c>
      <c r="N3512" s="4" t="inlineStr">
        <is>
          <t>https://www.tcgplayer.com/product/229281</t>
        </is>
      </c>
    </row>
    <row r="3513">
      <c r="A3513" s="2" t="inlineStr">
        <is>
          <t>Battle Styles Sleeved Booster Pack</t>
        </is>
      </c>
      <c r="B3513" s="3">
        <f>IF(H3513&lt;&gt;"",H3513,IF(I3513&lt;&gt;"",I3513,IF(J3513&lt;&gt;"",J3513,K3513)))</f>
        <v>9.99</v>
      </c>
      <c r="C3513" s="3">
        <f>MEDIAN(H3513:K3513)</f>
        <v>10.27</v>
      </c>
      <c r="D3513" s="3">
        <f>ROUND(C3513*(1-Settings!$B$2),2)</f>
        <v>7.19</v>
      </c>
      <c r="E3513" s="2" t="inlineStr">
        <is>
          <t>Pokemon</t>
        </is>
      </c>
      <c r="F3513" s="2" t="inlineStr">
        <is>
          <t>Pack</t>
        </is>
      </c>
      <c r="G3513" s="2" t="inlineStr">
        <is>
          <t>SWSH05: Battle Styles</t>
        </is>
      </c>
      <c r="H3513" s="3" t="n">
        <v>9.99</v>
      </c>
      <c r="I3513" s="3" t="n">
        <v>10.27</v>
      </c>
      <c r="J3513" s="3" t="n">
        <v>14.49</v>
      </c>
      <c r="K3513" s="3" t="n">
        <v>10.27</v>
      </c>
      <c r="L3513" s="2" t="inlineStr">
        <is>
          <t>PriceCharting + TCGplayer</t>
        </is>
      </c>
      <c r="M3513" s="4" t="inlineStr">
        <is>
          <t>https://www.pricecharting.com/game/pokemon-battle-styles/sleeved-booster-pack</t>
        </is>
      </c>
      <c r="N3513" s="4" t="inlineStr">
        <is>
          <t>https://www.tcgplayer.com/product/251879</t>
        </is>
      </c>
    </row>
    <row r="3514">
      <c r="A3514" s="2" t="inlineStr">
        <is>
          <t>Chilling Reign 2 Pack Blister [Galarian Zapdos V, Articuno V, Moltres V]</t>
        </is>
      </c>
      <c r="B3514" s="3">
        <f>IF(H3514&lt;&gt;"",H3514,IF(I3514&lt;&gt;"",I3514,IF(J3514&lt;&gt;"",J3514,K3514)))</f>
        <v>44.73</v>
      </c>
      <c r="C3514" s="3">
        <f>MEDIAN(H3514:K3514)</f>
        <v>44.73</v>
      </c>
      <c r="D3514" s="3">
        <f>ROUND(C3514*(1-Settings!$B$2),2)</f>
        <v>31.31</v>
      </c>
      <c r="E3514" s="2" t="inlineStr">
        <is>
          <t>Pokemon</t>
        </is>
      </c>
      <c r="F3514" s="2" t="inlineStr">
        <is>
          <t>Pack</t>
        </is>
      </c>
      <c r="G3514" s="2" t="inlineStr">
        <is>
          <t>SWSH06: Chilling Reign</t>
        </is>
      </c>
      <c r="H3514" s="3" t="n"/>
      <c r="I3514" s="3" t="n">
        <v>44.73</v>
      </c>
      <c r="J3514" s="3" t="n">
        <v>49.7</v>
      </c>
      <c r="K3514" s="3" t="n">
        <v>41</v>
      </c>
      <c r="L3514" s="2" t="inlineStr">
        <is>
          <t>TCGplayer</t>
        </is>
      </c>
      <c r="N3514" s="4" t="inlineStr">
        <is>
          <t>https://www.tcgplayer.com/product/245856</t>
        </is>
      </c>
    </row>
    <row r="3515">
      <c r="A3515" s="2" t="inlineStr">
        <is>
          <t>Chilling Reign 3 Pack Blister [Eevee]</t>
        </is>
      </c>
      <c r="B3515" s="3">
        <f>IF(H3515&lt;&gt;"",H3515,IF(I3515&lt;&gt;"",I3515,IF(J3515&lt;&gt;"",J3515,K3515)))</f>
        <v>49.11</v>
      </c>
      <c r="C3515" s="3">
        <f>MEDIAN(H3515:K3515)</f>
        <v>55.335</v>
      </c>
      <c r="D3515" s="3">
        <f>ROUND(C3515*(1-Settings!$B$2),2)</f>
        <v>38.73</v>
      </c>
      <c r="E3515" s="2" t="inlineStr">
        <is>
          <t>Pokemon</t>
        </is>
      </c>
      <c r="F3515" s="2" t="inlineStr">
        <is>
          <t>Pack</t>
        </is>
      </c>
      <c r="G3515" s="2" t="inlineStr">
        <is>
          <t>SWSH06: Chilling Reign</t>
        </is>
      </c>
      <c r="H3515" s="3" t="n">
        <v>49.11</v>
      </c>
      <c r="I3515" s="3" t="n">
        <v>52.67</v>
      </c>
      <c r="J3515" s="3" t="n">
        <v>66.97</v>
      </c>
      <c r="K3515" s="3" t="n">
        <v>58</v>
      </c>
      <c r="L3515" s="2" t="inlineStr">
        <is>
          <t>PriceCharting + TCGplayer</t>
        </is>
      </c>
      <c r="M3515" s="4" t="inlineStr">
        <is>
          <t>https://www.pricecharting.com/game/pokemon-chilling-reign/3-pack-blister-eevee</t>
        </is>
      </c>
      <c r="N3515" s="4" t="inlineStr">
        <is>
          <t>https://www.tcgplayer.com/product/236268</t>
        </is>
      </c>
    </row>
    <row r="3516">
      <c r="A3516" s="2" t="inlineStr">
        <is>
          <t>Chilling Reign Booster Pack</t>
        </is>
      </c>
      <c r="B3516" s="3">
        <f>IF(H3516&lt;&gt;"",H3516,IF(I3516&lt;&gt;"",I3516,IF(J3516&lt;&gt;"",J3516,K3516)))</f>
        <v>13.5</v>
      </c>
      <c r="C3516" s="3">
        <f>MEDIAN(H3516:K3516)</f>
        <v>12.675</v>
      </c>
      <c r="D3516" s="3">
        <f>ROUND(C3516*(1-Settings!$B$2),2)</f>
        <v>8.87</v>
      </c>
      <c r="E3516" s="2" t="inlineStr">
        <is>
          <t>Pokemon</t>
        </is>
      </c>
      <c r="F3516" s="2" t="inlineStr">
        <is>
          <t>Pack</t>
        </is>
      </c>
      <c r="G3516" s="2" t="inlineStr">
        <is>
          <t>SWSH06: Chilling Reign</t>
        </is>
      </c>
      <c r="H3516" s="3" t="n">
        <v>13.5</v>
      </c>
      <c r="I3516" s="3" t="n">
        <v>12.52</v>
      </c>
      <c r="J3516" s="3" t="n">
        <v>12.83</v>
      </c>
      <c r="K3516" s="3" t="n">
        <v>9</v>
      </c>
      <c r="L3516" s="2" t="inlineStr">
        <is>
          <t>PriceCharting + TCGplayer</t>
        </is>
      </c>
      <c r="M3516" s="4" t="inlineStr">
        <is>
          <t>https://www.pricecharting.com/game/pokemon-chilling-reign/booster-pack</t>
        </is>
      </c>
      <c r="N3516" s="4" t="inlineStr">
        <is>
          <t>https://www.tcgplayer.com/product/236257</t>
        </is>
      </c>
    </row>
    <row r="3517">
      <c r="A3517" s="2" t="inlineStr">
        <is>
          <t>Chilling Reign Fun Pack</t>
        </is>
      </c>
      <c r="B3517" s="3">
        <f>IF(H3517&lt;&gt;"",H3517,IF(I3517&lt;&gt;"",I3517,IF(J3517&lt;&gt;"",J3517,K3517)))</f>
        <v>11.99</v>
      </c>
      <c r="C3517" s="3">
        <f>MEDIAN(H3517:K3517)</f>
        <v>12.2</v>
      </c>
      <c r="D3517" s="3">
        <f>ROUND(C3517*(1-Settings!$B$2),2)</f>
        <v>8.54</v>
      </c>
      <c r="E3517" s="2" t="inlineStr">
        <is>
          <t>Pokemon</t>
        </is>
      </c>
      <c r="F3517" s="2" t="inlineStr">
        <is>
          <t>Pack</t>
        </is>
      </c>
      <c r="G3517" s="2" t="inlineStr">
        <is>
          <t>SWSH06: Chilling Reign</t>
        </is>
      </c>
      <c r="H3517" s="3" t="n"/>
      <c r="I3517" s="3" t="n">
        <v>11.99</v>
      </c>
      <c r="J3517" s="3" t="n">
        <v>12.36</v>
      </c>
      <c r="K3517" s="3" t="n">
        <v>12.2</v>
      </c>
      <c r="L3517" s="2" t="inlineStr">
        <is>
          <t>TCGplayer</t>
        </is>
      </c>
      <c r="N3517" s="4" t="inlineStr">
        <is>
          <t>https://www.tcgplayer.com/product/702296</t>
        </is>
      </c>
    </row>
    <row r="3518">
      <c r="A3518" s="2" t="inlineStr">
        <is>
          <t>Chilling Reign Premium Checklane Blister [Blaziken]</t>
        </is>
      </c>
      <c r="B3518" s="3">
        <f>IF(H3518&lt;&gt;"",H3518,IF(I3518&lt;&gt;"",I3518,IF(J3518&lt;&gt;"",J3518,K3518)))</f>
        <v>33.98</v>
      </c>
      <c r="C3518" s="3">
        <f>MEDIAN(H3518:K3518)</f>
        <v>35.0</v>
      </c>
      <c r="D3518" s="3">
        <f>ROUND(C3518*(1-Settings!$B$2),2)</f>
        <v>24.5</v>
      </c>
      <c r="E3518" s="2" t="inlineStr">
        <is>
          <t>Pokemon</t>
        </is>
      </c>
      <c r="F3518" s="2" t="inlineStr">
        <is>
          <t>Pack</t>
        </is>
      </c>
      <c r="G3518" s="2" t="inlineStr">
        <is>
          <t>SWSH06: Chilling Reign</t>
        </is>
      </c>
      <c r="H3518" s="3" t="n"/>
      <c r="I3518" s="3" t="n">
        <v>33.98</v>
      </c>
      <c r="J3518" s="3" t="n">
        <v>35</v>
      </c>
      <c r="K3518" s="3" t="n">
        <v>35</v>
      </c>
      <c r="L3518" s="2" t="inlineStr">
        <is>
          <t>TCGplayer</t>
        </is>
      </c>
      <c r="N3518" s="4" t="inlineStr">
        <is>
          <t>https://www.tcgplayer.com/product/236276</t>
        </is>
      </c>
    </row>
    <row r="3519">
      <c r="A3519" s="2" t="inlineStr">
        <is>
          <t>Chilling Reign Premium Checklane Blister [Decidueye]</t>
        </is>
      </c>
      <c r="B3519" s="3">
        <f>IF(H3519&lt;&gt;"",H3519,IF(I3519&lt;&gt;"",I3519,IF(J3519&lt;&gt;"",J3519,K3519)))</f>
        <v>12.0</v>
      </c>
      <c r="C3519" s="3">
        <f>MEDIAN(H3519:K3519)</f>
        <v>25.0</v>
      </c>
      <c r="D3519" s="3">
        <f>ROUND(C3519*(1-Settings!$B$2),2)</f>
        <v>17.5</v>
      </c>
      <c r="E3519" s="2" t="inlineStr">
        <is>
          <t>Pokemon</t>
        </is>
      </c>
      <c r="F3519" s="2" t="inlineStr">
        <is>
          <t>Pack</t>
        </is>
      </c>
      <c r="G3519" s="2" t="inlineStr">
        <is>
          <t>SWSH06: Chilling Reign</t>
        </is>
      </c>
      <c r="H3519" s="3" t="n"/>
      <c r="I3519" s="3" t="n">
        <v>12</v>
      </c>
      <c r="J3519" s="3" t="n">
        <v>25</v>
      </c>
      <c r="K3519" s="3" t="n">
        <v>25</v>
      </c>
      <c r="L3519" s="2" t="inlineStr">
        <is>
          <t>TCGplayer</t>
        </is>
      </c>
      <c r="N3519" s="4" t="inlineStr">
        <is>
          <t>https://www.tcgplayer.com/product/236278</t>
        </is>
      </c>
    </row>
    <row r="3520">
      <c r="A3520" s="2" t="inlineStr">
        <is>
          <t>Chilling Reign Single Pack Blister [Morpeko]</t>
        </is>
      </c>
      <c r="B3520" s="3">
        <f>IF(H3520&lt;&gt;"",H3520,IF(I3520&lt;&gt;"",I3520,IF(J3520&lt;&gt;"",J3520,K3520)))</f>
        <v>22.24</v>
      </c>
      <c r="C3520" s="3">
        <f>MEDIAN(H3520:K3520)</f>
        <v>22.24</v>
      </c>
      <c r="D3520" s="3">
        <f>ROUND(C3520*(1-Settings!$B$2),2)</f>
        <v>15.57</v>
      </c>
      <c r="E3520" s="2" t="inlineStr">
        <is>
          <t>Pokemon</t>
        </is>
      </c>
      <c r="F3520" s="2" t="inlineStr">
        <is>
          <t>Pack</t>
        </is>
      </c>
      <c r="G3520" s="2" t="inlineStr">
        <is>
          <t>SWSH06: Chilling Reign</t>
        </is>
      </c>
      <c r="H3520" s="3" t="n"/>
      <c r="I3520" s="3" t="n">
        <v>22.24</v>
      </c>
      <c r="J3520" s="3" t="n">
        <v>23.68</v>
      </c>
      <c r="K3520" s="3" t="n">
        <v>15</v>
      </c>
      <c r="L3520" s="2" t="inlineStr">
        <is>
          <t>TCGplayer</t>
        </is>
      </c>
      <c r="N3520" s="4" t="inlineStr">
        <is>
          <t>https://www.tcgplayer.com/product/236273</t>
        </is>
      </c>
    </row>
    <row r="3521">
      <c r="A3521" s="2" t="inlineStr">
        <is>
          <t>Chilling Reign Single Pack Blister [Phanpy]</t>
        </is>
      </c>
      <c r="B3521" s="3">
        <f>IF(H3521&lt;&gt;"",H3521,IF(I3521&lt;&gt;"",I3521,IF(J3521&lt;&gt;"",J3521,K3521)))</f>
        <v>22.29</v>
      </c>
      <c r="C3521" s="3">
        <f>MEDIAN(H3521:K3521)</f>
        <v>22.29</v>
      </c>
      <c r="D3521" s="3">
        <f>ROUND(C3521*(1-Settings!$B$2),2)</f>
        <v>15.6</v>
      </c>
      <c r="E3521" s="2" t="inlineStr">
        <is>
          <t>Pokemon</t>
        </is>
      </c>
      <c r="F3521" s="2" t="inlineStr">
        <is>
          <t>Pack</t>
        </is>
      </c>
      <c r="G3521" s="2" t="inlineStr">
        <is>
          <t>SWSH06: Chilling Reign</t>
        </is>
      </c>
      <c r="H3521" s="3" t="n"/>
      <c r="I3521" s="3" t="n">
        <v>22.29</v>
      </c>
      <c r="J3521" s="3" t="n">
        <v>22.68</v>
      </c>
      <c r="K3521" s="3" t="n">
        <v>17.56</v>
      </c>
      <c r="L3521" s="2" t="inlineStr">
        <is>
          <t>TCGplayer</t>
        </is>
      </c>
      <c r="N3521" s="4" t="inlineStr">
        <is>
          <t>https://www.tcgplayer.com/product/236272</t>
        </is>
      </c>
    </row>
    <row r="3522">
      <c r="A3522" s="2" t="inlineStr">
        <is>
          <t>Chilling Reign Sleeved Booster Pack</t>
        </is>
      </c>
      <c r="B3522" s="3">
        <f>IF(H3522&lt;&gt;"",H3522,IF(I3522&lt;&gt;"",I3522,IF(J3522&lt;&gt;"",J3522,K3522)))</f>
        <v>19.74</v>
      </c>
      <c r="C3522" s="3">
        <f>MEDIAN(H3522:K3522)</f>
        <v>19.659999999999997</v>
      </c>
      <c r="D3522" s="3">
        <f>ROUND(C3522*(1-Settings!$B$2),2)</f>
        <v>13.76</v>
      </c>
      <c r="E3522" s="2" t="inlineStr">
        <is>
          <t>Pokemon</t>
        </is>
      </c>
      <c r="F3522" s="2" t="inlineStr">
        <is>
          <t>Pack</t>
        </is>
      </c>
      <c r="G3522" s="2" t="inlineStr">
        <is>
          <t>SWSH06: Chilling Reign</t>
        </is>
      </c>
      <c r="H3522" s="3" t="n">
        <v>19.74</v>
      </c>
      <c r="I3522" s="3" t="n">
        <v>19.58</v>
      </c>
      <c r="J3522" s="3" t="n">
        <v>20</v>
      </c>
      <c r="K3522" s="3" t="n">
        <v>18.49</v>
      </c>
      <c r="L3522" s="2" t="inlineStr">
        <is>
          <t>PriceCharting + TCGplayer</t>
        </is>
      </c>
      <c r="M3522" s="4" t="inlineStr">
        <is>
          <t>https://www.pricecharting.com/game/pokemon-chilling-reign/sleeved-booster-pack</t>
        </is>
      </c>
      <c r="N3522" s="4" t="inlineStr">
        <is>
          <t>https://www.tcgplayer.com/product/242013</t>
        </is>
      </c>
    </row>
    <row r="3523">
      <c r="A3523" s="2" t="inlineStr">
        <is>
          <t>Evolving Skies 3 Pack Blister [Eiscue]</t>
        </is>
      </c>
      <c r="B3523" s="3">
        <f>IF(H3523&lt;&gt;"",H3523,IF(I3523&lt;&gt;"",I3523,IF(J3523&lt;&gt;"",J3523,K3523)))</f>
        <v>186.48</v>
      </c>
      <c r="C3523" s="3">
        <f>MEDIAN(H3523:K3523)</f>
        <v>211.35</v>
      </c>
      <c r="D3523" s="3">
        <f>ROUND(C3523*(1-Settings!$B$2),2)</f>
        <v>147.95</v>
      </c>
      <c r="E3523" s="2" t="inlineStr">
        <is>
          <t>Pokemon</t>
        </is>
      </c>
      <c r="F3523" s="2" t="inlineStr">
        <is>
          <t>Pack</t>
        </is>
      </c>
      <c r="G3523" s="2" t="inlineStr">
        <is>
          <t>SWSH07: Evolving Skies</t>
        </is>
      </c>
      <c r="H3523" s="3" t="n">
        <v>186.48</v>
      </c>
      <c r="I3523" s="3" t="n">
        <v>222.7</v>
      </c>
      <c r="J3523" s="3" t="n">
        <v>249.97</v>
      </c>
      <c r="K3523" s="3" t="n">
        <v>200</v>
      </c>
      <c r="L3523" s="2" t="inlineStr">
        <is>
          <t>PriceCharting + TCGplayer</t>
        </is>
      </c>
      <c r="M3523" s="4" t="inlineStr">
        <is>
          <t>https://www.pricecharting.com/game/pokemon-evolving-skies/3-pack-blister-eiscue</t>
        </is>
      </c>
      <c r="N3523" s="4" t="inlineStr">
        <is>
          <t>https://www.tcgplayer.com/product/242435</t>
        </is>
      </c>
    </row>
    <row r="3524">
      <c r="A3524" s="2" t="inlineStr">
        <is>
          <t>Evolving Skies 3 Pack Blister [Umbreon]</t>
        </is>
      </c>
      <c r="B3524" s="3">
        <f>IF(H3524&lt;&gt;"",H3524,IF(I3524&lt;&gt;"",I3524,IF(J3524&lt;&gt;"",J3524,K3524)))</f>
        <v>78.84</v>
      </c>
      <c r="C3524" s="3">
        <f>MEDIAN(H3524:K3524)</f>
        <v>251.15</v>
      </c>
      <c r="D3524" s="3">
        <f>ROUND(C3524*(1-Settings!$B$2),2)</f>
        <v>175.81</v>
      </c>
      <c r="E3524" s="2" t="inlineStr">
        <is>
          <t>Pokemon</t>
        </is>
      </c>
      <c r="F3524" s="2" t="inlineStr">
        <is>
          <t>Pack</t>
        </is>
      </c>
      <c r="G3524" s="2" t="inlineStr">
        <is>
          <t>SWSH07: Evolving Skies</t>
        </is>
      </c>
      <c r="H3524" s="3" t="n">
        <v>78.84</v>
      </c>
      <c r="I3524" s="3" t="n">
        <v>247.31</v>
      </c>
      <c r="J3524" s="3" t="n">
        <v>309.99</v>
      </c>
      <c r="K3524" s="3" t="n">
        <v>254.99</v>
      </c>
      <c r="L3524" s="2" t="inlineStr">
        <is>
          <t>PriceCharting + TCGplayer</t>
        </is>
      </c>
      <c r="M3524" s="4" t="inlineStr">
        <is>
          <t>https://www.pricecharting.com/game/pokemon-evolving-skies/3-pack-blister-umbreon</t>
        </is>
      </c>
      <c r="N3524" s="4" t="inlineStr">
        <is>
          <t>https://www.tcgplayer.com/product/242444</t>
        </is>
      </c>
    </row>
    <row r="3525">
      <c r="A3525" s="2" t="inlineStr">
        <is>
          <t>Evolving Skies Booster Pack</t>
        </is>
      </c>
      <c r="B3525" s="3">
        <f>IF(H3525&lt;&gt;"",H3525,IF(I3525&lt;&gt;"",I3525,IF(J3525&lt;&gt;"",J3525,K3525)))</f>
        <v>43.97</v>
      </c>
      <c r="C3525" s="3">
        <f>MEDIAN(H3525:K3525)</f>
        <v>44.8</v>
      </c>
      <c r="D3525" s="3">
        <f>ROUND(C3525*(1-Settings!$B$2),2)</f>
        <v>31.36</v>
      </c>
      <c r="E3525" s="2" t="inlineStr">
        <is>
          <t>Pokemon</t>
        </is>
      </c>
      <c r="F3525" s="2" t="inlineStr">
        <is>
          <t>Pack</t>
        </is>
      </c>
      <c r="G3525" s="2" t="inlineStr">
        <is>
          <t>SWSH07: Evolving Skies</t>
        </is>
      </c>
      <c r="H3525" s="3" t="n">
        <v>43.97</v>
      </c>
      <c r="I3525" s="3" t="n">
        <v>45.63</v>
      </c>
      <c r="J3525" s="3" t="n">
        <v>50</v>
      </c>
      <c r="K3525" s="3" t="n">
        <v>7.5</v>
      </c>
      <c r="L3525" s="2" t="inlineStr">
        <is>
          <t>PriceCharting + TCGplayer</t>
        </is>
      </c>
      <c r="M3525" s="4" t="inlineStr">
        <is>
          <t>https://www.pricecharting.com/game/pokemon-evolving-skies/booster-pack</t>
        </is>
      </c>
      <c r="N3525" s="4" t="inlineStr">
        <is>
          <t>https://www.tcgplayer.com/product/244337</t>
        </is>
      </c>
    </row>
    <row r="3526">
      <c r="A3526" s="2" t="inlineStr">
        <is>
          <t>Evolving Skies Fun Pack</t>
        </is>
      </c>
      <c r="B3526" s="3">
        <f>IF(H3526&lt;&gt;"",H3526,IF(I3526&lt;&gt;"",I3526,IF(J3526&lt;&gt;"",J3526,K3526)))</f>
        <v>18.88</v>
      </c>
      <c r="C3526" s="3">
        <f>MEDIAN(H3526:K3526)</f>
        <v>21.88</v>
      </c>
      <c r="D3526" s="3">
        <f>ROUND(C3526*(1-Settings!$B$2),2)</f>
        <v>15.32</v>
      </c>
      <c r="E3526" s="2" t="inlineStr">
        <is>
          <t>Pokemon</t>
        </is>
      </c>
      <c r="F3526" s="2" t="inlineStr">
        <is>
          <t>Pack</t>
        </is>
      </c>
      <c r="G3526" s="2" t="inlineStr">
        <is>
          <t>SWSH07: Evolving Skies</t>
        </is>
      </c>
      <c r="H3526" s="3" t="n">
        <v>18.88</v>
      </c>
      <c r="I3526" s="3" t="n"/>
      <c r="J3526" s="3" t="n"/>
      <c r="K3526" s="3" t="n">
        <v>24.88</v>
      </c>
      <c r="L3526" s="2" t="inlineStr">
        <is>
          <t>PriceCharting + TCGplayer</t>
        </is>
      </c>
      <c r="M3526" s="4" t="inlineStr">
        <is>
          <t>https://www.pricecharting.com/game/pokemon-evolving-skies/fun-pack</t>
        </is>
      </c>
      <c r="N3526" s="4" t="inlineStr">
        <is>
          <t>https://www.tcgplayer.com/product/662620</t>
        </is>
      </c>
    </row>
    <row r="3527">
      <c r="A3527" s="2" t="inlineStr">
        <is>
          <t>Evolving Skies Premium Checklane Blister [Houndoom]</t>
        </is>
      </c>
      <c r="B3527" s="3">
        <f>IF(H3527&lt;&gt;"",H3527,IF(I3527&lt;&gt;"",I3527,IF(J3527&lt;&gt;"",J3527,K3527)))</f>
        <v>102.98</v>
      </c>
      <c r="C3527" s="3">
        <f>MEDIAN(H3527:K3527)</f>
        <v>102.0</v>
      </c>
      <c r="D3527" s="3">
        <f>ROUND(C3527*(1-Settings!$B$2),2)</f>
        <v>71.4</v>
      </c>
      <c r="E3527" s="2" t="inlineStr">
        <is>
          <t>Pokemon</t>
        </is>
      </c>
      <c r="F3527" s="2" t="inlineStr">
        <is>
          <t>Pack</t>
        </is>
      </c>
      <c r="G3527" s="2" t="inlineStr">
        <is>
          <t>SWSH07: Evolving Skies</t>
        </is>
      </c>
      <c r="H3527" s="3" t="n"/>
      <c r="I3527" s="3" t="n">
        <v>102.98</v>
      </c>
      <c r="J3527" s="3" t="n">
        <v>102</v>
      </c>
      <c r="K3527" s="3" t="n">
        <v>102</v>
      </c>
      <c r="L3527" s="2" t="inlineStr">
        <is>
          <t>TCGplayer</t>
        </is>
      </c>
      <c r="N3527" s="4" t="inlineStr">
        <is>
          <t>https://www.tcgplayer.com/product/247603</t>
        </is>
      </c>
    </row>
    <row r="3528">
      <c r="A3528" s="2" t="inlineStr">
        <is>
          <t>Evolving Skies Single Pack Blister [Eevee]</t>
        </is>
      </c>
      <c r="B3528" s="3">
        <f>IF(H3528&lt;&gt;"",H3528,IF(I3528&lt;&gt;"",I3528,IF(J3528&lt;&gt;"",J3528,K3528)))</f>
        <v>79.74</v>
      </c>
      <c r="C3528" s="3">
        <f>MEDIAN(H3528:K3528)</f>
        <v>89.0</v>
      </c>
      <c r="D3528" s="3">
        <f>ROUND(C3528*(1-Settings!$B$2),2)</f>
        <v>62.3</v>
      </c>
      <c r="E3528" s="2" t="inlineStr">
        <is>
          <t>Pokemon</t>
        </is>
      </c>
      <c r="F3528" s="2" t="inlineStr">
        <is>
          <t>Pack</t>
        </is>
      </c>
      <c r="G3528" s="2" t="inlineStr">
        <is>
          <t>SWSH07: Evolving Skies</t>
        </is>
      </c>
      <c r="H3528" s="3" t="n"/>
      <c r="I3528" s="3" t="n">
        <v>79.73999999999999</v>
      </c>
      <c r="J3528" s="3" t="n">
        <v>167.49</v>
      </c>
      <c r="K3528" s="3" t="n">
        <v>89</v>
      </c>
      <c r="L3528" s="2" t="inlineStr">
        <is>
          <t>TCGplayer</t>
        </is>
      </c>
      <c r="N3528" s="4" t="inlineStr">
        <is>
          <t>https://www.tcgplayer.com/product/242447</t>
        </is>
      </c>
    </row>
    <row r="3529">
      <c r="A3529" s="2" t="inlineStr">
        <is>
          <t>Evolving Skies Single Pack Blister [Galarian Slowpoke]</t>
        </is>
      </c>
      <c r="B3529" s="3">
        <f>IF(H3529&lt;&gt;"",H3529,IF(I3529&lt;&gt;"",I3529,IF(J3529&lt;&gt;"",J3529,K3529)))</f>
        <v>75.34</v>
      </c>
      <c r="C3529" s="3">
        <f>MEDIAN(H3529:K3529)</f>
        <v>75.34</v>
      </c>
      <c r="D3529" s="3">
        <f>ROUND(C3529*(1-Settings!$B$2),2)</f>
        <v>52.74</v>
      </c>
      <c r="E3529" s="2" t="inlineStr">
        <is>
          <t>Pokemon</t>
        </is>
      </c>
      <c r="F3529" s="2" t="inlineStr">
        <is>
          <t>Pack</t>
        </is>
      </c>
      <c r="G3529" s="2" t="inlineStr">
        <is>
          <t>SWSH07: Evolving Skies</t>
        </is>
      </c>
      <c r="H3529" s="3" t="n"/>
      <c r="I3529" s="3" t="n">
        <v>75.34</v>
      </c>
      <c r="J3529" s="3" t="n">
        <v>99.98999999999999</v>
      </c>
      <c r="K3529" s="3" t="n">
        <v>75</v>
      </c>
      <c r="L3529" s="2" t="inlineStr">
        <is>
          <t>TCGplayer</t>
        </is>
      </c>
      <c r="N3529" s="4" t="inlineStr">
        <is>
          <t>https://www.tcgplayer.com/product/242448</t>
        </is>
      </c>
    </row>
    <row r="3530">
      <c r="A3530" s="2" t="inlineStr">
        <is>
          <t>Evolving Skies Single Pack Blister [Octillery]</t>
        </is>
      </c>
      <c r="B3530" s="3">
        <f>IF(H3530&lt;&gt;"",H3530,IF(I3530&lt;&gt;"",I3530,IF(J3530&lt;&gt;"",J3530,K3530)))</f>
        <v>59.0</v>
      </c>
      <c r="C3530" s="3">
        <f>MEDIAN(H3530:K3530)</f>
        <v>97.0</v>
      </c>
      <c r="D3530" s="3">
        <f>ROUND(C3530*(1-Settings!$B$2),2)</f>
        <v>67.9</v>
      </c>
      <c r="E3530" s="2" t="inlineStr">
        <is>
          <t>Pokemon</t>
        </is>
      </c>
      <c r="F3530" s="2" t="inlineStr">
        <is>
          <t>Pack</t>
        </is>
      </c>
      <c r="G3530" s="2" t="inlineStr">
        <is>
          <t>SWSH07: Evolving Skies</t>
        </is>
      </c>
      <c r="H3530" s="3" t="n"/>
      <c r="I3530" s="3" t="n">
        <v>59</v>
      </c>
      <c r="J3530" s="3" t="n">
        <v>98.5</v>
      </c>
      <c r="K3530" s="3" t="n">
        <v>97</v>
      </c>
      <c r="L3530" s="2" t="inlineStr">
        <is>
          <t>TCGplayer</t>
        </is>
      </c>
      <c r="N3530" s="4" t="inlineStr">
        <is>
          <t>https://www.tcgplayer.com/product/247604</t>
        </is>
      </c>
    </row>
    <row r="3531">
      <c r="A3531" s="2" t="inlineStr">
        <is>
          <t>Evolving Skies Sleeved Booster Pack</t>
        </is>
      </c>
      <c r="B3531" s="3">
        <f>IF(H3531&lt;&gt;"",H3531,IF(I3531&lt;&gt;"",I3531,IF(J3531&lt;&gt;"",J3531,K3531)))</f>
        <v>60.2</v>
      </c>
      <c r="C3531" s="3">
        <f>MEDIAN(H3531:K3531)</f>
        <v>60.125</v>
      </c>
      <c r="D3531" s="3">
        <f>ROUND(C3531*(1-Settings!$B$2),2)</f>
        <v>42.09</v>
      </c>
      <c r="E3531" s="2" t="inlineStr">
        <is>
          <t>Pokemon</t>
        </is>
      </c>
      <c r="F3531" s="2" t="inlineStr">
        <is>
          <t>Pack</t>
        </is>
      </c>
      <c r="G3531" s="2" t="inlineStr">
        <is>
          <t>SWSH07: Evolving Skies</t>
        </is>
      </c>
      <c r="H3531" s="3" t="n">
        <v>60.2</v>
      </c>
      <c r="I3531" s="3" t="n">
        <v>60.05</v>
      </c>
      <c r="J3531" s="3" t="n">
        <v>74.98999999999999</v>
      </c>
      <c r="K3531" s="3" t="n">
        <v>58.95</v>
      </c>
      <c r="L3531" s="2" t="inlineStr">
        <is>
          <t>PriceCharting + TCGplayer</t>
        </is>
      </c>
      <c r="M3531" s="4" t="inlineStr">
        <is>
          <t>https://www.pricecharting.com/game/pokemon-evolving-skies/sleeved-booster-pack</t>
        </is>
      </c>
      <c r="N3531" s="4" t="inlineStr">
        <is>
          <t>https://www.tcgplayer.com/product/242438</t>
        </is>
      </c>
    </row>
    <row r="3532">
      <c r="A3532" s="2" t="inlineStr">
        <is>
          <t>Fusion Strike 3 Pack Blister [Eevee]</t>
        </is>
      </c>
      <c r="B3532" s="3">
        <f>IF(H3532&lt;&gt;"",H3532,IF(I3532&lt;&gt;"",I3532,IF(J3532&lt;&gt;"",J3532,K3532)))</f>
        <v>80.85</v>
      </c>
      <c r="C3532" s="3">
        <f>MEDIAN(H3532:K3532)</f>
        <v>80.85</v>
      </c>
      <c r="D3532" s="3">
        <f>ROUND(C3532*(1-Settings!$B$2),2)</f>
        <v>56.6</v>
      </c>
      <c r="E3532" s="2" t="inlineStr">
        <is>
          <t>Pokemon</t>
        </is>
      </c>
      <c r="F3532" s="2" t="inlineStr">
        <is>
          <t>Pack</t>
        </is>
      </c>
      <c r="G3532" s="2" t="inlineStr">
        <is>
          <t>SWSH08: Fusion Strike</t>
        </is>
      </c>
      <c r="H3532" s="3" t="n"/>
      <c r="I3532" s="3" t="n">
        <v>80.84999999999999</v>
      </c>
      <c r="J3532" s="3" t="n">
        <v>99.5</v>
      </c>
      <c r="K3532" s="3" t="n">
        <v>79.98</v>
      </c>
      <c r="L3532" s="2" t="inlineStr">
        <is>
          <t>TCGplayer</t>
        </is>
      </c>
      <c r="N3532" s="4" t="inlineStr">
        <is>
          <t>https://www.tcgplayer.com/product/247667</t>
        </is>
      </c>
    </row>
    <row r="3533">
      <c r="A3533" s="2" t="inlineStr">
        <is>
          <t>Fusion Strike 3 Pack Blister [Espeon]</t>
        </is>
      </c>
      <c r="B3533" s="3">
        <f>IF(H3533&lt;&gt;"",H3533,IF(I3533&lt;&gt;"",I3533,IF(J3533&lt;&gt;"",J3533,K3533)))</f>
        <v>81.96</v>
      </c>
      <c r="C3533" s="3">
        <f>MEDIAN(H3533:K3533)</f>
        <v>81.96</v>
      </c>
      <c r="D3533" s="3">
        <f>ROUND(C3533*(1-Settings!$B$2),2)</f>
        <v>57.37</v>
      </c>
      <c r="E3533" s="2" t="inlineStr">
        <is>
          <t>Pokemon</t>
        </is>
      </c>
      <c r="F3533" s="2" t="inlineStr">
        <is>
          <t>Pack</t>
        </is>
      </c>
      <c r="G3533" s="2" t="inlineStr">
        <is>
          <t>SWSH08: Fusion Strike</t>
        </is>
      </c>
      <c r="H3533" s="3" t="n"/>
      <c r="I3533" s="3" t="n">
        <v>81.95999999999999</v>
      </c>
      <c r="J3533" s="3" t="n">
        <v>89.95</v>
      </c>
      <c r="K3533" s="3" t="n">
        <v>9.69</v>
      </c>
      <c r="L3533" s="2" t="inlineStr">
        <is>
          <t>TCGplayer</t>
        </is>
      </c>
      <c r="N3533" s="4" t="inlineStr">
        <is>
          <t>https://www.tcgplayer.com/product/247668</t>
        </is>
      </c>
    </row>
    <row r="3534">
      <c r="A3534" s="2" t="inlineStr">
        <is>
          <t>Fusion Strike Booster Pack</t>
        </is>
      </c>
      <c r="B3534" s="3">
        <f>IF(H3534&lt;&gt;"",H3534,IF(I3534&lt;&gt;"",I3534,IF(J3534&lt;&gt;"",J3534,K3534)))</f>
        <v>16.67</v>
      </c>
      <c r="C3534" s="3">
        <f>MEDIAN(H3534:K3534)</f>
        <v>17.75</v>
      </c>
      <c r="D3534" s="3">
        <f>ROUND(C3534*(1-Settings!$B$2),2)</f>
        <v>12.43</v>
      </c>
      <c r="E3534" s="2" t="inlineStr">
        <is>
          <t>Pokemon</t>
        </is>
      </c>
      <c r="F3534" s="2" t="inlineStr">
        <is>
          <t>Pack</t>
        </is>
      </c>
      <c r="G3534" s="2" t="inlineStr">
        <is>
          <t>SWSH08: Fusion Strike</t>
        </is>
      </c>
      <c r="H3534" s="3" t="n">
        <v>16.67</v>
      </c>
      <c r="I3534" s="3" t="n">
        <v>18.83</v>
      </c>
      <c r="J3534" s="3" t="n">
        <v>19.99</v>
      </c>
      <c r="K3534" s="3" t="n">
        <v>14.96</v>
      </c>
      <c r="L3534" s="2" t="inlineStr">
        <is>
          <t>PriceCharting + TCGplayer</t>
        </is>
      </c>
      <c r="M3534" s="4" t="inlineStr">
        <is>
          <t>https://www.pricecharting.com/game/pokemon-fusion-strike/booster-pack</t>
        </is>
      </c>
      <c r="N3534" s="4" t="inlineStr">
        <is>
          <t>https://www.tcgplayer.com/product/247646</t>
        </is>
      </c>
    </row>
    <row r="3535">
      <c r="A3535" s="2" t="inlineStr">
        <is>
          <t>Fusion Strike Fun Pack</t>
        </is>
      </c>
      <c r="B3535" s="3">
        <f>IF(H3535&lt;&gt;"",H3535,IF(I3535&lt;&gt;"",I3535,IF(J3535&lt;&gt;"",J3535,K3535)))</f>
        <v>6.15</v>
      </c>
      <c r="C3535" s="3">
        <f>MEDIAN(H3535:K3535)</f>
        <v>6.305</v>
      </c>
      <c r="D3535" s="3">
        <f>ROUND(C3535*(1-Settings!$B$2),2)</f>
        <v>4.41</v>
      </c>
      <c r="E3535" s="2" t="inlineStr">
        <is>
          <t>Pokemon</t>
        </is>
      </c>
      <c r="F3535" s="2" t="inlineStr">
        <is>
          <t>Pack</t>
        </is>
      </c>
      <c r="G3535" s="2" t="inlineStr">
        <is>
          <t>SWSH08: Fusion Strike</t>
        </is>
      </c>
      <c r="H3535" s="3" t="n">
        <v>6.15</v>
      </c>
      <c r="I3535" s="3" t="n">
        <v>6.46</v>
      </c>
      <c r="J3535" s="3" t="n">
        <v>6.66</v>
      </c>
      <c r="K3535" s="3" t="n">
        <v>3.16</v>
      </c>
      <c r="L3535" s="2" t="inlineStr">
        <is>
          <t>PriceCharting + TCGplayer</t>
        </is>
      </c>
      <c r="M3535" s="4" t="inlineStr">
        <is>
          <t>https://www.pricecharting.com/game/pokemon-fusion-strike/fun-pack</t>
        </is>
      </c>
      <c r="N3535" s="4" t="inlineStr">
        <is>
          <t>https://www.tcgplayer.com/product/509886</t>
        </is>
      </c>
    </row>
    <row r="3536">
      <c r="A3536" s="2" t="inlineStr">
        <is>
          <t>Fusion Strike Premium Checklane Blister [Cinderace]</t>
        </is>
      </c>
      <c r="B3536" s="3">
        <f>IF(H3536&lt;&gt;"",H3536,IF(I3536&lt;&gt;"",I3536,IF(J3536&lt;&gt;"",J3536,K3536)))</f>
        <v>52.49</v>
      </c>
      <c r="C3536" s="3">
        <f>MEDIAN(H3536:K3536)</f>
        <v>51.245000000000005</v>
      </c>
      <c r="D3536" s="3">
        <f>ROUND(C3536*(1-Settings!$B$2),2)</f>
        <v>35.87</v>
      </c>
      <c r="E3536" s="2" t="inlineStr">
        <is>
          <t>Pokemon</t>
        </is>
      </c>
      <c r="F3536" s="2" t="inlineStr">
        <is>
          <t>Pack</t>
        </is>
      </c>
      <c r="G3536" s="2" t="inlineStr">
        <is>
          <t>SWSH08: Fusion Strike</t>
        </is>
      </c>
      <c r="H3536" s="3" t="n"/>
      <c r="I3536" s="3" t="n"/>
      <c r="J3536" s="3" t="n">
        <v>52.49</v>
      </c>
      <c r="K3536" s="3" t="n">
        <v>50</v>
      </c>
      <c r="L3536" s="2" t="inlineStr">
        <is>
          <t>TCGplayer</t>
        </is>
      </c>
      <c r="N3536" s="4" t="inlineStr">
        <is>
          <t>https://www.tcgplayer.com/product/247675</t>
        </is>
      </c>
    </row>
    <row r="3537">
      <c r="A3537" s="2" t="inlineStr">
        <is>
          <t>Fusion Strike Single Pack Blister [Blitzle]</t>
        </is>
      </c>
      <c r="B3537" s="3">
        <f>IF(H3537&lt;&gt;"",H3537,IF(I3537&lt;&gt;"",I3537,IF(J3537&lt;&gt;"",J3537,K3537)))</f>
        <v>29.74</v>
      </c>
      <c r="C3537" s="3">
        <f>MEDIAN(H3537:K3537)</f>
        <v>29.74</v>
      </c>
      <c r="D3537" s="3">
        <f>ROUND(C3537*(1-Settings!$B$2),2)</f>
        <v>20.82</v>
      </c>
      <c r="E3537" s="2" t="inlineStr">
        <is>
          <t>Pokemon</t>
        </is>
      </c>
      <c r="F3537" s="2" t="inlineStr">
        <is>
          <t>Pack</t>
        </is>
      </c>
      <c r="G3537" s="2" t="inlineStr">
        <is>
          <t>SWSH08: Fusion Strike</t>
        </is>
      </c>
      <c r="H3537" s="3" t="n"/>
      <c r="I3537" s="3" t="n">
        <v>29.74</v>
      </c>
      <c r="J3537" s="3" t="n">
        <v>34.49</v>
      </c>
      <c r="K3537" s="3" t="n">
        <v>29.39</v>
      </c>
      <c r="L3537" s="2" t="inlineStr">
        <is>
          <t>TCGplayer</t>
        </is>
      </c>
      <c r="N3537" s="4" t="inlineStr">
        <is>
          <t>https://www.tcgplayer.com/product/247670</t>
        </is>
      </c>
    </row>
    <row r="3538">
      <c r="A3538" s="2" t="inlineStr">
        <is>
          <t>Fusion Strike Single Pack Blister [Tepig]</t>
        </is>
      </c>
      <c r="B3538" s="3">
        <f>IF(H3538&lt;&gt;"",H3538,IF(I3538&lt;&gt;"",I3538,IF(J3538&lt;&gt;"",J3538,K3538)))</f>
        <v>28.68</v>
      </c>
      <c r="C3538" s="3">
        <f>MEDIAN(H3538:K3538)</f>
        <v>28.68</v>
      </c>
      <c r="D3538" s="3">
        <f>ROUND(C3538*(1-Settings!$B$2),2)</f>
        <v>20.08</v>
      </c>
      <c r="E3538" s="2" t="inlineStr">
        <is>
          <t>Pokemon</t>
        </is>
      </c>
      <c r="F3538" s="2" t="inlineStr">
        <is>
          <t>Pack</t>
        </is>
      </c>
      <c r="G3538" s="2" t="inlineStr">
        <is>
          <t>SWSH08: Fusion Strike</t>
        </is>
      </c>
      <c r="H3538" s="3" t="n"/>
      <c r="I3538" s="3" t="n">
        <v>28.68</v>
      </c>
      <c r="J3538" s="3" t="n">
        <v>32.98</v>
      </c>
      <c r="K3538" s="3" t="n">
        <v>28.68</v>
      </c>
      <c r="L3538" s="2" t="inlineStr">
        <is>
          <t>TCGplayer</t>
        </is>
      </c>
      <c r="N3538" s="4" t="inlineStr">
        <is>
          <t>https://www.tcgplayer.com/product/247669</t>
        </is>
      </c>
    </row>
    <row r="3539">
      <c r="A3539" s="2" t="inlineStr">
        <is>
          <t>Fusion Strike Sleeved Booster Pack</t>
        </is>
      </c>
      <c r="B3539" s="3">
        <f>IF(H3539&lt;&gt;"",H3539,IF(I3539&lt;&gt;"",I3539,IF(J3539&lt;&gt;"",J3539,K3539)))</f>
        <v>23.11</v>
      </c>
      <c r="C3539" s="3">
        <f>MEDIAN(H3539:K3539)</f>
        <v>25.25</v>
      </c>
      <c r="D3539" s="3">
        <f>ROUND(C3539*(1-Settings!$B$2),2)</f>
        <v>17.68</v>
      </c>
      <c r="E3539" s="2" t="inlineStr">
        <is>
          <t>Pokemon</t>
        </is>
      </c>
      <c r="F3539" s="2" t="inlineStr">
        <is>
          <t>Pack</t>
        </is>
      </c>
      <c r="G3539" s="2" t="inlineStr">
        <is>
          <t>SWSH08: Fusion Strike</t>
        </is>
      </c>
      <c r="H3539" s="3" t="n">
        <v>23.11</v>
      </c>
      <c r="I3539" s="3" t="n">
        <v>27.39</v>
      </c>
      <c r="J3539" s="3" t="n">
        <v>29.85</v>
      </c>
      <c r="K3539" s="3" t="n">
        <v>4.49</v>
      </c>
      <c r="L3539" s="2" t="inlineStr">
        <is>
          <t>PriceCharting + TCGplayer</t>
        </is>
      </c>
      <c r="M3539" s="4" t="inlineStr">
        <is>
          <t>https://www.pricecharting.com/game/pokemon-fusion-strike/sleeved-booster-pack</t>
        </is>
      </c>
      <c r="N3539" s="4" t="inlineStr">
        <is>
          <t>https://www.tcgplayer.com/product/247656</t>
        </is>
      </c>
    </row>
    <row r="3540">
      <c r="A3540" s="2" t="inlineStr">
        <is>
          <t>Unova Two Pack Blister [Forces of Nature Trio]</t>
        </is>
      </c>
      <c r="B3540" s="3">
        <f>IF(H3540&lt;&gt;"",H3540,IF(I3540&lt;&gt;"",I3540,IF(J3540&lt;&gt;"",J3540,K3540)))</f>
        <v>29.19</v>
      </c>
      <c r="C3540" s="3">
        <f>MEDIAN(H3540:K3540)</f>
        <v>29.19</v>
      </c>
      <c r="D3540" s="3">
        <f>ROUND(C3540*(1-Settings!$B$2),2)</f>
        <v>20.43</v>
      </c>
      <c r="E3540" s="2" t="inlineStr">
        <is>
          <t>Pokemon</t>
        </is>
      </c>
      <c r="F3540" s="2" t="inlineStr">
        <is>
          <t>Pack</t>
        </is>
      </c>
      <c r="G3540" s="2" t="inlineStr">
        <is>
          <t>SWSH08: Fusion Strike</t>
        </is>
      </c>
      <c r="H3540" s="3" t="n"/>
      <c r="I3540" s="3" t="n">
        <v>29.19</v>
      </c>
      <c r="J3540" s="3" t="n">
        <v>30.59</v>
      </c>
      <c r="K3540" s="3" t="n">
        <v>28.88</v>
      </c>
      <c r="L3540" s="2" t="inlineStr">
        <is>
          <t>TCGplayer</t>
        </is>
      </c>
      <c r="N3540" s="4" t="inlineStr">
        <is>
          <t>https://www.tcgplayer.com/product/263545</t>
        </is>
      </c>
    </row>
    <row r="3541">
      <c r="A3541" s="2" t="inlineStr">
        <is>
          <t>Brilliant Stars 3 Pack Blister [Glaceon]</t>
        </is>
      </c>
      <c r="B3541" s="3">
        <f>IF(H3541&lt;&gt;"",H3541,IF(I3541&lt;&gt;"",I3541,IF(J3541&lt;&gt;"",J3541,K3541)))</f>
        <v>52.67</v>
      </c>
      <c r="C3541" s="3">
        <f>MEDIAN(H3541:K3541)</f>
        <v>60.99</v>
      </c>
      <c r="D3541" s="3">
        <f>ROUND(C3541*(1-Settings!$B$2),2)</f>
        <v>42.69</v>
      </c>
      <c r="E3541" s="2" t="inlineStr">
        <is>
          <t>Pokemon</t>
        </is>
      </c>
      <c r="F3541" s="2" t="inlineStr">
        <is>
          <t>Pack</t>
        </is>
      </c>
      <c r="G3541" s="2" t="inlineStr">
        <is>
          <t>SWSH09: Brilliant Stars</t>
        </is>
      </c>
      <c r="H3541" s="3" t="n"/>
      <c r="I3541" s="3" t="n">
        <v>52.67</v>
      </c>
      <c r="J3541" s="3" t="n">
        <v>77.5</v>
      </c>
      <c r="K3541" s="3" t="n">
        <v>60.99</v>
      </c>
      <c r="L3541" s="2" t="inlineStr">
        <is>
          <t>TCGplayer</t>
        </is>
      </c>
      <c r="N3541" s="4" t="inlineStr">
        <is>
          <t>https://www.tcgplayer.com/product/256132</t>
        </is>
      </c>
    </row>
    <row r="3542">
      <c r="A3542" s="2" t="inlineStr">
        <is>
          <t>Brilliant Stars 3 Pack Blister [Leafeon]</t>
        </is>
      </c>
      <c r="B3542" s="3">
        <f>IF(H3542&lt;&gt;"",H3542,IF(I3542&lt;&gt;"",I3542,IF(J3542&lt;&gt;"",J3542,K3542)))</f>
        <v>53.69</v>
      </c>
      <c r="C3542" s="3">
        <f>MEDIAN(H3542:K3542)</f>
        <v>60.0</v>
      </c>
      <c r="D3542" s="3">
        <f>ROUND(C3542*(1-Settings!$B$2),2)</f>
        <v>42.0</v>
      </c>
      <c r="E3542" s="2" t="inlineStr">
        <is>
          <t>Pokemon</t>
        </is>
      </c>
      <c r="F3542" s="2" t="inlineStr">
        <is>
          <t>Pack</t>
        </is>
      </c>
      <c r="G3542" s="2" t="inlineStr">
        <is>
          <t>SWSH09: Brilliant Stars</t>
        </is>
      </c>
      <c r="H3542" s="3" t="n"/>
      <c r="I3542" s="3" t="n">
        <v>53.69</v>
      </c>
      <c r="J3542" s="3" t="n">
        <v>72.5</v>
      </c>
      <c r="K3542" s="3" t="n">
        <v>60</v>
      </c>
      <c r="L3542" s="2" t="inlineStr">
        <is>
          <t>TCGplayer</t>
        </is>
      </c>
      <c r="N3542" s="4" t="inlineStr">
        <is>
          <t>https://www.tcgplayer.com/product/256130</t>
        </is>
      </c>
    </row>
    <row r="3543">
      <c r="A3543" s="2" t="inlineStr">
        <is>
          <t>Brilliant Stars Booster Pack</t>
        </is>
      </c>
      <c r="B3543" s="3">
        <f>IF(H3543&lt;&gt;"",H3543,IF(I3543&lt;&gt;"",I3543,IF(J3543&lt;&gt;"",J3543,K3543)))</f>
        <v>16.5</v>
      </c>
      <c r="C3543" s="3">
        <f>MEDIAN(H3543:K3543)</f>
        <v>16.73</v>
      </c>
      <c r="D3543" s="3">
        <f>ROUND(C3543*(1-Settings!$B$2),2)</f>
        <v>11.71</v>
      </c>
      <c r="E3543" s="2" t="inlineStr">
        <is>
          <t>Pokemon</t>
        </is>
      </c>
      <c r="F3543" s="2" t="inlineStr">
        <is>
          <t>Pack</t>
        </is>
      </c>
      <c r="G3543" s="2" t="inlineStr">
        <is>
          <t>SWSH09: Brilliant Stars</t>
        </is>
      </c>
      <c r="H3543" s="3" t="n">
        <v>16.5</v>
      </c>
      <c r="I3543" s="3" t="n">
        <v>16.96</v>
      </c>
      <c r="J3543" s="3" t="n">
        <v>17</v>
      </c>
      <c r="K3543" s="3" t="n">
        <v>14.89</v>
      </c>
      <c r="L3543" s="2" t="inlineStr">
        <is>
          <t>PriceCharting + TCGplayer</t>
        </is>
      </c>
      <c r="M3543" s="4" t="inlineStr">
        <is>
          <t>https://www.pricecharting.com/game/pokemon-brilliant-stars/booster-pack</t>
        </is>
      </c>
      <c r="N3543" s="4" t="inlineStr">
        <is>
          <t>https://www.tcgplayer.com/product/256124</t>
        </is>
      </c>
    </row>
    <row r="3544">
      <c r="A3544" s="2" t="inlineStr">
        <is>
          <t>Brilliant Stars Fun Pack</t>
        </is>
      </c>
      <c r="B3544" s="3">
        <f>IF(H3544&lt;&gt;"",H3544,IF(I3544&lt;&gt;"",I3544,IF(J3544&lt;&gt;"",J3544,K3544)))</f>
        <v>7.14</v>
      </c>
      <c r="C3544" s="3">
        <f>MEDIAN(H3544:K3544)</f>
        <v>7.14</v>
      </c>
      <c r="D3544" s="3">
        <f>ROUND(C3544*(1-Settings!$B$2),2)</f>
        <v>5.0</v>
      </c>
      <c r="E3544" s="2" t="inlineStr">
        <is>
          <t>Pokemon</t>
        </is>
      </c>
      <c r="F3544" s="2" t="inlineStr">
        <is>
          <t>Pack</t>
        </is>
      </c>
      <c r="G3544" s="2" t="inlineStr">
        <is>
          <t>SWSH09: Brilliant Stars</t>
        </is>
      </c>
      <c r="H3544" s="3" t="n"/>
      <c r="I3544" s="3" t="n">
        <v>7.14</v>
      </c>
      <c r="J3544" s="3" t="n"/>
      <c r="K3544" s="3" t="n"/>
      <c r="L3544" s="2" t="inlineStr">
        <is>
          <t>TCGplayer</t>
        </is>
      </c>
      <c r="N3544" s="4" t="inlineStr">
        <is>
          <t>https://www.tcgplayer.com/product/509881</t>
        </is>
      </c>
    </row>
    <row r="3545">
      <c r="A3545" s="2" t="inlineStr">
        <is>
          <t>Brilliant Stars Premium Checklane Blister [Zoroark]</t>
        </is>
      </c>
      <c r="B3545" s="3">
        <f>IF(H3545&lt;&gt;"",H3545,IF(I3545&lt;&gt;"",I3545,IF(J3545&lt;&gt;"",J3545,K3545)))</f>
        <v>34.77</v>
      </c>
      <c r="C3545" s="3">
        <f>MEDIAN(H3545:K3545)</f>
        <v>34.77</v>
      </c>
      <c r="D3545" s="3">
        <f>ROUND(C3545*(1-Settings!$B$2),2)</f>
        <v>24.34</v>
      </c>
      <c r="E3545" s="2" t="inlineStr">
        <is>
          <t>Pokemon</t>
        </is>
      </c>
      <c r="F3545" s="2" t="inlineStr">
        <is>
          <t>Pack</t>
        </is>
      </c>
      <c r="G3545" s="2" t="inlineStr">
        <is>
          <t>SWSH09: Brilliant Stars</t>
        </is>
      </c>
      <c r="H3545" s="3" t="n"/>
      <c r="I3545" s="3" t="n">
        <v>34.77</v>
      </c>
      <c r="J3545" s="3" t="n"/>
      <c r="K3545" s="3" t="n"/>
      <c r="L3545" s="2" t="inlineStr">
        <is>
          <t>TCGplayer</t>
        </is>
      </c>
      <c r="N3545" s="4" t="inlineStr">
        <is>
          <t>https://www.tcgplayer.com/product/684658</t>
        </is>
      </c>
    </row>
    <row r="3546">
      <c r="A3546" s="2" t="inlineStr">
        <is>
          <t>Brilliant Stars Single Pack Blister [Eevee]</t>
        </is>
      </c>
      <c r="B3546" s="3">
        <f>IF(H3546&lt;&gt;"",H3546,IF(I3546&lt;&gt;"",I3546,IF(J3546&lt;&gt;"",J3546,K3546)))</f>
        <v>25.6</v>
      </c>
      <c r="C3546" s="3">
        <f>MEDIAN(H3546:K3546)</f>
        <v>25.6</v>
      </c>
      <c r="D3546" s="3">
        <f>ROUND(C3546*(1-Settings!$B$2),2)</f>
        <v>17.92</v>
      </c>
      <c r="E3546" s="2" t="inlineStr">
        <is>
          <t>Pokemon</t>
        </is>
      </c>
      <c r="F3546" s="2" t="inlineStr">
        <is>
          <t>Pack</t>
        </is>
      </c>
      <c r="G3546" s="2" t="inlineStr">
        <is>
          <t>SWSH09: Brilliant Stars</t>
        </is>
      </c>
      <c r="H3546" s="3" t="n"/>
      <c r="I3546" s="3" t="n">
        <v>25.6</v>
      </c>
      <c r="J3546" s="3" t="n">
        <v>29.93</v>
      </c>
      <c r="K3546" s="3" t="n">
        <v>24.99</v>
      </c>
      <c r="L3546" s="2" t="inlineStr">
        <is>
          <t>TCGplayer</t>
        </is>
      </c>
      <c r="N3546" s="4" t="inlineStr">
        <is>
          <t>https://www.tcgplayer.com/product/256129</t>
        </is>
      </c>
    </row>
    <row r="3547">
      <c r="A3547" s="2" t="inlineStr">
        <is>
          <t>Brilliant Stars Sleeved Booster Pack</t>
        </is>
      </c>
      <c r="B3547" s="3">
        <f>IF(H3547&lt;&gt;"",H3547,IF(I3547&lt;&gt;"",I3547,IF(J3547&lt;&gt;"",J3547,K3547)))</f>
        <v>19.49</v>
      </c>
      <c r="C3547" s="3">
        <f>MEDIAN(H3547:K3547)</f>
        <v>19.625</v>
      </c>
      <c r="D3547" s="3">
        <f>ROUND(C3547*(1-Settings!$B$2),2)</f>
        <v>13.74</v>
      </c>
      <c r="E3547" s="2" t="inlineStr">
        <is>
          <t>Pokemon</t>
        </is>
      </c>
      <c r="F3547" s="2" t="inlineStr">
        <is>
          <t>Pack</t>
        </is>
      </c>
      <c r="G3547" s="2" t="inlineStr">
        <is>
          <t>SWSH09: Brilliant Stars</t>
        </is>
      </c>
      <c r="H3547" s="3" t="n">
        <v>19.49</v>
      </c>
      <c r="I3547" s="3" t="n">
        <v>19.76</v>
      </c>
      <c r="J3547" s="3" t="n">
        <v>21.5</v>
      </c>
      <c r="K3547" s="3" t="n">
        <v>18</v>
      </c>
      <c r="L3547" s="2" t="inlineStr">
        <is>
          <t>PriceCharting + TCGplayer</t>
        </is>
      </c>
      <c r="M3547" s="4" t="inlineStr">
        <is>
          <t>https://www.pricecharting.com/game/pokemon-brilliant-stars/sleeved-booster-pack</t>
        </is>
      </c>
      <c r="N3547" s="4" t="inlineStr">
        <is>
          <t>https://www.tcgplayer.com/product/256125</t>
        </is>
      </c>
    </row>
    <row r="3548">
      <c r="A3548" s="2" t="inlineStr">
        <is>
          <t>Astral Radiance 3 Pack Blister [Eevee]</t>
        </is>
      </c>
      <c r="B3548" s="3">
        <f>IF(H3548&lt;&gt;"",H3548,IF(I3548&lt;&gt;"",I3548,IF(J3548&lt;&gt;"",J3548,K3548)))</f>
        <v>43.28</v>
      </c>
      <c r="C3548" s="3">
        <f>MEDIAN(H3548:K3548)</f>
        <v>43.28</v>
      </c>
      <c r="D3548" s="3">
        <f>ROUND(C3548*(1-Settings!$B$2),2)</f>
        <v>30.3</v>
      </c>
      <c r="E3548" s="2" t="inlineStr">
        <is>
          <t>Pokemon</t>
        </is>
      </c>
      <c r="F3548" s="2" t="inlineStr">
        <is>
          <t>Pack</t>
        </is>
      </c>
      <c r="G3548" s="2" t="inlineStr">
        <is>
          <t>SWSH10: Astral Radiance</t>
        </is>
      </c>
      <c r="H3548" s="3" t="n"/>
      <c r="I3548" s="3" t="n">
        <v>43.28</v>
      </c>
      <c r="J3548" s="3" t="n">
        <v>50.5</v>
      </c>
      <c r="K3548" s="3" t="n">
        <v>40</v>
      </c>
      <c r="L3548" s="2" t="inlineStr">
        <is>
          <t>TCGplayer</t>
        </is>
      </c>
      <c r="N3548" s="4" t="inlineStr">
        <is>
          <t>https://www.tcgplayer.com/product/265524</t>
        </is>
      </c>
    </row>
    <row r="3549">
      <c r="A3549" s="2" t="inlineStr">
        <is>
          <t>Astral Radiance 3 Pack Blister [Set of 2]</t>
        </is>
      </c>
      <c r="B3549" s="3">
        <f>IF(H3549&lt;&gt;"",H3549,IF(I3549&lt;&gt;"",I3549,IF(J3549&lt;&gt;"",J3549,K3549)))</f>
        <v>71.66</v>
      </c>
      <c r="C3549" s="3">
        <f>MEDIAN(H3549:K3549)</f>
        <v>80.0</v>
      </c>
      <c r="D3549" s="3">
        <f>ROUND(C3549*(1-Settings!$B$2),2)</f>
        <v>56.0</v>
      </c>
      <c r="E3549" s="2" t="inlineStr">
        <is>
          <t>Pokemon</t>
        </is>
      </c>
      <c r="F3549" s="2" t="inlineStr">
        <is>
          <t>Pack</t>
        </is>
      </c>
      <c r="G3549" s="2" t="inlineStr">
        <is>
          <t>SWSH10: Astral Radiance</t>
        </is>
      </c>
      <c r="H3549" s="3" t="n"/>
      <c r="I3549" s="3" t="n">
        <v>71.66</v>
      </c>
      <c r="J3549" s="3" t="n">
        <v>90</v>
      </c>
      <c r="K3549" s="3" t="n">
        <v>80</v>
      </c>
      <c r="L3549" s="2" t="inlineStr">
        <is>
          <t>TCGplayer</t>
        </is>
      </c>
      <c r="N3549" s="4" t="inlineStr">
        <is>
          <t>https://www.tcgplayer.com/product/265546</t>
        </is>
      </c>
    </row>
    <row r="3550">
      <c r="A3550" s="2" t="inlineStr">
        <is>
          <t>Astral Radiance 3 Pack Blister [Sylveon]</t>
        </is>
      </c>
      <c r="B3550" s="3">
        <f>IF(H3550&lt;&gt;"",H3550,IF(I3550&lt;&gt;"",I3550,IF(J3550&lt;&gt;"",J3550,K3550)))</f>
        <v>38.65</v>
      </c>
      <c r="C3550" s="3">
        <f>MEDIAN(H3550:K3550)</f>
        <v>38.65</v>
      </c>
      <c r="D3550" s="3">
        <f>ROUND(C3550*(1-Settings!$B$2),2)</f>
        <v>27.06</v>
      </c>
      <c r="E3550" s="2" t="inlineStr">
        <is>
          <t>Pokemon</t>
        </is>
      </c>
      <c r="F3550" s="2" t="inlineStr">
        <is>
          <t>Pack</t>
        </is>
      </c>
      <c r="G3550" s="2" t="inlineStr">
        <is>
          <t>SWSH10: Astral Radiance</t>
        </is>
      </c>
      <c r="H3550" s="3" t="n"/>
      <c r="I3550" s="3" t="n">
        <v>38.65</v>
      </c>
      <c r="J3550" s="3" t="n">
        <v>39.99</v>
      </c>
      <c r="K3550" s="3" t="n">
        <v>37</v>
      </c>
      <c r="L3550" s="2" t="inlineStr">
        <is>
          <t>TCGplayer</t>
        </is>
      </c>
      <c r="N3550" s="4" t="inlineStr">
        <is>
          <t>https://www.tcgplayer.com/product/265525</t>
        </is>
      </c>
    </row>
    <row r="3551">
      <c r="A3551" s="2" t="inlineStr">
        <is>
          <t>Astral Radiance Booster Pack</t>
        </is>
      </c>
      <c r="B3551" s="3">
        <f>IF(H3551&lt;&gt;"",H3551,IF(I3551&lt;&gt;"",I3551,IF(J3551&lt;&gt;"",J3551,K3551)))</f>
        <v>10.89</v>
      </c>
      <c r="C3551" s="3">
        <f>MEDIAN(H3551:K3551)</f>
        <v>10.75</v>
      </c>
      <c r="D3551" s="3">
        <f>ROUND(C3551*(1-Settings!$B$2),2)</f>
        <v>7.53</v>
      </c>
      <c r="E3551" s="2" t="inlineStr">
        <is>
          <t>Pokemon</t>
        </is>
      </c>
      <c r="F3551" s="2" t="inlineStr">
        <is>
          <t>Pack</t>
        </is>
      </c>
      <c r="G3551" s="2" t="inlineStr">
        <is>
          <t>SWSH10: Astral Radiance</t>
        </is>
      </c>
      <c r="H3551" s="3" t="n">
        <v>10.89</v>
      </c>
      <c r="I3551" s="3" t="n">
        <v>10.61</v>
      </c>
      <c r="J3551" s="3" t="n">
        <v>10.99</v>
      </c>
      <c r="K3551" s="3" t="n">
        <v>7.5</v>
      </c>
      <c r="L3551" s="2" t="inlineStr">
        <is>
          <t>PriceCharting + TCGplayer</t>
        </is>
      </c>
      <c r="M3551" s="4" t="inlineStr">
        <is>
          <t>https://www.pricecharting.com/game/pokemon-astral-radiance/booster-pack</t>
        </is>
      </c>
      <c r="N3551" s="4" t="inlineStr">
        <is>
          <t>https://www.tcgplayer.com/product/265521</t>
        </is>
      </c>
    </row>
    <row r="3552">
      <c r="A3552" s="2" t="inlineStr">
        <is>
          <t>Astral Radiance Fun Pack</t>
        </is>
      </c>
      <c r="B3552" s="3">
        <f>IF(H3552&lt;&gt;"",H3552,IF(I3552&lt;&gt;"",I3552,IF(J3552&lt;&gt;"",J3552,K3552)))</f>
        <v>7.45</v>
      </c>
      <c r="C3552" s="3">
        <f>MEDIAN(H3552:K3552)</f>
        <v>7.45</v>
      </c>
      <c r="D3552" s="3">
        <f>ROUND(C3552*(1-Settings!$B$2),2)</f>
        <v>5.22</v>
      </c>
      <c r="E3552" s="2" t="inlineStr">
        <is>
          <t>Pokemon</t>
        </is>
      </c>
      <c r="F3552" s="2" t="inlineStr">
        <is>
          <t>Pack</t>
        </is>
      </c>
      <c r="G3552" s="2" t="inlineStr">
        <is>
          <t>SWSH10: Astral Radiance</t>
        </is>
      </c>
      <c r="H3552" s="3" t="n"/>
      <c r="I3552" s="3" t="n">
        <v>7.45</v>
      </c>
      <c r="J3552" s="3" t="n">
        <v>11.5</v>
      </c>
      <c r="K3552" s="3" t="n">
        <v>7.45</v>
      </c>
      <c r="L3552" s="2" t="inlineStr">
        <is>
          <t>TCGplayer</t>
        </is>
      </c>
      <c r="N3552" s="4" t="inlineStr">
        <is>
          <t>https://www.tcgplayer.com/product/509895</t>
        </is>
      </c>
    </row>
    <row r="3553">
      <c r="A3553" s="2" t="inlineStr">
        <is>
          <t>Astral Radiance Premium Checklane Blister [Feraligatr]</t>
        </is>
      </c>
      <c r="B3553" s="3">
        <f>IF(H3553&lt;&gt;"",H3553,IF(I3553&lt;&gt;"",I3553,IF(J3553&lt;&gt;"",J3553,K3553)))</f>
        <v>23.24</v>
      </c>
      <c r="C3553" s="3">
        <f>MEDIAN(H3553:K3553)</f>
        <v>23.24</v>
      </c>
      <c r="D3553" s="3">
        <f>ROUND(C3553*(1-Settings!$B$2),2)</f>
        <v>16.27</v>
      </c>
      <c r="E3553" s="2" t="inlineStr">
        <is>
          <t>Pokemon</t>
        </is>
      </c>
      <c r="F3553" s="2" t="inlineStr">
        <is>
          <t>Pack</t>
        </is>
      </c>
      <c r="G3553" s="2" t="inlineStr">
        <is>
          <t>SWSH10: Astral Radiance</t>
        </is>
      </c>
      <c r="H3553" s="3" t="n"/>
      <c r="I3553" s="3" t="n">
        <v>23.24</v>
      </c>
      <c r="J3553" s="3" t="n">
        <v>37.99</v>
      </c>
      <c r="K3553" s="3" t="n">
        <v>22</v>
      </c>
      <c r="L3553" s="2" t="inlineStr">
        <is>
          <t>TCGplayer</t>
        </is>
      </c>
      <c r="N3553" s="4" t="inlineStr">
        <is>
          <t>https://www.tcgplayer.com/product/489340</t>
        </is>
      </c>
    </row>
    <row r="3554">
      <c r="A3554" s="2" t="inlineStr">
        <is>
          <t>Astral Radiance Premium Checklane Blister [Steelix]</t>
        </is>
      </c>
      <c r="B3554" s="3">
        <f>IF(H3554&lt;&gt;"",H3554,IF(I3554&lt;&gt;"",I3554,IF(J3554&lt;&gt;"",J3554,K3554)))</f>
        <v>26.02</v>
      </c>
      <c r="C3554" s="3">
        <f>MEDIAN(H3554:K3554)</f>
        <v>22.04</v>
      </c>
      <c r="D3554" s="3">
        <f>ROUND(C3554*(1-Settings!$B$2),2)</f>
        <v>15.43</v>
      </c>
      <c r="E3554" s="2" t="inlineStr">
        <is>
          <t>Pokemon</t>
        </is>
      </c>
      <c r="F3554" s="2" t="inlineStr">
        <is>
          <t>Pack</t>
        </is>
      </c>
      <c r="G3554" s="2" t="inlineStr">
        <is>
          <t>SWSH10: Astral Radiance</t>
        </is>
      </c>
      <c r="H3554" s="3" t="n"/>
      <c r="I3554" s="3" t="n">
        <v>26.02</v>
      </c>
      <c r="J3554" s="3" t="n">
        <v>22.04</v>
      </c>
      <c r="K3554" s="3" t="n">
        <v>22.04</v>
      </c>
      <c r="L3554" s="2" t="inlineStr">
        <is>
          <t>TCGplayer</t>
        </is>
      </c>
      <c r="N3554" s="4" t="inlineStr">
        <is>
          <t>https://www.tcgplayer.com/product/489341</t>
        </is>
      </c>
    </row>
    <row r="3555">
      <c r="A3555" s="2" t="inlineStr">
        <is>
          <t>Astral Radiance Premium Checklane Blister [Swampert]</t>
        </is>
      </c>
      <c r="B3555" s="3">
        <f>IF(H3555&lt;&gt;"",H3555,IF(I3555&lt;&gt;"",I3555,IF(J3555&lt;&gt;"",J3555,K3555)))</f>
        <v>31.29</v>
      </c>
      <c r="C3555" s="3">
        <f>MEDIAN(H3555:K3555)</f>
        <v>50.0</v>
      </c>
      <c r="D3555" s="3">
        <f>ROUND(C3555*(1-Settings!$B$2),2)</f>
        <v>35.0</v>
      </c>
      <c r="E3555" s="2" t="inlineStr">
        <is>
          <t>Pokemon</t>
        </is>
      </c>
      <c r="F3555" s="2" t="inlineStr">
        <is>
          <t>Pack</t>
        </is>
      </c>
      <c r="G3555" s="2" t="inlineStr">
        <is>
          <t>SWSH10: Astral Radiance</t>
        </is>
      </c>
      <c r="H3555" s="3" t="n"/>
      <c r="I3555" s="3" t="n">
        <v>31.29</v>
      </c>
      <c r="J3555" s="3" t="n">
        <v>50</v>
      </c>
      <c r="K3555" s="3" t="n">
        <v>50</v>
      </c>
      <c r="L3555" s="2" t="inlineStr">
        <is>
          <t>TCGplayer</t>
        </is>
      </c>
      <c r="N3555" s="4" t="inlineStr">
        <is>
          <t>https://www.tcgplayer.com/product/489339</t>
        </is>
      </c>
    </row>
    <row r="3556">
      <c r="A3556" s="2" t="inlineStr">
        <is>
          <t>Astral Radiance Single Pack Blister [Oricorio]</t>
        </is>
      </c>
      <c r="B3556" s="3">
        <f>IF(H3556&lt;&gt;"",H3556,IF(I3556&lt;&gt;"",I3556,IF(J3556&lt;&gt;"",J3556,K3556)))</f>
        <v>13.39</v>
      </c>
      <c r="C3556" s="3">
        <f>MEDIAN(H3556:K3556)</f>
        <v>13.39</v>
      </c>
      <c r="D3556" s="3">
        <f>ROUND(C3556*(1-Settings!$B$2),2)</f>
        <v>9.37</v>
      </c>
      <c r="E3556" s="2" t="inlineStr">
        <is>
          <t>Pokemon</t>
        </is>
      </c>
      <c r="F3556" s="2" t="inlineStr">
        <is>
          <t>Pack</t>
        </is>
      </c>
      <c r="G3556" s="2" t="inlineStr">
        <is>
          <t>SWSH10: Astral Radiance</t>
        </is>
      </c>
      <c r="H3556" s="3" t="n"/>
      <c r="I3556" s="3" t="n">
        <v>13.39</v>
      </c>
      <c r="J3556" s="3" t="n">
        <v>14.54</v>
      </c>
      <c r="K3556" s="3" t="n">
        <v>12</v>
      </c>
      <c r="L3556" s="2" t="inlineStr">
        <is>
          <t>TCGplayer</t>
        </is>
      </c>
      <c r="N3556" s="4" t="inlineStr">
        <is>
          <t>https://www.tcgplayer.com/product/265523</t>
        </is>
      </c>
    </row>
    <row r="3557">
      <c r="A3557" s="2" t="inlineStr">
        <is>
          <t>Astral Radiance Single Pack Blister [Set of 2]</t>
        </is>
      </c>
      <c r="B3557" s="3">
        <f>IF(H3557&lt;&gt;"",H3557,IF(I3557&lt;&gt;"",I3557,IF(J3557&lt;&gt;"",J3557,K3557)))</f>
        <v>30.47</v>
      </c>
      <c r="C3557" s="3">
        <f>MEDIAN(H3557:K3557)</f>
        <v>30.47</v>
      </c>
      <c r="D3557" s="3">
        <f>ROUND(C3557*(1-Settings!$B$2),2)</f>
        <v>21.33</v>
      </c>
      <c r="E3557" s="2" t="inlineStr">
        <is>
          <t>Pokemon</t>
        </is>
      </c>
      <c r="F3557" s="2" t="inlineStr">
        <is>
          <t>Pack</t>
        </is>
      </c>
      <c r="G3557" s="2" t="inlineStr">
        <is>
          <t>SWSH10: Astral Radiance</t>
        </is>
      </c>
      <c r="H3557" s="3" t="n"/>
      <c r="I3557" s="3" t="n">
        <v>30.47</v>
      </c>
      <c r="J3557" s="3" t="n">
        <v>34.69</v>
      </c>
      <c r="K3557" s="3" t="n">
        <v>27.94</v>
      </c>
      <c r="L3557" s="2" t="inlineStr">
        <is>
          <t>TCGplayer</t>
        </is>
      </c>
      <c r="N3557" s="4" t="inlineStr">
        <is>
          <t>https://www.tcgplayer.com/product/265558</t>
        </is>
      </c>
    </row>
    <row r="3558">
      <c r="A3558" s="2" t="inlineStr">
        <is>
          <t>Astral Radiance Single Pack Blister [Toxel]</t>
        </is>
      </c>
      <c r="B3558" s="3">
        <f>IF(H3558&lt;&gt;"",H3558,IF(I3558&lt;&gt;"",I3558,IF(J3558&lt;&gt;"",J3558,K3558)))</f>
        <v>14.88</v>
      </c>
      <c r="C3558" s="3">
        <f>MEDIAN(H3558:K3558)</f>
        <v>14.88</v>
      </c>
      <c r="D3558" s="3">
        <f>ROUND(C3558*(1-Settings!$B$2),2)</f>
        <v>10.42</v>
      </c>
      <c r="E3558" s="2" t="inlineStr">
        <is>
          <t>Pokemon</t>
        </is>
      </c>
      <c r="F3558" s="2" t="inlineStr">
        <is>
          <t>Pack</t>
        </is>
      </c>
      <c r="G3558" s="2" t="inlineStr">
        <is>
          <t>SWSH10: Astral Radiance</t>
        </is>
      </c>
      <c r="H3558" s="3" t="n"/>
      <c r="I3558" s="3" t="n">
        <v>14.88</v>
      </c>
      <c r="J3558" s="3" t="n">
        <v>19.37</v>
      </c>
      <c r="K3558" s="3" t="n">
        <v>1.5</v>
      </c>
      <c r="L3558" s="2" t="inlineStr">
        <is>
          <t>TCGplayer</t>
        </is>
      </c>
      <c r="N3558" s="4" t="inlineStr">
        <is>
          <t>https://www.tcgplayer.com/product/265522</t>
        </is>
      </c>
    </row>
    <row r="3559">
      <c r="A3559" s="2" t="inlineStr">
        <is>
          <t>Astral Radiance Sleeved Booster Pack</t>
        </is>
      </c>
      <c r="B3559" s="3">
        <f>IF(H3559&lt;&gt;"",H3559,IF(I3559&lt;&gt;"",I3559,IF(J3559&lt;&gt;"",J3559,K3559)))</f>
        <v>8.29</v>
      </c>
      <c r="C3559" s="3">
        <f>MEDIAN(H3559:K3559)</f>
        <v>12.33</v>
      </c>
      <c r="D3559" s="3">
        <f>ROUND(C3559*(1-Settings!$B$2),2)</f>
        <v>8.63</v>
      </c>
      <c r="E3559" s="2" t="inlineStr">
        <is>
          <t>Pokemon</t>
        </is>
      </c>
      <c r="F3559" s="2" t="inlineStr">
        <is>
          <t>Pack</t>
        </is>
      </c>
      <c r="G3559" s="2" t="inlineStr">
        <is>
          <t>SWSH10: Astral Radiance</t>
        </is>
      </c>
      <c r="H3559" s="3" t="n">
        <v>8.289999999999999</v>
      </c>
      <c r="I3559" s="3" t="n">
        <v>12.66</v>
      </c>
      <c r="J3559" s="3" t="n">
        <v>13</v>
      </c>
      <c r="K3559" s="3" t="n">
        <v>12</v>
      </c>
      <c r="L3559" s="2" t="inlineStr">
        <is>
          <t>PriceCharting + TCGplayer</t>
        </is>
      </c>
      <c r="M3559" s="4" t="inlineStr">
        <is>
          <t>https://www.pricecharting.com/game/pokemon-astral-radiance/sleeved-booster-pack</t>
        </is>
      </c>
      <c r="N3559" s="4" t="inlineStr">
        <is>
          <t>https://www.tcgplayer.com/product/265526</t>
        </is>
      </c>
    </row>
    <row r="3560">
      <c r="A3560" s="2" t="inlineStr">
        <is>
          <t>Lost Origin 3 Pack Blister [Regigigas]</t>
        </is>
      </c>
      <c r="B3560" s="3">
        <f>IF(H3560&lt;&gt;"",H3560,IF(I3560&lt;&gt;"",I3560,IF(J3560&lt;&gt;"",J3560,K3560)))</f>
        <v>63.31</v>
      </c>
      <c r="C3560" s="3">
        <f>MEDIAN(H3560:K3560)</f>
        <v>63.31</v>
      </c>
      <c r="D3560" s="3">
        <f>ROUND(C3560*(1-Settings!$B$2),2)</f>
        <v>44.32</v>
      </c>
      <c r="E3560" s="2" t="inlineStr">
        <is>
          <t>Pokemon</t>
        </is>
      </c>
      <c r="F3560" s="2" t="inlineStr">
        <is>
          <t>Pack</t>
        </is>
      </c>
      <c r="G3560" s="2" t="inlineStr">
        <is>
          <t>SWSH11: Lost Origin</t>
        </is>
      </c>
      <c r="H3560" s="3" t="n"/>
      <c r="I3560" s="3" t="n">
        <v>63.31</v>
      </c>
      <c r="J3560" s="3" t="n">
        <v>82.37</v>
      </c>
      <c r="K3560" s="3" t="n">
        <v>1.5</v>
      </c>
      <c r="L3560" s="2" t="inlineStr">
        <is>
          <t>TCGplayer</t>
        </is>
      </c>
      <c r="N3560" s="4" t="inlineStr">
        <is>
          <t>https://www.tcgplayer.com/product/277329</t>
        </is>
      </c>
    </row>
    <row r="3561">
      <c r="A3561" s="2" t="inlineStr">
        <is>
          <t>Lost Origin Booster Pack</t>
        </is>
      </c>
      <c r="B3561" s="3">
        <f>IF(H3561&lt;&gt;"",H3561,IF(I3561&lt;&gt;"",I3561,IF(J3561&lt;&gt;"",J3561,K3561)))</f>
        <v>19.68</v>
      </c>
      <c r="C3561" s="3">
        <f>MEDIAN(H3561:K3561)</f>
        <v>19.619999999999997</v>
      </c>
      <c r="D3561" s="3">
        <f>ROUND(C3561*(1-Settings!$B$2),2)</f>
        <v>13.73</v>
      </c>
      <c r="E3561" s="2" t="inlineStr">
        <is>
          <t>Pokemon</t>
        </is>
      </c>
      <c r="F3561" s="2" t="inlineStr">
        <is>
          <t>Pack</t>
        </is>
      </c>
      <c r="G3561" s="2" t="inlineStr">
        <is>
          <t>SWSH11: Lost Origin</t>
        </is>
      </c>
      <c r="H3561" s="3" t="n">
        <v>19.68</v>
      </c>
      <c r="I3561" s="3" t="n">
        <v>19.56</v>
      </c>
      <c r="J3561" s="3" t="n">
        <v>19.71</v>
      </c>
      <c r="K3561" s="3" t="n">
        <v>3.45</v>
      </c>
      <c r="L3561" s="2" t="inlineStr">
        <is>
          <t>PriceCharting + TCGplayer</t>
        </is>
      </c>
      <c r="M3561" s="4" t="inlineStr">
        <is>
          <t>https://www.pricecharting.com/game/pokemon-lost-origin/booster-pack</t>
        </is>
      </c>
      <c r="N3561" s="4" t="inlineStr">
        <is>
          <t>https://www.tcgplayer.com/product/277325</t>
        </is>
      </c>
    </row>
    <row r="3562">
      <c r="A3562" s="2" t="inlineStr">
        <is>
          <t>Lost Origin Premium Checklane Blister [Infernape]</t>
        </is>
      </c>
      <c r="B3562" s="3">
        <f>IF(H3562&lt;&gt;"",H3562,IF(I3562&lt;&gt;"",I3562,IF(J3562&lt;&gt;"",J3562,K3562)))</f>
        <v>22.81</v>
      </c>
      <c r="C3562" s="3">
        <f>MEDIAN(H3562:K3562)</f>
        <v>22.81</v>
      </c>
      <c r="D3562" s="3">
        <f>ROUND(C3562*(1-Settings!$B$2),2)</f>
        <v>15.97</v>
      </c>
      <c r="E3562" s="2" t="inlineStr">
        <is>
          <t>Pokemon</t>
        </is>
      </c>
      <c r="F3562" s="2" t="inlineStr">
        <is>
          <t>Pack</t>
        </is>
      </c>
      <c r="G3562" s="2" t="inlineStr">
        <is>
          <t>SWSH11: Lost Origin</t>
        </is>
      </c>
      <c r="H3562" s="3" t="n"/>
      <c r="I3562" s="3" t="n">
        <v>22.81</v>
      </c>
      <c r="J3562" s="3" t="n">
        <v>22.99</v>
      </c>
      <c r="K3562" s="3" t="n">
        <v>22.75</v>
      </c>
      <c r="L3562" s="2" t="inlineStr">
        <is>
          <t>TCGplayer</t>
        </is>
      </c>
      <c r="N3562" s="4" t="inlineStr">
        <is>
          <t>https://www.tcgplayer.com/product/277331</t>
        </is>
      </c>
    </row>
    <row r="3563">
      <c r="A3563" s="2" t="inlineStr">
        <is>
          <t>Lost Origin Premium Checklane Blister [Torterra]</t>
        </is>
      </c>
      <c r="B3563" s="3">
        <f>IF(H3563&lt;&gt;"",H3563,IF(I3563&lt;&gt;"",I3563,IF(J3563&lt;&gt;"",J3563,K3563)))</f>
        <v>30.49</v>
      </c>
      <c r="C3563" s="3">
        <f>MEDIAN(H3563:K3563)</f>
        <v>44.0</v>
      </c>
      <c r="D3563" s="3">
        <f>ROUND(C3563*(1-Settings!$B$2),2)</f>
        <v>30.8</v>
      </c>
      <c r="E3563" s="2" t="inlineStr">
        <is>
          <t>Pokemon</t>
        </is>
      </c>
      <c r="F3563" s="2" t="inlineStr">
        <is>
          <t>Pack</t>
        </is>
      </c>
      <c r="G3563" s="2" t="inlineStr">
        <is>
          <t>SWSH11: Lost Origin</t>
        </is>
      </c>
      <c r="H3563" s="3" t="n"/>
      <c r="I3563" s="3" t="n">
        <v>30.49</v>
      </c>
      <c r="J3563" s="3" t="n">
        <v>47</v>
      </c>
      <c r="K3563" s="3" t="n">
        <v>44</v>
      </c>
      <c r="L3563" s="2" t="inlineStr">
        <is>
          <t>TCGplayer</t>
        </is>
      </c>
      <c r="N3563" s="4" t="inlineStr">
        <is>
          <t>https://www.tcgplayer.com/product/277334</t>
        </is>
      </c>
    </row>
    <row r="3564">
      <c r="A3564" s="2" t="inlineStr">
        <is>
          <t>Lost Origin Single Pack Blister [Croagunk]</t>
        </is>
      </c>
      <c r="B3564" s="3">
        <f>IF(H3564&lt;&gt;"",H3564,IF(I3564&lt;&gt;"",I3564,IF(J3564&lt;&gt;"",J3564,K3564)))</f>
        <v>17.06</v>
      </c>
      <c r="C3564" s="3">
        <f>MEDIAN(H3564:K3564)</f>
        <v>17.06</v>
      </c>
      <c r="D3564" s="3">
        <f>ROUND(C3564*(1-Settings!$B$2),2)</f>
        <v>11.94</v>
      </c>
      <c r="E3564" s="2" t="inlineStr">
        <is>
          <t>Pokemon</t>
        </is>
      </c>
      <c r="F3564" s="2" t="inlineStr">
        <is>
          <t>Pack</t>
        </is>
      </c>
      <c r="G3564" s="2" t="inlineStr">
        <is>
          <t>SWSH11: Lost Origin</t>
        </is>
      </c>
      <c r="H3564" s="3" t="n"/>
      <c r="I3564" s="3" t="n">
        <v>17.06</v>
      </c>
      <c r="J3564" s="3" t="n">
        <v>22</v>
      </c>
      <c r="K3564" s="3" t="n">
        <v>16.87</v>
      </c>
      <c r="L3564" s="2" t="inlineStr">
        <is>
          <t>TCGplayer</t>
        </is>
      </c>
      <c r="N3564" s="4" t="inlineStr">
        <is>
          <t>https://www.tcgplayer.com/product/277327</t>
        </is>
      </c>
    </row>
    <row r="3565">
      <c r="A3565" s="2" t="inlineStr">
        <is>
          <t>Lost Origin Single Pack Blister [Scorbunny]</t>
        </is>
      </c>
      <c r="B3565" s="3">
        <f>IF(H3565&lt;&gt;"",H3565,IF(I3565&lt;&gt;"",I3565,IF(J3565&lt;&gt;"",J3565,K3565)))</f>
        <v>19.41</v>
      </c>
      <c r="C3565" s="3">
        <f>MEDIAN(H3565:K3565)</f>
        <v>19.69</v>
      </c>
      <c r="D3565" s="3">
        <f>ROUND(C3565*(1-Settings!$B$2),2)</f>
        <v>13.78</v>
      </c>
      <c r="E3565" s="2" t="inlineStr">
        <is>
          <t>Pokemon</t>
        </is>
      </c>
      <c r="F3565" s="2" t="inlineStr">
        <is>
          <t>Pack</t>
        </is>
      </c>
      <c r="G3565" s="2" t="inlineStr">
        <is>
          <t>SWSH11: Lost Origin</t>
        </is>
      </c>
      <c r="H3565" s="3" t="n"/>
      <c r="I3565" s="3" t="n">
        <v>19.41</v>
      </c>
      <c r="J3565" s="3" t="n">
        <v>26.34</v>
      </c>
      <c r="K3565" s="3" t="n">
        <v>19.69</v>
      </c>
      <c r="L3565" s="2" t="inlineStr">
        <is>
          <t>TCGplayer</t>
        </is>
      </c>
      <c r="N3565" s="4" t="inlineStr">
        <is>
          <t>https://www.tcgplayer.com/product/277328</t>
        </is>
      </c>
    </row>
    <row r="3566">
      <c r="A3566" s="2" t="inlineStr">
        <is>
          <t>Lost Origin Single Pack Blister [Set of 2]</t>
        </is>
      </c>
      <c r="B3566" s="3">
        <f>IF(H3566&lt;&gt;"",H3566,IF(I3566&lt;&gt;"",I3566,IF(J3566&lt;&gt;"",J3566,K3566)))</f>
        <v>39.65</v>
      </c>
      <c r="C3566" s="3">
        <f>MEDIAN(H3566:K3566)</f>
        <v>39.66</v>
      </c>
      <c r="D3566" s="3">
        <f>ROUND(C3566*(1-Settings!$B$2),2)</f>
        <v>27.76</v>
      </c>
      <c r="E3566" s="2" t="inlineStr">
        <is>
          <t>Pokemon</t>
        </is>
      </c>
      <c r="F3566" s="2" t="inlineStr">
        <is>
          <t>Pack</t>
        </is>
      </c>
      <c r="G3566" s="2" t="inlineStr">
        <is>
          <t>SWSH11: Lost Origin</t>
        </is>
      </c>
      <c r="H3566" s="3" t="n"/>
      <c r="I3566" s="3" t="n">
        <v>39.65</v>
      </c>
      <c r="J3566" s="3" t="n">
        <v>45</v>
      </c>
      <c r="K3566" s="3" t="n">
        <v>39.66</v>
      </c>
      <c r="L3566" s="2" t="inlineStr">
        <is>
          <t>TCGplayer</t>
        </is>
      </c>
      <c r="N3566" s="4" t="inlineStr">
        <is>
          <t>https://www.tcgplayer.com/product/278797</t>
        </is>
      </c>
    </row>
    <row r="3567">
      <c r="A3567" s="2" t="inlineStr">
        <is>
          <t>Lost Origin Sleeved Booster Pack</t>
        </is>
      </c>
      <c r="B3567" s="3">
        <f>IF(H3567&lt;&gt;"",H3567,IF(I3567&lt;&gt;"",I3567,IF(J3567&lt;&gt;"",J3567,K3567)))</f>
        <v>21.34</v>
      </c>
      <c r="C3567" s="3">
        <f>MEDIAN(H3567:K3567)</f>
        <v>21.575</v>
      </c>
      <c r="D3567" s="3">
        <f>ROUND(C3567*(1-Settings!$B$2),2)</f>
        <v>15.1</v>
      </c>
      <c r="E3567" s="2" t="inlineStr">
        <is>
          <t>Pokemon</t>
        </is>
      </c>
      <c r="F3567" s="2" t="inlineStr">
        <is>
          <t>Pack</t>
        </is>
      </c>
      <c r="G3567" s="2" t="inlineStr">
        <is>
          <t>SWSH11: Lost Origin</t>
        </is>
      </c>
      <c r="H3567" s="3" t="n">
        <v>21.34</v>
      </c>
      <c r="I3567" s="3" t="n">
        <v>21.81</v>
      </c>
      <c r="J3567" s="3" t="n">
        <v>26.12</v>
      </c>
      <c r="K3567" s="3" t="n">
        <v>20</v>
      </c>
      <c r="L3567" s="2" t="inlineStr">
        <is>
          <t>PriceCharting + TCGplayer</t>
        </is>
      </c>
      <c r="M3567" s="4" t="inlineStr">
        <is>
          <t>https://www.pricecharting.com/game/pokemon-lost-origin/sleeved-booster-pack</t>
        </is>
      </c>
      <c r="N3567" s="4" t="inlineStr">
        <is>
          <t>https://www.tcgplayer.com/product/277326</t>
        </is>
      </c>
    </row>
    <row r="3568">
      <c r="A3568" s="2" t="inlineStr">
        <is>
          <t>Silver Tempest 3 Pack Blister [Manaphy]</t>
        </is>
      </c>
      <c r="B3568" s="3">
        <f>IF(H3568&lt;&gt;"",H3568,IF(I3568&lt;&gt;"",I3568,IF(J3568&lt;&gt;"",J3568,K3568)))</f>
        <v>47.78</v>
      </c>
      <c r="C3568" s="3">
        <f>MEDIAN(H3568:K3568)</f>
        <v>47.78</v>
      </c>
      <c r="D3568" s="3">
        <f>ROUND(C3568*(1-Settings!$B$2),2)</f>
        <v>33.45</v>
      </c>
      <c r="E3568" s="2" t="inlineStr">
        <is>
          <t>Pokemon</t>
        </is>
      </c>
      <c r="F3568" s="2" t="inlineStr">
        <is>
          <t>Pack</t>
        </is>
      </c>
      <c r="G3568" s="2" t="inlineStr">
        <is>
          <t>SWSH12: Silver Tempest</t>
        </is>
      </c>
      <c r="H3568" s="3" t="n"/>
      <c r="I3568" s="3" t="n">
        <v>47.78</v>
      </c>
      <c r="J3568" s="3" t="n">
        <v>58.99</v>
      </c>
      <c r="K3568" s="3" t="n">
        <v>1.5</v>
      </c>
      <c r="L3568" s="2" t="inlineStr">
        <is>
          <t>TCGplayer</t>
        </is>
      </c>
      <c r="N3568" s="4" t="inlineStr">
        <is>
          <t>https://www.tcgplayer.com/product/283394</t>
        </is>
      </c>
    </row>
    <row r="3569">
      <c r="A3569" s="2" t="inlineStr">
        <is>
          <t>Silver Tempest 3 Pack Blister [Set of 2]</t>
        </is>
      </c>
      <c r="B3569" s="3">
        <f>IF(H3569&lt;&gt;"",H3569,IF(I3569&lt;&gt;"",I3569,IF(J3569&lt;&gt;"",J3569,K3569)))</f>
        <v>102.47</v>
      </c>
      <c r="C3569" s="3">
        <f>MEDIAN(H3569:K3569)</f>
        <v>119.95</v>
      </c>
      <c r="D3569" s="3">
        <f>ROUND(C3569*(1-Settings!$B$2),2)</f>
        <v>83.97</v>
      </c>
      <c r="E3569" s="2" t="inlineStr">
        <is>
          <t>Pokemon</t>
        </is>
      </c>
      <c r="F3569" s="2" t="inlineStr">
        <is>
          <t>Pack</t>
        </is>
      </c>
      <c r="G3569" s="2" t="inlineStr">
        <is>
          <t>SWSH12: Silver Tempest</t>
        </is>
      </c>
      <c r="H3569" s="3" t="n"/>
      <c r="I3569" s="3" t="n">
        <v>102.47</v>
      </c>
      <c r="J3569" s="3" t="n">
        <v>119.95</v>
      </c>
      <c r="K3569" s="3" t="n">
        <v>119.95</v>
      </c>
      <c r="L3569" s="2" t="inlineStr">
        <is>
          <t>TCGplayer</t>
        </is>
      </c>
      <c r="N3569" s="4" t="inlineStr">
        <is>
          <t>https://www.tcgplayer.com/product/285779</t>
        </is>
      </c>
    </row>
    <row r="3570">
      <c r="A3570" s="2" t="inlineStr">
        <is>
          <t>Silver Tempest 3 Pack Blister [Togetic]</t>
        </is>
      </c>
      <c r="B3570" s="3">
        <f>IF(H3570&lt;&gt;"",H3570,IF(I3570&lt;&gt;"",I3570,IF(J3570&lt;&gt;"",J3570,K3570)))</f>
        <v>49.99</v>
      </c>
      <c r="C3570" s="3">
        <f>MEDIAN(H3570:K3570)</f>
        <v>54.705</v>
      </c>
      <c r="D3570" s="3">
        <f>ROUND(C3570*(1-Settings!$B$2),2)</f>
        <v>38.29</v>
      </c>
      <c r="E3570" s="2" t="inlineStr">
        <is>
          <t>Pokemon</t>
        </is>
      </c>
      <c r="F3570" s="2" t="inlineStr">
        <is>
          <t>Pack</t>
        </is>
      </c>
      <c r="G3570" s="2" t="inlineStr">
        <is>
          <t>SWSH12: Silver Tempest</t>
        </is>
      </c>
      <c r="H3570" s="3" t="n">
        <v>49.99</v>
      </c>
      <c r="I3570" s="3" t="n">
        <v>50.42</v>
      </c>
      <c r="J3570" s="3" t="n">
        <v>59.14</v>
      </c>
      <c r="K3570" s="3" t="n">
        <v>58.99</v>
      </c>
      <c r="L3570" s="2" t="inlineStr">
        <is>
          <t>PriceCharting + TCGplayer</t>
        </is>
      </c>
      <c r="M3570" s="4" t="inlineStr">
        <is>
          <t>https://www.pricecharting.com/game/pokemon-silver-tempest/3-pack-blister-togetic</t>
        </is>
      </c>
      <c r="N3570" s="4" t="inlineStr">
        <is>
          <t>https://www.tcgplayer.com/product/283393</t>
        </is>
      </c>
    </row>
    <row r="3571">
      <c r="A3571" s="2" t="inlineStr">
        <is>
          <t>Silver Tempest Booster Pack</t>
        </is>
      </c>
      <c r="B3571" s="3">
        <f>IF(H3571&lt;&gt;"",H3571,IF(I3571&lt;&gt;"",I3571,IF(J3571&lt;&gt;"",J3571,K3571)))</f>
        <v>15.29</v>
      </c>
      <c r="C3571" s="3">
        <f>MEDIAN(H3571:K3571)</f>
        <v>15.17</v>
      </c>
      <c r="D3571" s="3">
        <f>ROUND(C3571*(1-Settings!$B$2),2)</f>
        <v>10.62</v>
      </c>
      <c r="E3571" s="2" t="inlineStr">
        <is>
          <t>Pokemon</t>
        </is>
      </c>
      <c r="F3571" s="2" t="inlineStr">
        <is>
          <t>Pack</t>
        </is>
      </c>
      <c r="G3571" s="2" t="inlineStr">
        <is>
          <t>SWSH12: Silver Tempest</t>
        </is>
      </c>
      <c r="H3571" s="3" t="n">
        <v>15.29</v>
      </c>
      <c r="I3571" s="3" t="n">
        <v>15.05</v>
      </c>
      <c r="J3571" s="3" t="n">
        <v>15.75</v>
      </c>
      <c r="K3571" s="3" t="n">
        <v>9.99</v>
      </c>
      <c r="L3571" s="2" t="inlineStr">
        <is>
          <t>PriceCharting + TCGplayer</t>
        </is>
      </c>
      <c r="M3571" s="4" t="inlineStr">
        <is>
          <t>https://www.pricecharting.com/game/pokemon-silver-tempest/booster-pack</t>
        </is>
      </c>
      <c r="N3571" s="4" t="inlineStr">
        <is>
          <t>https://www.tcgplayer.com/product/283388</t>
        </is>
      </c>
    </row>
    <row r="3572">
      <c r="A3572" s="2" t="inlineStr">
        <is>
          <t>Silver Tempest Premium Checklane Blister [Gallade]</t>
        </is>
      </c>
      <c r="B3572" s="3">
        <f>IF(H3572&lt;&gt;"",H3572,IF(I3572&lt;&gt;"",I3572,IF(J3572&lt;&gt;"",J3572,K3572)))</f>
        <v>22.99</v>
      </c>
      <c r="C3572" s="3">
        <f>MEDIAN(H3572:K3572)</f>
        <v>28.0</v>
      </c>
      <c r="D3572" s="3">
        <f>ROUND(C3572*(1-Settings!$B$2),2)</f>
        <v>19.6</v>
      </c>
      <c r="E3572" s="2" t="inlineStr">
        <is>
          <t>Pokemon</t>
        </is>
      </c>
      <c r="F3572" s="2" t="inlineStr">
        <is>
          <t>Pack</t>
        </is>
      </c>
      <c r="G3572" s="2" t="inlineStr">
        <is>
          <t>SWSH12: Silver Tempest</t>
        </is>
      </c>
      <c r="H3572" s="3" t="n"/>
      <c r="I3572" s="3" t="n">
        <v>22.99</v>
      </c>
      <c r="J3572" s="3" t="n">
        <v>39</v>
      </c>
      <c r="K3572" s="3" t="n">
        <v>28</v>
      </c>
      <c r="L3572" s="2" t="inlineStr">
        <is>
          <t>TCGplayer</t>
        </is>
      </c>
      <c r="N3572" s="4" t="inlineStr">
        <is>
          <t>https://www.tcgplayer.com/product/285784</t>
        </is>
      </c>
    </row>
    <row r="3573">
      <c r="A3573" s="2" t="inlineStr">
        <is>
          <t>Silver Tempest Premium Checklane Blister [Magnezone]</t>
        </is>
      </c>
      <c r="B3573" s="3">
        <f>IF(H3573&lt;&gt;"",H3573,IF(I3573&lt;&gt;"",I3573,IF(J3573&lt;&gt;"",J3573,K3573)))</f>
        <v>28.55</v>
      </c>
      <c r="C3573" s="3">
        <f>MEDIAN(H3573:K3573)</f>
        <v>28.55</v>
      </c>
      <c r="D3573" s="3">
        <f>ROUND(C3573*(1-Settings!$B$2),2)</f>
        <v>19.99</v>
      </c>
      <c r="E3573" s="2" t="inlineStr">
        <is>
          <t>Pokemon</t>
        </is>
      </c>
      <c r="F3573" s="2" t="inlineStr">
        <is>
          <t>Pack</t>
        </is>
      </c>
      <c r="G3573" s="2" t="inlineStr">
        <is>
          <t>SWSH12: Silver Tempest</t>
        </is>
      </c>
      <c r="H3573" s="3" t="n"/>
      <c r="I3573" s="3" t="n"/>
      <c r="J3573" s="3" t="n">
        <v>28.55</v>
      </c>
      <c r="K3573" s="3" t="n">
        <v>28.55</v>
      </c>
      <c r="L3573" s="2" t="inlineStr">
        <is>
          <t>TCGplayer</t>
        </is>
      </c>
      <c r="N3573" s="4" t="inlineStr">
        <is>
          <t>https://www.tcgplayer.com/product/285783</t>
        </is>
      </c>
    </row>
    <row r="3574">
      <c r="A3574" s="2" t="inlineStr">
        <is>
          <t>Silver Tempest Single Pack Blister [Basculin]</t>
        </is>
      </c>
      <c r="B3574" s="3">
        <f>IF(H3574&lt;&gt;"",H3574,IF(I3574&lt;&gt;"",I3574,IF(J3574&lt;&gt;"",J3574,K3574)))</f>
        <v>14.67</v>
      </c>
      <c r="C3574" s="3">
        <f>MEDIAN(H3574:K3574)</f>
        <v>17.99</v>
      </c>
      <c r="D3574" s="3">
        <f>ROUND(C3574*(1-Settings!$B$2),2)</f>
        <v>12.59</v>
      </c>
      <c r="E3574" s="2" t="inlineStr">
        <is>
          <t>Pokemon</t>
        </is>
      </c>
      <c r="F3574" s="2" t="inlineStr">
        <is>
          <t>Pack</t>
        </is>
      </c>
      <c r="G3574" s="2" t="inlineStr">
        <is>
          <t>SWSH12: Silver Tempest</t>
        </is>
      </c>
      <c r="H3574" s="3" t="n"/>
      <c r="I3574" s="3" t="n">
        <v>14.67</v>
      </c>
      <c r="J3574" s="3" t="n">
        <v>17.99</v>
      </c>
      <c r="K3574" s="3" t="n">
        <v>17.99</v>
      </c>
      <c r="L3574" s="2" t="inlineStr">
        <is>
          <t>TCGplayer</t>
        </is>
      </c>
      <c r="N3574" s="4" t="inlineStr">
        <is>
          <t>https://www.tcgplayer.com/product/285780</t>
        </is>
      </c>
    </row>
    <row r="3575">
      <c r="A3575" s="2" t="inlineStr">
        <is>
          <t>Silver Tempest Single Pack Blister [Cranidos]</t>
        </is>
      </c>
      <c r="B3575" s="3">
        <f>IF(H3575&lt;&gt;"",H3575,IF(I3575&lt;&gt;"",I3575,IF(J3575&lt;&gt;"",J3575,K3575)))</f>
        <v>14.67</v>
      </c>
      <c r="C3575" s="3">
        <f>MEDIAN(H3575:K3575)</f>
        <v>14.67</v>
      </c>
      <c r="D3575" s="3">
        <f>ROUND(C3575*(1-Settings!$B$2),2)</f>
        <v>10.27</v>
      </c>
      <c r="E3575" s="2" t="inlineStr">
        <is>
          <t>Pokemon</t>
        </is>
      </c>
      <c r="F3575" s="2" t="inlineStr">
        <is>
          <t>Pack</t>
        </is>
      </c>
      <c r="G3575" s="2" t="inlineStr">
        <is>
          <t>SWSH12: Silver Tempest</t>
        </is>
      </c>
      <c r="H3575" s="3" t="n"/>
      <c r="I3575" s="3" t="n">
        <v>14.67</v>
      </c>
      <c r="J3575" s="3" t="n">
        <v>14.99</v>
      </c>
      <c r="K3575" s="3" t="n">
        <v>14.5</v>
      </c>
      <c r="L3575" s="2" t="inlineStr">
        <is>
          <t>TCGplayer</t>
        </is>
      </c>
      <c r="N3575" s="4" t="inlineStr">
        <is>
          <t>https://www.tcgplayer.com/product/285781</t>
        </is>
      </c>
    </row>
    <row r="3576">
      <c r="A3576" s="2" t="inlineStr">
        <is>
          <t>Silver Tempest Single Pack Blister [Set of 2]</t>
        </is>
      </c>
      <c r="B3576" s="3">
        <f>IF(H3576&lt;&gt;"",H3576,IF(I3576&lt;&gt;"",I3576,IF(J3576&lt;&gt;"",J3576,K3576)))</f>
        <v>48.98</v>
      </c>
      <c r="C3576" s="3">
        <f>MEDIAN(H3576:K3576)</f>
        <v>41.965</v>
      </c>
      <c r="D3576" s="3">
        <f>ROUND(C3576*(1-Settings!$B$2),2)</f>
        <v>29.38</v>
      </c>
      <c r="E3576" s="2" t="inlineStr">
        <is>
          <t>Pokemon</t>
        </is>
      </c>
      <c r="F3576" s="2" t="inlineStr">
        <is>
          <t>Pack</t>
        </is>
      </c>
      <c r="G3576" s="2" t="inlineStr">
        <is>
          <t>SWSH12: Silver Tempest</t>
        </is>
      </c>
      <c r="H3576" s="3" t="n"/>
      <c r="I3576" s="3" t="n"/>
      <c r="J3576" s="3" t="n">
        <v>48.98</v>
      </c>
      <c r="K3576" s="3" t="n">
        <v>34.95</v>
      </c>
      <c r="L3576" s="2" t="inlineStr">
        <is>
          <t>TCGplayer</t>
        </is>
      </c>
      <c r="N3576" s="4" t="inlineStr">
        <is>
          <t>https://www.tcgplayer.com/product/285782</t>
        </is>
      </c>
    </row>
    <row r="3577">
      <c r="A3577" s="2" t="inlineStr">
        <is>
          <t>Silver Tempest Sleeved Booster Pack</t>
        </is>
      </c>
      <c r="B3577" s="3">
        <f>IF(H3577&lt;&gt;"",H3577,IF(I3577&lt;&gt;"",I3577,IF(J3577&lt;&gt;"",J3577,K3577)))</f>
        <v>13.59</v>
      </c>
      <c r="C3577" s="3">
        <f>MEDIAN(H3577:K3577)</f>
        <v>15.965</v>
      </c>
      <c r="D3577" s="3">
        <f>ROUND(C3577*(1-Settings!$B$2),2)</f>
        <v>11.18</v>
      </c>
      <c r="E3577" s="2" t="inlineStr">
        <is>
          <t>Pokemon</t>
        </is>
      </c>
      <c r="F3577" s="2" t="inlineStr">
        <is>
          <t>Pack</t>
        </is>
      </c>
      <c r="G3577" s="2" t="inlineStr">
        <is>
          <t>SWSH12: Silver Tempest</t>
        </is>
      </c>
      <c r="H3577" s="3" t="n">
        <v>13.59</v>
      </c>
      <c r="I3577" s="3" t="n">
        <v>18.34</v>
      </c>
      <c r="J3577" s="3" t="n">
        <v>19</v>
      </c>
      <c r="K3577" s="3" t="n">
        <v>12.99</v>
      </c>
      <c r="L3577" s="2" t="inlineStr">
        <is>
          <t>PriceCharting + TCGplayer</t>
        </is>
      </c>
      <c r="M3577" s="4" t="inlineStr">
        <is>
          <t>https://www.pricecharting.com/game/pokemon-silver-tempest/sleeved-booster-pack</t>
        </is>
      </c>
      <c r="N3577" s="4" t="inlineStr">
        <is>
          <t>https://www.tcgplayer.com/product/283397</t>
        </is>
      </c>
    </row>
    <row r="3578">
      <c r="A3578" s="2" t="inlineStr">
        <is>
          <t>Crown Zenith Booster Pack</t>
        </is>
      </c>
      <c r="B3578" s="3">
        <f>IF(H3578&lt;&gt;"",H3578,IF(I3578&lt;&gt;"",I3578,IF(J3578&lt;&gt;"",J3578,K3578)))</f>
        <v>25.72</v>
      </c>
      <c r="C3578" s="3">
        <f>MEDIAN(H3578:K3578)</f>
        <v>25.685</v>
      </c>
      <c r="D3578" s="3">
        <f>ROUND(C3578*(1-Settings!$B$2),2)</f>
        <v>17.98</v>
      </c>
      <c r="E3578" s="2" t="inlineStr">
        <is>
          <t>Pokemon</t>
        </is>
      </c>
      <c r="F3578" s="2" t="inlineStr">
        <is>
          <t>Pack</t>
        </is>
      </c>
      <c r="G3578" s="2" t="inlineStr">
        <is>
          <t>SWSH: Crown Zenith</t>
        </is>
      </c>
      <c r="H3578" s="3" t="n">
        <v>25.72</v>
      </c>
      <c r="I3578" s="3" t="n">
        <v>25.65</v>
      </c>
      <c r="J3578" s="3" t="n">
        <v>26</v>
      </c>
      <c r="K3578" s="3" t="n">
        <v>22</v>
      </c>
      <c r="L3578" s="2" t="inlineStr">
        <is>
          <t>PriceCharting + TCGplayer</t>
        </is>
      </c>
      <c r="M3578" s="4" t="inlineStr">
        <is>
          <t>https://www.pricecharting.com/game/pokemon-crown-zenith/booster-pack</t>
        </is>
      </c>
      <c r="N3578" s="4" t="inlineStr">
        <is>
          <t>https://www.tcgplayer.com/product/453466</t>
        </is>
      </c>
    </row>
    <row r="3579">
      <c r="A3579" s="2" t="inlineStr">
        <is>
          <t>Team Rocket Booster Pack</t>
        </is>
      </c>
      <c r="B3579" s="3">
        <f>IF(H3579&lt;&gt;"",H3579,IF(I3579&lt;&gt;"",I3579,IF(J3579&lt;&gt;"",J3579,K3579)))</f>
        <v>313.16</v>
      </c>
      <c r="C3579" s="3">
        <f>MEDIAN(H3579:K3579)</f>
        <v>313.16</v>
      </c>
      <c r="D3579" s="3">
        <f>ROUND(C3579*(1-Settings!$B$2),2)</f>
        <v>219.21</v>
      </c>
      <c r="E3579" s="2" t="inlineStr">
        <is>
          <t>Pokemon</t>
        </is>
      </c>
      <c r="F3579" s="2" t="inlineStr">
        <is>
          <t>Pack</t>
        </is>
      </c>
      <c r="G3579" s="2" t="inlineStr">
        <is>
          <t>Team Rocket</t>
        </is>
      </c>
      <c r="H3579" s="3" t="n">
        <v>313.16</v>
      </c>
      <c r="I3579" s="3" t="n"/>
      <c r="J3579" s="3" t="n"/>
      <c r="K3579" s="3" t="n"/>
      <c r="L3579" s="2" t="inlineStr">
        <is>
          <t>PriceCharting</t>
        </is>
      </c>
      <c r="M3579" s="4" t="inlineStr">
        <is>
          <t>https://www.pricecharting.com/game/pokemon-team-rocket/booster-pack</t>
        </is>
      </c>
    </row>
    <row r="3580">
      <c r="A3580" s="2" t="inlineStr">
        <is>
          <t>Team Rocket Booster Pack [1st Edition]</t>
        </is>
      </c>
      <c r="B3580" s="3">
        <f>IF(H3580&lt;&gt;"",H3580,IF(I3580&lt;&gt;"",I3580,IF(J3580&lt;&gt;"",J3580,K3580)))</f>
        <v>668.93</v>
      </c>
      <c r="C3580" s="3">
        <f>MEDIAN(H3580:K3580)</f>
        <v>826.3399999999999</v>
      </c>
      <c r="D3580" s="3">
        <f>ROUND(C3580*(1-Settings!$B$2),2)</f>
        <v>578.44</v>
      </c>
      <c r="E3580" s="2" t="inlineStr">
        <is>
          <t>Pokemon</t>
        </is>
      </c>
      <c r="F3580" s="2" t="inlineStr">
        <is>
          <t>Pack</t>
        </is>
      </c>
      <c r="G3580" s="2" t="inlineStr">
        <is>
          <t>Team Rocket</t>
        </is>
      </c>
      <c r="H3580" s="3" t="n">
        <v>668.9299999999999</v>
      </c>
      <c r="I3580" s="3" t="n">
        <v>753.6799999999999</v>
      </c>
      <c r="J3580" s="3" t="n">
        <v>1199.49</v>
      </c>
      <c r="K3580" s="3" t="n">
        <v>899</v>
      </c>
      <c r="L3580" s="2" t="inlineStr">
        <is>
          <t>PriceCharting + TCGplayer</t>
        </is>
      </c>
      <c r="M3580" s="4" t="inlineStr">
        <is>
          <t>https://www.pricecharting.com/game/pokemon-team-rocket/booster-pack-1st-edition</t>
        </is>
      </c>
      <c r="N3580" s="4" t="inlineStr">
        <is>
          <t>https://www.tcgplayer.com/product/138136</t>
        </is>
      </c>
    </row>
    <row r="3581">
      <c r="A3581" s="2" t="inlineStr">
        <is>
          <t>Team Rocket Booster Pack [Unlimited Edition]</t>
        </is>
      </c>
      <c r="B3581" s="3">
        <f>IF(H3581&lt;&gt;"",H3581,IF(I3581&lt;&gt;"",I3581,IF(J3581&lt;&gt;"",J3581,K3581)))</f>
        <v>325.51</v>
      </c>
      <c r="C3581" s="3">
        <f>MEDIAN(H3581:K3581)</f>
        <v>650.0</v>
      </c>
      <c r="D3581" s="3">
        <f>ROUND(C3581*(1-Settings!$B$2),2)</f>
        <v>455.0</v>
      </c>
      <c r="E3581" s="2" t="inlineStr">
        <is>
          <t>Pokemon</t>
        </is>
      </c>
      <c r="F3581" s="2" t="inlineStr">
        <is>
          <t>Pack</t>
        </is>
      </c>
      <c r="G3581" s="2" t="inlineStr">
        <is>
          <t>Team Rocket</t>
        </is>
      </c>
      <c r="H3581" s="3" t="n"/>
      <c r="I3581" s="3" t="n">
        <v>325.51</v>
      </c>
      <c r="J3581" s="3" t="n">
        <v>650</v>
      </c>
      <c r="K3581" s="3" t="n">
        <v>650</v>
      </c>
      <c r="L3581" s="2" t="inlineStr">
        <is>
          <t>TCGplayer</t>
        </is>
      </c>
      <c r="N3581" s="4" t="inlineStr">
        <is>
          <t>https://www.tcgplayer.com/product/138135</t>
        </is>
      </c>
    </row>
    <row r="3582">
      <c r="A3582" s="2" t="inlineStr">
        <is>
          <t>Team Rocket Returns Blister Pack</t>
        </is>
      </c>
      <c r="B3582" s="3">
        <f>IF(H3582&lt;&gt;"",H3582,IF(I3582&lt;&gt;"",I3582,IF(J3582&lt;&gt;"",J3582,K3582)))</f>
        <v>3097.32</v>
      </c>
      <c r="C3582" s="3">
        <f>MEDIAN(H3582:K3582)</f>
        <v>3097.32</v>
      </c>
      <c r="D3582" s="3">
        <f>ROUND(C3582*(1-Settings!$B$2),2)</f>
        <v>2168.12</v>
      </c>
      <c r="E3582" s="2" t="inlineStr">
        <is>
          <t>Pokemon</t>
        </is>
      </c>
      <c r="F3582" s="2" t="inlineStr">
        <is>
          <t>Pack</t>
        </is>
      </c>
      <c r="G3582" s="2" t="inlineStr">
        <is>
          <t>Team Rocket Returns</t>
        </is>
      </c>
      <c r="H3582" s="3" t="n">
        <v>3097.32</v>
      </c>
      <c r="I3582" s="3" t="n"/>
      <c r="J3582" s="3" t="n"/>
      <c r="K3582" s="3" t="n"/>
      <c r="L3582" s="2" t="inlineStr">
        <is>
          <t>PriceCharting</t>
        </is>
      </c>
      <c r="M3582" s="4" t="inlineStr">
        <is>
          <t>https://www.pricecharting.com/game/pokemon-team-rocket-returns/blister-pack</t>
        </is>
      </c>
    </row>
    <row r="3583">
      <c r="A3583" s="2" t="inlineStr">
        <is>
          <t>Team Up Blister Pack</t>
        </is>
      </c>
      <c r="B3583" s="3">
        <f>IF(H3583&lt;&gt;"",H3583,IF(I3583&lt;&gt;"",I3583,IF(J3583&lt;&gt;"",J3583,K3583)))</f>
        <v>412.5</v>
      </c>
      <c r="C3583" s="3">
        <f>MEDIAN(H3583:K3583)</f>
        <v>412.5</v>
      </c>
      <c r="D3583" s="3">
        <f>ROUND(C3583*(1-Settings!$B$2),2)</f>
        <v>288.75</v>
      </c>
      <c r="E3583" s="2" t="inlineStr">
        <is>
          <t>Pokemon</t>
        </is>
      </c>
      <c r="F3583" s="2" t="inlineStr">
        <is>
          <t>Pack</t>
        </is>
      </c>
      <c r="G3583" s="2" t="inlineStr">
        <is>
          <t>Team Up</t>
        </is>
      </c>
      <c r="H3583" s="3" t="n">
        <v>412.5</v>
      </c>
      <c r="I3583" s="3" t="n"/>
      <c r="J3583" s="3" t="n"/>
      <c r="K3583" s="3" t="n"/>
      <c r="L3583" s="2" t="inlineStr">
        <is>
          <t>PriceCharting</t>
        </is>
      </c>
      <c r="M3583" s="4" t="inlineStr">
        <is>
          <t>https://www.pricecharting.com/game/pokemon-team-up/blister-pack</t>
        </is>
      </c>
    </row>
    <row r="3584">
      <c r="A3584" s="2" t="inlineStr">
        <is>
          <t>Team Up Sampling Pack</t>
        </is>
      </c>
      <c r="B3584" s="3">
        <f>IF(H3584&lt;&gt;"",H3584,IF(I3584&lt;&gt;"",I3584,IF(J3584&lt;&gt;"",J3584,K3584)))</f>
        <v>30.79</v>
      </c>
      <c r="C3584" s="3">
        <f>MEDIAN(H3584:K3584)</f>
        <v>30.79</v>
      </c>
      <c r="D3584" s="3">
        <f>ROUND(C3584*(1-Settings!$B$2),2)</f>
        <v>21.55</v>
      </c>
      <c r="E3584" s="2" t="inlineStr">
        <is>
          <t>Pokemon</t>
        </is>
      </c>
      <c r="F3584" s="2" t="inlineStr">
        <is>
          <t>Pack</t>
        </is>
      </c>
      <c r="G3584" s="2" t="inlineStr">
        <is>
          <t>Team Up</t>
        </is>
      </c>
      <c r="H3584" s="3" t="n">
        <v>30.79</v>
      </c>
      <c r="I3584" s="3" t="n"/>
      <c r="J3584" s="3" t="n"/>
      <c r="K3584" s="3" t="n"/>
      <c r="L3584" s="2" t="inlineStr">
        <is>
          <t>PriceCharting</t>
        </is>
      </c>
      <c r="M3584" s="4" t="inlineStr">
        <is>
          <t>https://www.pricecharting.com/game/pokemon-team-up/sampling-pack</t>
        </is>
      </c>
    </row>
    <row r="3585">
      <c r="A3585" s="2" t="inlineStr">
        <is>
          <t>Temporal Forces Single Blister Pack: Bellibolt</t>
        </is>
      </c>
      <c r="B3585" s="3">
        <f>IF(H3585&lt;&gt;"",H3585,IF(I3585&lt;&gt;"",I3585,IF(J3585&lt;&gt;"",J3585,K3585)))</f>
        <v>12.8</v>
      </c>
      <c r="C3585" s="3">
        <f>MEDIAN(H3585:K3585)</f>
        <v>12.8</v>
      </c>
      <c r="D3585" s="3">
        <f>ROUND(C3585*(1-Settings!$B$2),2)</f>
        <v>8.96</v>
      </c>
      <c r="E3585" s="2" t="inlineStr">
        <is>
          <t>Pokemon</t>
        </is>
      </c>
      <c r="F3585" s="2" t="inlineStr">
        <is>
          <t>Pack</t>
        </is>
      </c>
      <c r="G3585" s="2" t="inlineStr">
        <is>
          <t>Temporal Forces</t>
        </is>
      </c>
      <c r="H3585" s="3" t="n">
        <v>12.8</v>
      </c>
      <c r="I3585" s="3" t="n"/>
      <c r="J3585" s="3" t="n"/>
      <c r="K3585" s="3" t="n"/>
      <c r="L3585" s="2" t="inlineStr">
        <is>
          <t>PriceCharting</t>
        </is>
      </c>
      <c r="M3585" s="4" t="inlineStr">
        <is>
          <t>https://www.pricecharting.com/game/pokemon-temporal-forces/single-blister-pack-bellibolt</t>
        </is>
      </c>
    </row>
    <row r="3586">
      <c r="A3586" s="2" t="inlineStr">
        <is>
          <t>Temporal Forces Single Blister Pack: Carvanha</t>
        </is>
      </c>
      <c r="B3586" s="3">
        <f>IF(H3586&lt;&gt;"",H3586,IF(I3586&lt;&gt;"",I3586,IF(J3586&lt;&gt;"",J3586,K3586)))</f>
        <v>9.87</v>
      </c>
      <c r="C3586" s="3">
        <f>MEDIAN(H3586:K3586)</f>
        <v>9.87</v>
      </c>
      <c r="D3586" s="3">
        <f>ROUND(C3586*(1-Settings!$B$2),2)</f>
        <v>6.91</v>
      </c>
      <c r="E3586" s="2" t="inlineStr">
        <is>
          <t>Pokemon</t>
        </is>
      </c>
      <c r="F3586" s="2" t="inlineStr">
        <is>
          <t>Pack</t>
        </is>
      </c>
      <c r="G3586" s="2" t="inlineStr">
        <is>
          <t>Temporal Forces</t>
        </is>
      </c>
      <c r="H3586" s="3" t="n">
        <v>9.869999999999999</v>
      </c>
      <c r="I3586" s="3" t="n"/>
      <c r="J3586" s="3" t="n"/>
      <c r="K3586" s="3" t="n"/>
      <c r="L3586" s="2" t="inlineStr">
        <is>
          <t>PriceCharting</t>
        </is>
      </c>
      <c r="M3586" s="4" t="inlineStr">
        <is>
          <t>https://www.pricecharting.com/game/pokemon-temporal-forces/single-blister-pack-carvanha</t>
        </is>
      </c>
    </row>
    <row r="3587">
      <c r="A3587" s="2" t="inlineStr">
        <is>
          <t>Trick Or Trade 2022 Booster Pack</t>
        </is>
      </c>
      <c r="B3587" s="3">
        <f>IF(H3587&lt;&gt;"",H3587,IF(I3587&lt;&gt;"",I3587,IF(J3587&lt;&gt;"",J3587,K3587)))</f>
        <v>2.7</v>
      </c>
      <c r="C3587" s="3">
        <f>MEDIAN(H3587:K3587)</f>
        <v>2.7</v>
      </c>
      <c r="D3587" s="3">
        <f>ROUND(C3587*(1-Settings!$B$2),2)</f>
        <v>1.89</v>
      </c>
      <c r="E3587" s="2" t="inlineStr">
        <is>
          <t>Pokemon</t>
        </is>
      </c>
      <c r="F3587" s="2" t="inlineStr">
        <is>
          <t>Pack</t>
        </is>
      </c>
      <c r="G3587" s="2" t="inlineStr">
        <is>
          <t>Trick Or Trade 2022</t>
        </is>
      </c>
      <c r="H3587" s="3" t="n">
        <v>2.7</v>
      </c>
      <c r="I3587" s="3" t="n"/>
      <c r="J3587" s="3" t="n"/>
      <c r="K3587" s="3" t="n"/>
      <c r="L3587" s="2" t="inlineStr">
        <is>
          <t>PriceCharting</t>
        </is>
      </c>
      <c r="M3587" s="4" t="inlineStr">
        <is>
          <t>https://www.pricecharting.com/game/pokemon-trick-or-trade-2022/booster-pack</t>
        </is>
      </c>
    </row>
    <row r="3588">
      <c r="A3588" s="2" t="inlineStr">
        <is>
          <t>Trick Or Trade 2023 Booster Pack</t>
        </is>
      </c>
      <c r="B3588" s="3">
        <f>IF(H3588&lt;&gt;"",H3588,IF(I3588&lt;&gt;"",I3588,IF(J3588&lt;&gt;"",J3588,K3588)))</f>
        <v>2.37</v>
      </c>
      <c r="C3588" s="3">
        <f>MEDIAN(H3588:K3588)</f>
        <v>2.37</v>
      </c>
      <c r="D3588" s="3">
        <f>ROUND(C3588*(1-Settings!$B$2),2)</f>
        <v>1.66</v>
      </c>
      <c r="E3588" s="2" t="inlineStr">
        <is>
          <t>Pokemon</t>
        </is>
      </c>
      <c r="F3588" s="2" t="inlineStr">
        <is>
          <t>Pack</t>
        </is>
      </c>
      <c r="G3588" s="2" t="inlineStr">
        <is>
          <t>Trick Or Trade 2023</t>
        </is>
      </c>
      <c r="H3588" s="3" t="n">
        <v>2.37</v>
      </c>
      <c r="I3588" s="3" t="n"/>
      <c r="J3588" s="3" t="n"/>
      <c r="K3588" s="3" t="n"/>
      <c r="L3588" s="2" t="inlineStr">
        <is>
          <t>PriceCharting</t>
        </is>
      </c>
      <c r="M3588" s="4" t="inlineStr">
        <is>
          <t>https://www.pricecharting.com/game/pokemon-trick-or-trade-2023/booster-pack</t>
        </is>
      </c>
    </row>
    <row r="3589">
      <c r="A3589" s="2" t="inlineStr">
        <is>
          <t>Trick Or Trade 2024 BOOster Pack</t>
        </is>
      </c>
      <c r="B3589" s="3">
        <f>IF(H3589&lt;&gt;"",H3589,IF(I3589&lt;&gt;"",I3589,IF(J3589&lt;&gt;"",J3589,K3589)))</f>
        <v>2.27</v>
      </c>
      <c r="C3589" s="3">
        <f>MEDIAN(H3589:K3589)</f>
        <v>2.27</v>
      </c>
      <c r="D3589" s="3">
        <f>ROUND(C3589*(1-Settings!$B$2),2)</f>
        <v>1.59</v>
      </c>
      <c r="E3589" s="2" t="inlineStr">
        <is>
          <t>Pokemon</t>
        </is>
      </c>
      <c r="F3589" s="2" t="inlineStr">
        <is>
          <t>Pack</t>
        </is>
      </c>
      <c r="G3589" s="2" t="inlineStr">
        <is>
          <t>Trick Or Trade 2024</t>
        </is>
      </c>
      <c r="H3589" s="3" t="n">
        <v>2.27</v>
      </c>
      <c r="I3589" s="3" t="n"/>
      <c r="J3589" s="3" t="n"/>
      <c r="K3589" s="3" t="n"/>
      <c r="L3589" s="2" t="inlineStr">
        <is>
          <t>PriceCharting</t>
        </is>
      </c>
      <c r="M3589" s="4" t="inlineStr">
        <is>
          <t>https://www.pricecharting.com/game/pokemon-trick-or-trade-2024/booster-pack</t>
        </is>
      </c>
    </row>
    <row r="3590">
      <c r="A3590" s="2" t="inlineStr">
        <is>
          <t>Triumphant Blister Pack</t>
        </is>
      </c>
      <c r="B3590" s="3">
        <f>IF(H3590&lt;&gt;"",H3590,IF(I3590&lt;&gt;"",I3590,IF(J3590&lt;&gt;"",J3590,K3590)))</f>
        <v>293.67</v>
      </c>
      <c r="C3590" s="3">
        <f>MEDIAN(H3590:K3590)</f>
        <v>293.67</v>
      </c>
      <c r="D3590" s="3">
        <f>ROUND(C3590*(1-Settings!$B$2),2)</f>
        <v>205.57</v>
      </c>
      <c r="E3590" s="2" t="inlineStr">
        <is>
          <t>Pokemon</t>
        </is>
      </c>
      <c r="F3590" s="2" t="inlineStr">
        <is>
          <t>Pack</t>
        </is>
      </c>
      <c r="G3590" s="2" t="inlineStr">
        <is>
          <t>Triumphant</t>
        </is>
      </c>
      <c r="H3590" s="3" t="n">
        <v>293.67</v>
      </c>
      <c r="I3590" s="3" t="n"/>
      <c r="J3590" s="3" t="n"/>
      <c r="K3590" s="3" t="n"/>
      <c r="L3590" s="2" t="inlineStr">
        <is>
          <t>PriceCharting</t>
        </is>
      </c>
      <c r="M3590" s="4" t="inlineStr">
        <is>
          <t>https://www.pricecharting.com/game/pokemon-triumphant/blister-pack</t>
        </is>
      </c>
    </row>
    <row r="3591">
      <c r="A3591" s="2" t="inlineStr">
        <is>
          <t>Triumphant Booster Pack</t>
        </is>
      </c>
      <c r="B3591" s="3">
        <f>IF(H3591&lt;&gt;"",H3591,IF(I3591&lt;&gt;"",I3591,IF(J3591&lt;&gt;"",J3591,K3591)))</f>
        <v>320.0</v>
      </c>
      <c r="C3591" s="3">
        <f>MEDIAN(H3591:K3591)</f>
        <v>355.0</v>
      </c>
      <c r="D3591" s="3">
        <f>ROUND(C3591*(1-Settings!$B$2),2)</f>
        <v>248.5</v>
      </c>
      <c r="E3591" s="2" t="inlineStr">
        <is>
          <t>Pokemon</t>
        </is>
      </c>
      <c r="F3591" s="2" t="inlineStr">
        <is>
          <t>Pack</t>
        </is>
      </c>
      <c r="G3591" s="2" t="inlineStr">
        <is>
          <t>Triumphant</t>
        </is>
      </c>
      <c r="H3591" s="3" t="n">
        <v>320</v>
      </c>
      <c r="I3591" s="3" t="n">
        <v>400</v>
      </c>
      <c r="J3591" s="3" t="n"/>
      <c r="K3591" s="3" t="n">
        <v>355</v>
      </c>
      <c r="L3591" s="2" t="inlineStr">
        <is>
          <t>PriceCharting + TCGplayer</t>
        </is>
      </c>
      <c r="M3591" s="4" t="inlineStr">
        <is>
          <t>https://www.pricecharting.com/game/pokemon-triumphant/booster-pack</t>
        </is>
      </c>
      <c r="N3591" s="4" t="inlineStr">
        <is>
          <t>https://www.tcgplayer.com/product/98534</t>
        </is>
      </c>
    </row>
    <row r="3592">
      <c r="A3592" s="2" t="inlineStr">
        <is>
          <t>Twilight Masquerade Blister Pack [Pupitar]</t>
        </is>
      </c>
      <c r="B3592" s="3">
        <f>IF(H3592&lt;&gt;"",H3592,IF(I3592&lt;&gt;"",I3592,IF(J3592&lt;&gt;"",J3592,K3592)))</f>
        <v>7.5</v>
      </c>
      <c r="C3592" s="3">
        <f>MEDIAN(H3592:K3592)</f>
        <v>7.5</v>
      </c>
      <c r="D3592" s="3">
        <f>ROUND(C3592*(1-Settings!$B$2),2)</f>
        <v>5.25</v>
      </c>
      <c r="E3592" s="2" t="inlineStr">
        <is>
          <t>Pokemon</t>
        </is>
      </c>
      <c r="F3592" s="2" t="inlineStr">
        <is>
          <t>Pack</t>
        </is>
      </c>
      <c r="G3592" s="2" t="inlineStr">
        <is>
          <t>Twilight Masquerade</t>
        </is>
      </c>
      <c r="H3592" s="3" t="n">
        <v>7.5</v>
      </c>
      <c r="I3592" s="3" t="n"/>
      <c r="J3592" s="3" t="n"/>
      <c r="K3592" s="3" t="n"/>
      <c r="L3592" s="2" t="inlineStr">
        <is>
          <t>PriceCharting</t>
        </is>
      </c>
      <c r="M3592" s="4" t="inlineStr">
        <is>
          <t>https://www.pricecharting.com/game/pokemon-twilight-masquerade/blister-pack-pupitar</t>
        </is>
      </c>
    </row>
    <row r="3593">
      <c r="A3593" s="2" t="inlineStr">
        <is>
          <t>Twilight Masquerade Blister Pack [Toxel]</t>
        </is>
      </c>
      <c r="B3593" s="3">
        <f>IF(H3593&lt;&gt;"",H3593,IF(I3593&lt;&gt;"",I3593,IF(J3593&lt;&gt;"",J3593,K3593)))</f>
        <v>10.7</v>
      </c>
      <c r="C3593" s="3">
        <f>MEDIAN(H3593:K3593)</f>
        <v>10.7</v>
      </c>
      <c r="D3593" s="3">
        <f>ROUND(C3593*(1-Settings!$B$2),2)</f>
        <v>7.49</v>
      </c>
      <c r="E3593" s="2" t="inlineStr">
        <is>
          <t>Pokemon</t>
        </is>
      </c>
      <c r="F3593" s="2" t="inlineStr">
        <is>
          <t>Pack</t>
        </is>
      </c>
      <c r="G3593" s="2" t="inlineStr">
        <is>
          <t>Twilight Masquerade</t>
        </is>
      </c>
      <c r="H3593" s="3" t="n">
        <v>10.7</v>
      </c>
      <c r="I3593" s="3" t="n"/>
      <c r="J3593" s="3" t="n"/>
      <c r="K3593" s="3" t="n"/>
      <c r="L3593" s="2" t="inlineStr">
        <is>
          <t>PriceCharting</t>
        </is>
      </c>
      <c r="M3593" s="4" t="inlineStr">
        <is>
          <t>https://www.pricecharting.com/game/pokemon-twilight-masquerade/blister-pack-toxel</t>
        </is>
      </c>
    </row>
    <row r="3594">
      <c r="A3594" s="2" t="inlineStr">
        <is>
          <t>Unbroken Bonds Blister Pack</t>
        </is>
      </c>
      <c r="B3594" s="3">
        <f>IF(H3594&lt;&gt;"",H3594,IF(I3594&lt;&gt;"",I3594,IF(J3594&lt;&gt;"",J3594,K3594)))</f>
        <v>96.35</v>
      </c>
      <c r="C3594" s="3">
        <f>MEDIAN(H3594:K3594)</f>
        <v>96.35</v>
      </c>
      <c r="D3594" s="3">
        <f>ROUND(C3594*(1-Settings!$B$2),2)</f>
        <v>67.45</v>
      </c>
      <c r="E3594" s="2" t="inlineStr">
        <is>
          <t>Pokemon</t>
        </is>
      </c>
      <c r="F3594" s="2" t="inlineStr">
        <is>
          <t>Pack</t>
        </is>
      </c>
      <c r="G3594" s="2" t="inlineStr">
        <is>
          <t>Unbroken Bonds</t>
        </is>
      </c>
      <c r="H3594" s="3" t="n">
        <v>96.34999999999999</v>
      </c>
      <c r="I3594" s="3" t="n"/>
      <c r="J3594" s="3" t="n"/>
      <c r="K3594" s="3" t="n"/>
      <c r="L3594" s="2" t="inlineStr">
        <is>
          <t>PriceCharting</t>
        </is>
      </c>
      <c r="M3594" s="4" t="inlineStr">
        <is>
          <t>https://www.pricecharting.com/game/pokemon-unbroken-bonds/blister-pack</t>
        </is>
      </c>
    </row>
    <row r="3595">
      <c r="A3595" s="2" t="inlineStr">
        <is>
          <t>Unbroken Bonds Blister Pack: Pikachu</t>
        </is>
      </c>
      <c r="B3595" s="3">
        <f>IF(H3595&lt;&gt;"",H3595,IF(I3595&lt;&gt;"",I3595,IF(J3595&lt;&gt;"",J3595,K3595)))</f>
        <v>151.22</v>
      </c>
      <c r="C3595" s="3">
        <f>MEDIAN(H3595:K3595)</f>
        <v>151.22</v>
      </c>
      <c r="D3595" s="3">
        <f>ROUND(C3595*(1-Settings!$B$2),2)</f>
        <v>105.85</v>
      </c>
      <c r="E3595" s="2" t="inlineStr">
        <is>
          <t>Pokemon</t>
        </is>
      </c>
      <c r="F3595" s="2" t="inlineStr">
        <is>
          <t>Pack</t>
        </is>
      </c>
      <c r="G3595" s="2" t="inlineStr">
        <is>
          <t>Unbroken Bonds</t>
        </is>
      </c>
      <c r="H3595" s="3" t="n">
        <v>151.22</v>
      </c>
      <c r="I3595" s="3" t="n"/>
      <c r="J3595" s="3" t="n"/>
      <c r="K3595" s="3" t="n"/>
      <c r="L3595" s="2" t="inlineStr">
        <is>
          <t>PriceCharting</t>
        </is>
      </c>
      <c r="M3595" s="4" t="inlineStr">
        <is>
          <t>https://www.pricecharting.com/game/pokemon-unbroken-bonds/blister-pack-pikachu</t>
        </is>
      </c>
    </row>
    <row r="3596">
      <c r="A3596" s="2" t="inlineStr">
        <is>
          <t>Unbroken Bonds Mini Booster Pack</t>
        </is>
      </c>
      <c r="B3596" s="3">
        <f>IF(H3596&lt;&gt;"",H3596,IF(I3596&lt;&gt;"",I3596,IF(J3596&lt;&gt;"",J3596,K3596)))</f>
        <v>36.21</v>
      </c>
      <c r="C3596" s="3">
        <f>MEDIAN(H3596:K3596)</f>
        <v>36.21</v>
      </c>
      <c r="D3596" s="3">
        <f>ROUND(C3596*(1-Settings!$B$2),2)</f>
        <v>25.35</v>
      </c>
      <c r="E3596" s="2" t="inlineStr">
        <is>
          <t>Pokemon</t>
        </is>
      </c>
      <c r="F3596" s="2" t="inlineStr">
        <is>
          <t>Pack</t>
        </is>
      </c>
      <c r="G3596" s="2" t="inlineStr">
        <is>
          <t>Unbroken Bonds</t>
        </is>
      </c>
      <c r="H3596" s="3" t="n">
        <v>36.21</v>
      </c>
      <c r="I3596" s="3" t="n"/>
      <c r="J3596" s="3" t="n"/>
      <c r="K3596" s="3" t="n"/>
      <c r="L3596" s="2" t="inlineStr">
        <is>
          <t>PriceCharting</t>
        </is>
      </c>
      <c r="M3596" s="4" t="inlineStr">
        <is>
          <t>https://www.pricecharting.com/game/pokemon-unbroken-bonds/mini-booster-pack</t>
        </is>
      </c>
    </row>
    <row r="3597">
      <c r="A3597" s="2" t="inlineStr">
        <is>
          <t>Undaunted Blister Pack</t>
        </is>
      </c>
      <c r="B3597" s="3">
        <f>IF(H3597&lt;&gt;"",H3597,IF(I3597&lt;&gt;"",I3597,IF(J3597&lt;&gt;"",J3597,K3597)))</f>
        <v>223.78</v>
      </c>
      <c r="C3597" s="3">
        <f>MEDIAN(H3597:K3597)</f>
        <v>223.78</v>
      </c>
      <c r="D3597" s="3">
        <f>ROUND(C3597*(1-Settings!$B$2),2)</f>
        <v>156.65</v>
      </c>
      <c r="E3597" s="2" t="inlineStr">
        <is>
          <t>Pokemon</t>
        </is>
      </c>
      <c r="F3597" s="2" t="inlineStr">
        <is>
          <t>Pack</t>
        </is>
      </c>
      <c r="G3597" s="2" t="inlineStr">
        <is>
          <t>Undaunted</t>
        </is>
      </c>
      <c r="H3597" s="3" t="n">
        <v>223.78</v>
      </c>
      <c r="I3597" s="3" t="n"/>
      <c r="J3597" s="3" t="n"/>
      <c r="K3597" s="3" t="n"/>
      <c r="L3597" s="2" t="inlineStr">
        <is>
          <t>PriceCharting</t>
        </is>
      </c>
      <c r="M3597" s="4" t="inlineStr">
        <is>
          <t>https://www.pricecharting.com/game/pokemon-undaunted/blister-pack</t>
        </is>
      </c>
    </row>
    <row r="3598">
      <c r="A3598" s="2" t="inlineStr">
        <is>
          <t>Undaunted Booster Pack</t>
        </is>
      </c>
      <c r="B3598" s="3">
        <f>IF(H3598&lt;&gt;"",H3598,IF(I3598&lt;&gt;"",I3598,IF(J3598&lt;&gt;"",J3598,K3598)))</f>
        <v>752.2</v>
      </c>
      <c r="C3598" s="3">
        <f>MEDIAN(H3598:K3598)</f>
        <v>752.2</v>
      </c>
      <c r="D3598" s="3">
        <f>ROUND(C3598*(1-Settings!$B$2),2)</f>
        <v>526.54</v>
      </c>
      <c r="E3598" s="2" t="inlineStr">
        <is>
          <t>Pokemon</t>
        </is>
      </c>
      <c r="F3598" s="2" t="inlineStr">
        <is>
          <t>Pack</t>
        </is>
      </c>
      <c r="G3598" s="2" t="inlineStr">
        <is>
          <t>Undaunted</t>
        </is>
      </c>
      <c r="H3598" s="3" t="n">
        <v>752.2</v>
      </c>
      <c r="I3598" s="3" t="n"/>
      <c r="J3598" s="3" t="n"/>
      <c r="K3598" s="3" t="n"/>
      <c r="L3598" s="2" t="inlineStr">
        <is>
          <t>PriceCharting + TCGplayer</t>
        </is>
      </c>
      <c r="M3598" s="4" t="inlineStr">
        <is>
          <t>https://www.pricecharting.com/game/pokemon-undaunted/booster-pack</t>
        </is>
      </c>
      <c r="N3598" s="4" t="inlineStr">
        <is>
          <t>https://www.tcgplayer.com/product/98586</t>
        </is>
      </c>
    </row>
    <row r="3599">
      <c r="A3599" s="2" t="inlineStr">
        <is>
          <t>Unified Minds Mini Booster Pack</t>
        </is>
      </c>
      <c r="B3599" s="3">
        <f>IF(H3599&lt;&gt;"",H3599,IF(I3599&lt;&gt;"",I3599,IF(J3599&lt;&gt;"",J3599,K3599)))</f>
        <v>18.0</v>
      </c>
      <c r="C3599" s="3">
        <f>MEDIAN(H3599:K3599)</f>
        <v>18.0</v>
      </c>
      <c r="D3599" s="3">
        <f>ROUND(C3599*(1-Settings!$B$2),2)</f>
        <v>12.6</v>
      </c>
      <c r="E3599" s="2" t="inlineStr">
        <is>
          <t>Pokemon</t>
        </is>
      </c>
      <c r="F3599" s="2" t="inlineStr">
        <is>
          <t>Pack</t>
        </is>
      </c>
      <c r="G3599" s="2" t="inlineStr">
        <is>
          <t>Unified Minds</t>
        </is>
      </c>
      <c r="H3599" s="3" t="n">
        <v>18</v>
      </c>
      <c r="I3599" s="3" t="n"/>
      <c r="J3599" s="3" t="n"/>
      <c r="K3599" s="3" t="n"/>
      <c r="L3599" s="2" t="inlineStr">
        <is>
          <t>PriceCharting</t>
        </is>
      </c>
      <c r="M3599" s="4" t="inlineStr">
        <is>
          <t>https://www.pricecharting.com/game/pokemon-unified-minds/mini-booster-pack</t>
        </is>
      </c>
    </row>
    <row r="3600">
      <c r="A3600" s="2" t="inlineStr">
        <is>
          <t>Unified Minds Pikachu Blister Pack</t>
        </is>
      </c>
      <c r="B3600" s="3">
        <f>IF(H3600&lt;&gt;"",H3600,IF(I3600&lt;&gt;"",I3600,IF(J3600&lt;&gt;"",J3600,K3600)))</f>
        <v>237.11</v>
      </c>
      <c r="C3600" s="3">
        <f>MEDIAN(H3600:K3600)</f>
        <v>237.11</v>
      </c>
      <c r="D3600" s="3">
        <f>ROUND(C3600*(1-Settings!$B$2),2)</f>
        <v>165.98</v>
      </c>
      <c r="E3600" s="2" t="inlineStr">
        <is>
          <t>Pokemon</t>
        </is>
      </c>
      <c r="F3600" s="2" t="inlineStr">
        <is>
          <t>Pack</t>
        </is>
      </c>
      <c r="G3600" s="2" t="inlineStr">
        <is>
          <t>Unified Minds</t>
        </is>
      </c>
      <c r="H3600" s="3" t="n">
        <v>237.11</v>
      </c>
      <c r="I3600" s="3" t="n"/>
      <c r="J3600" s="3" t="n"/>
      <c r="K3600" s="3" t="n"/>
      <c r="L3600" s="2" t="inlineStr">
        <is>
          <t>PriceCharting</t>
        </is>
      </c>
      <c r="M3600" s="4" t="inlineStr">
        <is>
          <t>https://www.pricecharting.com/game/pokemon-unified-minds/pikachu-blister-pack</t>
        </is>
      </c>
    </row>
    <row r="3601">
      <c r="A3601" s="2" t="inlineStr">
        <is>
          <t>Unified Minds Triple Blister Pack</t>
        </is>
      </c>
      <c r="B3601" s="3">
        <f>IF(H3601&lt;&gt;"",H3601,IF(I3601&lt;&gt;"",I3601,IF(J3601&lt;&gt;"",J3601,K3601)))</f>
        <v>270.71</v>
      </c>
      <c r="C3601" s="3">
        <f>MEDIAN(H3601:K3601)</f>
        <v>270.71</v>
      </c>
      <c r="D3601" s="3">
        <f>ROUND(C3601*(1-Settings!$B$2),2)</f>
        <v>189.5</v>
      </c>
      <c r="E3601" s="2" t="inlineStr">
        <is>
          <t>Pokemon</t>
        </is>
      </c>
      <c r="F3601" s="2" t="inlineStr">
        <is>
          <t>Pack</t>
        </is>
      </c>
      <c r="G3601" s="2" t="inlineStr">
        <is>
          <t>Unified Minds</t>
        </is>
      </c>
      <c r="H3601" s="3" t="n">
        <v>270.71</v>
      </c>
      <c r="I3601" s="3" t="n"/>
      <c r="J3601" s="3" t="n"/>
      <c r="K3601" s="3" t="n"/>
      <c r="L3601" s="2" t="inlineStr">
        <is>
          <t>PriceCharting</t>
        </is>
      </c>
      <c r="M3601" s="4" t="inlineStr">
        <is>
          <t>https://www.pricecharting.com/game/pokemon-unified-minds/triple-blister-pack</t>
        </is>
      </c>
    </row>
    <row r="3602">
      <c r="A3602" s="2" t="inlineStr">
        <is>
          <t>Unleashed Blister Pack</t>
        </is>
      </c>
      <c r="B3602" s="3">
        <f>IF(H3602&lt;&gt;"",H3602,IF(I3602&lt;&gt;"",I3602,IF(J3602&lt;&gt;"",J3602,K3602)))</f>
        <v>830.0</v>
      </c>
      <c r="C3602" s="3">
        <f>MEDIAN(H3602:K3602)</f>
        <v>830.0</v>
      </c>
      <c r="D3602" s="3">
        <f>ROUND(C3602*(1-Settings!$B$2),2)</f>
        <v>581.0</v>
      </c>
      <c r="E3602" s="2" t="inlineStr">
        <is>
          <t>Pokemon</t>
        </is>
      </c>
      <c r="F3602" s="2" t="inlineStr">
        <is>
          <t>Pack</t>
        </is>
      </c>
      <c r="G3602" s="2" t="inlineStr">
        <is>
          <t>Unleashed</t>
        </is>
      </c>
      <c r="H3602" s="3" t="n">
        <v>830</v>
      </c>
      <c r="I3602" s="3" t="n"/>
      <c r="J3602" s="3" t="n"/>
      <c r="K3602" s="3" t="n"/>
      <c r="L3602" s="2" t="inlineStr">
        <is>
          <t>PriceCharting</t>
        </is>
      </c>
      <c r="M3602" s="4" t="inlineStr">
        <is>
          <t>https://www.pricecharting.com/game/pokemon-unleashed/blister-pack</t>
        </is>
      </c>
    </row>
    <row r="3603">
      <c r="A3603" s="2" t="inlineStr">
        <is>
          <t>Unleashed Booster Pack</t>
        </is>
      </c>
      <c r="B3603" s="3">
        <f>IF(H3603&lt;&gt;"",H3603,IF(I3603&lt;&gt;"",I3603,IF(J3603&lt;&gt;"",J3603,K3603)))</f>
        <v>644.0</v>
      </c>
      <c r="C3603" s="3">
        <f>MEDIAN(H3603:K3603)</f>
        <v>463.115</v>
      </c>
      <c r="D3603" s="3">
        <f>ROUND(C3603*(1-Settings!$B$2),2)</f>
        <v>324.18</v>
      </c>
      <c r="E3603" s="2" t="inlineStr">
        <is>
          <t>Pokemon</t>
        </is>
      </c>
      <c r="F3603" s="2" t="inlineStr">
        <is>
          <t>Pack</t>
        </is>
      </c>
      <c r="G3603" s="2" t="inlineStr">
        <is>
          <t>Unleashed</t>
        </is>
      </c>
      <c r="H3603" s="3" t="n">
        <v>644</v>
      </c>
      <c r="I3603" s="3" t="n">
        <v>426.24</v>
      </c>
      <c r="J3603" s="3" t="n">
        <v>499.99</v>
      </c>
      <c r="K3603" s="3" t="n">
        <v>320</v>
      </c>
      <c r="L3603" s="2" t="inlineStr">
        <is>
          <t>PriceCharting + TCGplayer</t>
        </is>
      </c>
      <c r="M3603" s="4" t="inlineStr">
        <is>
          <t>https://www.pricecharting.com/game/pokemon-unleashed/booster-pack</t>
        </is>
      </c>
      <c r="N3603" s="4" t="inlineStr">
        <is>
          <t>https://www.tcgplayer.com/product/98582</t>
        </is>
      </c>
    </row>
    <row r="3604">
      <c r="A3604" s="2" t="inlineStr">
        <is>
          <t>Scan-Tastic Spectacular Promo Pack [Ho-oh &amp; Rapidash]</t>
        </is>
      </c>
      <c r="B3604" s="3">
        <f>IF(H3604&lt;&gt;"",H3604,IF(I3604&lt;&gt;"",I3604,IF(J3604&lt;&gt;"",J3604,K3604)))</f>
        <v>149.96</v>
      </c>
      <c r="C3604" s="3">
        <f>MEDIAN(H3604:K3604)</f>
        <v>399.0</v>
      </c>
      <c r="D3604" s="3">
        <f>ROUND(C3604*(1-Settings!$B$2),2)</f>
        <v>279.3</v>
      </c>
      <c r="E3604" s="2" t="inlineStr">
        <is>
          <t>Pokemon</t>
        </is>
      </c>
      <c r="F3604" s="2" t="inlineStr">
        <is>
          <t>Pack</t>
        </is>
      </c>
      <c r="G3604" s="2" t="inlineStr">
        <is>
          <t>WoTC Promo</t>
        </is>
      </c>
      <c r="H3604" s="3" t="n"/>
      <c r="I3604" s="3" t="n">
        <v>149.96</v>
      </c>
      <c r="J3604" s="3" t="n">
        <v>399</v>
      </c>
      <c r="K3604" s="3" t="n">
        <v>399</v>
      </c>
      <c r="L3604" s="2" t="inlineStr">
        <is>
          <t>TCGplayer</t>
        </is>
      </c>
      <c r="N3604" s="4" t="inlineStr">
        <is>
          <t>https://www.tcgplayer.com/product/477048</t>
        </is>
      </c>
    </row>
    <row r="3605">
      <c r="A3605" s="2" t="inlineStr">
        <is>
          <t>Xy Booster Pack</t>
        </is>
      </c>
      <c r="B3605" s="3">
        <f>IF(H3605&lt;&gt;"",H3605,IF(I3605&lt;&gt;"",I3605,IF(J3605&lt;&gt;"",J3605,K3605)))</f>
        <v>128.57</v>
      </c>
      <c r="C3605" s="3">
        <f>MEDIAN(H3605:K3605)</f>
        <v>128.57</v>
      </c>
      <c r="D3605" s="3">
        <f>ROUND(C3605*(1-Settings!$B$2),2)</f>
        <v>90.0</v>
      </c>
      <c r="E3605" s="2" t="inlineStr">
        <is>
          <t>Pokemon</t>
        </is>
      </c>
      <c r="F3605" s="2" t="inlineStr">
        <is>
          <t>Pack</t>
        </is>
      </c>
      <c r="G3605" s="2" t="inlineStr">
        <is>
          <t>Xy</t>
        </is>
      </c>
      <c r="H3605" s="3" t="n">
        <v>128.57</v>
      </c>
      <c r="I3605" s="3" t="n"/>
      <c r="J3605" s="3" t="n"/>
      <c r="K3605" s="3" t="n"/>
      <c r="L3605" s="2" t="inlineStr">
        <is>
          <t>PriceCharting</t>
        </is>
      </c>
      <c r="M3605" s="4" t="inlineStr">
        <is>
          <t>https://www.pricecharting.com/game/pokemon-xy/booster-pack</t>
        </is>
      </c>
    </row>
    <row r="3606">
      <c r="A3606" s="2" t="inlineStr">
        <is>
          <t>Xy Mini Booster Pack</t>
        </is>
      </c>
      <c r="B3606" s="3">
        <f>IF(H3606&lt;&gt;"",H3606,IF(I3606&lt;&gt;"",I3606,IF(J3606&lt;&gt;"",J3606,K3606)))</f>
        <v>16.87</v>
      </c>
      <c r="C3606" s="3">
        <f>MEDIAN(H3606:K3606)</f>
        <v>16.87</v>
      </c>
      <c r="D3606" s="3">
        <f>ROUND(C3606*(1-Settings!$B$2),2)</f>
        <v>11.81</v>
      </c>
      <c r="E3606" s="2" t="inlineStr">
        <is>
          <t>Pokemon</t>
        </is>
      </c>
      <c r="F3606" s="2" t="inlineStr">
        <is>
          <t>Pack</t>
        </is>
      </c>
      <c r="G3606" s="2" t="inlineStr">
        <is>
          <t>Xy</t>
        </is>
      </c>
      <c r="H3606" s="3" t="n">
        <v>16.87</v>
      </c>
      <c r="I3606" s="3" t="n"/>
      <c r="J3606" s="3" t="n"/>
      <c r="K3606" s="3" t="n"/>
      <c r="L3606" s="2" t="inlineStr">
        <is>
          <t>PriceCharting</t>
        </is>
      </c>
      <c r="M3606" s="4" t="inlineStr">
        <is>
          <t>https://www.pricecharting.com/game/pokemon-xy/mini-booster-pack</t>
        </is>
      </c>
    </row>
    <row r="3607">
      <c r="A3607" s="2" t="inlineStr">
        <is>
          <t>Xy Sleeved Booster Pack</t>
        </is>
      </c>
      <c r="B3607" s="3">
        <f>IF(H3607&lt;&gt;"",H3607,IF(I3607&lt;&gt;"",I3607,IF(J3607&lt;&gt;"",J3607,K3607)))</f>
        <v>73.0</v>
      </c>
      <c r="C3607" s="3">
        <f>MEDIAN(H3607:K3607)</f>
        <v>73.0</v>
      </c>
      <c r="D3607" s="3">
        <f>ROUND(C3607*(1-Settings!$B$2),2)</f>
        <v>51.1</v>
      </c>
      <c r="E3607" s="2" t="inlineStr">
        <is>
          <t>Pokemon</t>
        </is>
      </c>
      <c r="F3607" s="2" t="inlineStr">
        <is>
          <t>Pack</t>
        </is>
      </c>
      <c r="G3607" s="2" t="inlineStr">
        <is>
          <t>Xy</t>
        </is>
      </c>
      <c r="H3607" s="3" t="n">
        <v>73</v>
      </c>
      <c r="I3607" s="3" t="n"/>
      <c r="J3607" s="3" t="n"/>
      <c r="K3607" s="3" t="n"/>
      <c r="L3607" s="2" t="inlineStr">
        <is>
          <t>PriceCharting</t>
        </is>
      </c>
      <c r="M3607" s="4" t="inlineStr">
        <is>
          <t>https://www.pricecharting.com/game/pokemon-xy/sleeved-booster-pack</t>
        </is>
      </c>
    </row>
    <row r="3608">
      <c r="A3608" s="2" t="inlineStr">
        <is>
          <t>Ancient Origins 3 Pack Blister [Salamence]</t>
        </is>
      </c>
      <c r="B3608" s="3">
        <f>IF(H3608&lt;&gt;"",H3608,IF(I3608&lt;&gt;"",I3608,IF(J3608&lt;&gt;"",J3608,K3608)))</f>
        <v>599.99</v>
      </c>
      <c r="C3608" s="3">
        <f>MEDIAN(H3608:K3608)</f>
        <v>599.99</v>
      </c>
      <c r="D3608" s="3">
        <f>ROUND(C3608*(1-Settings!$B$2),2)</f>
        <v>419.99</v>
      </c>
      <c r="E3608" s="2" t="inlineStr">
        <is>
          <t>Pokemon</t>
        </is>
      </c>
      <c r="F3608" s="2" t="inlineStr">
        <is>
          <t>Pack</t>
        </is>
      </c>
      <c r="G3608" s="2" t="inlineStr">
        <is>
          <t>XY - Ancient Origins</t>
        </is>
      </c>
      <c r="H3608" s="3" t="n">
        <v>599.99</v>
      </c>
      <c r="I3608" s="3" t="n"/>
      <c r="J3608" s="3" t="n"/>
      <c r="K3608" s="3" t="n"/>
      <c r="L3608" s="2" t="inlineStr">
        <is>
          <t>PriceCharting + TCGplayer</t>
        </is>
      </c>
      <c r="M3608" s="4" t="inlineStr">
        <is>
          <t>https://www.pricecharting.com/game/pokemon-ancient-origins/3-pack-blister-salamence</t>
        </is>
      </c>
      <c r="N3608" s="4" t="inlineStr">
        <is>
          <t>https://www.tcgplayer.com/product/100494</t>
        </is>
      </c>
    </row>
    <row r="3609">
      <c r="A3609" s="2" t="inlineStr">
        <is>
          <t>XY Ancient Origins Booster Pack</t>
        </is>
      </c>
      <c r="B3609" s="3">
        <f>IF(H3609&lt;&gt;"",H3609,IF(I3609&lt;&gt;"",I3609,IF(J3609&lt;&gt;"",J3609,K3609)))</f>
        <v>140.02</v>
      </c>
      <c r="C3609" s="3">
        <f>MEDIAN(H3609:K3609)</f>
        <v>189.99</v>
      </c>
      <c r="D3609" s="3">
        <f>ROUND(C3609*(1-Settings!$B$2),2)</f>
        <v>132.99</v>
      </c>
      <c r="E3609" s="2" t="inlineStr">
        <is>
          <t>Pokemon</t>
        </is>
      </c>
      <c r="F3609" s="2" t="inlineStr">
        <is>
          <t>Pack</t>
        </is>
      </c>
      <c r="G3609" s="2" t="inlineStr">
        <is>
          <t>XY - Ancient Origins</t>
        </is>
      </c>
      <c r="H3609" s="3" t="n"/>
      <c r="I3609" s="3" t="n">
        <v>140.02</v>
      </c>
      <c r="J3609" s="3" t="n">
        <v>244.99</v>
      </c>
      <c r="K3609" s="3" t="n">
        <v>189.99</v>
      </c>
      <c r="L3609" s="2" t="inlineStr">
        <is>
          <t>TCGplayer</t>
        </is>
      </c>
      <c r="N3609" s="4" t="inlineStr">
        <is>
          <t>https://www.tcgplayer.com/product/100490</t>
        </is>
      </c>
    </row>
    <row r="3610">
      <c r="A3610" s="2" t="inlineStr">
        <is>
          <t>BREAKpoint 3 Pack Blister [Pyroar]</t>
        </is>
      </c>
      <c r="B3610" s="3">
        <f>IF(H3610&lt;&gt;"",H3610,IF(I3610&lt;&gt;"",I3610,IF(J3610&lt;&gt;"",J3610,K3610)))</f>
        <v>329.95</v>
      </c>
      <c r="C3610" s="3">
        <f>MEDIAN(H3610:K3610)</f>
        <v>329.95</v>
      </c>
      <c r="D3610" s="3">
        <f>ROUND(C3610*(1-Settings!$B$2),2)</f>
        <v>230.97</v>
      </c>
      <c r="E3610" s="2" t="inlineStr">
        <is>
          <t>Pokemon</t>
        </is>
      </c>
      <c r="F3610" s="2" t="inlineStr">
        <is>
          <t>Pack</t>
        </is>
      </c>
      <c r="G3610" s="2" t="inlineStr">
        <is>
          <t>XY - BREAKpoint</t>
        </is>
      </c>
      <c r="H3610" s="3" t="n"/>
      <c r="I3610" s="3" t="n"/>
      <c r="J3610" s="3" t="n">
        <v>329.95</v>
      </c>
      <c r="K3610" s="3" t="n">
        <v>329.95</v>
      </c>
      <c r="L3610" s="2" t="inlineStr">
        <is>
          <t>TCGplayer</t>
        </is>
      </c>
      <c r="N3610" s="4" t="inlineStr">
        <is>
          <t>https://www.tcgplayer.com/product/117272</t>
        </is>
      </c>
    </row>
    <row r="3611">
      <c r="A3611" s="2" t="inlineStr">
        <is>
          <t>BREAKpoint Single Pack Blister [Pikachu]</t>
        </is>
      </c>
      <c r="B3611" s="3">
        <f>IF(H3611&lt;&gt;"",H3611,IF(I3611&lt;&gt;"",I3611,IF(J3611&lt;&gt;"",J3611,K3611)))</f>
        <v>399.99</v>
      </c>
      <c r="C3611" s="3">
        <f>MEDIAN(H3611:K3611)</f>
        <v>494.09</v>
      </c>
      <c r="D3611" s="3">
        <f>ROUND(C3611*(1-Settings!$B$2),2)</f>
        <v>345.86</v>
      </c>
      <c r="E3611" s="2" t="inlineStr">
        <is>
          <t>Pokemon</t>
        </is>
      </c>
      <c r="F3611" s="2" t="inlineStr">
        <is>
          <t>Pack</t>
        </is>
      </c>
      <c r="G3611" s="2" t="inlineStr">
        <is>
          <t>XY - BREAKpoint</t>
        </is>
      </c>
      <c r="H3611" s="3" t="n"/>
      <c r="I3611" s="3" t="n">
        <v>399.99</v>
      </c>
      <c r="J3611" s="3" t="n">
        <v>498.34</v>
      </c>
      <c r="K3611" s="3" t="n">
        <v>494.09</v>
      </c>
      <c r="L3611" s="2" t="inlineStr">
        <is>
          <t>TCGplayer</t>
        </is>
      </c>
      <c r="N3611" s="4" t="inlineStr">
        <is>
          <t>https://www.tcgplayer.com/product/117271</t>
        </is>
      </c>
    </row>
    <row r="3612">
      <c r="A3612" s="2" t="inlineStr">
        <is>
          <t>XY - BREAKpoint Sleeved Booster Pack</t>
        </is>
      </c>
      <c r="B3612" s="3">
        <f>IF(H3612&lt;&gt;"",H3612,IF(I3612&lt;&gt;"",I3612,IF(J3612&lt;&gt;"",J3612,K3612)))</f>
        <v>53.49</v>
      </c>
      <c r="C3612" s="3">
        <f>MEDIAN(H3612:K3612)</f>
        <v>54.0</v>
      </c>
      <c r="D3612" s="3">
        <f>ROUND(C3612*(1-Settings!$B$2),2)</f>
        <v>37.8</v>
      </c>
      <c r="E3612" s="2" t="inlineStr">
        <is>
          <t>Pokemon</t>
        </is>
      </c>
      <c r="F3612" s="2" t="inlineStr">
        <is>
          <t>Pack</t>
        </is>
      </c>
      <c r="G3612" s="2" t="inlineStr">
        <is>
          <t>XY - BREAKpoint</t>
        </is>
      </c>
      <c r="H3612" s="3" t="n"/>
      <c r="I3612" s="3" t="n">
        <v>53.49</v>
      </c>
      <c r="J3612" s="3" t="n">
        <v>73.98999999999999</v>
      </c>
      <c r="K3612" s="3" t="n">
        <v>54</v>
      </c>
      <c r="L3612" s="2" t="inlineStr">
        <is>
          <t>TCGplayer</t>
        </is>
      </c>
      <c r="N3612" s="4" t="inlineStr">
        <is>
          <t>https://www.tcgplayer.com/product/542096</t>
        </is>
      </c>
    </row>
    <row r="3613">
      <c r="A3613" s="2" t="inlineStr">
        <is>
          <t>XY BREAKpoint Booster Pack</t>
        </is>
      </c>
      <c r="B3613" s="3">
        <f>IF(H3613&lt;&gt;"",H3613,IF(I3613&lt;&gt;"",I3613,IF(J3613&lt;&gt;"",J3613,K3613)))</f>
        <v>46.32</v>
      </c>
      <c r="C3613" s="3">
        <f>MEDIAN(H3613:K3613)</f>
        <v>46.32</v>
      </c>
      <c r="D3613" s="3">
        <f>ROUND(C3613*(1-Settings!$B$2),2)</f>
        <v>32.42</v>
      </c>
      <c r="E3613" s="2" t="inlineStr">
        <is>
          <t>Pokemon</t>
        </is>
      </c>
      <c r="F3613" s="2" t="inlineStr">
        <is>
          <t>Pack</t>
        </is>
      </c>
      <c r="G3613" s="2" t="inlineStr">
        <is>
          <t>XY - BREAKpoint</t>
        </is>
      </c>
      <c r="H3613" s="3" t="n"/>
      <c r="I3613" s="3" t="n">
        <v>46.32</v>
      </c>
      <c r="J3613" s="3" t="n">
        <v>53.99</v>
      </c>
      <c r="K3613" s="3" t="n">
        <v>25</v>
      </c>
      <c r="L3613" s="2" t="inlineStr">
        <is>
          <t>TCGplayer</t>
        </is>
      </c>
      <c r="N3613" s="4" t="inlineStr">
        <is>
          <t>https://www.tcgplayer.com/product/111279</t>
        </is>
      </c>
    </row>
    <row r="3614">
      <c r="A3614" s="2" t="inlineStr">
        <is>
          <t>BREAKthrough Collector Pin 3 Pack Blister [Mega Blaziken]</t>
        </is>
      </c>
      <c r="B3614" s="3">
        <f>IF(H3614&lt;&gt;"",H3614,IF(I3614&lt;&gt;"",I3614,IF(J3614&lt;&gt;"",J3614,K3614)))</f>
        <v>650.0</v>
      </c>
      <c r="C3614" s="3">
        <f>MEDIAN(H3614:K3614)</f>
        <v>650.0</v>
      </c>
      <c r="D3614" s="3">
        <f>ROUND(C3614*(1-Settings!$B$2),2)</f>
        <v>455.0</v>
      </c>
      <c r="E3614" s="2" t="inlineStr">
        <is>
          <t>Pokemon</t>
        </is>
      </c>
      <c r="F3614" s="2" t="inlineStr">
        <is>
          <t>Pack</t>
        </is>
      </c>
      <c r="G3614" s="2" t="inlineStr">
        <is>
          <t>XY - BREAKthrough</t>
        </is>
      </c>
      <c r="H3614" s="3" t="n"/>
      <c r="I3614" s="3" t="n"/>
      <c r="J3614" s="3" t="n">
        <v>650</v>
      </c>
      <c r="K3614" s="3" t="n">
        <v>650</v>
      </c>
      <c r="L3614" s="2" t="inlineStr">
        <is>
          <t>TCGplayer</t>
        </is>
      </c>
      <c r="N3614" s="4" t="inlineStr">
        <is>
          <t>https://www.tcgplayer.com/product/117275</t>
        </is>
      </c>
    </row>
    <row r="3615">
      <c r="A3615" s="2" t="inlineStr">
        <is>
          <t>BREAKthrough Single Pack Blister [Hawlucha]</t>
        </is>
      </c>
      <c r="B3615" s="3">
        <f>IF(H3615&lt;&gt;"",H3615,IF(I3615&lt;&gt;"",I3615,IF(J3615&lt;&gt;"",J3615,K3615)))</f>
        <v>99.0</v>
      </c>
      <c r="C3615" s="3">
        <f>MEDIAN(H3615:K3615)</f>
        <v>99.0</v>
      </c>
      <c r="D3615" s="3">
        <f>ROUND(C3615*(1-Settings!$B$2),2)</f>
        <v>69.3</v>
      </c>
      <c r="E3615" s="2" t="inlineStr">
        <is>
          <t>Pokemon</t>
        </is>
      </c>
      <c r="F3615" s="2" t="inlineStr">
        <is>
          <t>Pack</t>
        </is>
      </c>
      <c r="G3615" s="2" t="inlineStr">
        <is>
          <t>XY - BREAKthrough</t>
        </is>
      </c>
      <c r="H3615" s="3" t="n"/>
      <c r="I3615" s="3" t="n">
        <v>99</v>
      </c>
      <c r="J3615" s="3" t="n"/>
      <c r="K3615" s="3" t="n"/>
      <c r="L3615" s="2" t="inlineStr">
        <is>
          <t>TCGplayer</t>
        </is>
      </c>
      <c r="N3615" s="4" t="inlineStr">
        <is>
          <t>https://www.tcgplayer.com/product/108638</t>
        </is>
      </c>
    </row>
    <row r="3616">
      <c r="A3616" s="2" t="inlineStr">
        <is>
          <t>BREAKthrough Single Pack Blister [Jirachi]</t>
        </is>
      </c>
      <c r="B3616" s="3">
        <f>IF(H3616&lt;&gt;"",H3616,IF(I3616&lt;&gt;"",I3616,IF(J3616&lt;&gt;"",J3616,K3616)))</f>
        <v>124.99</v>
      </c>
      <c r="C3616" s="3">
        <f>MEDIAN(H3616:K3616)</f>
        <v>129.99</v>
      </c>
      <c r="D3616" s="3">
        <f>ROUND(C3616*(1-Settings!$B$2),2)</f>
        <v>90.99</v>
      </c>
      <c r="E3616" s="2" t="inlineStr">
        <is>
          <t>Pokemon</t>
        </is>
      </c>
      <c r="F3616" s="2" t="inlineStr">
        <is>
          <t>Pack</t>
        </is>
      </c>
      <c r="G3616" s="2" t="inlineStr">
        <is>
          <t>XY - BREAKthrough</t>
        </is>
      </c>
      <c r="H3616" s="3" t="n"/>
      <c r="I3616" s="3" t="n">
        <v>124.99</v>
      </c>
      <c r="J3616" s="3" t="n">
        <v>129.99</v>
      </c>
      <c r="K3616" s="3" t="n">
        <v>129.99</v>
      </c>
      <c r="L3616" s="2" t="inlineStr">
        <is>
          <t>TCGplayer</t>
        </is>
      </c>
      <c r="N3616" s="4" t="inlineStr">
        <is>
          <t>https://www.tcgplayer.com/product/108637</t>
        </is>
      </c>
    </row>
    <row r="3617">
      <c r="A3617" s="2" t="inlineStr">
        <is>
          <t>BREAKthrough Sleeved Booster Pack</t>
        </is>
      </c>
      <c r="B3617" s="3">
        <f>IF(H3617&lt;&gt;"",H3617,IF(I3617&lt;&gt;"",I3617,IF(J3617&lt;&gt;"",J3617,K3617)))</f>
        <v>130.0</v>
      </c>
      <c r="C3617" s="3">
        <f>MEDIAN(H3617:K3617)</f>
        <v>130.0</v>
      </c>
      <c r="D3617" s="3">
        <f>ROUND(C3617*(1-Settings!$B$2),2)</f>
        <v>91.0</v>
      </c>
      <c r="E3617" s="2" t="inlineStr">
        <is>
          <t>Pokemon</t>
        </is>
      </c>
      <c r="F3617" s="2" t="inlineStr">
        <is>
          <t>Pack</t>
        </is>
      </c>
      <c r="G3617" s="2" t="inlineStr">
        <is>
          <t>XY - BREAKthrough</t>
        </is>
      </c>
      <c r="H3617" s="3" t="n"/>
      <c r="I3617" s="3" t="n"/>
      <c r="J3617" s="3" t="n"/>
      <c r="K3617" s="3" t="n">
        <v>130</v>
      </c>
      <c r="L3617" s="2" t="inlineStr">
        <is>
          <t>PriceCharting + TCGplayer</t>
        </is>
      </c>
      <c r="M3617" s="4" t="inlineStr">
        <is>
          <t>https://www.pricecharting.com/game/pokemon-breakthrough/sleeved-booster-pack</t>
        </is>
      </c>
      <c r="N3617" s="4" t="inlineStr">
        <is>
          <t>https://www.tcgplayer.com/product/550675</t>
        </is>
      </c>
    </row>
    <row r="3618">
      <c r="A3618" s="2" t="inlineStr">
        <is>
          <t>XY BREAKthrough Booster Pack</t>
        </is>
      </c>
      <c r="B3618" s="3">
        <f>IF(H3618&lt;&gt;"",H3618,IF(I3618&lt;&gt;"",I3618,IF(J3618&lt;&gt;"",J3618,K3618)))</f>
        <v>64.5</v>
      </c>
      <c r="C3618" s="3">
        <f>MEDIAN(H3618:K3618)</f>
        <v>64.5</v>
      </c>
      <c r="D3618" s="3">
        <f>ROUND(C3618*(1-Settings!$B$2),2)</f>
        <v>45.15</v>
      </c>
      <c r="E3618" s="2" t="inlineStr">
        <is>
          <t>Pokemon</t>
        </is>
      </c>
      <c r="F3618" s="2" t="inlineStr">
        <is>
          <t>Pack</t>
        </is>
      </c>
      <c r="G3618" s="2" t="inlineStr">
        <is>
          <t>XY - BREAKthrough</t>
        </is>
      </c>
      <c r="H3618" s="3" t="n"/>
      <c r="I3618" s="3" t="n">
        <v>64.5</v>
      </c>
      <c r="J3618" s="3" t="n">
        <v>74.98999999999999</v>
      </c>
      <c r="K3618" s="3" t="n">
        <v>34.99</v>
      </c>
      <c r="L3618" s="2" t="inlineStr">
        <is>
          <t>TCGplayer</t>
        </is>
      </c>
      <c r="N3618" s="4" t="inlineStr">
        <is>
          <t>https://www.tcgplayer.com/product/107666</t>
        </is>
      </c>
    </row>
    <row r="3619">
      <c r="A3619" s="2" t="inlineStr">
        <is>
          <t>Evolutions Booster Pack</t>
        </is>
      </c>
      <c r="B3619" s="3">
        <f>IF(H3619&lt;&gt;"",H3619,IF(I3619&lt;&gt;"",I3619,IF(J3619&lt;&gt;"",J3619,K3619)))</f>
        <v>65.0</v>
      </c>
      <c r="C3619" s="3">
        <f>MEDIAN(H3619:K3619)</f>
        <v>72.535</v>
      </c>
      <c r="D3619" s="3">
        <f>ROUND(C3619*(1-Settings!$B$2),2)</f>
        <v>50.77</v>
      </c>
      <c r="E3619" s="2" t="inlineStr">
        <is>
          <t>Pokemon</t>
        </is>
      </c>
      <c r="F3619" s="2" t="inlineStr">
        <is>
          <t>Pack</t>
        </is>
      </c>
      <c r="G3619" s="2" t="inlineStr">
        <is>
          <t>XY - Evolutions</t>
        </is>
      </c>
      <c r="H3619" s="3" t="n">
        <v>65</v>
      </c>
      <c r="I3619" s="3" t="n">
        <v>70.06999999999999</v>
      </c>
      <c r="J3619" s="3" t="n">
        <v>78.69</v>
      </c>
      <c r="K3619" s="3" t="n">
        <v>75</v>
      </c>
      <c r="L3619" s="2" t="inlineStr">
        <is>
          <t>PriceCharting + TCGplayer</t>
        </is>
      </c>
      <c r="M3619" s="4" t="inlineStr">
        <is>
          <t>https://www.pricecharting.com/game/pokemon-evolutions/booster-pack</t>
        </is>
      </c>
      <c r="N3619" s="4" t="inlineStr">
        <is>
          <t>https://www.tcgplayer.com/product/129907</t>
        </is>
      </c>
    </row>
    <row r="3620">
      <c r="A3620" s="2" t="inlineStr">
        <is>
          <t>Evolutions Mini Pack</t>
        </is>
      </c>
      <c r="B3620" s="3">
        <f>IF(H3620&lt;&gt;"",H3620,IF(I3620&lt;&gt;"",I3620,IF(J3620&lt;&gt;"",J3620,K3620)))</f>
        <v>30.0</v>
      </c>
      <c r="C3620" s="3">
        <f>MEDIAN(H3620:K3620)</f>
        <v>30.0</v>
      </c>
      <c r="D3620" s="3">
        <f>ROUND(C3620*(1-Settings!$B$2),2)</f>
        <v>21.0</v>
      </c>
      <c r="E3620" s="2" t="inlineStr">
        <is>
          <t>Pokemon</t>
        </is>
      </c>
      <c r="F3620" s="2" t="inlineStr">
        <is>
          <t>Pack</t>
        </is>
      </c>
      <c r="G3620" s="2" t="inlineStr">
        <is>
          <t>XY - Evolutions</t>
        </is>
      </c>
      <c r="H3620" s="3" t="n"/>
      <c r="I3620" s="3" t="n">
        <v>30</v>
      </c>
      <c r="J3620" s="3" t="n"/>
      <c r="K3620" s="3" t="n"/>
      <c r="L3620" s="2" t="inlineStr">
        <is>
          <t>TCGplayer</t>
        </is>
      </c>
      <c r="N3620" s="4" t="inlineStr">
        <is>
          <t>https://www.tcgplayer.com/product/686507</t>
        </is>
      </c>
    </row>
    <row r="3621">
      <c r="A3621" s="2" t="inlineStr">
        <is>
          <t>XY - Evolutions Sleeved Booster Pack</t>
        </is>
      </c>
      <c r="B3621" s="3">
        <f>IF(H3621&lt;&gt;"",H3621,IF(I3621&lt;&gt;"",I3621,IF(J3621&lt;&gt;"",J3621,K3621)))</f>
        <v>103.29</v>
      </c>
      <c r="C3621" s="3">
        <f>MEDIAN(H3621:K3621)</f>
        <v>124.88</v>
      </c>
      <c r="D3621" s="3">
        <f>ROUND(C3621*(1-Settings!$B$2),2)</f>
        <v>87.42</v>
      </c>
      <c r="E3621" s="2" t="inlineStr">
        <is>
          <t>Pokemon</t>
        </is>
      </c>
      <c r="F3621" s="2" t="inlineStr">
        <is>
          <t>Pack</t>
        </is>
      </c>
      <c r="G3621" s="2" t="inlineStr">
        <is>
          <t>XY - Evolutions</t>
        </is>
      </c>
      <c r="H3621" s="3" t="n"/>
      <c r="I3621" s="3" t="n">
        <v>103.29</v>
      </c>
      <c r="J3621" s="3" t="n">
        <v>124.88</v>
      </c>
      <c r="K3621" s="3" t="n">
        <v>124.88</v>
      </c>
      <c r="L3621" s="2" t="inlineStr">
        <is>
          <t>TCGplayer</t>
        </is>
      </c>
      <c r="N3621" s="4" t="inlineStr">
        <is>
          <t>https://www.tcgplayer.com/product/272648</t>
        </is>
      </c>
    </row>
    <row r="3622">
      <c r="A3622" s="2" t="inlineStr">
        <is>
          <t>XY Evolutions Single Pack Blister [Greninja]</t>
        </is>
      </c>
      <c r="B3622" s="3">
        <f>IF(H3622&lt;&gt;"",H3622,IF(I3622&lt;&gt;"",I3622,IF(J3622&lt;&gt;"",J3622,K3622)))</f>
        <v>125.28</v>
      </c>
      <c r="C3622" s="3">
        <f>MEDIAN(H3622:K3622)</f>
        <v>125.28</v>
      </c>
      <c r="D3622" s="3">
        <f>ROUND(C3622*(1-Settings!$B$2),2)</f>
        <v>87.7</v>
      </c>
      <c r="E3622" s="2" t="inlineStr">
        <is>
          <t>Pokemon</t>
        </is>
      </c>
      <c r="F3622" s="2" t="inlineStr">
        <is>
          <t>Pack</t>
        </is>
      </c>
      <c r="G3622" s="2" t="inlineStr">
        <is>
          <t>XY - Evolutions</t>
        </is>
      </c>
      <c r="H3622" s="3" t="n"/>
      <c r="I3622" s="3" t="n">
        <v>125.28</v>
      </c>
      <c r="J3622" s="3" t="n"/>
      <c r="K3622" s="3" t="n"/>
      <c r="L3622" s="2" t="inlineStr">
        <is>
          <t>TCGplayer</t>
        </is>
      </c>
      <c r="N3622" s="4" t="inlineStr">
        <is>
          <t>https://www.tcgplayer.com/product/603422</t>
        </is>
      </c>
    </row>
    <row r="3623">
      <c r="A3623" s="2" t="inlineStr">
        <is>
          <t>XY Evolutions Single Pack Blister [Weezing]</t>
        </is>
      </c>
      <c r="B3623" s="3">
        <f>IF(H3623&lt;&gt;"",H3623,IF(I3623&lt;&gt;"",I3623,IF(J3623&lt;&gt;"",J3623,K3623)))</f>
        <v>94.78</v>
      </c>
      <c r="C3623" s="3">
        <f>MEDIAN(H3623:K3623)</f>
        <v>94.99</v>
      </c>
      <c r="D3623" s="3">
        <f>ROUND(C3623*(1-Settings!$B$2),2)</f>
        <v>66.49</v>
      </c>
      <c r="E3623" s="2" t="inlineStr">
        <is>
          <t>Pokemon</t>
        </is>
      </c>
      <c r="F3623" s="2" t="inlineStr">
        <is>
          <t>Pack</t>
        </is>
      </c>
      <c r="G3623" s="2" t="inlineStr">
        <is>
          <t>XY - Evolutions</t>
        </is>
      </c>
      <c r="H3623" s="3" t="n"/>
      <c r="I3623" s="3" t="n">
        <v>94.78</v>
      </c>
      <c r="J3623" s="3" t="n">
        <v>94.98999999999999</v>
      </c>
      <c r="K3623" s="3" t="n">
        <v>94.98999999999999</v>
      </c>
      <c r="L3623" s="2" t="inlineStr">
        <is>
          <t>TCGplayer</t>
        </is>
      </c>
      <c r="N3623" s="4" t="inlineStr">
        <is>
          <t>https://www.tcgplayer.com/product/603423</t>
        </is>
      </c>
    </row>
    <row r="3624">
      <c r="A3624" s="2" t="inlineStr">
        <is>
          <t>Fates Collide Single Pack Blister [Gastly]</t>
        </is>
      </c>
      <c r="B3624" s="3">
        <f>IF(H3624&lt;&gt;"",H3624,IF(I3624&lt;&gt;"",I3624,IF(J3624&lt;&gt;"",J3624,K3624)))</f>
        <v>114.66</v>
      </c>
      <c r="C3624" s="3">
        <f>MEDIAN(H3624:K3624)</f>
        <v>120.0</v>
      </c>
      <c r="D3624" s="3">
        <f>ROUND(C3624*(1-Settings!$B$2),2)</f>
        <v>84.0</v>
      </c>
      <c r="E3624" s="2" t="inlineStr">
        <is>
          <t>Pokemon</t>
        </is>
      </c>
      <c r="F3624" s="2" t="inlineStr">
        <is>
          <t>Pack</t>
        </is>
      </c>
      <c r="G3624" s="2" t="inlineStr">
        <is>
          <t>XY - Fates Collide</t>
        </is>
      </c>
      <c r="H3624" s="3" t="n"/>
      <c r="I3624" s="3" t="n">
        <v>114.66</v>
      </c>
      <c r="J3624" s="3" t="n">
        <v>120</v>
      </c>
      <c r="K3624" s="3" t="n">
        <v>120</v>
      </c>
      <c r="L3624" s="2" t="inlineStr">
        <is>
          <t>TCGplayer</t>
        </is>
      </c>
      <c r="N3624" s="4" t="inlineStr">
        <is>
          <t>https://www.tcgplayer.com/product/118338</t>
        </is>
      </c>
    </row>
    <row r="3625">
      <c r="A3625" s="2" t="inlineStr">
        <is>
          <t>Fates Collide Single Pack Blister [Pansear]</t>
        </is>
      </c>
      <c r="B3625" s="3">
        <f>IF(H3625&lt;&gt;"",H3625,IF(I3625&lt;&gt;"",I3625,IF(J3625&lt;&gt;"",J3625,K3625)))</f>
        <v>95.99</v>
      </c>
      <c r="C3625" s="3">
        <f>MEDIAN(H3625:K3625)</f>
        <v>111.99</v>
      </c>
      <c r="D3625" s="3">
        <f>ROUND(C3625*(1-Settings!$B$2),2)</f>
        <v>78.39</v>
      </c>
      <c r="E3625" s="2" t="inlineStr">
        <is>
          <t>Pokemon</t>
        </is>
      </c>
      <c r="F3625" s="2" t="inlineStr">
        <is>
          <t>Pack</t>
        </is>
      </c>
      <c r="G3625" s="2" t="inlineStr">
        <is>
          <t>XY - Fates Collide</t>
        </is>
      </c>
      <c r="H3625" s="3" t="n"/>
      <c r="I3625" s="3" t="n">
        <v>95.98999999999999</v>
      </c>
      <c r="J3625" s="3" t="n">
        <v>112.48</v>
      </c>
      <c r="K3625" s="3" t="n">
        <v>111.99</v>
      </c>
      <c r="L3625" s="2" t="inlineStr">
        <is>
          <t>TCGplayer</t>
        </is>
      </c>
      <c r="N3625" s="4" t="inlineStr">
        <is>
          <t>https://www.tcgplayer.com/product/118337</t>
        </is>
      </c>
    </row>
    <row r="3626">
      <c r="A3626" s="2" t="inlineStr">
        <is>
          <t>Fates Collide Three Pack Blister [Vivillon]</t>
        </is>
      </c>
      <c r="B3626" s="3">
        <f>IF(H3626&lt;&gt;"",H3626,IF(I3626&lt;&gt;"",I3626,IF(J3626&lt;&gt;"",J3626,K3626)))</f>
        <v>199.99</v>
      </c>
      <c r="C3626" s="3">
        <f>MEDIAN(H3626:K3626)</f>
        <v>199.99</v>
      </c>
      <c r="D3626" s="3">
        <f>ROUND(C3626*(1-Settings!$B$2),2)</f>
        <v>139.99</v>
      </c>
      <c r="E3626" s="2" t="inlineStr">
        <is>
          <t>Pokemon</t>
        </is>
      </c>
      <c r="F3626" s="2" t="inlineStr">
        <is>
          <t>Pack</t>
        </is>
      </c>
      <c r="G3626" s="2" t="inlineStr">
        <is>
          <t>XY - Fates Collide</t>
        </is>
      </c>
      <c r="H3626" s="3" t="n"/>
      <c r="I3626" s="3" t="n"/>
      <c r="J3626" s="3" t="n">
        <v>199.99</v>
      </c>
      <c r="K3626" s="3" t="n">
        <v>199.99</v>
      </c>
      <c r="L3626" s="2" t="inlineStr">
        <is>
          <t>TCGplayer</t>
        </is>
      </c>
      <c r="N3626" s="4" t="inlineStr">
        <is>
          <t>https://www.tcgplayer.com/product/118340</t>
        </is>
      </c>
    </row>
    <row r="3627">
      <c r="A3627" s="2" t="inlineStr">
        <is>
          <t>XY - Fates Collide Sleeved Booster Pack [Lugia BREAK]</t>
        </is>
      </c>
      <c r="B3627" s="3">
        <f>IF(H3627&lt;&gt;"",H3627,IF(I3627&lt;&gt;"",I3627,IF(J3627&lt;&gt;"",J3627,K3627)))</f>
        <v>48.96</v>
      </c>
      <c r="C3627" s="3">
        <f>MEDIAN(H3627:K3627)</f>
        <v>48.96</v>
      </c>
      <c r="D3627" s="3">
        <f>ROUND(C3627*(1-Settings!$B$2),2)</f>
        <v>34.27</v>
      </c>
      <c r="E3627" s="2" t="inlineStr">
        <is>
          <t>Pokemon</t>
        </is>
      </c>
      <c r="F3627" s="2" t="inlineStr">
        <is>
          <t>Pack</t>
        </is>
      </c>
      <c r="G3627" s="2" t="inlineStr">
        <is>
          <t>XY - Fates Collide</t>
        </is>
      </c>
      <c r="H3627" s="3" t="n"/>
      <c r="I3627" s="3" t="n">
        <v>48.96</v>
      </c>
      <c r="J3627" s="3" t="n">
        <v>59.99</v>
      </c>
      <c r="K3627" s="3" t="n">
        <v>40</v>
      </c>
      <c r="L3627" s="2" t="inlineStr">
        <is>
          <t>TCGplayer</t>
        </is>
      </c>
      <c r="N3627" s="4" t="inlineStr">
        <is>
          <t>https://www.tcgplayer.com/product/504699</t>
        </is>
      </c>
    </row>
    <row r="3628">
      <c r="A3628" s="2" t="inlineStr">
        <is>
          <t>XY - Fates Collide Sleeved Booster Pack [Mega Alakazam]</t>
        </is>
      </c>
      <c r="B3628" s="3">
        <f>IF(H3628&lt;&gt;"",H3628,IF(I3628&lt;&gt;"",I3628,IF(J3628&lt;&gt;"",J3628,K3628)))</f>
        <v>47.8</v>
      </c>
      <c r="C3628" s="3">
        <f>MEDIAN(H3628:K3628)</f>
        <v>47.8</v>
      </c>
      <c r="D3628" s="3">
        <f>ROUND(C3628*(1-Settings!$B$2),2)</f>
        <v>33.46</v>
      </c>
      <c r="E3628" s="2" t="inlineStr">
        <is>
          <t>Pokemon</t>
        </is>
      </c>
      <c r="F3628" s="2" t="inlineStr">
        <is>
          <t>Pack</t>
        </is>
      </c>
      <c r="G3628" s="2" t="inlineStr">
        <is>
          <t>XY - Fates Collide</t>
        </is>
      </c>
      <c r="H3628" s="3" t="n"/>
      <c r="I3628" s="3" t="n">
        <v>47.8</v>
      </c>
      <c r="J3628" s="3" t="n">
        <v>55</v>
      </c>
      <c r="K3628" s="3" t="n">
        <v>40</v>
      </c>
      <c r="L3628" s="2" t="inlineStr">
        <is>
          <t>TCGplayer</t>
        </is>
      </c>
      <c r="N3628" s="4" t="inlineStr">
        <is>
          <t>https://www.tcgplayer.com/product/504697</t>
        </is>
      </c>
    </row>
    <row r="3629">
      <c r="A3629" s="2" t="inlineStr">
        <is>
          <t>XY - Fates Collide Sleeved Booster Pack [Zygarde]</t>
        </is>
      </c>
      <c r="B3629" s="3">
        <f>IF(H3629&lt;&gt;"",H3629,IF(I3629&lt;&gt;"",I3629,IF(J3629&lt;&gt;"",J3629,K3629)))</f>
        <v>52.47</v>
      </c>
      <c r="C3629" s="3">
        <f>MEDIAN(H3629:K3629)</f>
        <v>52.47</v>
      </c>
      <c r="D3629" s="3">
        <f>ROUND(C3629*(1-Settings!$B$2),2)</f>
        <v>36.73</v>
      </c>
      <c r="E3629" s="2" t="inlineStr">
        <is>
          <t>Pokemon</t>
        </is>
      </c>
      <c r="F3629" s="2" t="inlineStr">
        <is>
          <t>Pack</t>
        </is>
      </c>
      <c r="G3629" s="2" t="inlineStr">
        <is>
          <t>XY - Fates Collide</t>
        </is>
      </c>
      <c r="H3629" s="3" t="n"/>
      <c r="I3629" s="3" t="n">
        <v>52.47</v>
      </c>
      <c r="J3629" s="3" t="n">
        <v>58.99</v>
      </c>
      <c r="K3629" s="3" t="n">
        <v>40</v>
      </c>
      <c r="L3629" s="2" t="inlineStr">
        <is>
          <t>TCGplayer</t>
        </is>
      </c>
      <c r="N3629" s="4" t="inlineStr">
        <is>
          <t>https://www.tcgplayer.com/product/504700</t>
        </is>
      </c>
    </row>
    <row r="3630">
      <c r="A3630" s="2" t="inlineStr">
        <is>
          <t>XY Fates Collide Booster Pack</t>
        </is>
      </c>
      <c r="B3630" s="3">
        <f>IF(H3630&lt;&gt;"",H3630,IF(I3630&lt;&gt;"",I3630,IF(J3630&lt;&gt;"",J3630,K3630)))</f>
        <v>43.87</v>
      </c>
      <c r="C3630" s="3">
        <f>MEDIAN(H3630:K3630)</f>
        <v>43.87</v>
      </c>
      <c r="D3630" s="3">
        <f>ROUND(C3630*(1-Settings!$B$2),2)</f>
        <v>30.71</v>
      </c>
      <c r="E3630" s="2" t="inlineStr">
        <is>
          <t>Pokemon</t>
        </is>
      </c>
      <c r="F3630" s="2" t="inlineStr">
        <is>
          <t>Pack</t>
        </is>
      </c>
      <c r="G3630" s="2" t="inlineStr">
        <is>
          <t>XY - Fates Collide</t>
        </is>
      </c>
      <c r="H3630" s="3" t="n"/>
      <c r="I3630" s="3" t="n">
        <v>43.87</v>
      </c>
      <c r="J3630" s="3" t="n">
        <v>50.52</v>
      </c>
      <c r="K3630" s="3" t="n">
        <v>42.99</v>
      </c>
      <c r="L3630" s="2" t="inlineStr">
        <is>
          <t>TCGplayer</t>
        </is>
      </c>
      <c r="N3630" s="4" t="inlineStr">
        <is>
          <t>https://www.tcgplayer.com/product/168114</t>
        </is>
      </c>
    </row>
    <row r="3631">
      <c r="A3631" s="2" t="inlineStr">
        <is>
          <t>Flashfire Booster Pack</t>
        </is>
      </c>
      <c r="B3631" s="3">
        <f>IF(H3631&lt;&gt;"",H3631,IF(I3631&lt;&gt;"",I3631,IF(J3631&lt;&gt;"",J3631,K3631)))</f>
        <v>170.0</v>
      </c>
      <c r="C3631" s="3">
        <f>MEDIAN(H3631:K3631)</f>
        <v>164.35500000000002</v>
      </c>
      <c r="D3631" s="3">
        <f>ROUND(C3631*(1-Settings!$B$2),2)</f>
        <v>115.05</v>
      </c>
      <c r="E3631" s="2" t="inlineStr">
        <is>
          <t>Pokemon</t>
        </is>
      </c>
      <c r="F3631" s="2" t="inlineStr">
        <is>
          <t>Pack</t>
        </is>
      </c>
      <c r="G3631" s="2" t="inlineStr">
        <is>
          <t>XY - Flashfire</t>
        </is>
      </c>
      <c r="H3631" s="3" t="n">
        <v>170</v>
      </c>
      <c r="I3631" s="3" t="n">
        <v>160.85</v>
      </c>
      <c r="J3631" s="3" t="n">
        <v>167.86</v>
      </c>
      <c r="K3631" s="3" t="n">
        <v>89.89</v>
      </c>
      <c r="L3631" s="2" t="inlineStr">
        <is>
          <t>PriceCharting + TCGplayer</t>
        </is>
      </c>
      <c r="M3631" s="4" t="inlineStr">
        <is>
          <t>https://www.pricecharting.com/game/pokemon-flashfire/booster-pack</t>
        </is>
      </c>
      <c r="N3631" s="4" t="inlineStr">
        <is>
          <t>https://www.tcgplayer.com/product/91595</t>
        </is>
      </c>
    </row>
    <row r="3632">
      <c r="A3632" s="2" t="inlineStr">
        <is>
          <t>Flashfire Sleeved Booster Pack</t>
        </is>
      </c>
      <c r="B3632" s="3">
        <f>IF(H3632&lt;&gt;"",H3632,IF(I3632&lt;&gt;"",I3632,IF(J3632&lt;&gt;"",J3632,K3632)))</f>
        <v>186.41</v>
      </c>
      <c r="C3632" s="3">
        <f>MEDIAN(H3632:K3632)</f>
        <v>249.99</v>
      </c>
      <c r="D3632" s="3">
        <f>ROUND(C3632*(1-Settings!$B$2),2)</f>
        <v>174.99</v>
      </c>
      <c r="E3632" s="2" t="inlineStr">
        <is>
          <t>Pokemon</t>
        </is>
      </c>
      <c r="F3632" s="2" t="inlineStr">
        <is>
          <t>Pack</t>
        </is>
      </c>
      <c r="G3632" s="2" t="inlineStr">
        <is>
          <t>XY - Flashfire</t>
        </is>
      </c>
      <c r="H3632" s="3" t="n"/>
      <c r="I3632" s="3" t="n">
        <v>186.41</v>
      </c>
      <c r="J3632" s="3" t="n">
        <v>300</v>
      </c>
      <c r="K3632" s="3" t="n">
        <v>249.99</v>
      </c>
      <c r="L3632" s="2" t="inlineStr">
        <is>
          <t>TCGplayer</t>
        </is>
      </c>
      <c r="N3632" s="4" t="inlineStr">
        <is>
          <t>https://www.tcgplayer.com/product/524332</t>
        </is>
      </c>
    </row>
    <row r="3633">
      <c r="A3633" s="2" t="inlineStr">
        <is>
          <t>Furious Fists 2 Pack Blister [Unova Trio]</t>
        </is>
      </c>
      <c r="B3633" s="3">
        <f>IF(H3633&lt;&gt;"",H3633,IF(I3633&lt;&gt;"",I3633,IF(J3633&lt;&gt;"",J3633,K3633)))</f>
        <v>500.0</v>
      </c>
      <c r="C3633" s="3">
        <f>MEDIAN(H3633:K3633)</f>
        <v>500.0</v>
      </c>
      <c r="D3633" s="3">
        <f>ROUND(C3633*(1-Settings!$B$2),2)</f>
        <v>350.0</v>
      </c>
      <c r="E3633" s="2" t="inlineStr">
        <is>
          <t>Pokemon</t>
        </is>
      </c>
      <c r="F3633" s="2" t="inlineStr">
        <is>
          <t>Pack</t>
        </is>
      </c>
      <c r="G3633" s="2" t="inlineStr">
        <is>
          <t>XY - Furious Fists</t>
        </is>
      </c>
      <c r="H3633" s="3" t="n"/>
      <c r="I3633" s="3" t="n"/>
      <c r="J3633" s="3" t="n">
        <v>500</v>
      </c>
      <c r="K3633" s="3" t="n">
        <v>500</v>
      </c>
      <c r="L3633" s="2" t="inlineStr">
        <is>
          <t>TCGplayer</t>
        </is>
      </c>
      <c r="N3633" s="4" t="inlineStr">
        <is>
          <t>https://www.tcgplayer.com/product/97772</t>
        </is>
      </c>
    </row>
    <row r="3634">
      <c r="A3634" s="2" t="inlineStr">
        <is>
          <t>Furious Fists 3 Pack Blister [Slurpuff]</t>
        </is>
      </c>
      <c r="B3634" s="3">
        <f>IF(H3634&lt;&gt;"",H3634,IF(I3634&lt;&gt;"",I3634,IF(J3634&lt;&gt;"",J3634,K3634)))</f>
        <v>237.32</v>
      </c>
      <c r="C3634" s="3">
        <f>MEDIAN(H3634:K3634)</f>
        <v>237.32</v>
      </c>
      <c r="D3634" s="3">
        <f>ROUND(C3634*(1-Settings!$B$2),2)</f>
        <v>166.12</v>
      </c>
      <c r="E3634" s="2" t="inlineStr">
        <is>
          <t>Pokemon</t>
        </is>
      </c>
      <c r="F3634" s="2" t="inlineStr">
        <is>
          <t>Pack</t>
        </is>
      </c>
      <c r="G3634" s="2" t="inlineStr">
        <is>
          <t>XY - Furious Fists</t>
        </is>
      </c>
      <c r="H3634" s="3" t="n"/>
      <c r="I3634" s="3" t="n">
        <v>237.32</v>
      </c>
      <c r="J3634" s="3" t="n"/>
      <c r="K3634" s="3" t="n"/>
      <c r="L3634" s="2" t="inlineStr">
        <is>
          <t>TCGplayer</t>
        </is>
      </c>
      <c r="N3634" s="4" t="inlineStr">
        <is>
          <t>https://www.tcgplayer.com/product/97768</t>
        </is>
      </c>
    </row>
    <row r="3635">
      <c r="A3635" s="2" t="inlineStr">
        <is>
          <t>Furious Fists Single Pack Blister [Gogoat]</t>
        </is>
      </c>
      <c r="B3635" s="3">
        <f>IF(H3635&lt;&gt;"",H3635,IF(I3635&lt;&gt;"",I3635,IF(J3635&lt;&gt;"",J3635,K3635)))</f>
        <v>200.0</v>
      </c>
      <c r="C3635" s="3">
        <f>MEDIAN(H3635:K3635)</f>
        <v>200.0</v>
      </c>
      <c r="D3635" s="3">
        <f>ROUND(C3635*(1-Settings!$B$2),2)</f>
        <v>140.0</v>
      </c>
      <c r="E3635" s="2" t="inlineStr">
        <is>
          <t>Pokemon</t>
        </is>
      </c>
      <c r="F3635" s="2" t="inlineStr">
        <is>
          <t>Pack</t>
        </is>
      </c>
      <c r="G3635" s="2" t="inlineStr">
        <is>
          <t>XY - Furious Fists</t>
        </is>
      </c>
      <c r="H3635" s="3" t="n"/>
      <c r="I3635" s="3" t="n"/>
      <c r="J3635" s="3" t="n">
        <v>200</v>
      </c>
      <c r="K3635" s="3" t="n">
        <v>200</v>
      </c>
      <c r="L3635" s="2" t="inlineStr">
        <is>
          <t>TCGplayer</t>
        </is>
      </c>
      <c r="N3635" s="4" t="inlineStr">
        <is>
          <t>https://www.tcgplayer.com/product/97770</t>
        </is>
      </c>
    </row>
    <row r="3636">
      <c r="A3636" s="2" t="inlineStr">
        <is>
          <t>Furious Fists Single Pack Blister [Zoroark]</t>
        </is>
      </c>
      <c r="B3636" s="3">
        <f>IF(H3636&lt;&gt;"",H3636,IF(I3636&lt;&gt;"",I3636,IF(J3636&lt;&gt;"",J3636,K3636)))</f>
        <v>200.0</v>
      </c>
      <c r="C3636" s="3">
        <f>MEDIAN(H3636:K3636)</f>
        <v>200.0</v>
      </c>
      <c r="D3636" s="3">
        <f>ROUND(C3636*(1-Settings!$B$2),2)</f>
        <v>140.0</v>
      </c>
      <c r="E3636" s="2" t="inlineStr">
        <is>
          <t>Pokemon</t>
        </is>
      </c>
      <c r="F3636" s="2" t="inlineStr">
        <is>
          <t>Pack</t>
        </is>
      </c>
      <c r="G3636" s="2" t="inlineStr">
        <is>
          <t>XY - Furious Fists</t>
        </is>
      </c>
      <c r="H3636" s="3" t="n"/>
      <c r="I3636" s="3" t="n"/>
      <c r="J3636" s="3" t="n">
        <v>200</v>
      </c>
      <c r="K3636" s="3" t="n">
        <v>200</v>
      </c>
      <c r="L3636" s="2" t="inlineStr">
        <is>
          <t>TCGplayer</t>
        </is>
      </c>
      <c r="N3636" s="4" t="inlineStr">
        <is>
          <t>https://www.tcgplayer.com/product/97771</t>
        </is>
      </c>
    </row>
    <row r="3637">
      <c r="A3637" s="2" t="inlineStr">
        <is>
          <t>Furious Fists Sleeved Booster Pack</t>
        </is>
      </c>
      <c r="B3637" s="3">
        <f>IF(H3637&lt;&gt;"",H3637,IF(I3637&lt;&gt;"",I3637,IF(J3637&lt;&gt;"",J3637,K3637)))</f>
        <v>87.43</v>
      </c>
      <c r="C3637" s="3">
        <f>MEDIAN(H3637:K3637)</f>
        <v>87.43</v>
      </c>
      <c r="D3637" s="3">
        <f>ROUND(C3637*(1-Settings!$B$2),2)</f>
        <v>61.2</v>
      </c>
      <c r="E3637" s="2" t="inlineStr">
        <is>
          <t>Pokemon</t>
        </is>
      </c>
      <c r="F3637" s="2" t="inlineStr">
        <is>
          <t>Pack</t>
        </is>
      </c>
      <c r="G3637" s="2" t="inlineStr">
        <is>
          <t>XY - Furious Fists</t>
        </is>
      </c>
      <c r="H3637" s="3" t="n"/>
      <c r="I3637" s="3" t="n">
        <v>87.43000000000001</v>
      </c>
      <c r="J3637" s="3" t="n">
        <v>88.88</v>
      </c>
      <c r="K3637" s="3" t="n">
        <v>50.91</v>
      </c>
      <c r="L3637" s="2" t="inlineStr">
        <is>
          <t>TCGplayer</t>
        </is>
      </c>
      <c r="N3637" s="4" t="inlineStr">
        <is>
          <t>https://www.tcgplayer.com/product/550673</t>
        </is>
      </c>
    </row>
    <row r="3638">
      <c r="A3638" s="2" t="inlineStr">
        <is>
          <t>Phantom Forces Sleeved Booster Pack</t>
        </is>
      </c>
      <c r="B3638" s="3">
        <f>IF(H3638&lt;&gt;"",H3638,IF(I3638&lt;&gt;"",I3638,IF(J3638&lt;&gt;"",J3638,K3638)))</f>
        <v>377.24</v>
      </c>
      <c r="C3638" s="3">
        <f>MEDIAN(H3638:K3638)</f>
        <v>750.0</v>
      </c>
      <c r="D3638" s="3">
        <f>ROUND(C3638*(1-Settings!$B$2),2)</f>
        <v>525.0</v>
      </c>
      <c r="E3638" s="2" t="inlineStr">
        <is>
          <t>Pokemon</t>
        </is>
      </c>
      <c r="F3638" s="2" t="inlineStr">
        <is>
          <t>Pack</t>
        </is>
      </c>
      <c r="G3638" s="2" t="inlineStr">
        <is>
          <t>XY - Phantom Forces</t>
        </is>
      </c>
      <c r="H3638" s="3" t="n">
        <v>377.24</v>
      </c>
      <c r="I3638" s="3" t="n"/>
      <c r="J3638" s="3" t="n">
        <v>800</v>
      </c>
      <c r="K3638" s="3" t="n">
        <v>750</v>
      </c>
      <c r="L3638" s="2" t="inlineStr">
        <is>
          <t>PriceCharting + TCGplayer</t>
        </is>
      </c>
      <c r="M3638" s="4" t="inlineStr">
        <is>
          <t>https://www.pricecharting.com/game/pokemon-phantom-forces/sleeved-booster-pack</t>
        </is>
      </c>
      <c r="N3638" s="4" t="inlineStr">
        <is>
          <t>https://www.tcgplayer.com/product/550676</t>
        </is>
      </c>
    </row>
    <row r="3639">
      <c r="A3639" s="2" t="inlineStr">
        <is>
          <t>XY Phantom Forces Booster Pack</t>
        </is>
      </c>
      <c r="B3639" s="3">
        <f>IF(H3639&lt;&gt;"",H3639,IF(I3639&lt;&gt;"",I3639,IF(J3639&lt;&gt;"",J3639,K3639)))</f>
        <v>230.17</v>
      </c>
      <c r="C3639" s="3">
        <f>MEDIAN(H3639:K3639)</f>
        <v>230.17</v>
      </c>
      <c r="D3639" s="3">
        <f>ROUND(C3639*(1-Settings!$B$2),2)</f>
        <v>161.12</v>
      </c>
      <c r="E3639" s="2" t="inlineStr">
        <is>
          <t>Pokemon</t>
        </is>
      </c>
      <c r="F3639" s="2" t="inlineStr">
        <is>
          <t>Pack</t>
        </is>
      </c>
      <c r="G3639" s="2" t="inlineStr">
        <is>
          <t>XY - Phantom Forces</t>
        </is>
      </c>
      <c r="H3639" s="3" t="n"/>
      <c r="I3639" s="3" t="n">
        <v>230.17</v>
      </c>
      <c r="J3639" s="3" t="n">
        <v>235.41</v>
      </c>
      <c r="K3639" s="3" t="n">
        <v>200</v>
      </c>
      <c r="L3639" s="2" t="inlineStr">
        <is>
          <t>TCGplayer</t>
        </is>
      </c>
      <c r="N3639" s="4" t="inlineStr">
        <is>
          <t>https://www.tcgplayer.com/product/94622</t>
        </is>
      </c>
    </row>
    <row r="3640">
      <c r="A3640" s="2" t="inlineStr">
        <is>
          <t>Primal Clash Three Pack Blister [Ditto]</t>
        </is>
      </c>
      <c r="B3640" s="3">
        <f>IF(H3640&lt;&gt;"",H3640,IF(I3640&lt;&gt;"",I3640,IF(J3640&lt;&gt;"",J3640,K3640)))</f>
        <v>583.33</v>
      </c>
      <c r="C3640" s="3">
        <f>MEDIAN(H3640:K3640)</f>
        <v>1299.99</v>
      </c>
      <c r="D3640" s="3">
        <f>ROUND(C3640*(1-Settings!$B$2),2)</f>
        <v>909.99</v>
      </c>
      <c r="E3640" s="2" t="inlineStr">
        <is>
          <t>Pokemon</t>
        </is>
      </c>
      <c r="F3640" s="2" t="inlineStr">
        <is>
          <t>Pack</t>
        </is>
      </c>
      <c r="G3640" s="2" t="inlineStr">
        <is>
          <t>XY - Primal Clash</t>
        </is>
      </c>
      <c r="H3640" s="3" t="n"/>
      <c r="I3640" s="3" t="n">
        <v>583.33</v>
      </c>
      <c r="J3640" s="3" t="n">
        <v>1299.99</v>
      </c>
      <c r="K3640" s="3" t="n">
        <v>1299.99</v>
      </c>
      <c r="L3640" s="2" t="inlineStr">
        <is>
          <t>TCGplayer</t>
        </is>
      </c>
      <c r="N3640" s="4" t="inlineStr">
        <is>
          <t>https://www.tcgplayer.com/product/97758</t>
        </is>
      </c>
    </row>
    <row r="3641">
      <c r="A3641" s="2" t="inlineStr">
        <is>
          <t>Primal Clash Three Pack Blister [Furfrou]</t>
        </is>
      </c>
      <c r="B3641" s="3">
        <f>IF(H3641&lt;&gt;"",H3641,IF(I3641&lt;&gt;"",I3641,IF(J3641&lt;&gt;"",J3641,K3641)))</f>
        <v>299.99</v>
      </c>
      <c r="C3641" s="3">
        <f>MEDIAN(H3641:K3641)</f>
        <v>299.99</v>
      </c>
      <c r="D3641" s="3">
        <f>ROUND(C3641*(1-Settings!$B$2),2)</f>
        <v>209.99</v>
      </c>
      <c r="E3641" s="2" t="inlineStr">
        <is>
          <t>Pokemon</t>
        </is>
      </c>
      <c r="F3641" s="2" t="inlineStr">
        <is>
          <t>Pack</t>
        </is>
      </c>
      <c r="G3641" s="2" t="inlineStr">
        <is>
          <t>XY - Primal Clash</t>
        </is>
      </c>
      <c r="H3641" s="3" t="n"/>
      <c r="I3641" s="3" t="n">
        <v>299.99</v>
      </c>
      <c r="J3641" s="3" t="n"/>
      <c r="K3641" s="3" t="n"/>
      <c r="L3641" s="2" t="inlineStr">
        <is>
          <t>TCGplayer</t>
        </is>
      </c>
      <c r="N3641" s="4" t="inlineStr">
        <is>
          <t>https://www.tcgplayer.com/product/97759</t>
        </is>
      </c>
    </row>
    <row r="3642">
      <c r="A3642" s="2" t="inlineStr">
        <is>
          <t>Dragonite Collector's Pin 3 Pack Blister</t>
        </is>
      </c>
      <c r="B3642" s="3">
        <f>IF(H3642&lt;&gt;"",H3642,IF(I3642&lt;&gt;"",I3642,IF(J3642&lt;&gt;"",J3642,K3642)))</f>
        <v>309.0</v>
      </c>
      <c r="C3642" s="3">
        <f>MEDIAN(H3642:K3642)</f>
        <v>509.0</v>
      </c>
      <c r="D3642" s="3">
        <f>ROUND(C3642*(1-Settings!$B$2),2)</f>
        <v>356.3</v>
      </c>
      <c r="E3642" s="2" t="inlineStr">
        <is>
          <t>Pokemon</t>
        </is>
      </c>
      <c r="F3642" s="2" t="inlineStr">
        <is>
          <t>Pack</t>
        </is>
      </c>
      <c r="G3642" s="2" t="inlineStr">
        <is>
          <t>XY - Roaring Skies</t>
        </is>
      </c>
      <c r="H3642" s="3" t="n"/>
      <c r="I3642" s="3" t="n">
        <v>309</v>
      </c>
      <c r="J3642" s="3" t="n">
        <v>1074</v>
      </c>
      <c r="K3642" s="3" t="n">
        <v>509</v>
      </c>
      <c r="L3642" s="2" t="inlineStr">
        <is>
          <t>TCGplayer</t>
        </is>
      </c>
      <c r="N3642" s="4" t="inlineStr">
        <is>
          <t>https://www.tcgplayer.com/product/100501</t>
        </is>
      </c>
    </row>
    <row r="3643">
      <c r="A3643" s="2" t="inlineStr">
        <is>
          <t>Roaring Skies Booster Pack</t>
        </is>
      </c>
      <c r="B3643" s="3">
        <f>IF(H3643&lt;&gt;"",H3643,IF(I3643&lt;&gt;"",I3643,IF(J3643&lt;&gt;"",J3643,K3643)))</f>
        <v>75.0</v>
      </c>
      <c r="C3643" s="3">
        <f>MEDIAN(H3643:K3643)</f>
        <v>80.525</v>
      </c>
      <c r="D3643" s="3">
        <f>ROUND(C3643*(1-Settings!$B$2),2)</f>
        <v>56.37</v>
      </c>
      <c r="E3643" s="2" t="inlineStr">
        <is>
          <t>Pokemon</t>
        </is>
      </c>
      <c r="F3643" s="2" t="inlineStr">
        <is>
          <t>Pack</t>
        </is>
      </c>
      <c r="G3643" s="2" t="inlineStr">
        <is>
          <t>XY - Roaring Skies</t>
        </is>
      </c>
      <c r="H3643" s="3" t="n">
        <v>75</v>
      </c>
      <c r="I3643" s="3" t="n">
        <v>78.12</v>
      </c>
      <c r="J3643" s="3" t="n">
        <v>99.97</v>
      </c>
      <c r="K3643" s="3" t="n">
        <v>82.93000000000001</v>
      </c>
      <c r="L3643" s="2" t="inlineStr">
        <is>
          <t>PriceCharting + TCGplayer</t>
        </is>
      </c>
      <c r="M3643" s="4" t="inlineStr">
        <is>
          <t>https://www.pricecharting.com/game/pokemon-roaring-skies/booster-pack</t>
        </is>
      </c>
      <c r="N3643" s="4" t="inlineStr">
        <is>
          <t>https://www.tcgplayer.com/product/129906</t>
        </is>
      </c>
    </row>
    <row r="3644">
      <c r="A3644" s="2" t="inlineStr">
        <is>
          <t>Roaring Skies Sleeved Booster Pack</t>
        </is>
      </c>
      <c r="B3644" s="3">
        <f>IF(H3644&lt;&gt;"",H3644,IF(I3644&lt;&gt;"",I3644,IF(J3644&lt;&gt;"",J3644,K3644)))</f>
        <v>96.74</v>
      </c>
      <c r="C3644" s="3">
        <f>MEDIAN(H3644:K3644)</f>
        <v>124.66</v>
      </c>
      <c r="D3644" s="3">
        <f>ROUND(C3644*(1-Settings!$B$2),2)</f>
        <v>87.26</v>
      </c>
      <c r="E3644" s="2" t="inlineStr">
        <is>
          <t>Pokemon</t>
        </is>
      </c>
      <c r="F3644" s="2" t="inlineStr">
        <is>
          <t>Pack</t>
        </is>
      </c>
      <c r="G3644" s="2" t="inlineStr">
        <is>
          <t>XY - Roaring Skies</t>
        </is>
      </c>
      <c r="H3644" s="3" t="n">
        <v>96.73999999999999</v>
      </c>
      <c r="I3644" s="3" t="n">
        <v>118.32</v>
      </c>
      <c r="J3644" s="3" t="n">
        <v>132.5</v>
      </c>
      <c r="K3644" s="3" t="n">
        <v>131</v>
      </c>
      <c r="L3644" s="2" t="inlineStr">
        <is>
          <t>PriceCharting + TCGplayer</t>
        </is>
      </c>
      <c r="M3644" s="4" t="inlineStr">
        <is>
          <t>https://www.pricecharting.com/game/pokemon-roaring-skies/sleeved-booster-pack</t>
        </is>
      </c>
      <c r="N3644" s="4" t="inlineStr">
        <is>
          <t>https://www.tcgplayer.com/product/697502</t>
        </is>
      </c>
    </row>
    <row r="3645">
      <c r="A3645" s="2" t="inlineStr">
        <is>
          <t>Steam Siege 3 Pack Blister [Azelf]</t>
        </is>
      </c>
      <c r="B3645" s="3">
        <f>IF(H3645&lt;&gt;"",H3645,IF(I3645&lt;&gt;"",I3645,IF(J3645&lt;&gt;"",J3645,K3645)))</f>
        <v>355.0</v>
      </c>
      <c r="C3645" s="3">
        <f>MEDIAN(H3645:K3645)</f>
        <v>355.0</v>
      </c>
      <c r="D3645" s="3">
        <f>ROUND(C3645*(1-Settings!$B$2),2)</f>
        <v>248.5</v>
      </c>
      <c r="E3645" s="2" t="inlineStr">
        <is>
          <t>Pokemon</t>
        </is>
      </c>
      <c r="F3645" s="2" t="inlineStr">
        <is>
          <t>Pack</t>
        </is>
      </c>
      <c r="G3645" s="2" t="inlineStr">
        <is>
          <t>XY - Steam Siege</t>
        </is>
      </c>
      <c r="H3645" s="3" t="n"/>
      <c r="I3645" s="3" t="n"/>
      <c r="J3645" s="3" t="n">
        <v>355</v>
      </c>
      <c r="K3645" s="3" t="n">
        <v>355</v>
      </c>
      <c r="L3645" s="2" t="inlineStr">
        <is>
          <t>TCGplayer</t>
        </is>
      </c>
      <c r="N3645" s="4" t="inlineStr">
        <is>
          <t>https://www.tcgplayer.com/product/120704</t>
        </is>
      </c>
    </row>
    <row r="3646">
      <c r="A3646" s="2" t="inlineStr">
        <is>
          <t>Steam Siege 3 Pack Blister [Rayquaza]</t>
        </is>
      </c>
      <c r="B3646" s="3">
        <f>IF(H3646&lt;&gt;"",H3646,IF(I3646&lt;&gt;"",I3646,IF(J3646&lt;&gt;"",J3646,K3646)))</f>
        <v>300.0</v>
      </c>
      <c r="C3646" s="3">
        <f>MEDIAN(H3646:K3646)</f>
        <v>300.0</v>
      </c>
      <c r="D3646" s="3">
        <f>ROUND(C3646*(1-Settings!$B$2),2)</f>
        <v>210.0</v>
      </c>
      <c r="E3646" s="2" t="inlineStr">
        <is>
          <t>Pokemon</t>
        </is>
      </c>
      <c r="F3646" s="2" t="inlineStr">
        <is>
          <t>Pack</t>
        </is>
      </c>
      <c r="G3646" s="2" t="inlineStr">
        <is>
          <t>XY - Steam Siege</t>
        </is>
      </c>
      <c r="H3646" s="3" t="n"/>
      <c r="I3646" s="3" t="n">
        <v>300</v>
      </c>
      <c r="J3646" s="3" t="n"/>
      <c r="K3646" s="3" t="n"/>
      <c r="L3646" s="2" t="inlineStr">
        <is>
          <t>TCGplayer</t>
        </is>
      </c>
      <c r="N3646" s="4" t="inlineStr">
        <is>
          <t>https://www.tcgplayer.com/product/120705</t>
        </is>
      </c>
    </row>
    <row r="3647">
      <c r="A3647" s="2" t="inlineStr">
        <is>
          <t>Steam Siege Booster Pack</t>
        </is>
      </c>
      <c r="B3647" s="3">
        <f>IF(H3647&lt;&gt;"",H3647,IF(I3647&lt;&gt;"",I3647,IF(J3647&lt;&gt;"",J3647,K3647)))</f>
        <v>31.7</v>
      </c>
      <c r="C3647" s="3">
        <f>MEDIAN(H3647:K3647)</f>
        <v>31.7</v>
      </c>
      <c r="D3647" s="3">
        <f>ROUND(C3647*(1-Settings!$B$2),2)</f>
        <v>22.19</v>
      </c>
      <c r="E3647" s="2" t="inlineStr">
        <is>
          <t>Pokemon</t>
        </is>
      </c>
      <c r="F3647" s="2" t="inlineStr">
        <is>
          <t>Pack</t>
        </is>
      </c>
      <c r="G3647" s="2" t="inlineStr">
        <is>
          <t>XY - Steam Siege</t>
        </is>
      </c>
      <c r="H3647" s="3" t="n"/>
      <c r="I3647" s="3" t="n">
        <v>31.7</v>
      </c>
      <c r="J3647" s="3" t="n">
        <v>39.49</v>
      </c>
      <c r="K3647" s="3" t="n">
        <v>29.98</v>
      </c>
      <c r="L3647" s="2" t="inlineStr">
        <is>
          <t>TCGplayer</t>
        </is>
      </c>
      <c r="N3647" s="4" t="inlineStr">
        <is>
          <t>https://www.tcgplayer.com/product/130013</t>
        </is>
      </c>
    </row>
    <row r="3648">
      <c r="A3648" s="2" t="inlineStr">
        <is>
          <t>Steam Siege Single Pack Blister [Floette]</t>
        </is>
      </c>
      <c r="B3648" s="3">
        <f>IF(H3648&lt;&gt;"",H3648,IF(I3648&lt;&gt;"",I3648,IF(J3648&lt;&gt;"",J3648,K3648)))</f>
        <v>37.29</v>
      </c>
      <c r="C3648" s="3">
        <f>MEDIAN(H3648:K3648)</f>
        <v>80.0</v>
      </c>
      <c r="D3648" s="3">
        <f>ROUND(C3648*(1-Settings!$B$2),2)</f>
        <v>56.0</v>
      </c>
      <c r="E3648" s="2" t="inlineStr">
        <is>
          <t>Pokemon</t>
        </is>
      </c>
      <c r="F3648" s="2" t="inlineStr">
        <is>
          <t>Pack</t>
        </is>
      </c>
      <c r="G3648" s="2" t="inlineStr">
        <is>
          <t>XY - Steam Siege</t>
        </is>
      </c>
      <c r="H3648" s="3" t="n"/>
      <c r="I3648" s="3" t="n">
        <v>37.29</v>
      </c>
      <c r="J3648" s="3" t="n">
        <v>82.98999999999999</v>
      </c>
      <c r="K3648" s="3" t="n">
        <v>80</v>
      </c>
      <c r="L3648" s="2" t="inlineStr">
        <is>
          <t>TCGplayer</t>
        </is>
      </c>
      <c r="N3648" s="4" t="inlineStr">
        <is>
          <t>https://www.tcgplayer.com/product/120703</t>
        </is>
      </c>
    </row>
    <row r="3649">
      <c r="A3649" s="2" t="inlineStr">
        <is>
          <t>Steam Siege Single Pack Blister [Lucario]</t>
        </is>
      </c>
      <c r="B3649" s="3">
        <f>IF(H3649&lt;&gt;"",H3649,IF(I3649&lt;&gt;"",I3649,IF(J3649&lt;&gt;"",J3649,K3649)))</f>
        <v>63.73</v>
      </c>
      <c r="C3649" s="3">
        <f>MEDIAN(H3649:K3649)</f>
        <v>63.73</v>
      </c>
      <c r="D3649" s="3">
        <f>ROUND(C3649*(1-Settings!$B$2),2)</f>
        <v>44.61</v>
      </c>
      <c r="E3649" s="2" t="inlineStr">
        <is>
          <t>Pokemon</t>
        </is>
      </c>
      <c r="F3649" s="2" t="inlineStr">
        <is>
          <t>Pack</t>
        </is>
      </c>
      <c r="G3649" s="2" t="inlineStr">
        <is>
          <t>XY - Steam Siege</t>
        </is>
      </c>
      <c r="H3649" s="3" t="n"/>
      <c r="I3649" s="3" t="n">
        <v>63.73</v>
      </c>
      <c r="J3649" s="3" t="n">
        <v>63.73</v>
      </c>
      <c r="K3649" s="3" t="n">
        <v>58</v>
      </c>
      <c r="L3649" s="2" t="inlineStr">
        <is>
          <t>TCGplayer</t>
        </is>
      </c>
      <c r="N3649" s="4" t="inlineStr">
        <is>
          <t>https://www.tcgplayer.com/product/120702</t>
        </is>
      </c>
    </row>
    <row r="3650">
      <c r="A3650" s="2" t="inlineStr">
        <is>
          <t>XY Steam Siege Sleeved Booster Pack</t>
        </is>
      </c>
      <c r="B3650" s="3">
        <f>IF(H3650&lt;&gt;"",H3650,IF(I3650&lt;&gt;"",I3650,IF(J3650&lt;&gt;"",J3650,K3650)))</f>
        <v>39.13</v>
      </c>
      <c r="C3650" s="3">
        <f>MEDIAN(H3650:K3650)</f>
        <v>40.0</v>
      </c>
      <c r="D3650" s="3">
        <f>ROUND(C3650*(1-Settings!$B$2),2)</f>
        <v>28.0</v>
      </c>
      <c r="E3650" s="2" t="inlineStr">
        <is>
          <t>Pokemon</t>
        </is>
      </c>
      <c r="F3650" s="2" t="inlineStr">
        <is>
          <t>Pack</t>
        </is>
      </c>
      <c r="G3650" s="2" t="inlineStr">
        <is>
          <t>XY - Steam Siege</t>
        </is>
      </c>
      <c r="H3650" s="3" t="n"/>
      <c r="I3650" s="3" t="n">
        <v>39.13</v>
      </c>
      <c r="J3650" s="3" t="n">
        <v>44.72</v>
      </c>
      <c r="K3650" s="3" t="n">
        <v>40</v>
      </c>
      <c r="L3650" s="2" t="inlineStr">
        <is>
          <t>TCGplayer</t>
        </is>
      </c>
      <c r="N3650" s="4" t="inlineStr">
        <is>
          <t>https://www.tcgplayer.com/product/268448</t>
        </is>
      </c>
    </row>
    <row r="3651">
      <c r="A3651" s="2" t="inlineStr">
        <is>
          <t>XY Base Set Sleeved Booster Pack</t>
        </is>
      </c>
      <c r="B3651" s="3">
        <f>IF(H3651&lt;&gt;"",H3651,IF(I3651&lt;&gt;"",I3651,IF(J3651&lt;&gt;"",J3651,K3651)))</f>
        <v>159.99</v>
      </c>
      <c r="C3651" s="3">
        <f>MEDIAN(H3651:K3651)</f>
        <v>179.99</v>
      </c>
      <c r="D3651" s="3">
        <f>ROUND(C3651*(1-Settings!$B$2),2)</f>
        <v>125.99</v>
      </c>
      <c r="E3651" s="2" t="inlineStr">
        <is>
          <t>Pokemon</t>
        </is>
      </c>
      <c r="F3651" s="2" t="inlineStr">
        <is>
          <t>Pack</t>
        </is>
      </c>
      <c r="G3651" s="2" t="inlineStr">
        <is>
          <t>XY Base Set</t>
        </is>
      </c>
      <c r="H3651" s="3" t="n"/>
      <c r="I3651" s="3" t="n">
        <v>159.99</v>
      </c>
      <c r="J3651" s="3" t="n">
        <v>179.99</v>
      </c>
      <c r="K3651" s="3" t="n">
        <v>179.99</v>
      </c>
      <c r="L3651" s="2" t="inlineStr">
        <is>
          <t>TCGplayer</t>
        </is>
      </c>
      <c r="N3651" s="4" t="inlineStr">
        <is>
          <t>https://www.tcgplayer.com/product/562107</t>
        </is>
      </c>
    </row>
    <row r="3652">
      <c r="A3652" s="2" t="inlineStr">
        <is>
          <t>XY Booster Pack</t>
        </is>
      </c>
      <c r="B3652" s="3">
        <f>IF(H3652&lt;&gt;"",H3652,IF(I3652&lt;&gt;"",I3652,IF(J3652&lt;&gt;"",J3652,K3652)))</f>
        <v>127.61</v>
      </c>
      <c r="C3652" s="3">
        <f>MEDIAN(H3652:K3652)</f>
        <v>169.99</v>
      </c>
      <c r="D3652" s="3">
        <f>ROUND(C3652*(1-Settings!$B$2),2)</f>
        <v>118.99</v>
      </c>
      <c r="E3652" s="2" t="inlineStr">
        <is>
          <t>Pokemon</t>
        </is>
      </c>
      <c r="F3652" s="2" t="inlineStr">
        <is>
          <t>Pack</t>
        </is>
      </c>
      <c r="G3652" s="2" t="inlineStr">
        <is>
          <t>XY Base Set</t>
        </is>
      </c>
      <c r="H3652" s="3" t="n"/>
      <c r="I3652" s="3" t="n">
        <v>127.61</v>
      </c>
      <c r="J3652" s="3" t="n">
        <v>190</v>
      </c>
      <c r="K3652" s="3" t="n">
        <v>169.99</v>
      </c>
      <c r="L3652" s="2" t="inlineStr">
        <is>
          <t>TCGplayer</t>
        </is>
      </c>
      <c r="N3652" s="4" t="inlineStr">
        <is>
          <t>https://www.tcgplayer.com/product/91602</t>
        </is>
      </c>
    </row>
    <row r="3653">
      <c r="A3653" s="2" t="inlineStr">
        <is>
          <t>XY Two Pack Blister [Dragon Trio]</t>
        </is>
      </c>
      <c r="B3653" s="3">
        <f>IF(H3653&lt;&gt;"",H3653,IF(I3653&lt;&gt;"",I3653,IF(J3653&lt;&gt;"",J3653,K3653)))</f>
        <v>750.0</v>
      </c>
      <c r="C3653" s="3">
        <f>MEDIAN(H3653:K3653)</f>
        <v>750.0</v>
      </c>
      <c r="D3653" s="3">
        <f>ROUND(C3653*(1-Settings!$B$2),2)</f>
        <v>525.0</v>
      </c>
      <c r="E3653" s="2" t="inlineStr">
        <is>
          <t>Pokemon</t>
        </is>
      </c>
      <c r="F3653" s="2" t="inlineStr">
        <is>
          <t>Pack</t>
        </is>
      </c>
      <c r="G3653" s="2" t="inlineStr">
        <is>
          <t>XY Base Set</t>
        </is>
      </c>
      <c r="H3653" s="3" t="n"/>
      <c r="I3653" s="3" t="n"/>
      <c r="J3653" s="3" t="n">
        <v>750</v>
      </c>
      <c r="K3653" s="3" t="n">
        <v>750</v>
      </c>
      <c r="L3653" s="2" t="inlineStr">
        <is>
          <t>TCGplayer</t>
        </is>
      </c>
      <c r="N3653" s="4" t="inlineStr">
        <is>
          <t>https://www.tcgplayer.com/product/97733</t>
        </is>
      </c>
    </row>
  </sheetData>
  <autoFilter ref="A1:N3653"/>
  <hyperlinks>
    <hyperlink xmlns:r="http://schemas.openxmlformats.org/officeDocument/2006/relationships" ref="M2" r:id="rId1"/>
    <hyperlink xmlns:r="http://schemas.openxmlformats.org/officeDocument/2006/relationships" ref="N2" r:id="rId2"/>
    <hyperlink xmlns:r="http://schemas.openxmlformats.org/officeDocument/2006/relationships" ref="M3" r:id="rId3"/>
    <hyperlink xmlns:r="http://schemas.openxmlformats.org/officeDocument/2006/relationships" ref="N4" r:id="rId4"/>
    <hyperlink xmlns:r="http://schemas.openxmlformats.org/officeDocument/2006/relationships" ref="N5" r:id="rId5"/>
    <hyperlink xmlns:r="http://schemas.openxmlformats.org/officeDocument/2006/relationships" ref="M6" r:id="rId6"/>
    <hyperlink xmlns:r="http://schemas.openxmlformats.org/officeDocument/2006/relationships" ref="N6" r:id="rId7"/>
    <hyperlink xmlns:r="http://schemas.openxmlformats.org/officeDocument/2006/relationships" ref="M7" r:id="rId8"/>
    <hyperlink xmlns:r="http://schemas.openxmlformats.org/officeDocument/2006/relationships" ref="M8" r:id="rId9"/>
    <hyperlink xmlns:r="http://schemas.openxmlformats.org/officeDocument/2006/relationships" ref="N8" r:id="rId10"/>
    <hyperlink xmlns:r="http://schemas.openxmlformats.org/officeDocument/2006/relationships" ref="M9" r:id="rId11"/>
    <hyperlink xmlns:r="http://schemas.openxmlformats.org/officeDocument/2006/relationships" ref="N9" r:id="rId12"/>
    <hyperlink xmlns:r="http://schemas.openxmlformats.org/officeDocument/2006/relationships" ref="M10" r:id="rId13"/>
    <hyperlink xmlns:r="http://schemas.openxmlformats.org/officeDocument/2006/relationships" ref="M11" r:id="rId14"/>
    <hyperlink xmlns:r="http://schemas.openxmlformats.org/officeDocument/2006/relationships" ref="M12" r:id="rId15"/>
    <hyperlink xmlns:r="http://schemas.openxmlformats.org/officeDocument/2006/relationships" ref="M13" r:id="rId16"/>
    <hyperlink xmlns:r="http://schemas.openxmlformats.org/officeDocument/2006/relationships" ref="N14" r:id="rId17"/>
    <hyperlink xmlns:r="http://schemas.openxmlformats.org/officeDocument/2006/relationships" ref="N15" r:id="rId18"/>
    <hyperlink xmlns:r="http://schemas.openxmlformats.org/officeDocument/2006/relationships" ref="M16" r:id="rId19"/>
    <hyperlink xmlns:r="http://schemas.openxmlformats.org/officeDocument/2006/relationships" ref="M17" r:id="rId20"/>
    <hyperlink xmlns:r="http://schemas.openxmlformats.org/officeDocument/2006/relationships" ref="M18" r:id="rId21"/>
    <hyperlink xmlns:r="http://schemas.openxmlformats.org/officeDocument/2006/relationships" ref="M19" r:id="rId22"/>
    <hyperlink xmlns:r="http://schemas.openxmlformats.org/officeDocument/2006/relationships" ref="M20" r:id="rId23"/>
    <hyperlink xmlns:r="http://schemas.openxmlformats.org/officeDocument/2006/relationships" ref="M21" r:id="rId24"/>
    <hyperlink xmlns:r="http://schemas.openxmlformats.org/officeDocument/2006/relationships" ref="M22" r:id="rId25"/>
    <hyperlink xmlns:r="http://schemas.openxmlformats.org/officeDocument/2006/relationships" ref="M23" r:id="rId26"/>
    <hyperlink xmlns:r="http://schemas.openxmlformats.org/officeDocument/2006/relationships" ref="M24" r:id="rId27"/>
    <hyperlink xmlns:r="http://schemas.openxmlformats.org/officeDocument/2006/relationships" ref="M25" r:id="rId28"/>
    <hyperlink xmlns:r="http://schemas.openxmlformats.org/officeDocument/2006/relationships" ref="M26" r:id="rId29"/>
    <hyperlink xmlns:r="http://schemas.openxmlformats.org/officeDocument/2006/relationships" ref="M27" r:id="rId30"/>
    <hyperlink xmlns:r="http://schemas.openxmlformats.org/officeDocument/2006/relationships" ref="M28" r:id="rId31"/>
    <hyperlink xmlns:r="http://schemas.openxmlformats.org/officeDocument/2006/relationships" ref="M29" r:id="rId32"/>
    <hyperlink xmlns:r="http://schemas.openxmlformats.org/officeDocument/2006/relationships" ref="M30" r:id="rId33"/>
    <hyperlink xmlns:r="http://schemas.openxmlformats.org/officeDocument/2006/relationships" ref="M31" r:id="rId34"/>
    <hyperlink xmlns:r="http://schemas.openxmlformats.org/officeDocument/2006/relationships" ref="M32" r:id="rId35"/>
    <hyperlink xmlns:r="http://schemas.openxmlformats.org/officeDocument/2006/relationships" ref="M33" r:id="rId36"/>
    <hyperlink xmlns:r="http://schemas.openxmlformats.org/officeDocument/2006/relationships" ref="M34" r:id="rId37"/>
    <hyperlink xmlns:r="http://schemas.openxmlformats.org/officeDocument/2006/relationships" ref="M35" r:id="rId38"/>
    <hyperlink xmlns:r="http://schemas.openxmlformats.org/officeDocument/2006/relationships" ref="M36" r:id="rId39"/>
    <hyperlink xmlns:r="http://schemas.openxmlformats.org/officeDocument/2006/relationships" ref="M37" r:id="rId40"/>
    <hyperlink xmlns:r="http://schemas.openxmlformats.org/officeDocument/2006/relationships" ref="N37" r:id="rId41"/>
    <hyperlink xmlns:r="http://schemas.openxmlformats.org/officeDocument/2006/relationships" ref="M38" r:id="rId42"/>
    <hyperlink xmlns:r="http://schemas.openxmlformats.org/officeDocument/2006/relationships" ref="M39" r:id="rId43"/>
    <hyperlink xmlns:r="http://schemas.openxmlformats.org/officeDocument/2006/relationships" ref="N39" r:id="rId44"/>
    <hyperlink xmlns:r="http://schemas.openxmlformats.org/officeDocument/2006/relationships" ref="M40" r:id="rId45"/>
    <hyperlink xmlns:r="http://schemas.openxmlformats.org/officeDocument/2006/relationships" ref="M41" r:id="rId46"/>
    <hyperlink xmlns:r="http://schemas.openxmlformats.org/officeDocument/2006/relationships" ref="N41" r:id="rId47"/>
    <hyperlink xmlns:r="http://schemas.openxmlformats.org/officeDocument/2006/relationships" ref="M42" r:id="rId48"/>
    <hyperlink xmlns:r="http://schemas.openxmlformats.org/officeDocument/2006/relationships" ref="N42" r:id="rId49"/>
    <hyperlink xmlns:r="http://schemas.openxmlformats.org/officeDocument/2006/relationships" ref="N43" r:id="rId50"/>
    <hyperlink xmlns:r="http://schemas.openxmlformats.org/officeDocument/2006/relationships" ref="N44" r:id="rId51"/>
    <hyperlink xmlns:r="http://schemas.openxmlformats.org/officeDocument/2006/relationships" ref="M45" r:id="rId52"/>
    <hyperlink xmlns:r="http://schemas.openxmlformats.org/officeDocument/2006/relationships" ref="N46" r:id="rId53"/>
    <hyperlink xmlns:r="http://schemas.openxmlformats.org/officeDocument/2006/relationships" ref="N47" r:id="rId54"/>
    <hyperlink xmlns:r="http://schemas.openxmlformats.org/officeDocument/2006/relationships" ref="M48" r:id="rId55"/>
    <hyperlink xmlns:r="http://schemas.openxmlformats.org/officeDocument/2006/relationships" ref="M49" r:id="rId56"/>
    <hyperlink xmlns:r="http://schemas.openxmlformats.org/officeDocument/2006/relationships" ref="M50" r:id="rId57"/>
    <hyperlink xmlns:r="http://schemas.openxmlformats.org/officeDocument/2006/relationships" ref="N50" r:id="rId58"/>
    <hyperlink xmlns:r="http://schemas.openxmlformats.org/officeDocument/2006/relationships" ref="N51" r:id="rId59"/>
    <hyperlink xmlns:r="http://schemas.openxmlformats.org/officeDocument/2006/relationships" ref="N52" r:id="rId60"/>
    <hyperlink xmlns:r="http://schemas.openxmlformats.org/officeDocument/2006/relationships" ref="M53" r:id="rId61"/>
    <hyperlink xmlns:r="http://schemas.openxmlformats.org/officeDocument/2006/relationships" ref="M54" r:id="rId62"/>
    <hyperlink xmlns:r="http://schemas.openxmlformats.org/officeDocument/2006/relationships" ref="N54" r:id="rId63"/>
    <hyperlink xmlns:r="http://schemas.openxmlformats.org/officeDocument/2006/relationships" ref="N55" r:id="rId64"/>
    <hyperlink xmlns:r="http://schemas.openxmlformats.org/officeDocument/2006/relationships" ref="M56" r:id="rId65"/>
    <hyperlink xmlns:r="http://schemas.openxmlformats.org/officeDocument/2006/relationships" ref="N56" r:id="rId66"/>
    <hyperlink xmlns:r="http://schemas.openxmlformats.org/officeDocument/2006/relationships" ref="M57" r:id="rId67"/>
    <hyperlink xmlns:r="http://schemas.openxmlformats.org/officeDocument/2006/relationships" ref="M58" r:id="rId68"/>
    <hyperlink xmlns:r="http://schemas.openxmlformats.org/officeDocument/2006/relationships" ref="N58" r:id="rId69"/>
    <hyperlink xmlns:r="http://schemas.openxmlformats.org/officeDocument/2006/relationships" ref="M59" r:id="rId70"/>
    <hyperlink xmlns:r="http://schemas.openxmlformats.org/officeDocument/2006/relationships" ref="N60" r:id="rId71"/>
    <hyperlink xmlns:r="http://schemas.openxmlformats.org/officeDocument/2006/relationships" ref="N61" r:id="rId72"/>
    <hyperlink xmlns:r="http://schemas.openxmlformats.org/officeDocument/2006/relationships" ref="N62" r:id="rId73"/>
    <hyperlink xmlns:r="http://schemas.openxmlformats.org/officeDocument/2006/relationships" ref="N63" r:id="rId74"/>
    <hyperlink xmlns:r="http://schemas.openxmlformats.org/officeDocument/2006/relationships" ref="M64" r:id="rId75"/>
    <hyperlink xmlns:r="http://schemas.openxmlformats.org/officeDocument/2006/relationships" ref="N65" r:id="rId76"/>
    <hyperlink xmlns:r="http://schemas.openxmlformats.org/officeDocument/2006/relationships" ref="M66" r:id="rId77"/>
    <hyperlink xmlns:r="http://schemas.openxmlformats.org/officeDocument/2006/relationships" ref="N67" r:id="rId78"/>
    <hyperlink xmlns:r="http://schemas.openxmlformats.org/officeDocument/2006/relationships" ref="N68" r:id="rId79"/>
    <hyperlink xmlns:r="http://schemas.openxmlformats.org/officeDocument/2006/relationships" ref="N69" r:id="rId80"/>
    <hyperlink xmlns:r="http://schemas.openxmlformats.org/officeDocument/2006/relationships" ref="N70" r:id="rId81"/>
    <hyperlink xmlns:r="http://schemas.openxmlformats.org/officeDocument/2006/relationships" ref="M71" r:id="rId82"/>
    <hyperlink xmlns:r="http://schemas.openxmlformats.org/officeDocument/2006/relationships" ref="M72" r:id="rId83"/>
    <hyperlink xmlns:r="http://schemas.openxmlformats.org/officeDocument/2006/relationships" ref="M73" r:id="rId84"/>
    <hyperlink xmlns:r="http://schemas.openxmlformats.org/officeDocument/2006/relationships" ref="M74" r:id="rId85"/>
    <hyperlink xmlns:r="http://schemas.openxmlformats.org/officeDocument/2006/relationships" ref="M75" r:id="rId86"/>
    <hyperlink xmlns:r="http://schemas.openxmlformats.org/officeDocument/2006/relationships" ref="M76" r:id="rId87"/>
    <hyperlink xmlns:r="http://schemas.openxmlformats.org/officeDocument/2006/relationships" ref="M77" r:id="rId88"/>
    <hyperlink xmlns:r="http://schemas.openxmlformats.org/officeDocument/2006/relationships" ref="M78" r:id="rId89"/>
    <hyperlink xmlns:r="http://schemas.openxmlformats.org/officeDocument/2006/relationships" ref="M79" r:id="rId90"/>
    <hyperlink xmlns:r="http://schemas.openxmlformats.org/officeDocument/2006/relationships" ref="M80" r:id="rId91"/>
    <hyperlink xmlns:r="http://schemas.openxmlformats.org/officeDocument/2006/relationships" ref="M81" r:id="rId92"/>
    <hyperlink xmlns:r="http://schemas.openxmlformats.org/officeDocument/2006/relationships" ref="M82" r:id="rId93"/>
    <hyperlink xmlns:r="http://schemas.openxmlformats.org/officeDocument/2006/relationships" ref="M83" r:id="rId94"/>
    <hyperlink xmlns:r="http://schemas.openxmlformats.org/officeDocument/2006/relationships" ref="M84" r:id="rId95"/>
    <hyperlink xmlns:r="http://schemas.openxmlformats.org/officeDocument/2006/relationships" ref="M85" r:id="rId96"/>
    <hyperlink xmlns:r="http://schemas.openxmlformats.org/officeDocument/2006/relationships" ref="M86" r:id="rId97"/>
    <hyperlink xmlns:r="http://schemas.openxmlformats.org/officeDocument/2006/relationships" ref="M87" r:id="rId98"/>
    <hyperlink xmlns:r="http://schemas.openxmlformats.org/officeDocument/2006/relationships" ref="M88" r:id="rId99"/>
    <hyperlink xmlns:r="http://schemas.openxmlformats.org/officeDocument/2006/relationships" ref="M89" r:id="rId100"/>
    <hyperlink xmlns:r="http://schemas.openxmlformats.org/officeDocument/2006/relationships" ref="M90" r:id="rId101"/>
    <hyperlink xmlns:r="http://schemas.openxmlformats.org/officeDocument/2006/relationships" ref="M91" r:id="rId102"/>
    <hyperlink xmlns:r="http://schemas.openxmlformats.org/officeDocument/2006/relationships" ref="M92" r:id="rId103"/>
    <hyperlink xmlns:r="http://schemas.openxmlformats.org/officeDocument/2006/relationships" ref="M93" r:id="rId104"/>
    <hyperlink xmlns:r="http://schemas.openxmlformats.org/officeDocument/2006/relationships" ref="M94" r:id="rId105"/>
    <hyperlink xmlns:r="http://schemas.openxmlformats.org/officeDocument/2006/relationships" ref="M95" r:id="rId106"/>
    <hyperlink xmlns:r="http://schemas.openxmlformats.org/officeDocument/2006/relationships" ref="N96" r:id="rId107"/>
    <hyperlink xmlns:r="http://schemas.openxmlformats.org/officeDocument/2006/relationships" ref="N97" r:id="rId108"/>
    <hyperlink xmlns:r="http://schemas.openxmlformats.org/officeDocument/2006/relationships" ref="N98" r:id="rId109"/>
    <hyperlink xmlns:r="http://schemas.openxmlformats.org/officeDocument/2006/relationships" ref="N99" r:id="rId110"/>
    <hyperlink xmlns:r="http://schemas.openxmlformats.org/officeDocument/2006/relationships" ref="N100" r:id="rId111"/>
    <hyperlink xmlns:r="http://schemas.openxmlformats.org/officeDocument/2006/relationships" ref="N101" r:id="rId112"/>
    <hyperlink xmlns:r="http://schemas.openxmlformats.org/officeDocument/2006/relationships" ref="N102" r:id="rId113"/>
    <hyperlink xmlns:r="http://schemas.openxmlformats.org/officeDocument/2006/relationships" ref="N103" r:id="rId114"/>
    <hyperlink xmlns:r="http://schemas.openxmlformats.org/officeDocument/2006/relationships" ref="N104" r:id="rId115"/>
    <hyperlink xmlns:r="http://schemas.openxmlformats.org/officeDocument/2006/relationships" ref="N105" r:id="rId116"/>
    <hyperlink xmlns:r="http://schemas.openxmlformats.org/officeDocument/2006/relationships" ref="N106" r:id="rId117"/>
    <hyperlink xmlns:r="http://schemas.openxmlformats.org/officeDocument/2006/relationships" ref="N107" r:id="rId118"/>
    <hyperlink xmlns:r="http://schemas.openxmlformats.org/officeDocument/2006/relationships" ref="N108" r:id="rId119"/>
    <hyperlink xmlns:r="http://schemas.openxmlformats.org/officeDocument/2006/relationships" ref="N109" r:id="rId120"/>
    <hyperlink xmlns:r="http://schemas.openxmlformats.org/officeDocument/2006/relationships" ref="N110" r:id="rId121"/>
    <hyperlink xmlns:r="http://schemas.openxmlformats.org/officeDocument/2006/relationships" ref="N111" r:id="rId122"/>
    <hyperlink xmlns:r="http://schemas.openxmlformats.org/officeDocument/2006/relationships" ref="N112" r:id="rId123"/>
    <hyperlink xmlns:r="http://schemas.openxmlformats.org/officeDocument/2006/relationships" ref="N113" r:id="rId124"/>
    <hyperlink xmlns:r="http://schemas.openxmlformats.org/officeDocument/2006/relationships" ref="N114" r:id="rId125"/>
    <hyperlink xmlns:r="http://schemas.openxmlformats.org/officeDocument/2006/relationships" ref="N115" r:id="rId126"/>
    <hyperlink xmlns:r="http://schemas.openxmlformats.org/officeDocument/2006/relationships" ref="N116" r:id="rId127"/>
    <hyperlink xmlns:r="http://schemas.openxmlformats.org/officeDocument/2006/relationships" ref="N117" r:id="rId128"/>
    <hyperlink xmlns:r="http://schemas.openxmlformats.org/officeDocument/2006/relationships" ref="N118" r:id="rId129"/>
    <hyperlink xmlns:r="http://schemas.openxmlformats.org/officeDocument/2006/relationships" ref="N119" r:id="rId130"/>
    <hyperlink xmlns:r="http://schemas.openxmlformats.org/officeDocument/2006/relationships" ref="N120" r:id="rId131"/>
    <hyperlink xmlns:r="http://schemas.openxmlformats.org/officeDocument/2006/relationships" ref="N121" r:id="rId132"/>
    <hyperlink xmlns:r="http://schemas.openxmlformats.org/officeDocument/2006/relationships" ref="N122" r:id="rId133"/>
    <hyperlink xmlns:r="http://schemas.openxmlformats.org/officeDocument/2006/relationships" ref="N123" r:id="rId134"/>
    <hyperlink xmlns:r="http://schemas.openxmlformats.org/officeDocument/2006/relationships" ref="N124" r:id="rId135"/>
    <hyperlink xmlns:r="http://schemas.openxmlformats.org/officeDocument/2006/relationships" ref="N125" r:id="rId136"/>
    <hyperlink xmlns:r="http://schemas.openxmlformats.org/officeDocument/2006/relationships" ref="N126" r:id="rId137"/>
    <hyperlink xmlns:r="http://schemas.openxmlformats.org/officeDocument/2006/relationships" ref="N127" r:id="rId138"/>
    <hyperlink xmlns:r="http://schemas.openxmlformats.org/officeDocument/2006/relationships" ref="N128" r:id="rId139"/>
    <hyperlink xmlns:r="http://schemas.openxmlformats.org/officeDocument/2006/relationships" ref="N129" r:id="rId140"/>
    <hyperlink xmlns:r="http://schemas.openxmlformats.org/officeDocument/2006/relationships" ref="N130" r:id="rId141"/>
    <hyperlink xmlns:r="http://schemas.openxmlformats.org/officeDocument/2006/relationships" ref="N131" r:id="rId142"/>
    <hyperlink xmlns:r="http://schemas.openxmlformats.org/officeDocument/2006/relationships" ref="N132" r:id="rId143"/>
    <hyperlink xmlns:r="http://schemas.openxmlformats.org/officeDocument/2006/relationships" ref="N133" r:id="rId144"/>
    <hyperlink xmlns:r="http://schemas.openxmlformats.org/officeDocument/2006/relationships" ref="N134" r:id="rId145"/>
    <hyperlink xmlns:r="http://schemas.openxmlformats.org/officeDocument/2006/relationships" ref="N135" r:id="rId146"/>
    <hyperlink xmlns:r="http://schemas.openxmlformats.org/officeDocument/2006/relationships" ref="N136" r:id="rId147"/>
    <hyperlink xmlns:r="http://schemas.openxmlformats.org/officeDocument/2006/relationships" ref="N137" r:id="rId148"/>
    <hyperlink xmlns:r="http://schemas.openxmlformats.org/officeDocument/2006/relationships" ref="N138" r:id="rId149"/>
    <hyperlink xmlns:r="http://schemas.openxmlformats.org/officeDocument/2006/relationships" ref="N139" r:id="rId150"/>
    <hyperlink xmlns:r="http://schemas.openxmlformats.org/officeDocument/2006/relationships" ref="N140" r:id="rId151"/>
    <hyperlink xmlns:r="http://schemas.openxmlformats.org/officeDocument/2006/relationships" ref="N141" r:id="rId152"/>
    <hyperlink xmlns:r="http://schemas.openxmlformats.org/officeDocument/2006/relationships" ref="N142" r:id="rId153"/>
    <hyperlink xmlns:r="http://schemas.openxmlformats.org/officeDocument/2006/relationships" ref="N143" r:id="rId154"/>
    <hyperlink xmlns:r="http://schemas.openxmlformats.org/officeDocument/2006/relationships" ref="N144" r:id="rId155"/>
    <hyperlink xmlns:r="http://schemas.openxmlformats.org/officeDocument/2006/relationships" ref="M145" r:id="rId156"/>
    <hyperlink xmlns:r="http://schemas.openxmlformats.org/officeDocument/2006/relationships" ref="N145" r:id="rId157"/>
    <hyperlink xmlns:r="http://schemas.openxmlformats.org/officeDocument/2006/relationships" ref="M146" r:id="rId158"/>
    <hyperlink xmlns:r="http://schemas.openxmlformats.org/officeDocument/2006/relationships" ref="M147" r:id="rId159"/>
    <hyperlink xmlns:r="http://schemas.openxmlformats.org/officeDocument/2006/relationships" ref="M148" r:id="rId160"/>
    <hyperlink xmlns:r="http://schemas.openxmlformats.org/officeDocument/2006/relationships" ref="M149" r:id="rId161"/>
    <hyperlink xmlns:r="http://schemas.openxmlformats.org/officeDocument/2006/relationships" ref="M150" r:id="rId162"/>
    <hyperlink xmlns:r="http://schemas.openxmlformats.org/officeDocument/2006/relationships" ref="M151" r:id="rId163"/>
    <hyperlink xmlns:r="http://schemas.openxmlformats.org/officeDocument/2006/relationships" ref="M152" r:id="rId164"/>
    <hyperlink xmlns:r="http://schemas.openxmlformats.org/officeDocument/2006/relationships" ref="M153" r:id="rId165"/>
    <hyperlink xmlns:r="http://schemas.openxmlformats.org/officeDocument/2006/relationships" ref="M154" r:id="rId166"/>
    <hyperlink xmlns:r="http://schemas.openxmlformats.org/officeDocument/2006/relationships" ref="M155" r:id="rId167"/>
    <hyperlink xmlns:r="http://schemas.openxmlformats.org/officeDocument/2006/relationships" ref="M156" r:id="rId168"/>
    <hyperlink xmlns:r="http://schemas.openxmlformats.org/officeDocument/2006/relationships" ref="M157" r:id="rId169"/>
    <hyperlink xmlns:r="http://schemas.openxmlformats.org/officeDocument/2006/relationships" ref="M158" r:id="rId170"/>
    <hyperlink xmlns:r="http://schemas.openxmlformats.org/officeDocument/2006/relationships" ref="M159" r:id="rId171"/>
    <hyperlink xmlns:r="http://schemas.openxmlformats.org/officeDocument/2006/relationships" ref="M160" r:id="rId172"/>
    <hyperlink xmlns:r="http://schemas.openxmlformats.org/officeDocument/2006/relationships" ref="M161" r:id="rId173"/>
    <hyperlink xmlns:r="http://schemas.openxmlformats.org/officeDocument/2006/relationships" ref="M162" r:id="rId174"/>
    <hyperlink xmlns:r="http://schemas.openxmlformats.org/officeDocument/2006/relationships" ref="M163" r:id="rId175"/>
    <hyperlink xmlns:r="http://schemas.openxmlformats.org/officeDocument/2006/relationships" ref="M164" r:id="rId176"/>
    <hyperlink xmlns:r="http://schemas.openxmlformats.org/officeDocument/2006/relationships" ref="M165" r:id="rId177"/>
    <hyperlink xmlns:r="http://schemas.openxmlformats.org/officeDocument/2006/relationships" ref="M166" r:id="rId178"/>
    <hyperlink xmlns:r="http://schemas.openxmlformats.org/officeDocument/2006/relationships" ref="M167" r:id="rId179"/>
    <hyperlink xmlns:r="http://schemas.openxmlformats.org/officeDocument/2006/relationships" ref="M168" r:id="rId180"/>
    <hyperlink xmlns:r="http://schemas.openxmlformats.org/officeDocument/2006/relationships" ref="M169" r:id="rId181"/>
    <hyperlink xmlns:r="http://schemas.openxmlformats.org/officeDocument/2006/relationships" ref="M170" r:id="rId182"/>
    <hyperlink xmlns:r="http://schemas.openxmlformats.org/officeDocument/2006/relationships" ref="M171" r:id="rId183"/>
    <hyperlink xmlns:r="http://schemas.openxmlformats.org/officeDocument/2006/relationships" ref="M172" r:id="rId184"/>
    <hyperlink xmlns:r="http://schemas.openxmlformats.org/officeDocument/2006/relationships" ref="M173" r:id="rId185"/>
    <hyperlink xmlns:r="http://schemas.openxmlformats.org/officeDocument/2006/relationships" ref="M174" r:id="rId186"/>
    <hyperlink xmlns:r="http://schemas.openxmlformats.org/officeDocument/2006/relationships" ref="M175" r:id="rId187"/>
    <hyperlink xmlns:r="http://schemas.openxmlformats.org/officeDocument/2006/relationships" ref="M176" r:id="rId188"/>
    <hyperlink xmlns:r="http://schemas.openxmlformats.org/officeDocument/2006/relationships" ref="M177" r:id="rId189"/>
    <hyperlink xmlns:r="http://schemas.openxmlformats.org/officeDocument/2006/relationships" ref="M178" r:id="rId190"/>
    <hyperlink xmlns:r="http://schemas.openxmlformats.org/officeDocument/2006/relationships" ref="M179" r:id="rId191"/>
    <hyperlink xmlns:r="http://schemas.openxmlformats.org/officeDocument/2006/relationships" ref="M180" r:id="rId192"/>
    <hyperlink xmlns:r="http://schemas.openxmlformats.org/officeDocument/2006/relationships" ref="N180" r:id="rId193"/>
    <hyperlink xmlns:r="http://schemas.openxmlformats.org/officeDocument/2006/relationships" ref="M181" r:id="rId194"/>
    <hyperlink xmlns:r="http://schemas.openxmlformats.org/officeDocument/2006/relationships" ref="M182" r:id="rId195"/>
    <hyperlink xmlns:r="http://schemas.openxmlformats.org/officeDocument/2006/relationships" ref="N183" r:id="rId196"/>
    <hyperlink xmlns:r="http://schemas.openxmlformats.org/officeDocument/2006/relationships" ref="N184" r:id="rId197"/>
    <hyperlink xmlns:r="http://schemas.openxmlformats.org/officeDocument/2006/relationships" ref="N185" r:id="rId198"/>
    <hyperlink xmlns:r="http://schemas.openxmlformats.org/officeDocument/2006/relationships" ref="N186" r:id="rId199"/>
    <hyperlink xmlns:r="http://schemas.openxmlformats.org/officeDocument/2006/relationships" ref="N187" r:id="rId200"/>
    <hyperlink xmlns:r="http://schemas.openxmlformats.org/officeDocument/2006/relationships" ref="M188" r:id="rId201"/>
    <hyperlink xmlns:r="http://schemas.openxmlformats.org/officeDocument/2006/relationships" ref="N189" r:id="rId202"/>
    <hyperlink xmlns:r="http://schemas.openxmlformats.org/officeDocument/2006/relationships" ref="N190" r:id="rId203"/>
    <hyperlink xmlns:r="http://schemas.openxmlformats.org/officeDocument/2006/relationships" ref="M191" r:id="rId204"/>
    <hyperlink xmlns:r="http://schemas.openxmlformats.org/officeDocument/2006/relationships" ref="N191" r:id="rId205"/>
    <hyperlink xmlns:r="http://schemas.openxmlformats.org/officeDocument/2006/relationships" ref="M192" r:id="rId206"/>
    <hyperlink xmlns:r="http://schemas.openxmlformats.org/officeDocument/2006/relationships" ref="N192" r:id="rId207"/>
    <hyperlink xmlns:r="http://schemas.openxmlformats.org/officeDocument/2006/relationships" ref="M193" r:id="rId208"/>
    <hyperlink xmlns:r="http://schemas.openxmlformats.org/officeDocument/2006/relationships" ref="N194" r:id="rId209"/>
    <hyperlink xmlns:r="http://schemas.openxmlformats.org/officeDocument/2006/relationships" ref="N195" r:id="rId210"/>
    <hyperlink xmlns:r="http://schemas.openxmlformats.org/officeDocument/2006/relationships" ref="N196" r:id="rId211"/>
    <hyperlink xmlns:r="http://schemas.openxmlformats.org/officeDocument/2006/relationships" ref="N197" r:id="rId212"/>
    <hyperlink xmlns:r="http://schemas.openxmlformats.org/officeDocument/2006/relationships" ref="N198" r:id="rId213"/>
    <hyperlink xmlns:r="http://schemas.openxmlformats.org/officeDocument/2006/relationships" ref="N199" r:id="rId214"/>
    <hyperlink xmlns:r="http://schemas.openxmlformats.org/officeDocument/2006/relationships" ref="N200" r:id="rId215"/>
    <hyperlink xmlns:r="http://schemas.openxmlformats.org/officeDocument/2006/relationships" ref="N201" r:id="rId216"/>
    <hyperlink xmlns:r="http://schemas.openxmlformats.org/officeDocument/2006/relationships" ref="N202" r:id="rId217"/>
    <hyperlink xmlns:r="http://schemas.openxmlformats.org/officeDocument/2006/relationships" ref="N203" r:id="rId218"/>
    <hyperlink xmlns:r="http://schemas.openxmlformats.org/officeDocument/2006/relationships" ref="N204" r:id="rId219"/>
    <hyperlink xmlns:r="http://schemas.openxmlformats.org/officeDocument/2006/relationships" ref="M205" r:id="rId220"/>
    <hyperlink xmlns:r="http://schemas.openxmlformats.org/officeDocument/2006/relationships" ref="N205" r:id="rId221"/>
    <hyperlink xmlns:r="http://schemas.openxmlformats.org/officeDocument/2006/relationships" ref="M206" r:id="rId222"/>
    <hyperlink xmlns:r="http://schemas.openxmlformats.org/officeDocument/2006/relationships" ref="N206" r:id="rId223"/>
    <hyperlink xmlns:r="http://schemas.openxmlformats.org/officeDocument/2006/relationships" ref="M207" r:id="rId224"/>
    <hyperlink xmlns:r="http://schemas.openxmlformats.org/officeDocument/2006/relationships" ref="N208" r:id="rId225"/>
    <hyperlink xmlns:r="http://schemas.openxmlformats.org/officeDocument/2006/relationships" ref="N209" r:id="rId226"/>
    <hyperlink xmlns:r="http://schemas.openxmlformats.org/officeDocument/2006/relationships" ref="M210" r:id="rId227"/>
    <hyperlink xmlns:r="http://schemas.openxmlformats.org/officeDocument/2006/relationships" ref="N210" r:id="rId228"/>
    <hyperlink xmlns:r="http://schemas.openxmlformats.org/officeDocument/2006/relationships" ref="M211" r:id="rId229"/>
    <hyperlink xmlns:r="http://schemas.openxmlformats.org/officeDocument/2006/relationships" ref="N211" r:id="rId230"/>
    <hyperlink xmlns:r="http://schemas.openxmlformats.org/officeDocument/2006/relationships" ref="N212" r:id="rId231"/>
    <hyperlink xmlns:r="http://schemas.openxmlformats.org/officeDocument/2006/relationships" ref="N213" r:id="rId232"/>
    <hyperlink xmlns:r="http://schemas.openxmlformats.org/officeDocument/2006/relationships" ref="M214" r:id="rId233"/>
    <hyperlink xmlns:r="http://schemas.openxmlformats.org/officeDocument/2006/relationships" ref="N214" r:id="rId234"/>
    <hyperlink xmlns:r="http://schemas.openxmlformats.org/officeDocument/2006/relationships" ref="M215" r:id="rId235"/>
    <hyperlink xmlns:r="http://schemas.openxmlformats.org/officeDocument/2006/relationships" ref="N215" r:id="rId236"/>
    <hyperlink xmlns:r="http://schemas.openxmlformats.org/officeDocument/2006/relationships" ref="M216" r:id="rId237"/>
    <hyperlink xmlns:r="http://schemas.openxmlformats.org/officeDocument/2006/relationships" ref="N217" r:id="rId238"/>
    <hyperlink xmlns:r="http://schemas.openxmlformats.org/officeDocument/2006/relationships" ref="N218" r:id="rId239"/>
    <hyperlink xmlns:r="http://schemas.openxmlformats.org/officeDocument/2006/relationships" ref="M219" r:id="rId240"/>
    <hyperlink xmlns:r="http://schemas.openxmlformats.org/officeDocument/2006/relationships" ref="M220" r:id="rId241"/>
    <hyperlink xmlns:r="http://schemas.openxmlformats.org/officeDocument/2006/relationships" ref="M221" r:id="rId242"/>
    <hyperlink xmlns:r="http://schemas.openxmlformats.org/officeDocument/2006/relationships" ref="N222" r:id="rId243"/>
    <hyperlink xmlns:r="http://schemas.openxmlformats.org/officeDocument/2006/relationships" ref="N223" r:id="rId244"/>
    <hyperlink xmlns:r="http://schemas.openxmlformats.org/officeDocument/2006/relationships" ref="N224" r:id="rId245"/>
    <hyperlink xmlns:r="http://schemas.openxmlformats.org/officeDocument/2006/relationships" ref="N225" r:id="rId246"/>
    <hyperlink xmlns:r="http://schemas.openxmlformats.org/officeDocument/2006/relationships" ref="M226" r:id="rId247"/>
    <hyperlink xmlns:r="http://schemas.openxmlformats.org/officeDocument/2006/relationships" ref="M227" r:id="rId248"/>
    <hyperlink xmlns:r="http://schemas.openxmlformats.org/officeDocument/2006/relationships" ref="M228" r:id="rId249"/>
    <hyperlink xmlns:r="http://schemas.openxmlformats.org/officeDocument/2006/relationships" ref="M229" r:id="rId250"/>
    <hyperlink xmlns:r="http://schemas.openxmlformats.org/officeDocument/2006/relationships" ref="M230" r:id="rId251"/>
    <hyperlink xmlns:r="http://schemas.openxmlformats.org/officeDocument/2006/relationships" ref="M231" r:id="rId252"/>
    <hyperlink xmlns:r="http://schemas.openxmlformats.org/officeDocument/2006/relationships" ref="M232" r:id="rId253"/>
    <hyperlink xmlns:r="http://schemas.openxmlformats.org/officeDocument/2006/relationships" ref="M233" r:id="rId254"/>
    <hyperlink xmlns:r="http://schemas.openxmlformats.org/officeDocument/2006/relationships" ref="M234" r:id="rId255"/>
    <hyperlink xmlns:r="http://schemas.openxmlformats.org/officeDocument/2006/relationships" ref="M235" r:id="rId256"/>
    <hyperlink xmlns:r="http://schemas.openxmlformats.org/officeDocument/2006/relationships" ref="M236" r:id="rId257"/>
    <hyperlink xmlns:r="http://schemas.openxmlformats.org/officeDocument/2006/relationships" ref="M237" r:id="rId258"/>
    <hyperlink xmlns:r="http://schemas.openxmlformats.org/officeDocument/2006/relationships" ref="M238" r:id="rId259"/>
    <hyperlink xmlns:r="http://schemas.openxmlformats.org/officeDocument/2006/relationships" ref="M239" r:id="rId260"/>
    <hyperlink xmlns:r="http://schemas.openxmlformats.org/officeDocument/2006/relationships" ref="M240" r:id="rId261"/>
    <hyperlink xmlns:r="http://schemas.openxmlformats.org/officeDocument/2006/relationships" ref="M241" r:id="rId262"/>
    <hyperlink xmlns:r="http://schemas.openxmlformats.org/officeDocument/2006/relationships" ref="M242" r:id="rId263"/>
    <hyperlink xmlns:r="http://schemas.openxmlformats.org/officeDocument/2006/relationships" ref="M243" r:id="rId264"/>
    <hyperlink xmlns:r="http://schemas.openxmlformats.org/officeDocument/2006/relationships" ref="M244" r:id="rId265"/>
    <hyperlink xmlns:r="http://schemas.openxmlformats.org/officeDocument/2006/relationships" ref="M245" r:id="rId266"/>
    <hyperlink xmlns:r="http://schemas.openxmlformats.org/officeDocument/2006/relationships" ref="M246" r:id="rId267"/>
    <hyperlink xmlns:r="http://schemas.openxmlformats.org/officeDocument/2006/relationships" ref="M247" r:id="rId268"/>
    <hyperlink xmlns:r="http://schemas.openxmlformats.org/officeDocument/2006/relationships" ref="M248" r:id="rId269"/>
    <hyperlink xmlns:r="http://schemas.openxmlformats.org/officeDocument/2006/relationships" ref="M249" r:id="rId270"/>
    <hyperlink xmlns:r="http://schemas.openxmlformats.org/officeDocument/2006/relationships" ref="M250" r:id="rId271"/>
    <hyperlink xmlns:r="http://schemas.openxmlformats.org/officeDocument/2006/relationships" ref="M251" r:id="rId272"/>
    <hyperlink xmlns:r="http://schemas.openxmlformats.org/officeDocument/2006/relationships" ref="M252" r:id="rId273"/>
    <hyperlink xmlns:r="http://schemas.openxmlformats.org/officeDocument/2006/relationships" ref="M253" r:id="rId274"/>
    <hyperlink xmlns:r="http://schemas.openxmlformats.org/officeDocument/2006/relationships" ref="M254" r:id="rId275"/>
    <hyperlink xmlns:r="http://schemas.openxmlformats.org/officeDocument/2006/relationships" ref="M255" r:id="rId276"/>
    <hyperlink xmlns:r="http://schemas.openxmlformats.org/officeDocument/2006/relationships" ref="M256" r:id="rId277"/>
    <hyperlink xmlns:r="http://schemas.openxmlformats.org/officeDocument/2006/relationships" ref="M257" r:id="rId278"/>
    <hyperlink xmlns:r="http://schemas.openxmlformats.org/officeDocument/2006/relationships" ref="M258" r:id="rId279"/>
    <hyperlink xmlns:r="http://schemas.openxmlformats.org/officeDocument/2006/relationships" ref="M259" r:id="rId280"/>
    <hyperlink xmlns:r="http://schemas.openxmlformats.org/officeDocument/2006/relationships" ref="M260" r:id="rId281"/>
    <hyperlink xmlns:r="http://schemas.openxmlformats.org/officeDocument/2006/relationships" ref="M261" r:id="rId282"/>
    <hyperlink xmlns:r="http://schemas.openxmlformats.org/officeDocument/2006/relationships" ref="M262" r:id="rId283"/>
    <hyperlink xmlns:r="http://schemas.openxmlformats.org/officeDocument/2006/relationships" ref="M263" r:id="rId284"/>
    <hyperlink xmlns:r="http://schemas.openxmlformats.org/officeDocument/2006/relationships" ref="M264" r:id="rId285"/>
    <hyperlink xmlns:r="http://schemas.openxmlformats.org/officeDocument/2006/relationships" ref="M265" r:id="rId286"/>
    <hyperlink xmlns:r="http://schemas.openxmlformats.org/officeDocument/2006/relationships" ref="M266" r:id="rId287"/>
    <hyperlink xmlns:r="http://schemas.openxmlformats.org/officeDocument/2006/relationships" ref="M267" r:id="rId288"/>
    <hyperlink xmlns:r="http://schemas.openxmlformats.org/officeDocument/2006/relationships" ref="M268" r:id="rId289"/>
    <hyperlink xmlns:r="http://schemas.openxmlformats.org/officeDocument/2006/relationships" ref="M269" r:id="rId290"/>
    <hyperlink xmlns:r="http://schemas.openxmlformats.org/officeDocument/2006/relationships" ref="M270" r:id="rId291"/>
    <hyperlink xmlns:r="http://schemas.openxmlformats.org/officeDocument/2006/relationships" ref="M271" r:id="rId292"/>
    <hyperlink xmlns:r="http://schemas.openxmlformats.org/officeDocument/2006/relationships" ref="M272" r:id="rId293"/>
    <hyperlink xmlns:r="http://schemas.openxmlformats.org/officeDocument/2006/relationships" ref="M273" r:id="rId294"/>
    <hyperlink xmlns:r="http://schemas.openxmlformats.org/officeDocument/2006/relationships" ref="M274" r:id="rId295"/>
    <hyperlink xmlns:r="http://schemas.openxmlformats.org/officeDocument/2006/relationships" ref="M275" r:id="rId296"/>
    <hyperlink xmlns:r="http://schemas.openxmlformats.org/officeDocument/2006/relationships" ref="M276" r:id="rId297"/>
    <hyperlink xmlns:r="http://schemas.openxmlformats.org/officeDocument/2006/relationships" ref="N276" r:id="rId298"/>
    <hyperlink xmlns:r="http://schemas.openxmlformats.org/officeDocument/2006/relationships" ref="M277" r:id="rId299"/>
    <hyperlink xmlns:r="http://schemas.openxmlformats.org/officeDocument/2006/relationships" ref="N277" r:id="rId300"/>
    <hyperlink xmlns:r="http://schemas.openxmlformats.org/officeDocument/2006/relationships" ref="M278" r:id="rId301"/>
    <hyperlink xmlns:r="http://schemas.openxmlformats.org/officeDocument/2006/relationships" ref="N278" r:id="rId302"/>
    <hyperlink xmlns:r="http://schemas.openxmlformats.org/officeDocument/2006/relationships" ref="M279" r:id="rId303"/>
    <hyperlink xmlns:r="http://schemas.openxmlformats.org/officeDocument/2006/relationships" ref="M280" r:id="rId304"/>
    <hyperlink xmlns:r="http://schemas.openxmlformats.org/officeDocument/2006/relationships" ref="N281" r:id="rId305"/>
    <hyperlink xmlns:r="http://schemas.openxmlformats.org/officeDocument/2006/relationships" ref="N282" r:id="rId306"/>
    <hyperlink xmlns:r="http://schemas.openxmlformats.org/officeDocument/2006/relationships" ref="M283" r:id="rId307"/>
    <hyperlink xmlns:r="http://schemas.openxmlformats.org/officeDocument/2006/relationships" ref="N283" r:id="rId308"/>
    <hyperlink xmlns:r="http://schemas.openxmlformats.org/officeDocument/2006/relationships" ref="M284" r:id="rId309"/>
    <hyperlink xmlns:r="http://schemas.openxmlformats.org/officeDocument/2006/relationships" ref="N284" r:id="rId310"/>
    <hyperlink xmlns:r="http://schemas.openxmlformats.org/officeDocument/2006/relationships" ref="M285" r:id="rId311"/>
    <hyperlink xmlns:r="http://schemas.openxmlformats.org/officeDocument/2006/relationships" ref="N286" r:id="rId312"/>
    <hyperlink xmlns:r="http://schemas.openxmlformats.org/officeDocument/2006/relationships" ref="N287" r:id="rId313"/>
    <hyperlink xmlns:r="http://schemas.openxmlformats.org/officeDocument/2006/relationships" ref="N288" r:id="rId314"/>
    <hyperlink xmlns:r="http://schemas.openxmlformats.org/officeDocument/2006/relationships" ref="N289" r:id="rId315"/>
    <hyperlink xmlns:r="http://schemas.openxmlformats.org/officeDocument/2006/relationships" ref="N290" r:id="rId316"/>
    <hyperlink xmlns:r="http://schemas.openxmlformats.org/officeDocument/2006/relationships" ref="N291" r:id="rId317"/>
    <hyperlink xmlns:r="http://schemas.openxmlformats.org/officeDocument/2006/relationships" ref="N292" r:id="rId318"/>
    <hyperlink xmlns:r="http://schemas.openxmlformats.org/officeDocument/2006/relationships" ref="N293" r:id="rId319"/>
    <hyperlink xmlns:r="http://schemas.openxmlformats.org/officeDocument/2006/relationships" ref="N294" r:id="rId320"/>
    <hyperlink xmlns:r="http://schemas.openxmlformats.org/officeDocument/2006/relationships" ref="N295" r:id="rId321"/>
    <hyperlink xmlns:r="http://schemas.openxmlformats.org/officeDocument/2006/relationships" ref="N296" r:id="rId322"/>
    <hyperlink xmlns:r="http://schemas.openxmlformats.org/officeDocument/2006/relationships" ref="N297" r:id="rId323"/>
    <hyperlink xmlns:r="http://schemas.openxmlformats.org/officeDocument/2006/relationships" ref="N298" r:id="rId324"/>
    <hyperlink xmlns:r="http://schemas.openxmlformats.org/officeDocument/2006/relationships" ref="N299" r:id="rId325"/>
    <hyperlink xmlns:r="http://schemas.openxmlformats.org/officeDocument/2006/relationships" ref="N300" r:id="rId326"/>
    <hyperlink xmlns:r="http://schemas.openxmlformats.org/officeDocument/2006/relationships" ref="N301" r:id="rId327"/>
    <hyperlink xmlns:r="http://schemas.openxmlformats.org/officeDocument/2006/relationships" ref="N302" r:id="rId328"/>
    <hyperlink xmlns:r="http://schemas.openxmlformats.org/officeDocument/2006/relationships" ref="N303" r:id="rId329"/>
    <hyperlink xmlns:r="http://schemas.openxmlformats.org/officeDocument/2006/relationships" ref="N304" r:id="rId330"/>
    <hyperlink xmlns:r="http://schemas.openxmlformats.org/officeDocument/2006/relationships" ref="N305" r:id="rId331"/>
    <hyperlink xmlns:r="http://schemas.openxmlformats.org/officeDocument/2006/relationships" ref="N306" r:id="rId332"/>
    <hyperlink xmlns:r="http://schemas.openxmlformats.org/officeDocument/2006/relationships" ref="N307" r:id="rId333"/>
    <hyperlink xmlns:r="http://schemas.openxmlformats.org/officeDocument/2006/relationships" ref="N308" r:id="rId334"/>
    <hyperlink xmlns:r="http://schemas.openxmlformats.org/officeDocument/2006/relationships" ref="N309" r:id="rId335"/>
    <hyperlink xmlns:r="http://schemas.openxmlformats.org/officeDocument/2006/relationships" ref="N310" r:id="rId336"/>
    <hyperlink xmlns:r="http://schemas.openxmlformats.org/officeDocument/2006/relationships" ref="N311" r:id="rId337"/>
    <hyperlink xmlns:r="http://schemas.openxmlformats.org/officeDocument/2006/relationships" ref="N312" r:id="rId338"/>
    <hyperlink xmlns:r="http://schemas.openxmlformats.org/officeDocument/2006/relationships" ref="N313" r:id="rId339"/>
    <hyperlink xmlns:r="http://schemas.openxmlformats.org/officeDocument/2006/relationships" ref="N314" r:id="rId340"/>
    <hyperlink xmlns:r="http://schemas.openxmlformats.org/officeDocument/2006/relationships" ref="N315" r:id="rId341"/>
    <hyperlink xmlns:r="http://schemas.openxmlformats.org/officeDocument/2006/relationships" ref="N316" r:id="rId342"/>
    <hyperlink xmlns:r="http://schemas.openxmlformats.org/officeDocument/2006/relationships" ref="N317" r:id="rId343"/>
    <hyperlink xmlns:r="http://schemas.openxmlformats.org/officeDocument/2006/relationships" ref="N318" r:id="rId344"/>
    <hyperlink xmlns:r="http://schemas.openxmlformats.org/officeDocument/2006/relationships" ref="N319" r:id="rId345"/>
    <hyperlink xmlns:r="http://schemas.openxmlformats.org/officeDocument/2006/relationships" ref="N320" r:id="rId346"/>
    <hyperlink xmlns:r="http://schemas.openxmlformats.org/officeDocument/2006/relationships" ref="N321" r:id="rId347"/>
    <hyperlink xmlns:r="http://schemas.openxmlformats.org/officeDocument/2006/relationships" ref="N322" r:id="rId348"/>
    <hyperlink xmlns:r="http://schemas.openxmlformats.org/officeDocument/2006/relationships" ref="N323" r:id="rId349"/>
    <hyperlink xmlns:r="http://schemas.openxmlformats.org/officeDocument/2006/relationships" ref="N324" r:id="rId350"/>
    <hyperlink xmlns:r="http://schemas.openxmlformats.org/officeDocument/2006/relationships" ref="N325" r:id="rId351"/>
    <hyperlink xmlns:r="http://schemas.openxmlformats.org/officeDocument/2006/relationships" ref="N326" r:id="rId352"/>
    <hyperlink xmlns:r="http://schemas.openxmlformats.org/officeDocument/2006/relationships" ref="N327" r:id="rId353"/>
    <hyperlink xmlns:r="http://schemas.openxmlformats.org/officeDocument/2006/relationships" ref="N328" r:id="rId354"/>
    <hyperlink xmlns:r="http://schemas.openxmlformats.org/officeDocument/2006/relationships" ref="N329" r:id="rId355"/>
    <hyperlink xmlns:r="http://schemas.openxmlformats.org/officeDocument/2006/relationships" ref="N330" r:id="rId356"/>
    <hyperlink xmlns:r="http://schemas.openxmlformats.org/officeDocument/2006/relationships" ref="N331" r:id="rId357"/>
    <hyperlink xmlns:r="http://schemas.openxmlformats.org/officeDocument/2006/relationships" ref="N332" r:id="rId358"/>
    <hyperlink xmlns:r="http://schemas.openxmlformats.org/officeDocument/2006/relationships" ref="N333" r:id="rId359"/>
    <hyperlink xmlns:r="http://schemas.openxmlformats.org/officeDocument/2006/relationships" ref="N334" r:id="rId360"/>
    <hyperlink xmlns:r="http://schemas.openxmlformats.org/officeDocument/2006/relationships" ref="N335" r:id="rId361"/>
    <hyperlink xmlns:r="http://schemas.openxmlformats.org/officeDocument/2006/relationships" ref="N336" r:id="rId362"/>
    <hyperlink xmlns:r="http://schemas.openxmlformats.org/officeDocument/2006/relationships" ref="N337" r:id="rId363"/>
    <hyperlink xmlns:r="http://schemas.openxmlformats.org/officeDocument/2006/relationships" ref="N338" r:id="rId364"/>
    <hyperlink xmlns:r="http://schemas.openxmlformats.org/officeDocument/2006/relationships" ref="N339" r:id="rId365"/>
    <hyperlink xmlns:r="http://schemas.openxmlformats.org/officeDocument/2006/relationships" ref="N340" r:id="rId366"/>
    <hyperlink xmlns:r="http://schemas.openxmlformats.org/officeDocument/2006/relationships" ref="N341" r:id="rId367"/>
    <hyperlink xmlns:r="http://schemas.openxmlformats.org/officeDocument/2006/relationships" ref="N342" r:id="rId368"/>
    <hyperlink xmlns:r="http://schemas.openxmlformats.org/officeDocument/2006/relationships" ref="N343" r:id="rId369"/>
    <hyperlink xmlns:r="http://schemas.openxmlformats.org/officeDocument/2006/relationships" ref="N344" r:id="rId370"/>
    <hyperlink xmlns:r="http://schemas.openxmlformats.org/officeDocument/2006/relationships" ref="N345" r:id="rId371"/>
    <hyperlink xmlns:r="http://schemas.openxmlformats.org/officeDocument/2006/relationships" ref="N346" r:id="rId372"/>
    <hyperlink xmlns:r="http://schemas.openxmlformats.org/officeDocument/2006/relationships" ref="N347" r:id="rId373"/>
    <hyperlink xmlns:r="http://schemas.openxmlformats.org/officeDocument/2006/relationships" ref="N348" r:id="rId374"/>
    <hyperlink xmlns:r="http://schemas.openxmlformats.org/officeDocument/2006/relationships" ref="N349" r:id="rId375"/>
    <hyperlink xmlns:r="http://schemas.openxmlformats.org/officeDocument/2006/relationships" ref="N350" r:id="rId376"/>
    <hyperlink xmlns:r="http://schemas.openxmlformats.org/officeDocument/2006/relationships" ref="N351" r:id="rId377"/>
    <hyperlink xmlns:r="http://schemas.openxmlformats.org/officeDocument/2006/relationships" ref="N352" r:id="rId378"/>
    <hyperlink xmlns:r="http://schemas.openxmlformats.org/officeDocument/2006/relationships" ref="N353" r:id="rId379"/>
    <hyperlink xmlns:r="http://schemas.openxmlformats.org/officeDocument/2006/relationships" ref="N354" r:id="rId380"/>
    <hyperlink xmlns:r="http://schemas.openxmlformats.org/officeDocument/2006/relationships" ref="N355" r:id="rId381"/>
    <hyperlink xmlns:r="http://schemas.openxmlformats.org/officeDocument/2006/relationships" ref="N356" r:id="rId382"/>
    <hyperlink xmlns:r="http://schemas.openxmlformats.org/officeDocument/2006/relationships" ref="N357" r:id="rId383"/>
    <hyperlink xmlns:r="http://schemas.openxmlformats.org/officeDocument/2006/relationships" ref="N358" r:id="rId384"/>
    <hyperlink xmlns:r="http://schemas.openxmlformats.org/officeDocument/2006/relationships" ref="N359" r:id="rId385"/>
    <hyperlink xmlns:r="http://schemas.openxmlformats.org/officeDocument/2006/relationships" ref="N360" r:id="rId386"/>
    <hyperlink xmlns:r="http://schemas.openxmlformats.org/officeDocument/2006/relationships" ref="N361" r:id="rId387"/>
    <hyperlink xmlns:r="http://schemas.openxmlformats.org/officeDocument/2006/relationships" ref="N362" r:id="rId388"/>
    <hyperlink xmlns:r="http://schemas.openxmlformats.org/officeDocument/2006/relationships" ref="N363" r:id="rId389"/>
    <hyperlink xmlns:r="http://schemas.openxmlformats.org/officeDocument/2006/relationships" ref="N364" r:id="rId390"/>
    <hyperlink xmlns:r="http://schemas.openxmlformats.org/officeDocument/2006/relationships" ref="N365" r:id="rId391"/>
    <hyperlink xmlns:r="http://schemas.openxmlformats.org/officeDocument/2006/relationships" ref="N366" r:id="rId392"/>
    <hyperlink xmlns:r="http://schemas.openxmlformats.org/officeDocument/2006/relationships" ref="N367" r:id="rId393"/>
    <hyperlink xmlns:r="http://schemas.openxmlformats.org/officeDocument/2006/relationships" ref="M368" r:id="rId394"/>
    <hyperlink xmlns:r="http://schemas.openxmlformats.org/officeDocument/2006/relationships" ref="N368" r:id="rId395"/>
    <hyperlink xmlns:r="http://schemas.openxmlformats.org/officeDocument/2006/relationships" ref="M369" r:id="rId396"/>
    <hyperlink xmlns:r="http://schemas.openxmlformats.org/officeDocument/2006/relationships" ref="N369" r:id="rId397"/>
    <hyperlink xmlns:r="http://schemas.openxmlformats.org/officeDocument/2006/relationships" ref="M370" r:id="rId398"/>
    <hyperlink xmlns:r="http://schemas.openxmlformats.org/officeDocument/2006/relationships" ref="M371" r:id="rId399"/>
    <hyperlink xmlns:r="http://schemas.openxmlformats.org/officeDocument/2006/relationships" ref="N371" r:id="rId400"/>
    <hyperlink xmlns:r="http://schemas.openxmlformats.org/officeDocument/2006/relationships" ref="N372" r:id="rId401"/>
    <hyperlink xmlns:r="http://schemas.openxmlformats.org/officeDocument/2006/relationships" ref="M373" r:id="rId402"/>
    <hyperlink xmlns:r="http://schemas.openxmlformats.org/officeDocument/2006/relationships" ref="N373" r:id="rId403"/>
    <hyperlink xmlns:r="http://schemas.openxmlformats.org/officeDocument/2006/relationships" ref="M374" r:id="rId404"/>
    <hyperlink xmlns:r="http://schemas.openxmlformats.org/officeDocument/2006/relationships" ref="N374" r:id="rId405"/>
    <hyperlink xmlns:r="http://schemas.openxmlformats.org/officeDocument/2006/relationships" ref="M375" r:id="rId406"/>
    <hyperlink xmlns:r="http://schemas.openxmlformats.org/officeDocument/2006/relationships" ref="N376" r:id="rId407"/>
    <hyperlink xmlns:r="http://schemas.openxmlformats.org/officeDocument/2006/relationships" ref="M377" r:id="rId408"/>
    <hyperlink xmlns:r="http://schemas.openxmlformats.org/officeDocument/2006/relationships" ref="M378" r:id="rId409"/>
    <hyperlink xmlns:r="http://schemas.openxmlformats.org/officeDocument/2006/relationships" ref="N379" r:id="rId410"/>
    <hyperlink xmlns:r="http://schemas.openxmlformats.org/officeDocument/2006/relationships" ref="N380" r:id="rId411"/>
    <hyperlink xmlns:r="http://schemas.openxmlformats.org/officeDocument/2006/relationships" ref="N381" r:id="rId412"/>
    <hyperlink xmlns:r="http://schemas.openxmlformats.org/officeDocument/2006/relationships" ref="N382" r:id="rId413"/>
    <hyperlink xmlns:r="http://schemas.openxmlformats.org/officeDocument/2006/relationships" ref="M383" r:id="rId414"/>
    <hyperlink xmlns:r="http://schemas.openxmlformats.org/officeDocument/2006/relationships" ref="M384" r:id="rId415"/>
    <hyperlink xmlns:r="http://schemas.openxmlformats.org/officeDocument/2006/relationships" ref="M385" r:id="rId416"/>
    <hyperlink xmlns:r="http://schemas.openxmlformats.org/officeDocument/2006/relationships" ref="M386" r:id="rId417"/>
    <hyperlink xmlns:r="http://schemas.openxmlformats.org/officeDocument/2006/relationships" ref="M387" r:id="rId418"/>
    <hyperlink xmlns:r="http://schemas.openxmlformats.org/officeDocument/2006/relationships" ref="M388" r:id="rId419"/>
    <hyperlink xmlns:r="http://schemas.openxmlformats.org/officeDocument/2006/relationships" ref="M389" r:id="rId420"/>
    <hyperlink xmlns:r="http://schemas.openxmlformats.org/officeDocument/2006/relationships" ref="M390" r:id="rId421"/>
    <hyperlink xmlns:r="http://schemas.openxmlformats.org/officeDocument/2006/relationships" ref="M391" r:id="rId422"/>
    <hyperlink xmlns:r="http://schemas.openxmlformats.org/officeDocument/2006/relationships" ref="M392" r:id="rId423"/>
    <hyperlink xmlns:r="http://schemas.openxmlformats.org/officeDocument/2006/relationships" ref="M393" r:id="rId424"/>
    <hyperlink xmlns:r="http://schemas.openxmlformats.org/officeDocument/2006/relationships" ref="M394" r:id="rId425"/>
    <hyperlink xmlns:r="http://schemas.openxmlformats.org/officeDocument/2006/relationships" ref="M395" r:id="rId426"/>
    <hyperlink xmlns:r="http://schemas.openxmlformats.org/officeDocument/2006/relationships" ref="M396" r:id="rId427"/>
    <hyperlink xmlns:r="http://schemas.openxmlformats.org/officeDocument/2006/relationships" ref="M397" r:id="rId428"/>
    <hyperlink xmlns:r="http://schemas.openxmlformats.org/officeDocument/2006/relationships" ref="M398" r:id="rId429"/>
    <hyperlink xmlns:r="http://schemas.openxmlformats.org/officeDocument/2006/relationships" ref="M399" r:id="rId430"/>
    <hyperlink xmlns:r="http://schemas.openxmlformats.org/officeDocument/2006/relationships" ref="M400" r:id="rId431"/>
    <hyperlink xmlns:r="http://schemas.openxmlformats.org/officeDocument/2006/relationships" ref="M401" r:id="rId432"/>
    <hyperlink xmlns:r="http://schemas.openxmlformats.org/officeDocument/2006/relationships" ref="M402" r:id="rId433"/>
    <hyperlink xmlns:r="http://schemas.openxmlformats.org/officeDocument/2006/relationships" ref="M403" r:id="rId434"/>
    <hyperlink xmlns:r="http://schemas.openxmlformats.org/officeDocument/2006/relationships" ref="M404" r:id="rId435"/>
    <hyperlink xmlns:r="http://schemas.openxmlformats.org/officeDocument/2006/relationships" ref="M405" r:id="rId436"/>
    <hyperlink xmlns:r="http://schemas.openxmlformats.org/officeDocument/2006/relationships" ref="N405" r:id="rId437"/>
    <hyperlink xmlns:r="http://schemas.openxmlformats.org/officeDocument/2006/relationships" ref="M406" r:id="rId438"/>
    <hyperlink xmlns:r="http://schemas.openxmlformats.org/officeDocument/2006/relationships" ref="N406" r:id="rId439"/>
    <hyperlink xmlns:r="http://schemas.openxmlformats.org/officeDocument/2006/relationships" ref="M407" r:id="rId440"/>
    <hyperlink xmlns:r="http://schemas.openxmlformats.org/officeDocument/2006/relationships" ref="N407" r:id="rId441"/>
    <hyperlink xmlns:r="http://schemas.openxmlformats.org/officeDocument/2006/relationships" ref="M408" r:id="rId442"/>
    <hyperlink xmlns:r="http://schemas.openxmlformats.org/officeDocument/2006/relationships" ref="N408" r:id="rId443"/>
    <hyperlink xmlns:r="http://schemas.openxmlformats.org/officeDocument/2006/relationships" ref="N409" r:id="rId444"/>
    <hyperlink xmlns:r="http://schemas.openxmlformats.org/officeDocument/2006/relationships" ref="M410" r:id="rId445"/>
    <hyperlink xmlns:r="http://schemas.openxmlformats.org/officeDocument/2006/relationships" ref="N411" r:id="rId446"/>
    <hyperlink xmlns:r="http://schemas.openxmlformats.org/officeDocument/2006/relationships" ref="N412" r:id="rId447"/>
    <hyperlink xmlns:r="http://schemas.openxmlformats.org/officeDocument/2006/relationships" ref="N413" r:id="rId448"/>
    <hyperlink xmlns:r="http://schemas.openxmlformats.org/officeDocument/2006/relationships" ref="N414" r:id="rId449"/>
    <hyperlink xmlns:r="http://schemas.openxmlformats.org/officeDocument/2006/relationships" ref="N415" r:id="rId450"/>
    <hyperlink xmlns:r="http://schemas.openxmlformats.org/officeDocument/2006/relationships" ref="N416" r:id="rId451"/>
    <hyperlink xmlns:r="http://schemas.openxmlformats.org/officeDocument/2006/relationships" ref="N417" r:id="rId452"/>
    <hyperlink xmlns:r="http://schemas.openxmlformats.org/officeDocument/2006/relationships" ref="N418" r:id="rId453"/>
    <hyperlink xmlns:r="http://schemas.openxmlformats.org/officeDocument/2006/relationships" ref="M419" r:id="rId454"/>
    <hyperlink xmlns:r="http://schemas.openxmlformats.org/officeDocument/2006/relationships" ref="N419" r:id="rId455"/>
    <hyperlink xmlns:r="http://schemas.openxmlformats.org/officeDocument/2006/relationships" ref="M420" r:id="rId456"/>
    <hyperlink xmlns:r="http://schemas.openxmlformats.org/officeDocument/2006/relationships" ref="M421" r:id="rId457"/>
    <hyperlink xmlns:r="http://schemas.openxmlformats.org/officeDocument/2006/relationships" ref="N421" r:id="rId458"/>
    <hyperlink xmlns:r="http://schemas.openxmlformats.org/officeDocument/2006/relationships" ref="N422" r:id="rId459"/>
    <hyperlink xmlns:r="http://schemas.openxmlformats.org/officeDocument/2006/relationships" ref="N423" r:id="rId460"/>
    <hyperlink xmlns:r="http://schemas.openxmlformats.org/officeDocument/2006/relationships" ref="N424" r:id="rId461"/>
    <hyperlink xmlns:r="http://schemas.openxmlformats.org/officeDocument/2006/relationships" ref="N425" r:id="rId462"/>
    <hyperlink xmlns:r="http://schemas.openxmlformats.org/officeDocument/2006/relationships" ref="N426" r:id="rId463"/>
    <hyperlink xmlns:r="http://schemas.openxmlformats.org/officeDocument/2006/relationships" ref="M427" r:id="rId464"/>
    <hyperlink xmlns:r="http://schemas.openxmlformats.org/officeDocument/2006/relationships" ref="N427" r:id="rId465"/>
    <hyperlink xmlns:r="http://schemas.openxmlformats.org/officeDocument/2006/relationships" ref="M428" r:id="rId466"/>
    <hyperlink xmlns:r="http://schemas.openxmlformats.org/officeDocument/2006/relationships" ref="N428" r:id="rId467"/>
    <hyperlink xmlns:r="http://schemas.openxmlformats.org/officeDocument/2006/relationships" ref="M429" r:id="rId468"/>
    <hyperlink xmlns:r="http://schemas.openxmlformats.org/officeDocument/2006/relationships" ref="M430" r:id="rId469"/>
    <hyperlink xmlns:r="http://schemas.openxmlformats.org/officeDocument/2006/relationships" ref="N431" r:id="rId470"/>
    <hyperlink xmlns:r="http://schemas.openxmlformats.org/officeDocument/2006/relationships" ref="M432" r:id="rId471"/>
    <hyperlink xmlns:r="http://schemas.openxmlformats.org/officeDocument/2006/relationships" ref="N433" r:id="rId472"/>
    <hyperlink xmlns:r="http://schemas.openxmlformats.org/officeDocument/2006/relationships" ref="M434" r:id="rId473"/>
    <hyperlink xmlns:r="http://schemas.openxmlformats.org/officeDocument/2006/relationships" ref="N434" r:id="rId474"/>
    <hyperlink xmlns:r="http://schemas.openxmlformats.org/officeDocument/2006/relationships" ref="M435" r:id="rId475"/>
    <hyperlink xmlns:r="http://schemas.openxmlformats.org/officeDocument/2006/relationships" ref="N435" r:id="rId476"/>
    <hyperlink xmlns:r="http://schemas.openxmlformats.org/officeDocument/2006/relationships" ref="M436" r:id="rId477"/>
    <hyperlink xmlns:r="http://schemas.openxmlformats.org/officeDocument/2006/relationships" ref="N437" r:id="rId478"/>
    <hyperlink xmlns:r="http://schemas.openxmlformats.org/officeDocument/2006/relationships" ref="M438" r:id="rId479"/>
    <hyperlink xmlns:r="http://schemas.openxmlformats.org/officeDocument/2006/relationships" ref="M439" r:id="rId480"/>
    <hyperlink xmlns:r="http://schemas.openxmlformats.org/officeDocument/2006/relationships" ref="M440" r:id="rId481"/>
    <hyperlink xmlns:r="http://schemas.openxmlformats.org/officeDocument/2006/relationships" ref="M441" r:id="rId482"/>
    <hyperlink xmlns:r="http://schemas.openxmlformats.org/officeDocument/2006/relationships" ref="M442" r:id="rId483"/>
    <hyperlink xmlns:r="http://schemas.openxmlformats.org/officeDocument/2006/relationships" ref="M443" r:id="rId484"/>
    <hyperlink xmlns:r="http://schemas.openxmlformats.org/officeDocument/2006/relationships" ref="M444" r:id="rId485"/>
    <hyperlink xmlns:r="http://schemas.openxmlformats.org/officeDocument/2006/relationships" ref="M445" r:id="rId486"/>
    <hyperlink xmlns:r="http://schemas.openxmlformats.org/officeDocument/2006/relationships" ref="N445" r:id="rId487"/>
    <hyperlink xmlns:r="http://schemas.openxmlformats.org/officeDocument/2006/relationships" ref="M446" r:id="rId488"/>
    <hyperlink xmlns:r="http://schemas.openxmlformats.org/officeDocument/2006/relationships" ref="M447" r:id="rId489"/>
    <hyperlink xmlns:r="http://schemas.openxmlformats.org/officeDocument/2006/relationships" ref="M448" r:id="rId490"/>
    <hyperlink xmlns:r="http://schemas.openxmlformats.org/officeDocument/2006/relationships" ref="M449" r:id="rId491"/>
    <hyperlink xmlns:r="http://schemas.openxmlformats.org/officeDocument/2006/relationships" ref="N450" r:id="rId492"/>
    <hyperlink xmlns:r="http://schemas.openxmlformats.org/officeDocument/2006/relationships" ref="M451" r:id="rId493"/>
    <hyperlink xmlns:r="http://schemas.openxmlformats.org/officeDocument/2006/relationships" ref="N451" r:id="rId494"/>
    <hyperlink xmlns:r="http://schemas.openxmlformats.org/officeDocument/2006/relationships" ref="M452" r:id="rId495"/>
    <hyperlink xmlns:r="http://schemas.openxmlformats.org/officeDocument/2006/relationships" ref="M453" r:id="rId496"/>
    <hyperlink xmlns:r="http://schemas.openxmlformats.org/officeDocument/2006/relationships" ref="N453" r:id="rId497"/>
    <hyperlink xmlns:r="http://schemas.openxmlformats.org/officeDocument/2006/relationships" ref="M454" r:id="rId498"/>
    <hyperlink xmlns:r="http://schemas.openxmlformats.org/officeDocument/2006/relationships" ref="M455" r:id="rId499"/>
    <hyperlink xmlns:r="http://schemas.openxmlformats.org/officeDocument/2006/relationships" ref="M456" r:id="rId500"/>
    <hyperlink xmlns:r="http://schemas.openxmlformats.org/officeDocument/2006/relationships" ref="M457" r:id="rId501"/>
    <hyperlink xmlns:r="http://schemas.openxmlformats.org/officeDocument/2006/relationships" ref="M458" r:id="rId502"/>
    <hyperlink xmlns:r="http://schemas.openxmlformats.org/officeDocument/2006/relationships" ref="N458" r:id="rId503"/>
    <hyperlink xmlns:r="http://schemas.openxmlformats.org/officeDocument/2006/relationships" ref="M459" r:id="rId504"/>
    <hyperlink xmlns:r="http://schemas.openxmlformats.org/officeDocument/2006/relationships" ref="M460" r:id="rId505"/>
    <hyperlink xmlns:r="http://schemas.openxmlformats.org/officeDocument/2006/relationships" ref="M461" r:id="rId506"/>
    <hyperlink xmlns:r="http://schemas.openxmlformats.org/officeDocument/2006/relationships" ref="M462" r:id="rId507"/>
    <hyperlink xmlns:r="http://schemas.openxmlformats.org/officeDocument/2006/relationships" ref="M463" r:id="rId508"/>
    <hyperlink xmlns:r="http://schemas.openxmlformats.org/officeDocument/2006/relationships" ref="M464" r:id="rId509"/>
    <hyperlink xmlns:r="http://schemas.openxmlformats.org/officeDocument/2006/relationships" ref="M465" r:id="rId510"/>
    <hyperlink xmlns:r="http://schemas.openxmlformats.org/officeDocument/2006/relationships" ref="M466" r:id="rId511"/>
    <hyperlink xmlns:r="http://schemas.openxmlformats.org/officeDocument/2006/relationships" ref="M467" r:id="rId512"/>
    <hyperlink xmlns:r="http://schemas.openxmlformats.org/officeDocument/2006/relationships" ref="M468" r:id="rId513"/>
    <hyperlink xmlns:r="http://schemas.openxmlformats.org/officeDocument/2006/relationships" ref="M469" r:id="rId514"/>
    <hyperlink xmlns:r="http://schemas.openxmlformats.org/officeDocument/2006/relationships" ref="M470" r:id="rId515"/>
    <hyperlink xmlns:r="http://schemas.openxmlformats.org/officeDocument/2006/relationships" ref="M471" r:id="rId516"/>
    <hyperlink xmlns:r="http://schemas.openxmlformats.org/officeDocument/2006/relationships" ref="M472" r:id="rId517"/>
    <hyperlink xmlns:r="http://schemas.openxmlformats.org/officeDocument/2006/relationships" ref="M473" r:id="rId518"/>
    <hyperlink xmlns:r="http://schemas.openxmlformats.org/officeDocument/2006/relationships" ref="M474" r:id="rId519"/>
    <hyperlink xmlns:r="http://schemas.openxmlformats.org/officeDocument/2006/relationships" ref="M475" r:id="rId520"/>
    <hyperlink xmlns:r="http://schemas.openxmlformats.org/officeDocument/2006/relationships" ref="M476" r:id="rId521"/>
    <hyperlink xmlns:r="http://schemas.openxmlformats.org/officeDocument/2006/relationships" ref="M477" r:id="rId522"/>
    <hyperlink xmlns:r="http://schemas.openxmlformats.org/officeDocument/2006/relationships" ref="M478" r:id="rId523"/>
    <hyperlink xmlns:r="http://schemas.openxmlformats.org/officeDocument/2006/relationships" ref="M479" r:id="rId524"/>
    <hyperlink xmlns:r="http://schemas.openxmlformats.org/officeDocument/2006/relationships" ref="M480" r:id="rId525"/>
    <hyperlink xmlns:r="http://schemas.openxmlformats.org/officeDocument/2006/relationships" ref="M481" r:id="rId526"/>
    <hyperlink xmlns:r="http://schemas.openxmlformats.org/officeDocument/2006/relationships" ref="M482" r:id="rId527"/>
    <hyperlink xmlns:r="http://schemas.openxmlformats.org/officeDocument/2006/relationships" ref="M483" r:id="rId528"/>
    <hyperlink xmlns:r="http://schemas.openxmlformats.org/officeDocument/2006/relationships" ref="M484" r:id="rId529"/>
    <hyperlink xmlns:r="http://schemas.openxmlformats.org/officeDocument/2006/relationships" ref="M485" r:id="rId530"/>
    <hyperlink xmlns:r="http://schemas.openxmlformats.org/officeDocument/2006/relationships" ref="M486" r:id="rId531"/>
    <hyperlink xmlns:r="http://schemas.openxmlformats.org/officeDocument/2006/relationships" ref="M487" r:id="rId532"/>
    <hyperlink xmlns:r="http://schemas.openxmlformats.org/officeDocument/2006/relationships" ref="M488" r:id="rId533"/>
    <hyperlink xmlns:r="http://schemas.openxmlformats.org/officeDocument/2006/relationships" ref="N489" r:id="rId534"/>
    <hyperlink xmlns:r="http://schemas.openxmlformats.org/officeDocument/2006/relationships" ref="M490" r:id="rId535"/>
    <hyperlink xmlns:r="http://schemas.openxmlformats.org/officeDocument/2006/relationships" ref="N490" r:id="rId536"/>
    <hyperlink xmlns:r="http://schemas.openxmlformats.org/officeDocument/2006/relationships" ref="M491" r:id="rId537"/>
    <hyperlink xmlns:r="http://schemas.openxmlformats.org/officeDocument/2006/relationships" ref="M492" r:id="rId538"/>
    <hyperlink xmlns:r="http://schemas.openxmlformats.org/officeDocument/2006/relationships" ref="M493" r:id="rId539"/>
    <hyperlink xmlns:r="http://schemas.openxmlformats.org/officeDocument/2006/relationships" ref="N493" r:id="rId540"/>
    <hyperlink xmlns:r="http://schemas.openxmlformats.org/officeDocument/2006/relationships" ref="M494" r:id="rId541"/>
    <hyperlink xmlns:r="http://schemas.openxmlformats.org/officeDocument/2006/relationships" ref="M495" r:id="rId542"/>
    <hyperlink xmlns:r="http://schemas.openxmlformats.org/officeDocument/2006/relationships" ref="M496" r:id="rId543"/>
    <hyperlink xmlns:r="http://schemas.openxmlformats.org/officeDocument/2006/relationships" ref="N496" r:id="rId544"/>
    <hyperlink xmlns:r="http://schemas.openxmlformats.org/officeDocument/2006/relationships" ref="M497" r:id="rId545"/>
    <hyperlink xmlns:r="http://schemas.openxmlformats.org/officeDocument/2006/relationships" ref="N497" r:id="rId546"/>
    <hyperlink xmlns:r="http://schemas.openxmlformats.org/officeDocument/2006/relationships" ref="M498" r:id="rId547"/>
    <hyperlink xmlns:r="http://schemas.openxmlformats.org/officeDocument/2006/relationships" ref="N498" r:id="rId548"/>
    <hyperlink xmlns:r="http://schemas.openxmlformats.org/officeDocument/2006/relationships" ref="M499" r:id="rId549"/>
    <hyperlink xmlns:r="http://schemas.openxmlformats.org/officeDocument/2006/relationships" ref="N499" r:id="rId550"/>
    <hyperlink xmlns:r="http://schemas.openxmlformats.org/officeDocument/2006/relationships" ref="M500" r:id="rId551"/>
    <hyperlink xmlns:r="http://schemas.openxmlformats.org/officeDocument/2006/relationships" ref="N500" r:id="rId552"/>
    <hyperlink xmlns:r="http://schemas.openxmlformats.org/officeDocument/2006/relationships" ref="M501" r:id="rId553"/>
    <hyperlink xmlns:r="http://schemas.openxmlformats.org/officeDocument/2006/relationships" ref="N501" r:id="rId554"/>
    <hyperlink xmlns:r="http://schemas.openxmlformats.org/officeDocument/2006/relationships" ref="M502" r:id="rId555"/>
    <hyperlink xmlns:r="http://schemas.openxmlformats.org/officeDocument/2006/relationships" ref="N502" r:id="rId556"/>
    <hyperlink xmlns:r="http://schemas.openxmlformats.org/officeDocument/2006/relationships" ref="M503" r:id="rId557"/>
    <hyperlink xmlns:r="http://schemas.openxmlformats.org/officeDocument/2006/relationships" ref="N503" r:id="rId558"/>
    <hyperlink xmlns:r="http://schemas.openxmlformats.org/officeDocument/2006/relationships" ref="M504" r:id="rId559"/>
    <hyperlink xmlns:r="http://schemas.openxmlformats.org/officeDocument/2006/relationships" ref="N504" r:id="rId560"/>
    <hyperlink xmlns:r="http://schemas.openxmlformats.org/officeDocument/2006/relationships" ref="M505" r:id="rId561"/>
    <hyperlink xmlns:r="http://schemas.openxmlformats.org/officeDocument/2006/relationships" ref="N505" r:id="rId562"/>
    <hyperlink xmlns:r="http://schemas.openxmlformats.org/officeDocument/2006/relationships" ref="M506" r:id="rId563"/>
    <hyperlink xmlns:r="http://schemas.openxmlformats.org/officeDocument/2006/relationships" ref="N506" r:id="rId564"/>
    <hyperlink xmlns:r="http://schemas.openxmlformats.org/officeDocument/2006/relationships" ref="M507" r:id="rId565"/>
    <hyperlink xmlns:r="http://schemas.openxmlformats.org/officeDocument/2006/relationships" ref="M508" r:id="rId566"/>
    <hyperlink xmlns:r="http://schemas.openxmlformats.org/officeDocument/2006/relationships" ref="M509" r:id="rId567"/>
    <hyperlink xmlns:r="http://schemas.openxmlformats.org/officeDocument/2006/relationships" ref="M510" r:id="rId568"/>
    <hyperlink xmlns:r="http://schemas.openxmlformats.org/officeDocument/2006/relationships" ref="M511" r:id="rId569"/>
    <hyperlink xmlns:r="http://schemas.openxmlformats.org/officeDocument/2006/relationships" ref="M512" r:id="rId570"/>
    <hyperlink xmlns:r="http://schemas.openxmlformats.org/officeDocument/2006/relationships" ref="M513" r:id="rId571"/>
    <hyperlink xmlns:r="http://schemas.openxmlformats.org/officeDocument/2006/relationships" ref="N513" r:id="rId572"/>
    <hyperlink xmlns:r="http://schemas.openxmlformats.org/officeDocument/2006/relationships" ref="M514" r:id="rId573"/>
    <hyperlink xmlns:r="http://schemas.openxmlformats.org/officeDocument/2006/relationships" ref="M515" r:id="rId574"/>
    <hyperlink xmlns:r="http://schemas.openxmlformats.org/officeDocument/2006/relationships" ref="M516" r:id="rId575"/>
    <hyperlink xmlns:r="http://schemas.openxmlformats.org/officeDocument/2006/relationships" ref="N516" r:id="rId576"/>
    <hyperlink xmlns:r="http://schemas.openxmlformats.org/officeDocument/2006/relationships" ref="M517" r:id="rId577"/>
    <hyperlink xmlns:r="http://schemas.openxmlformats.org/officeDocument/2006/relationships" ref="M518" r:id="rId578"/>
    <hyperlink xmlns:r="http://schemas.openxmlformats.org/officeDocument/2006/relationships" ref="N518" r:id="rId579"/>
    <hyperlink xmlns:r="http://schemas.openxmlformats.org/officeDocument/2006/relationships" ref="M519" r:id="rId580"/>
    <hyperlink xmlns:r="http://schemas.openxmlformats.org/officeDocument/2006/relationships" ref="M520" r:id="rId581"/>
    <hyperlink xmlns:r="http://schemas.openxmlformats.org/officeDocument/2006/relationships" ref="M521" r:id="rId582"/>
    <hyperlink xmlns:r="http://schemas.openxmlformats.org/officeDocument/2006/relationships" ref="M522" r:id="rId583"/>
    <hyperlink xmlns:r="http://schemas.openxmlformats.org/officeDocument/2006/relationships" ref="M523" r:id="rId584"/>
    <hyperlink xmlns:r="http://schemas.openxmlformats.org/officeDocument/2006/relationships" ref="M524" r:id="rId585"/>
    <hyperlink xmlns:r="http://schemas.openxmlformats.org/officeDocument/2006/relationships" ref="M525" r:id="rId586"/>
    <hyperlink xmlns:r="http://schemas.openxmlformats.org/officeDocument/2006/relationships" ref="M526" r:id="rId587"/>
    <hyperlink xmlns:r="http://schemas.openxmlformats.org/officeDocument/2006/relationships" ref="M527" r:id="rId588"/>
    <hyperlink xmlns:r="http://schemas.openxmlformats.org/officeDocument/2006/relationships" ref="M528" r:id="rId589"/>
    <hyperlink xmlns:r="http://schemas.openxmlformats.org/officeDocument/2006/relationships" ref="M529" r:id="rId590"/>
    <hyperlink xmlns:r="http://schemas.openxmlformats.org/officeDocument/2006/relationships" ref="M530" r:id="rId591"/>
    <hyperlink xmlns:r="http://schemas.openxmlformats.org/officeDocument/2006/relationships" ref="M531" r:id="rId592"/>
    <hyperlink xmlns:r="http://schemas.openxmlformats.org/officeDocument/2006/relationships" ref="M532" r:id="rId593"/>
    <hyperlink xmlns:r="http://schemas.openxmlformats.org/officeDocument/2006/relationships" ref="M533" r:id="rId594"/>
    <hyperlink xmlns:r="http://schemas.openxmlformats.org/officeDocument/2006/relationships" ref="M534" r:id="rId595"/>
    <hyperlink xmlns:r="http://schemas.openxmlformats.org/officeDocument/2006/relationships" ref="M535" r:id="rId596"/>
    <hyperlink xmlns:r="http://schemas.openxmlformats.org/officeDocument/2006/relationships" ref="M536" r:id="rId597"/>
    <hyperlink xmlns:r="http://schemas.openxmlformats.org/officeDocument/2006/relationships" ref="M537" r:id="rId598"/>
    <hyperlink xmlns:r="http://schemas.openxmlformats.org/officeDocument/2006/relationships" ref="M538" r:id="rId599"/>
    <hyperlink xmlns:r="http://schemas.openxmlformats.org/officeDocument/2006/relationships" ref="M539" r:id="rId600"/>
    <hyperlink xmlns:r="http://schemas.openxmlformats.org/officeDocument/2006/relationships" ref="M540" r:id="rId601"/>
    <hyperlink xmlns:r="http://schemas.openxmlformats.org/officeDocument/2006/relationships" ref="M541" r:id="rId602"/>
    <hyperlink xmlns:r="http://schemas.openxmlformats.org/officeDocument/2006/relationships" ref="M542" r:id="rId603"/>
    <hyperlink xmlns:r="http://schemas.openxmlformats.org/officeDocument/2006/relationships" ref="M543" r:id="rId604"/>
    <hyperlink xmlns:r="http://schemas.openxmlformats.org/officeDocument/2006/relationships" ref="M544" r:id="rId605"/>
    <hyperlink xmlns:r="http://schemas.openxmlformats.org/officeDocument/2006/relationships" ref="M545" r:id="rId606"/>
    <hyperlink xmlns:r="http://schemas.openxmlformats.org/officeDocument/2006/relationships" ref="M546" r:id="rId607"/>
    <hyperlink xmlns:r="http://schemas.openxmlformats.org/officeDocument/2006/relationships" ref="M547" r:id="rId608"/>
    <hyperlink xmlns:r="http://schemas.openxmlformats.org/officeDocument/2006/relationships" ref="M548" r:id="rId609"/>
    <hyperlink xmlns:r="http://schemas.openxmlformats.org/officeDocument/2006/relationships" ref="M549" r:id="rId610"/>
    <hyperlink xmlns:r="http://schemas.openxmlformats.org/officeDocument/2006/relationships" ref="M550" r:id="rId611"/>
    <hyperlink xmlns:r="http://schemas.openxmlformats.org/officeDocument/2006/relationships" ref="M551" r:id="rId612"/>
    <hyperlink xmlns:r="http://schemas.openxmlformats.org/officeDocument/2006/relationships" ref="M552" r:id="rId613"/>
    <hyperlink xmlns:r="http://schemas.openxmlformats.org/officeDocument/2006/relationships" ref="M553" r:id="rId614"/>
    <hyperlink xmlns:r="http://schemas.openxmlformats.org/officeDocument/2006/relationships" ref="M554" r:id="rId615"/>
    <hyperlink xmlns:r="http://schemas.openxmlformats.org/officeDocument/2006/relationships" ref="M555" r:id="rId616"/>
    <hyperlink xmlns:r="http://schemas.openxmlformats.org/officeDocument/2006/relationships" ref="M556" r:id="rId617"/>
    <hyperlink xmlns:r="http://schemas.openxmlformats.org/officeDocument/2006/relationships" ref="M557" r:id="rId618"/>
    <hyperlink xmlns:r="http://schemas.openxmlformats.org/officeDocument/2006/relationships" ref="M558" r:id="rId619"/>
    <hyperlink xmlns:r="http://schemas.openxmlformats.org/officeDocument/2006/relationships" ref="M559" r:id="rId620"/>
    <hyperlink xmlns:r="http://schemas.openxmlformats.org/officeDocument/2006/relationships" ref="M560" r:id="rId621"/>
    <hyperlink xmlns:r="http://schemas.openxmlformats.org/officeDocument/2006/relationships" ref="M561" r:id="rId622"/>
    <hyperlink xmlns:r="http://schemas.openxmlformats.org/officeDocument/2006/relationships" ref="M562" r:id="rId623"/>
    <hyperlink xmlns:r="http://schemas.openxmlformats.org/officeDocument/2006/relationships" ref="M563" r:id="rId624"/>
    <hyperlink xmlns:r="http://schemas.openxmlformats.org/officeDocument/2006/relationships" ref="M564" r:id="rId625"/>
    <hyperlink xmlns:r="http://schemas.openxmlformats.org/officeDocument/2006/relationships" ref="M565" r:id="rId626"/>
    <hyperlink xmlns:r="http://schemas.openxmlformats.org/officeDocument/2006/relationships" ref="M566" r:id="rId627"/>
    <hyperlink xmlns:r="http://schemas.openxmlformats.org/officeDocument/2006/relationships" ref="M567" r:id="rId628"/>
    <hyperlink xmlns:r="http://schemas.openxmlformats.org/officeDocument/2006/relationships" ref="M568" r:id="rId629"/>
    <hyperlink xmlns:r="http://schemas.openxmlformats.org/officeDocument/2006/relationships" ref="M569" r:id="rId630"/>
    <hyperlink xmlns:r="http://schemas.openxmlformats.org/officeDocument/2006/relationships" ref="M570" r:id="rId631"/>
    <hyperlink xmlns:r="http://schemas.openxmlformats.org/officeDocument/2006/relationships" ref="M571" r:id="rId632"/>
    <hyperlink xmlns:r="http://schemas.openxmlformats.org/officeDocument/2006/relationships" ref="M572" r:id="rId633"/>
    <hyperlink xmlns:r="http://schemas.openxmlformats.org/officeDocument/2006/relationships" ref="M573" r:id="rId634"/>
    <hyperlink xmlns:r="http://schemas.openxmlformats.org/officeDocument/2006/relationships" ref="M574" r:id="rId635"/>
    <hyperlink xmlns:r="http://schemas.openxmlformats.org/officeDocument/2006/relationships" ref="M575" r:id="rId636"/>
    <hyperlink xmlns:r="http://schemas.openxmlformats.org/officeDocument/2006/relationships" ref="M576" r:id="rId637"/>
    <hyperlink xmlns:r="http://schemas.openxmlformats.org/officeDocument/2006/relationships" ref="M577" r:id="rId638"/>
    <hyperlink xmlns:r="http://schemas.openxmlformats.org/officeDocument/2006/relationships" ref="M578" r:id="rId639"/>
    <hyperlink xmlns:r="http://schemas.openxmlformats.org/officeDocument/2006/relationships" ref="M579" r:id="rId640"/>
    <hyperlink xmlns:r="http://schemas.openxmlformats.org/officeDocument/2006/relationships" ref="M580" r:id="rId641"/>
    <hyperlink xmlns:r="http://schemas.openxmlformats.org/officeDocument/2006/relationships" ref="M581" r:id="rId642"/>
    <hyperlink xmlns:r="http://schemas.openxmlformats.org/officeDocument/2006/relationships" ref="M582" r:id="rId643"/>
    <hyperlink xmlns:r="http://schemas.openxmlformats.org/officeDocument/2006/relationships" ref="M583" r:id="rId644"/>
    <hyperlink xmlns:r="http://schemas.openxmlformats.org/officeDocument/2006/relationships" ref="M584" r:id="rId645"/>
    <hyperlink xmlns:r="http://schemas.openxmlformats.org/officeDocument/2006/relationships" ref="M585" r:id="rId646"/>
    <hyperlink xmlns:r="http://schemas.openxmlformats.org/officeDocument/2006/relationships" ref="M586" r:id="rId647"/>
    <hyperlink xmlns:r="http://schemas.openxmlformats.org/officeDocument/2006/relationships" ref="M587" r:id="rId648"/>
    <hyperlink xmlns:r="http://schemas.openxmlformats.org/officeDocument/2006/relationships" ref="M588" r:id="rId649"/>
    <hyperlink xmlns:r="http://schemas.openxmlformats.org/officeDocument/2006/relationships" ref="M589" r:id="rId650"/>
    <hyperlink xmlns:r="http://schemas.openxmlformats.org/officeDocument/2006/relationships" ref="M590" r:id="rId651"/>
    <hyperlink xmlns:r="http://schemas.openxmlformats.org/officeDocument/2006/relationships" ref="M591" r:id="rId652"/>
    <hyperlink xmlns:r="http://schemas.openxmlformats.org/officeDocument/2006/relationships" ref="M592" r:id="rId653"/>
    <hyperlink xmlns:r="http://schemas.openxmlformats.org/officeDocument/2006/relationships" ref="M593" r:id="rId654"/>
    <hyperlink xmlns:r="http://schemas.openxmlformats.org/officeDocument/2006/relationships" ref="M594" r:id="rId655"/>
    <hyperlink xmlns:r="http://schemas.openxmlformats.org/officeDocument/2006/relationships" ref="M595" r:id="rId656"/>
    <hyperlink xmlns:r="http://schemas.openxmlformats.org/officeDocument/2006/relationships" ref="M596" r:id="rId657"/>
    <hyperlink xmlns:r="http://schemas.openxmlformats.org/officeDocument/2006/relationships" ref="M597" r:id="rId658"/>
    <hyperlink xmlns:r="http://schemas.openxmlformats.org/officeDocument/2006/relationships" ref="M598" r:id="rId659"/>
    <hyperlink xmlns:r="http://schemas.openxmlformats.org/officeDocument/2006/relationships" ref="M599" r:id="rId660"/>
    <hyperlink xmlns:r="http://schemas.openxmlformats.org/officeDocument/2006/relationships" ref="M600" r:id="rId661"/>
    <hyperlink xmlns:r="http://schemas.openxmlformats.org/officeDocument/2006/relationships" ref="M601" r:id="rId662"/>
    <hyperlink xmlns:r="http://schemas.openxmlformats.org/officeDocument/2006/relationships" ref="N602" r:id="rId663"/>
    <hyperlink xmlns:r="http://schemas.openxmlformats.org/officeDocument/2006/relationships" ref="M603" r:id="rId664"/>
    <hyperlink xmlns:r="http://schemas.openxmlformats.org/officeDocument/2006/relationships" ref="M604" r:id="rId665"/>
    <hyperlink xmlns:r="http://schemas.openxmlformats.org/officeDocument/2006/relationships" ref="N604" r:id="rId666"/>
    <hyperlink xmlns:r="http://schemas.openxmlformats.org/officeDocument/2006/relationships" ref="M605" r:id="rId667"/>
    <hyperlink xmlns:r="http://schemas.openxmlformats.org/officeDocument/2006/relationships" ref="M606" r:id="rId668"/>
    <hyperlink xmlns:r="http://schemas.openxmlformats.org/officeDocument/2006/relationships" ref="N606" r:id="rId669"/>
    <hyperlink xmlns:r="http://schemas.openxmlformats.org/officeDocument/2006/relationships" ref="M607" r:id="rId670"/>
    <hyperlink xmlns:r="http://schemas.openxmlformats.org/officeDocument/2006/relationships" ref="M608" r:id="rId671"/>
    <hyperlink xmlns:r="http://schemas.openxmlformats.org/officeDocument/2006/relationships" ref="N609" r:id="rId672"/>
    <hyperlink xmlns:r="http://schemas.openxmlformats.org/officeDocument/2006/relationships" ref="N610" r:id="rId673"/>
    <hyperlink xmlns:r="http://schemas.openxmlformats.org/officeDocument/2006/relationships" ref="N611" r:id="rId674"/>
    <hyperlink xmlns:r="http://schemas.openxmlformats.org/officeDocument/2006/relationships" ref="N612" r:id="rId675"/>
    <hyperlink xmlns:r="http://schemas.openxmlformats.org/officeDocument/2006/relationships" ref="N613" r:id="rId676"/>
    <hyperlink xmlns:r="http://schemas.openxmlformats.org/officeDocument/2006/relationships" ref="N614" r:id="rId677"/>
    <hyperlink xmlns:r="http://schemas.openxmlformats.org/officeDocument/2006/relationships" ref="N615" r:id="rId678"/>
    <hyperlink xmlns:r="http://schemas.openxmlformats.org/officeDocument/2006/relationships" ref="N616" r:id="rId679"/>
    <hyperlink xmlns:r="http://schemas.openxmlformats.org/officeDocument/2006/relationships" ref="N617" r:id="rId680"/>
    <hyperlink xmlns:r="http://schemas.openxmlformats.org/officeDocument/2006/relationships" ref="M618" r:id="rId681"/>
    <hyperlink xmlns:r="http://schemas.openxmlformats.org/officeDocument/2006/relationships" ref="N618" r:id="rId682"/>
    <hyperlink xmlns:r="http://schemas.openxmlformats.org/officeDocument/2006/relationships" ref="N619" r:id="rId683"/>
    <hyperlink xmlns:r="http://schemas.openxmlformats.org/officeDocument/2006/relationships" ref="N620" r:id="rId684"/>
    <hyperlink xmlns:r="http://schemas.openxmlformats.org/officeDocument/2006/relationships" ref="N621" r:id="rId685"/>
    <hyperlink xmlns:r="http://schemas.openxmlformats.org/officeDocument/2006/relationships" ref="N622" r:id="rId686"/>
    <hyperlink xmlns:r="http://schemas.openxmlformats.org/officeDocument/2006/relationships" ref="N623" r:id="rId687"/>
    <hyperlink xmlns:r="http://schemas.openxmlformats.org/officeDocument/2006/relationships" ref="N624" r:id="rId688"/>
    <hyperlink xmlns:r="http://schemas.openxmlformats.org/officeDocument/2006/relationships" ref="N625" r:id="rId689"/>
    <hyperlink xmlns:r="http://schemas.openxmlformats.org/officeDocument/2006/relationships" ref="N626" r:id="rId690"/>
    <hyperlink xmlns:r="http://schemas.openxmlformats.org/officeDocument/2006/relationships" ref="M627" r:id="rId691"/>
    <hyperlink xmlns:r="http://schemas.openxmlformats.org/officeDocument/2006/relationships" ref="M628" r:id="rId692"/>
    <hyperlink xmlns:r="http://schemas.openxmlformats.org/officeDocument/2006/relationships" ref="M629" r:id="rId693"/>
    <hyperlink xmlns:r="http://schemas.openxmlformats.org/officeDocument/2006/relationships" ref="M630" r:id="rId694"/>
    <hyperlink xmlns:r="http://schemas.openxmlformats.org/officeDocument/2006/relationships" ref="N630" r:id="rId695"/>
    <hyperlink xmlns:r="http://schemas.openxmlformats.org/officeDocument/2006/relationships" ref="M631" r:id="rId696"/>
    <hyperlink xmlns:r="http://schemas.openxmlformats.org/officeDocument/2006/relationships" ref="M632" r:id="rId697"/>
    <hyperlink xmlns:r="http://schemas.openxmlformats.org/officeDocument/2006/relationships" ref="N632" r:id="rId698"/>
    <hyperlink xmlns:r="http://schemas.openxmlformats.org/officeDocument/2006/relationships" ref="M633" r:id="rId699"/>
    <hyperlink xmlns:r="http://schemas.openxmlformats.org/officeDocument/2006/relationships" ref="M634" r:id="rId700"/>
    <hyperlink xmlns:r="http://schemas.openxmlformats.org/officeDocument/2006/relationships" ref="M635" r:id="rId701"/>
    <hyperlink xmlns:r="http://schemas.openxmlformats.org/officeDocument/2006/relationships" ref="M636" r:id="rId702"/>
    <hyperlink xmlns:r="http://schemas.openxmlformats.org/officeDocument/2006/relationships" ref="N636" r:id="rId703"/>
    <hyperlink xmlns:r="http://schemas.openxmlformats.org/officeDocument/2006/relationships" ref="N637" r:id="rId704"/>
    <hyperlink xmlns:r="http://schemas.openxmlformats.org/officeDocument/2006/relationships" ref="M638" r:id="rId705"/>
    <hyperlink xmlns:r="http://schemas.openxmlformats.org/officeDocument/2006/relationships" ref="M639" r:id="rId706"/>
    <hyperlink xmlns:r="http://schemas.openxmlformats.org/officeDocument/2006/relationships" ref="N639" r:id="rId707"/>
    <hyperlink xmlns:r="http://schemas.openxmlformats.org/officeDocument/2006/relationships" ref="M640" r:id="rId708"/>
    <hyperlink xmlns:r="http://schemas.openxmlformats.org/officeDocument/2006/relationships" ref="N640" r:id="rId709"/>
    <hyperlink xmlns:r="http://schemas.openxmlformats.org/officeDocument/2006/relationships" ref="M641" r:id="rId710"/>
    <hyperlink xmlns:r="http://schemas.openxmlformats.org/officeDocument/2006/relationships" ref="N641" r:id="rId711"/>
    <hyperlink xmlns:r="http://schemas.openxmlformats.org/officeDocument/2006/relationships" ref="M642" r:id="rId712"/>
    <hyperlink xmlns:r="http://schemas.openxmlformats.org/officeDocument/2006/relationships" ref="M643" r:id="rId713"/>
    <hyperlink xmlns:r="http://schemas.openxmlformats.org/officeDocument/2006/relationships" ref="M644" r:id="rId714"/>
    <hyperlink xmlns:r="http://schemas.openxmlformats.org/officeDocument/2006/relationships" ref="M645" r:id="rId715"/>
    <hyperlink xmlns:r="http://schemas.openxmlformats.org/officeDocument/2006/relationships" ref="M646" r:id="rId716"/>
    <hyperlink xmlns:r="http://schemas.openxmlformats.org/officeDocument/2006/relationships" ref="M647" r:id="rId717"/>
    <hyperlink xmlns:r="http://schemas.openxmlformats.org/officeDocument/2006/relationships" ref="M648" r:id="rId718"/>
    <hyperlink xmlns:r="http://schemas.openxmlformats.org/officeDocument/2006/relationships" ref="M649" r:id="rId719"/>
    <hyperlink xmlns:r="http://schemas.openxmlformats.org/officeDocument/2006/relationships" ref="M650" r:id="rId720"/>
    <hyperlink xmlns:r="http://schemas.openxmlformats.org/officeDocument/2006/relationships" ref="M651" r:id="rId721"/>
    <hyperlink xmlns:r="http://schemas.openxmlformats.org/officeDocument/2006/relationships" ref="M652" r:id="rId722"/>
    <hyperlink xmlns:r="http://schemas.openxmlformats.org/officeDocument/2006/relationships" ref="M653" r:id="rId723"/>
    <hyperlink xmlns:r="http://schemas.openxmlformats.org/officeDocument/2006/relationships" ref="M654" r:id="rId724"/>
    <hyperlink xmlns:r="http://schemas.openxmlformats.org/officeDocument/2006/relationships" ref="N654" r:id="rId725"/>
    <hyperlink xmlns:r="http://schemas.openxmlformats.org/officeDocument/2006/relationships" ref="M655" r:id="rId726"/>
    <hyperlink xmlns:r="http://schemas.openxmlformats.org/officeDocument/2006/relationships" ref="M656" r:id="rId727"/>
    <hyperlink xmlns:r="http://schemas.openxmlformats.org/officeDocument/2006/relationships" ref="N656" r:id="rId728"/>
    <hyperlink xmlns:r="http://schemas.openxmlformats.org/officeDocument/2006/relationships" ref="M657" r:id="rId729"/>
    <hyperlink xmlns:r="http://schemas.openxmlformats.org/officeDocument/2006/relationships" ref="N657" r:id="rId730"/>
    <hyperlink xmlns:r="http://schemas.openxmlformats.org/officeDocument/2006/relationships" ref="M658" r:id="rId731"/>
    <hyperlink xmlns:r="http://schemas.openxmlformats.org/officeDocument/2006/relationships" ref="M659" r:id="rId732"/>
    <hyperlink xmlns:r="http://schemas.openxmlformats.org/officeDocument/2006/relationships" ref="M660" r:id="rId733"/>
    <hyperlink xmlns:r="http://schemas.openxmlformats.org/officeDocument/2006/relationships" ref="M661" r:id="rId734"/>
    <hyperlink xmlns:r="http://schemas.openxmlformats.org/officeDocument/2006/relationships" ref="N661" r:id="rId735"/>
    <hyperlink xmlns:r="http://schemas.openxmlformats.org/officeDocument/2006/relationships" ref="M662" r:id="rId736"/>
    <hyperlink xmlns:r="http://schemas.openxmlformats.org/officeDocument/2006/relationships" ref="N663" r:id="rId737"/>
    <hyperlink xmlns:r="http://schemas.openxmlformats.org/officeDocument/2006/relationships" ref="N664" r:id="rId738"/>
    <hyperlink xmlns:r="http://schemas.openxmlformats.org/officeDocument/2006/relationships" ref="N665" r:id="rId739"/>
    <hyperlink xmlns:r="http://schemas.openxmlformats.org/officeDocument/2006/relationships" ref="N666" r:id="rId740"/>
    <hyperlink xmlns:r="http://schemas.openxmlformats.org/officeDocument/2006/relationships" ref="N667" r:id="rId741"/>
    <hyperlink xmlns:r="http://schemas.openxmlformats.org/officeDocument/2006/relationships" ref="N668" r:id="rId742"/>
    <hyperlink xmlns:r="http://schemas.openxmlformats.org/officeDocument/2006/relationships" ref="N669" r:id="rId743"/>
    <hyperlink xmlns:r="http://schemas.openxmlformats.org/officeDocument/2006/relationships" ref="N670" r:id="rId744"/>
    <hyperlink xmlns:r="http://schemas.openxmlformats.org/officeDocument/2006/relationships" ref="N671" r:id="rId745"/>
    <hyperlink xmlns:r="http://schemas.openxmlformats.org/officeDocument/2006/relationships" ref="N672" r:id="rId746"/>
    <hyperlink xmlns:r="http://schemas.openxmlformats.org/officeDocument/2006/relationships" ref="N673" r:id="rId747"/>
    <hyperlink xmlns:r="http://schemas.openxmlformats.org/officeDocument/2006/relationships" ref="N674" r:id="rId748"/>
    <hyperlink xmlns:r="http://schemas.openxmlformats.org/officeDocument/2006/relationships" ref="N675" r:id="rId749"/>
    <hyperlink xmlns:r="http://schemas.openxmlformats.org/officeDocument/2006/relationships" ref="N676" r:id="rId750"/>
    <hyperlink xmlns:r="http://schemas.openxmlformats.org/officeDocument/2006/relationships" ref="N677" r:id="rId751"/>
    <hyperlink xmlns:r="http://schemas.openxmlformats.org/officeDocument/2006/relationships" ref="N678" r:id="rId752"/>
    <hyperlink xmlns:r="http://schemas.openxmlformats.org/officeDocument/2006/relationships" ref="N679" r:id="rId753"/>
    <hyperlink xmlns:r="http://schemas.openxmlformats.org/officeDocument/2006/relationships" ref="N680" r:id="rId754"/>
    <hyperlink xmlns:r="http://schemas.openxmlformats.org/officeDocument/2006/relationships" ref="N681" r:id="rId755"/>
    <hyperlink xmlns:r="http://schemas.openxmlformats.org/officeDocument/2006/relationships" ref="N682" r:id="rId756"/>
    <hyperlink xmlns:r="http://schemas.openxmlformats.org/officeDocument/2006/relationships" ref="N683" r:id="rId757"/>
    <hyperlink xmlns:r="http://schemas.openxmlformats.org/officeDocument/2006/relationships" ref="N684" r:id="rId758"/>
    <hyperlink xmlns:r="http://schemas.openxmlformats.org/officeDocument/2006/relationships" ref="N685" r:id="rId759"/>
    <hyperlink xmlns:r="http://schemas.openxmlformats.org/officeDocument/2006/relationships" ref="N686" r:id="rId760"/>
    <hyperlink xmlns:r="http://schemas.openxmlformats.org/officeDocument/2006/relationships" ref="N687" r:id="rId761"/>
    <hyperlink xmlns:r="http://schemas.openxmlformats.org/officeDocument/2006/relationships" ref="N688" r:id="rId762"/>
    <hyperlink xmlns:r="http://schemas.openxmlformats.org/officeDocument/2006/relationships" ref="N689" r:id="rId763"/>
    <hyperlink xmlns:r="http://schemas.openxmlformats.org/officeDocument/2006/relationships" ref="N690" r:id="rId764"/>
    <hyperlink xmlns:r="http://schemas.openxmlformats.org/officeDocument/2006/relationships" ref="N691" r:id="rId765"/>
    <hyperlink xmlns:r="http://schemas.openxmlformats.org/officeDocument/2006/relationships" ref="M692" r:id="rId766"/>
    <hyperlink xmlns:r="http://schemas.openxmlformats.org/officeDocument/2006/relationships" ref="N692" r:id="rId767"/>
    <hyperlink xmlns:r="http://schemas.openxmlformats.org/officeDocument/2006/relationships" ref="M693" r:id="rId768"/>
    <hyperlink xmlns:r="http://schemas.openxmlformats.org/officeDocument/2006/relationships" ref="M694" r:id="rId769"/>
    <hyperlink xmlns:r="http://schemas.openxmlformats.org/officeDocument/2006/relationships" ref="M695" r:id="rId770"/>
    <hyperlink xmlns:r="http://schemas.openxmlformats.org/officeDocument/2006/relationships" ref="M696" r:id="rId771"/>
    <hyperlink xmlns:r="http://schemas.openxmlformats.org/officeDocument/2006/relationships" ref="M697" r:id="rId772"/>
    <hyperlink xmlns:r="http://schemas.openxmlformats.org/officeDocument/2006/relationships" ref="N697" r:id="rId773"/>
    <hyperlink xmlns:r="http://schemas.openxmlformats.org/officeDocument/2006/relationships" ref="M698" r:id="rId774"/>
    <hyperlink xmlns:r="http://schemas.openxmlformats.org/officeDocument/2006/relationships" ref="N698" r:id="rId775"/>
    <hyperlink xmlns:r="http://schemas.openxmlformats.org/officeDocument/2006/relationships" ref="M699" r:id="rId776"/>
    <hyperlink xmlns:r="http://schemas.openxmlformats.org/officeDocument/2006/relationships" ref="N699" r:id="rId777"/>
    <hyperlink xmlns:r="http://schemas.openxmlformats.org/officeDocument/2006/relationships" ref="M700" r:id="rId778"/>
    <hyperlink xmlns:r="http://schemas.openxmlformats.org/officeDocument/2006/relationships" ref="N700" r:id="rId779"/>
    <hyperlink xmlns:r="http://schemas.openxmlformats.org/officeDocument/2006/relationships" ref="M701" r:id="rId780"/>
    <hyperlink xmlns:r="http://schemas.openxmlformats.org/officeDocument/2006/relationships" ref="N701" r:id="rId781"/>
    <hyperlink xmlns:r="http://schemas.openxmlformats.org/officeDocument/2006/relationships" ref="M702" r:id="rId782"/>
    <hyperlink xmlns:r="http://schemas.openxmlformats.org/officeDocument/2006/relationships" ref="N702" r:id="rId783"/>
    <hyperlink xmlns:r="http://schemas.openxmlformats.org/officeDocument/2006/relationships" ref="M703" r:id="rId784"/>
    <hyperlink xmlns:r="http://schemas.openxmlformats.org/officeDocument/2006/relationships" ref="N703" r:id="rId785"/>
    <hyperlink xmlns:r="http://schemas.openxmlformats.org/officeDocument/2006/relationships" ref="N704" r:id="rId786"/>
    <hyperlink xmlns:r="http://schemas.openxmlformats.org/officeDocument/2006/relationships" ref="N705" r:id="rId787"/>
    <hyperlink xmlns:r="http://schemas.openxmlformats.org/officeDocument/2006/relationships" ref="N706" r:id="rId788"/>
    <hyperlink xmlns:r="http://schemas.openxmlformats.org/officeDocument/2006/relationships" ref="N707" r:id="rId789"/>
    <hyperlink xmlns:r="http://schemas.openxmlformats.org/officeDocument/2006/relationships" ref="N708" r:id="rId790"/>
    <hyperlink xmlns:r="http://schemas.openxmlformats.org/officeDocument/2006/relationships" ref="N709" r:id="rId791"/>
    <hyperlink xmlns:r="http://schemas.openxmlformats.org/officeDocument/2006/relationships" ref="N710" r:id="rId792"/>
    <hyperlink xmlns:r="http://schemas.openxmlformats.org/officeDocument/2006/relationships" ref="N711" r:id="rId793"/>
    <hyperlink xmlns:r="http://schemas.openxmlformats.org/officeDocument/2006/relationships" ref="N712" r:id="rId794"/>
    <hyperlink xmlns:r="http://schemas.openxmlformats.org/officeDocument/2006/relationships" ref="N713" r:id="rId795"/>
    <hyperlink xmlns:r="http://schemas.openxmlformats.org/officeDocument/2006/relationships" ref="N714" r:id="rId796"/>
    <hyperlink xmlns:r="http://schemas.openxmlformats.org/officeDocument/2006/relationships" ref="N715" r:id="rId797"/>
    <hyperlink xmlns:r="http://schemas.openxmlformats.org/officeDocument/2006/relationships" ref="N716" r:id="rId798"/>
    <hyperlink xmlns:r="http://schemas.openxmlformats.org/officeDocument/2006/relationships" ref="N717" r:id="rId799"/>
    <hyperlink xmlns:r="http://schemas.openxmlformats.org/officeDocument/2006/relationships" ref="N718" r:id="rId800"/>
    <hyperlink xmlns:r="http://schemas.openxmlformats.org/officeDocument/2006/relationships" ref="N719" r:id="rId801"/>
    <hyperlink xmlns:r="http://schemas.openxmlformats.org/officeDocument/2006/relationships" ref="N720" r:id="rId802"/>
    <hyperlink xmlns:r="http://schemas.openxmlformats.org/officeDocument/2006/relationships" ref="N721" r:id="rId803"/>
    <hyperlink xmlns:r="http://schemas.openxmlformats.org/officeDocument/2006/relationships" ref="N722" r:id="rId804"/>
    <hyperlink xmlns:r="http://schemas.openxmlformats.org/officeDocument/2006/relationships" ref="N723" r:id="rId805"/>
    <hyperlink xmlns:r="http://schemas.openxmlformats.org/officeDocument/2006/relationships" ref="N724" r:id="rId806"/>
    <hyperlink xmlns:r="http://schemas.openxmlformats.org/officeDocument/2006/relationships" ref="M725" r:id="rId807"/>
    <hyperlink xmlns:r="http://schemas.openxmlformats.org/officeDocument/2006/relationships" ref="M726" r:id="rId808"/>
    <hyperlink xmlns:r="http://schemas.openxmlformats.org/officeDocument/2006/relationships" ref="M727" r:id="rId809"/>
    <hyperlink xmlns:r="http://schemas.openxmlformats.org/officeDocument/2006/relationships" ref="M728" r:id="rId810"/>
    <hyperlink xmlns:r="http://schemas.openxmlformats.org/officeDocument/2006/relationships" ref="M729" r:id="rId811"/>
    <hyperlink xmlns:r="http://schemas.openxmlformats.org/officeDocument/2006/relationships" ref="M730" r:id="rId812"/>
    <hyperlink xmlns:r="http://schemas.openxmlformats.org/officeDocument/2006/relationships" ref="N730" r:id="rId813"/>
    <hyperlink xmlns:r="http://schemas.openxmlformats.org/officeDocument/2006/relationships" ref="M731" r:id="rId814"/>
    <hyperlink xmlns:r="http://schemas.openxmlformats.org/officeDocument/2006/relationships" ref="N732" r:id="rId815"/>
    <hyperlink xmlns:r="http://schemas.openxmlformats.org/officeDocument/2006/relationships" ref="M733" r:id="rId816"/>
    <hyperlink xmlns:r="http://schemas.openxmlformats.org/officeDocument/2006/relationships" ref="N733" r:id="rId817"/>
    <hyperlink xmlns:r="http://schemas.openxmlformats.org/officeDocument/2006/relationships" ref="M734" r:id="rId818"/>
    <hyperlink xmlns:r="http://schemas.openxmlformats.org/officeDocument/2006/relationships" ref="N734" r:id="rId819"/>
    <hyperlink xmlns:r="http://schemas.openxmlformats.org/officeDocument/2006/relationships" ref="M735" r:id="rId820"/>
    <hyperlink xmlns:r="http://schemas.openxmlformats.org/officeDocument/2006/relationships" ref="N735" r:id="rId821"/>
    <hyperlink xmlns:r="http://schemas.openxmlformats.org/officeDocument/2006/relationships" ref="M736" r:id="rId822"/>
    <hyperlink xmlns:r="http://schemas.openxmlformats.org/officeDocument/2006/relationships" ref="N736" r:id="rId823"/>
    <hyperlink xmlns:r="http://schemas.openxmlformats.org/officeDocument/2006/relationships" ref="M737" r:id="rId824"/>
    <hyperlink xmlns:r="http://schemas.openxmlformats.org/officeDocument/2006/relationships" ref="N737" r:id="rId825"/>
    <hyperlink xmlns:r="http://schemas.openxmlformats.org/officeDocument/2006/relationships" ref="M738" r:id="rId826"/>
    <hyperlink xmlns:r="http://schemas.openxmlformats.org/officeDocument/2006/relationships" ref="N738" r:id="rId827"/>
    <hyperlink xmlns:r="http://schemas.openxmlformats.org/officeDocument/2006/relationships" ref="M739" r:id="rId828"/>
    <hyperlink xmlns:r="http://schemas.openxmlformats.org/officeDocument/2006/relationships" ref="N739" r:id="rId829"/>
    <hyperlink xmlns:r="http://schemas.openxmlformats.org/officeDocument/2006/relationships" ref="N740" r:id="rId830"/>
    <hyperlink xmlns:r="http://schemas.openxmlformats.org/officeDocument/2006/relationships" ref="M741" r:id="rId831"/>
    <hyperlink xmlns:r="http://schemas.openxmlformats.org/officeDocument/2006/relationships" ref="N741" r:id="rId832"/>
    <hyperlink xmlns:r="http://schemas.openxmlformats.org/officeDocument/2006/relationships" ref="N742" r:id="rId833"/>
    <hyperlink xmlns:r="http://schemas.openxmlformats.org/officeDocument/2006/relationships" ref="N743" r:id="rId834"/>
    <hyperlink xmlns:r="http://schemas.openxmlformats.org/officeDocument/2006/relationships" ref="M744" r:id="rId835"/>
    <hyperlink xmlns:r="http://schemas.openxmlformats.org/officeDocument/2006/relationships" ref="N744" r:id="rId836"/>
    <hyperlink xmlns:r="http://schemas.openxmlformats.org/officeDocument/2006/relationships" ref="M745" r:id="rId837"/>
    <hyperlink xmlns:r="http://schemas.openxmlformats.org/officeDocument/2006/relationships" ref="N745" r:id="rId838"/>
    <hyperlink xmlns:r="http://schemas.openxmlformats.org/officeDocument/2006/relationships" ref="M746" r:id="rId839"/>
    <hyperlink xmlns:r="http://schemas.openxmlformats.org/officeDocument/2006/relationships" ref="N746" r:id="rId840"/>
    <hyperlink xmlns:r="http://schemas.openxmlformats.org/officeDocument/2006/relationships" ref="N747" r:id="rId841"/>
    <hyperlink xmlns:r="http://schemas.openxmlformats.org/officeDocument/2006/relationships" ref="M748" r:id="rId842"/>
    <hyperlink xmlns:r="http://schemas.openxmlformats.org/officeDocument/2006/relationships" ref="N748" r:id="rId843"/>
    <hyperlink xmlns:r="http://schemas.openxmlformats.org/officeDocument/2006/relationships" ref="M749" r:id="rId844"/>
    <hyperlink xmlns:r="http://schemas.openxmlformats.org/officeDocument/2006/relationships" ref="N749" r:id="rId845"/>
    <hyperlink xmlns:r="http://schemas.openxmlformats.org/officeDocument/2006/relationships" ref="M750" r:id="rId846"/>
    <hyperlink xmlns:r="http://schemas.openxmlformats.org/officeDocument/2006/relationships" ref="N750" r:id="rId847"/>
    <hyperlink xmlns:r="http://schemas.openxmlformats.org/officeDocument/2006/relationships" ref="N751" r:id="rId848"/>
    <hyperlink xmlns:r="http://schemas.openxmlformats.org/officeDocument/2006/relationships" ref="N752" r:id="rId849"/>
    <hyperlink xmlns:r="http://schemas.openxmlformats.org/officeDocument/2006/relationships" ref="N753" r:id="rId850"/>
    <hyperlink xmlns:r="http://schemas.openxmlformats.org/officeDocument/2006/relationships" ref="N754" r:id="rId851"/>
    <hyperlink xmlns:r="http://schemas.openxmlformats.org/officeDocument/2006/relationships" ref="N755" r:id="rId852"/>
    <hyperlink xmlns:r="http://schemas.openxmlformats.org/officeDocument/2006/relationships" ref="N756" r:id="rId853"/>
    <hyperlink xmlns:r="http://schemas.openxmlformats.org/officeDocument/2006/relationships" ref="N757" r:id="rId854"/>
    <hyperlink xmlns:r="http://schemas.openxmlformats.org/officeDocument/2006/relationships" ref="N758" r:id="rId855"/>
    <hyperlink xmlns:r="http://schemas.openxmlformats.org/officeDocument/2006/relationships" ref="N759" r:id="rId856"/>
    <hyperlink xmlns:r="http://schemas.openxmlformats.org/officeDocument/2006/relationships" ref="N760" r:id="rId857"/>
    <hyperlink xmlns:r="http://schemas.openxmlformats.org/officeDocument/2006/relationships" ref="N761" r:id="rId858"/>
    <hyperlink xmlns:r="http://schemas.openxmlformats.org/officeDocument/2006/relationships" ref="N762" r:id="rId859"/>
    <hyperlink xmlns:r="http://schemas.openxmlformats.org/officeDocument/2006/relationships" ref="N763" r:id="rId860"/>
    <hyperlink xmlns:r="http://schemas.openxmlformats.org/officeDocument/2006/relationships" ref="N764" r:id="rId861"/>
    <hyperlink xmlns:r="http://schemas.openxmlformats.org/officeDocument/2006/relationships" ref="N765" r:id="rId862"/>
    <hyperlink xmlns:r="http://schemas.openxmlformats.org/officeDocument/2006/relationships" ref="N766" r:id="rId863"/>
    <hyperlink xmlns:r="http://schemas.openxmlformats.org/officeDocument/2006/relationships" ref="N767" r:id="rId864"/>
    <hyperlink xmlns:r="http://schemas.openxmlformats.org/officeDocument/2006/relationships" ref="N768" r:id="rId865"/>
    <hyperlink xmlns:r="http://schemas.openxmlformats.org/officeDocument/2006/relationships" ref="N769" r:id="rId866"/>
    <hyperlink xmlns:r="http://schemas.openxmlformats.org/officeDocument/2006/relationships" ref="N770" r:id="rId867"/>
    <hyperlink xmlns:r="http://schemas.openxmlformats.org/officeDocument/2006/relationships" ref="N771" r:id="rId868"/>
    <hyperlink xmlns:r="http://schemas.openxmlformats.org/officeDocument/2006/relationships" ref="N772" r:id="rId869"/>
    <hyperlink xmlns:r="http://schemas.openxmlformats.org/officeDocument/2006/relationships" ref="N773" r:id="rId870"/>
    <hyperlink xmlns:r="http://schemas.openxmlformats.org/officeDocument/2006/relationships" ref="N774" r:id="rId871"/>
    <hyperlink xmlns:r="http://schemas.openxmlformats.org/officeDocument/2006/relationships" ref="N775" r:id="rId872"/>
    <hyperlink xmlns:r="http://schemas.openxmlformats.org/officeDocument/2006/relationships" ref="N776" r:id="rId873"/>
    <hyperlink xmlns:r="http://schemas.openxmlformats.org/officeDocument/2006/relationships" ref="N777" r:id="rId874"/>
    <hyperlink xmlns:r="http://schemas.openxmlformats.org/officeDocument/2006/relationships" ref="N778" r:id="rId875"/>
    <hyperlink xmlns:r="http://schemas.openxmlformats.org/officeDocument/2006/relationships" ref="M779" r:id="rId876"/>
    <hyperlink xmlns:r="http://schemas.openxmlformats.org/officeDocument/2006/relationships" ref="N779" r:id="rId877"/>
    <hyperlink xmlns:r="http://schemas.openxmlformats.org/officeDocument/2006/relationships" ref="M780" r:id="rId878"/>
    <hyperlink xmlns:r="http://schemas.openxmlformats.org/officeDocument/2006/relationships" ref="N780" r:id="rId879"/>
    <hyperlink xmlns:r="http://schemas.openxmlformats.org/officeDocument/2006/relationships" ref="M781" r:id="rId880"/>
    <hyperlink xmlns:r="http://schemas.openxmlformats.org/officeDocument/2006/relationships" ref="N781" r:id="rId881"/>
    <hyperlink xmlns:r="http://schemas.openxmlformats.org/officeDocument/2006/relationships" ref="M782" r:id="rId882"/>
    <hyperlink xmlns:r="http://schemas.openxmlformats.org/officeDocument/2006/relationships" ref="N782" r:id="rId883"/>
    <hyperlink xmlns:r="http://schemas.openxmlformats.org/officeDocument/2006/relationships" ref="M783" r:id="rId884"/>
    <hyperlink xmlns:r="http://schemas.openxmlformats.org/officeDocument/2006/relationships" ref="N783" r:id="rId885"/>
    <hyperlink xmlns:r="http://schemas.openxmlformats.org/officeDocument/2006/relationships" ref="M784" r:id="rId886"/>
    <hyperlink xmlns:r="http://schemas.openxmlformats.org/officeDocument/2006/relationships" ref="N784" r:id="rId887"/>
    <hyperlink xmlns:r="http://schemas.openxmlformats.org/officeDocument/2006/relationships" ref="M785" r:id="rId888"/>
    <hyperlink xmlns:r="http://schemas.openxmlformats.org/officeDocument/2006/relationships" ref="N785" r:id="rId889"/>
    <hyperlink xmlns:r="http://schemas.openxmlformats.org/officeDocument/2006/relationships" ref="M786" r:id="rId890"/>
    <hyperlink xmlns:r="http://schemas.openxmlformats.org/officeDocument/2006/relationships" ref="N786" r:id="rId891"/>
    <hyperlink xmlns:r="http://schemas.openxmlformats.org/officeDocument/2006/relationships" ref="M787" r:id="rId892"/>
    <hyperlink xmlns:r="http://schemas.openxmlformats.org/officeDocument/2006/relationships" ref="N787" r:id="rId893"/>
    <hyperlink xmlns:r="http://schemas.openxmlformats.org/officeDocument/2006/relationships" ref="M788" r:id="rId894"/>
    <hyperlink xmlns:r="http://schemas.openxmlformats.org/officeDocument/2006/relationships" ref="N788" r:id="rId895"/>
    <hyperlink xmlns:r="http://schemas.openxmlformats.org/officeDocument/2006/relationships" ref="N789" r:id="rId896"/>
    <hyperlink xmlns:r="http://schemas.openxmlformats.org/officeDocument/2006/relationships" ref="M790" r:id="rId897"/>
    <hyperlink xmlns:r="http://schemas.openxmlformats.org/officeDocument/2006/relationships" ref="N790" r:id="rId898"/>
    <hyperlink xmlns:r="http://schemas.openxmlformats.org/officeDocument/2006/relationships" ref="M791" r:id="rId899"/>
    <hyperlink xmlns:r="http://schemas.openxmlformats.org/officeDocument/2006/relationships" ref="N791" r:id="rId900"/>
    <hyperlink xmlns:r="http://schemas.openxmlformats.org/officeDocument/2006/relationships" ref="M792" r:id="rId901"/>
    <hyperlink xmlns:r="http://schemas.openxmlformats.org/officeDocument/2006/relationships" ref="M793" r:id="rId902"/>
    <hyperlink xmlns:r="http://schemas.openxmlformats.org/officeDocument/2006/relationships" ref="N793" r:id="rId903"/>
    <hyperlink xmlns:r="http://schemas.openxmlformats.org/officeDocument/2006/relationships" ref="N794" r:id="rId904"/>
    <hyperlink xmlns:r="http://schemas.openxmlformats.org/officeDocument/2006/relationships" ref="M795" r:id="rId905"/>
    <hyperlink xmlns:r="http://schemas.openxmlformats.org/officeDocument/2006/relationships" ref="M796" r:id="rId906"/>
    <hyperlink xmlns:r="http://schemas.openxmlformats.org/officeDocument/2006/relationships" ref="N796" r:id="rId907"/>
    <hyperlink xmlns:r="http://schemas.openxmlformats.org/officeDocument/2006/relationships" ref="M797" r:id="rId908"/>
    <hyperlink xmlns:r="http://schemas.openxmlformats.org/officeDocument/2006/relationships" ref="M798" r:id="rId909"/>
    <hyperlink xmlns:r="http://schemas.openxmlformats.org/officeDocument/2006/relationships" ref="M799" r:id="rId910"/>
    <hyperlink xmlns:r="http://schemas.openxmlformats.org/officeDocument/2006/relationships" ref="M800" r:id="rId911"/>
    <hyperlink xmlns:r="http://schemas.openxmlformats.org/officeDocument/2006/relationships" ref="N800" r:id="rId912"/>
    <hyperlink xmlns:r="http://schemas.openxmlformats.org/officeDocument/2006/relationships" ref="M801" r:id="rId913"/>
    <hyperlink xmlns:r="http://schemas.openxmlformats.org/officeDocument/2006/relationships" ref="N801" r:id="rId914"/>
    <hyperlink xmlns:r="http://schemas.openxmlformats.org/officeDocument/2006/relationships" ref="M802" r:id="rId915"/>
    <hyperlink xmlns:r="http://schemas.openxmlformats.org/officeDocument/2006/relationships" ref="M803" r:id="rId916"/>
    <hyperlink xmlns:r="http://schemas.openxmlformats.org/officeDocument/2006/relationships" ref="M804" r:id="rId917"/>
    <hyperlink xmlns:r="http://schemas.openxmlformats.org/officeDocument/2006/relationships" ref="N805" r:id="rId918"/>
    <hyperlink xmlns:r="http://schemas.openxmlformats.org/officeDocument/2006/relationships" ref="N806" r:id="rId919"/>
    <hyperlink xmlns:r="http://schemas.openxmlformats.org/officeDocument/2006/relationships" ref="N807" r:id="rId920"/>
    <hyperlink xmlns:r="http://schemas.openxmlformats.org/officeDocument/2006/relationships" ref="N808" r:id="rId921"/>
    <hyperlink xmlns:r="http://schemas.openxmlformats.org/officeDocument/2006/relationships" ref="N809" r:id="rId922"/>
    <hyperlink xmlns:r="http://schemas.openxmlformats.org/officeDocument/2006/relationships" ref="M810" r:id="rId923"/>
    <hyperlink xmlns:r="http://schemas.openxmlformats.org/officeDocument/2006/relationships" ref="N810" r:id="rId924"/>
    <hyperlink xmlns:r="http://schemas.openxmlformats.org/officeDocument/2006/relationships" ref="M811" r:id="rId925"/>
    <hyperlink xmlns:r="http://schemas.openxmlformats.org/officeDocument/2006/relationships" ref="N811" r:id="rId926"/>
    <hyperlink xmlns:r="http://schemas.openxmlformats.org/officeDocument/2006/relationships" ref="N812" r:id="rId927"/>
    <hyperlink xmlns:r="http://schemas.openxmlformats.org/officeDocument/2006/relationships" ref="N813" r:id="rId928"/>
    <hyperlink xmlns:r="http://schemas.openxmlformats.org/officeDocument/2006/relationships" ref="N814" r:id="rId929"/>
    <hyperlink xmlns:r="http://schemas.openxmlformats.org/officeDocument/2006/relationships" ref="M815" r:id="rId930"/>
    <hyperlink xmlns:r="http://schemas.openxmlformats.org/officeDocument/2006/relationships" ref="M816" r:id="rId931"/>
    <hyperlink xmlns:r="http://schemas.openxmlformats.org/officeDocument/2006/relationships" ref="M817" r:id="rId932"/>
    <hyperlink xmlns:r="http://schemas.openxmlformats.org/officeDocument/2006/relationships" ref="N818" r:id="rId933"/>
    <hyperlink xmlns:r="http://schemas.openxmlformats.org/officeDocument/2006/relationships" ref="M819" r:id="rId934"/>
    <hyperlink xmlns:r="http://schemas.openxmlformats.org/officeDocument/2006/relationships" ref="M820" r:id="rId935"/>
    <hyperlink xmlns:r="http://schemas.openxmlformats.org/officeDocument/2006/relationships" ref="M821" r:id="rId936"/>
    <hyperlink xmlns:r="http://schemas.openxmlformats.org/officeDocument/2006/relationships" ref="M822" r:id="rId937"/>
    <hyperlink xmlns:r="http://schemas.openxmlformats.org/officeDocument/2006/relationships" ref="M823" r:id="rId938"/>
    <hyperlink xmlns:r="http://schemas.openxmlformats.org/officeDocument/2006/relationships" ref="M824" r:id="rId939"/>
    <hyperlink xmlns:r="http://schemas.openxmlformats.org/officeDocument/2006/relationships" ref="M825" r:id="rId940"/>
    <hyperlink xmlns:r="http://schemas.openxmlformats.org/officeDocument/2006/relationships" ref="M826" r:id="rId941"/>
    <hyperlink xmlns:r="http://schemas.openxmlformats.org/officeDocument/2006/relationships" ref="M827" r:id="rId942"/>
    <hyperlink xmlns:r="http://schemas.openxmlformats.org/officeDocument/2006/relationships" ref="M828" r:id="rId943"/>
    <hyperlink xmlns:r="http://schemas.openxmlformats.org/officeDocument/2006/relationships" ref="M829" r:id="rId944"/>
    <hyperlink xmlns:r="http://schemas.openxmlformats.org/officeDocument/2006/relationships" ref="M830" r:id="rId945"/>
    <hyperlink xmlns:r="http://schemas.openxmlformats.org/officeDocument/2006/relationships" ref="M831" r:id="rId946"/>
    <hyperlink xmlns:r="http://schemas.openxmlformats.org/officeDocument/2006/relationships" ref="M832" r:id="rId947"/>
    <hyperlink xmlns:r="http://schemas.openxmlformats.org/officeDocument/2006/relationships" ref="M833" r:id="rId948"/>
    <hyperlink xmlns:r="http://schemas.openxmlformats.org/officeDocument/2006/relationships" ref="M834" r:id="rId949"/>
    <hyperlink xmlns:r="http://schemas.openxmlformats.org/officeDocument/2006/relationships" ref="M835" r:id="rId950"/>
    <hyperlink xmlns:r="http://schemas.openxmlformats.org/officeDocument/2006/relationships" ref="M836" r:id="rId951"/>
    <hyperlink xmlns:r="http://schemas.openxmlformats.org/officeDocument/2006/relationships" ref="M837" r:id="rId952"/>
    <hyperlink xmlns:r="http://schemas.openxmlformats.org/officeDocument/2006/relationships" ref="M838" r:id="rId953"/>
    <hyperlink xmlns:r="http://schemas.openxmlformats.org/officeDocument/2006/relationships" ref="M839" r:id="rId954"/>
    <hyperlink xmlns:r="http://schemas.openxmlformats.org/officeDocument/2006/relationships" ref="M840" r:id="rId955"/>
    <hyperlink xmlns:r="http://schemas.openxmlformats.org/officeDocument/2006/relationships" ref="M841" r:id="rId956"/>
    <hyperlink xmlns:r="http://schemas.openxmlformats.org/officeDocument/2006/relationships" ref="M842" r:id="rId957"/>
    <hyperlink xmlns:r="http://schemas.openxmlformats.org/officeDocument/2006/relationships" ref="M843" r:id="rId958"/>
    <hyperlink xmlns:r="http://schemas.openxmlformats.org/officeDocument/2006/relationships" ref="M844" r:id="rId959"/>
    <hyperlink xmlns:r="http://schemas.openxmlformats.org/officeDocument/2006/relationships" ref="M845" r:id="rId960"/>
    <hyperlink xmlns:r="http://schemas.openxmlformats.org/officeDocument/2006/relationships" ref="M846" r:id="rId961"/>
    <hyperlink xmlns:r="http://schemas.openxmlformats.org/officeDocument/2006/relationships" ref="M847" r:id="rId962"/>
    <hyperlink xmlns:r="http://schemas.openxmlformats.org/officeDocument/2006/relationships" ref="M848" r:id="rId963"/>
    <hyperlink xmlns:r="http://schemas.openxmlformats.org/officeDocument/2006/relationships" ref="M849" r:id="rId964"/>
    <hyperlink xmlns:r="http://schemas.openxmlformats.org/officeDocument/2006/relationships" ref="M850" r:id="rId965"/>
    <hyperlink xmlns:r="http://schemas.openxmlformats.org/officeDocument/2006/relationships" ref="M851" r:id="rId966"/>
    <hyperlink xmlns:r="http://schemas.openxmlformats.org/officeDocument/2006/relationships" ref="M852" r:id="rId967"/>
    <hyperlink xmlns:r="http://schemas.openxmlformats.org/officeDocument/2006/relationships" ref="M853" r:id="rId968"/>
    <hyperlink xmlns:r="http://schemas.openxmlformats.org/officeDocument/2006/relationships" ref="M854" r:id="rId969"/>
    <hyperlink xmlns:r="http://schemas.openxmlformats.org/officeDocument/2006/relationships" ref="M855" r:id="rId970"/>
    <hyperlink xmlns:r="http://schemas.openxmlformats.org/officeDocument/2006/relationships" ref="M856" r:id="rId971"/>
    <hyperlink xmlns:r="http://schemas.openxmlformats.org/officeDocument/2006/relationships" ref="M857" r:id="rId972"/>
    <hyperlink xmlns:r="http://schemas.openxmlformats.org/officeDocument/2006/relationships" ref="M858" r:id="rId973"/>
    <hyperlink xmlns:r="http://schemas.openxmlformats.org/officeDocument/2006/relationships" ref="M859" r:id="rId974"/>
    <hyperlink xmlns:r="http://schemas.openxmlformats.org/officeDocument/2006/relationships" ref="M860" r:id="rId975"/>
    <hyperlink xmlns:r="http://schemas.openxmlformats.org/officeDocument/2006/relationships" ref="M861" r:id="rId976"/>
    <hyperlink xmlns:r="http://schemas.openxmlformats.org/officeDocument/2006/relationships" ref="M862" r:id="rId977"/>
    <hyperlink xmlns:r="http://schemas.openxmlformats.org/officeDocument/2006/relationships" ref="M863" r:id="rId978"/>
    <hyperlink xmlns:r="http://schemas.openxmlformats.org/officeDocument/2006/relationships" ref="M864" r:id="rId979"/>
    <hyperlink xmlns:r="http://schemas.openxmlformats.org/officeDocument/2006/relationships" ref="M865" r:id="rId980"/>
    <hyperlink xmlns:r="http://schemas.openxmlformats.org/officeDocument/2006/relationships" ref="M866" r:id="rId981"/>
    <hyperlink xmlns:r="http://schemas.openxmlformats.org/officeDocument/2006/relationships" ref="M867" r:id="rId982"/>
    <hyperlink xmlns:r="http://schemas.openxmlformats.org/officeDocument/2006/relationships" ref="M868" r:id="rId983"/>
    <hyperlink xmlns:r="http://schemas.openxmlformats.org/officeDocument/2006/relationships" ref="M869" r:id="rId984"/>
    <hyperlink xmlns:r="http://schemas.openxmlformats.org/officeDocument/2006/relationships" ref="M870" r:id="rId985"/>
    <hyperlink xmlns:r="http://schemas.openxmlformats.org/officeDocument/2006/relationships" ref="M871" r:id="rId986"/>
    <hyperlink xmlns:r="http://schemas.openxmlformats.org/officeDocument/2006/relationships" ref="M872" r:id="rId987"/>
    <hyperlink xmlns:r="http://schemas.openxmlformats.org/officeDocument/2006/relationships" ref="M873" r:id="rId988"/>
    <hyperlink xmlns:r="http://schemas.openxmlformats.org/officeDocument/2006/relationships" ref="M874" r:id="rId989"/>
    <hyperlink xmlns:r="http://schemas.openxmlformats.org/officeDocument/2006/relationships" ref="M875" r:id="rId990"/>
    <hyperlink xmlns:r="http://schemas.openxmlformats.org/officeDocument/2006/relationships" ref="M876" r:id="rId991"/>
    <hyperlink xmlns:r="http://schemas.openxmlformats.org/officeDocument/2006/relationships" ref="M877" r:id="rId992"/>
    <hyperlink xmlns:r="http://schemas.openxmlformats.org/officeDocument/2006/relationships" ref="M878" r:id="rId993"/>
    <hyperlink xmlns:r="http://schemas.openxmlformats.org/officeDocument/2006/relationships" ref="N879" r:id="rId994"/>
    <hyperlink xmlns:r="http://schemas.openxmlformats.org/officeDocument/2006/relationships" ref="N880" r:id="rId995"/>
    <hyperlink xmlns:r="http://schemas.openxmlformats.org/officeDocument/2006/relationships" ref="N881" r:id="rId996"/>
    <hyperlink xmlns:r="http://schemas.openxmlformats.org/officeDocument/2006/relationships" ref="N882" r:id="rId997"/>
    <hyperlink xmlns:r="http://schemas.openxmlformats.org/officeDocument/2006/relationships" ref="M883" r:id="rId998"/>
    <hyperlink xmlns:r="http://schemas.openxmlformats.org/officeDocument/2006/relationships" ref="N883" r:id="rId999"/>
    <hyperlink xmlns:r="http://schemas.openxmlformats.org/officeDocument/2006/relationships" ref="M884" r:id="rId1000"/>
    <hyperlink xmlns:r="http://schemas.openxmlformats.org/officeDocument/2006/relationships" ref="M885" r:id="rId1001"/>
    <hyperlink xmlns:r="http://schemas.openxmlformats.org/officeDocument/2006/relationships" ref="M886" r:id="rId1002"/>
    <hyperlink xmlns:r="http://schemas.openxmlformats.org/officeDocument/2006/relationships" ref="N887" r:id="rId1003"/>
    <hyperlink xmlns:r="http://schemas.openxmlformats.org/officeDocument/2006/relationships" ref="M888" r:id="rId1004"/>
    <hyperlink xmlns:r="http://schemas.openxmlformats.org/officeDocument/2006/relationships" ref="M889" r:id="rId1005"/>
    <hyperlink xmlns:r="http://schemas.openxmlformats.org/officeDocument/2006/relationships" ref="M890" r:id="rId1006"/>
    <hyperlink xmlns:r="http://schemas.openxmlformats.org/officeDocument/2006/relationships" ref="N890" r:id="rId1007"/>
    <hyperlink xmlns:r="http://schemas.openxmlformats.org/officeDocument/2006/relationships" ref="M891" r:id="rId1008"/>
    <hyperlink xmlns:r="http://schemas.openxmlformats.org/officeDocument/2006/relationships" ref="M892" r:id="rId1009"/>
    <hyperlink xmlns:r="http://schemas.openxmlformats.org/officeDocument/2006/relationships" ref="M893" r:id="rId1010"/>
    <hyperlink xmlns:r="http://schemas.openxmlformats.org/officeDocument/2006/relationships" ref="M894" r:id="rId1011"/>
    <hyperlink xmlns:r="http://schemas.openxmlformats.org/officeDocument/2006/relationships" ref="M895" r:id="rId1012"/>
    <hyperlink xmlns:r="http://schemas.openxmlformats.org/officeDocument/2006/relationships" ref="M896" r:id="rId1013"/>
    <hyperlink xmlns:r="http://schemas.openxmlformats.org/officeDocument/2006/relationships" ref="M897" r:id="rId1014"/>
    <hyperlink xmlns:r="http://schemas.openxmlformats.org/officeDocument/2006/relationships" ref="M898" r:id="rId1015"/>
    <hyperlink xmlns:r="http://schemas.openxmlformats.org/officeDocument/2006/relationships" ref="N899" r:id="rId1016"/>
    <hyperlink xmlns:r="http://schemas.openxmlformats.org/officeDocument/2006/relationships" ref="N900" r:id="rId1017"/>
    <hyperlink xmlns:r="http://schemas.openxmlformats.org/officeDocument/2006/relationships" ref="N901" r:id="rId1018"/>
    <hyperlink xmlns:r="http://schemas.openxmlformats.org/officeDocument/2006/relationships" ref="N902" r:id="rId1019"/>
    <hyperlink xmlns:r="http://schemas.openxmlformats.org/officeDocument/2006/relationships" ref="N903" r:id="rId1020"/>
    <hyperlink xmlns:r="http://schemas.openxmlformats.org/officeDocument/2006/relationships" ref="M904" r:id="rId1021"/>
    <hyperlink xmlns:r="http://schemas.openxmlformats.org/officeDocument/2006/relationships" ref="N904" r:id="rId1022"/>
    <hyperlink xmlns:r="http://schemas.openxmlformats.org/officeDocument/2006/relationships" ref="N905" r:id="rId1023"/>
    <hyperlink xmlns:r="http://schemas.openxmlformats.org/officeDocument/2006/relationships" ref="N906" r:id="rId1024"/>
    <hyperlink xmlns:r="http://schemas.openxmlformats.org/officeDocument/2006/relationships" ref="N907" r:id="rId1025"/>
    <hyperlink xmlns:r="http://schemas.openxmlformats.org/officeDocument/2006/relationships" ref="N908" r:id="rId1026"/>
    <hyperlink xmlns:r="http://schemas.openxmlformats.org/officeDocument/2006/relationships" ref="M909" r:id="rId1027"/>
    <hyperlink xmlns:r="http://schemas.openxmlformats.org/officeDocument/2006/relationships" ref="N910" r:id="rId1028"/>
    <hyperlink xmlns:r="http://schemas.openxmlformats.org/officeDocument/2006/relationships" ref="M911" r:id="rId1029"/>
    <hyperlink xmlns:r="http://schemas.openxmlformats.org/officeDocument/2006/relationships" ref="M912" r:id="rId1030"/>
    <hyperlink xmlns:r="http://schemas.openxmlformats.org/officeDocument/2006/relationships" ref="N912" r:id="rId1031"/>
    <hyperlink xmlns:r="http://schemas.openxmlformats.org/officeDocument/2006/relationships" ref="N913" r:id="rId1032"/>
    <hyperlink xmlns:r="http://schemas.openxmlformats.org/officeDocument/2006/relationships" ref="M914" r:id="rId1033"/>
    <hyperlink xmlns:r="http://schemas.openxmlformats.org/officeDocument/2006/relationships" ref="M915" r:id="rId1034"/>
    <hyperlink xmlns:r="http://schemas.openxmlformats.org/officeDocument/2006/relationships" ref="N916" r:id="rId1035"/>
    <hyperlink xmlns:r="http://schemas.openxmlformats.org/officeDocument/2006/relationships" ref="M917" r:id="rId1036"/>
    <hyperlink xmlns:r="http://schemas.openxmlformats.org/officeDocument/2006/relationships" ref="M918" r:id="rId1037"/>
    <hyperlink xmlns:r="http://schemas.openxmlformats.org/officeDocument/2006/relationships" ref="N919" r:id="rId1038"/>
    <hyperlink xmlns:r="http://schemas.openxmlformats.org/officeDocument/2006/relationships" ref="N920" r:id="rId1039"/>
    <hyperlink xmlns:r="http://schemas.openxmlformats.org/officeDocument/2006/relationships" ref="N921" r:id="rId1040"/>
    <hyperlink xmlns:r="http://schemas.openxmlformats.org/officeDocument/2006/relationships" ref="N922" r:id="rId1041"/>
    <hyperlink xmlns:r="http://schemas.openxmlformats.org/officeDocument/2006/relationships" ref="M923" r:id="rId1042"/>
    <hyperlink xmlns:r="http://schemas.openxmlformats.org/officeDocument/2006/relationships" ref="M924" r:id="rId1043"/>
    <hyperlink xmlns:r="http://schemas.openxmlformats.org/officeDocument/2006/relationships" ref="N925" r:id="rId1044"/>
    <hyperlink xmlns:r="http://schemas.openxmlformats.org/officeDocument/2006/relationships" ref="N926" r:id="rId1045"/>
    <hyperlink xmlns:r="http://schemas.openxmlformats.org/officeDocument/2006/relationships" ref="N927" r:id="rId1046"/>
    <hyperlink xmlns:r="http://schemas.openxmlformats.org/officeDocument/2006/relationships" ref="N928" r:id="rId1047"/>
    <hyperlink xmlns:r="http://schemas.openxmlformats.org/officeDocument/2006/relationships" ref="N929" r:id="rId1048"/>
    <hyperlink xmlns:r="http://schemas.openxmlformats.org/officeDocument/2006/relationships" ref="N930" r:id="rId1049"/>
    <hyperlink xmlns:r="http://schemas.openxmlformats.org/officeDocument/2006/relationships" ref="N931" r:id="rId1050"/>
    <hyperlink xmlns:r="http://schemas.openxmlformats.org/officeDocument/2006/relationships" ref="N932" r:id="rId1051"/>
    <hyperlink xmlns:r="http://schemas.openxmlformats.org/officeDocument/2006/relationships" ref="N933" r:id="rId1052"/>
    <hyperlink xmlns:r="http://schemas.openxmlformats.org/officeDocument/2006/relationships" ref="N934" r:id="rId1053"/>
    <hyperlink xmlns:r="http://schemas.openxmlformats.org/officeDocument/2006/relationships" ref="N935" r:id="rId1054"/>
    <hyperlink xmlns:r="http://schemas.openxmlformats.org/officeDocument/2006/relationships" ref="N936" r:id="rId1055"/>
    <hyperlink xmlns:r="http://schemas.openxmlformats.org/officeDocument/2006/relationships" ref="M937" r:id="rId1056"/>
    <hyperlink xmlns:r="http://schemas.openxmlformats.org/officeDocument/2006/relationships" ref="M938" r:id="rId1057"/>
    <hyperlink xmlns:r="http://schemas.openxmlformats.org/officeDocument/2006/relationships" ref="M939" r:id="rId1058"/>
    <hyperlink xmlns:r="http://schemas.openxmlformats.org/officeDocument/2006/relationships" ref="M940" r:id="rId1059"/>
    <hyperlink xmlns:r="http://schemas.openxmlformats.org/officeDocument/2006/relationships" ref="M941" r:id="rId1060"/>
    <hyperlink xmlns:r="http://schemas.openxmlformats.org/officeDocument/2006/relationships" ref="M942" r:id="rId1061"/>
    <hyperlink xmlns:r="http://schemas.openxmlformats.org/officeDocument/2006/relationships" ref="M943" r:id="rId1062"/>
    <hyperlink xmlns:r="http://schemas.openxmlformats.org/officeDocument/2006/relationships" ref="M944" r:id="rId1063"/>
    <hyperlink xmlns:r="http://schemas.openxmlformats.org/officeDocument/2006/relationships" ref="M945" r:id="rId1064"/>
    <hyperlink xmlns:r="http://schemas.openxmlformats.org/officeDocument/2006/relationships" ref="M946" r:id="rId1065"/>
    <hyperlink xmlns:r="http://schemas.openxmlformats.org/officeDocument/2006/relationships" ref="M947" r:id="rId1066"/>
    <hyperlink xmlns:r="http://schemas.openxmlformats.org/officeDocument/2006/relationships" ref="M948" r:id="rId1067"/>
    <hyperlink xmlns:r="http://schemas.openxmlformats.org/officeDocument/2006/relationships" ref="M949" r:id="rId1068"/>
    <hyperlink xmlns:r="http://schemas.openxmlformats.org/officeDocument/2006/relationships" ref="M950" r:id="rId1069"/>
    <hyperlink xmlns:r="http://schemas.openxmlformats.org/officeDocument/2006/relationships" ref="M951" r:id="rId1070"/>
    <hyperlink xmlns:r="http://schemas.openxmlformats.org/officeDocument/2006/relationships" ref="M952" r:id="rId1071"/>
    <hyperlink xmlns:r="http://schemas.openxmlformats.org/officeDocument/2006/relationships" ref="M953" r:id="rId1072"/>
    <hyperlink xmlns:r="http://schemas.openxmlformats.org/officeDocument/2006/relationships" ref="M954" r:id="rId1073"/>
    <hyperlink xmlns:r="http://schemas.openxmlformats.org/officeDocument/2006/relationships" ref="M955" r:id="rId1074"/>
    <hyperlink xmlns:r="http://schemas.openxmlformats.org/officeDocument/2006/relationships" ref="M956" r:id="rId1075"/>
    <hyperlink xmlns:r="http://schemas.openxmlformats.org/officeDocument/2006/relationships" ref="M957" r:id="rId1076"/>
    <hyperlink xmlns:r="http://schemas.openxmlformats.org/officeDocument/2006/relationships" ref="M958" r:id="rId1077"/>
    <hyperlink xmlns:r="http://schemas.openxmlformats.org/officeDocument/2006/relationships" ref="M959" r:id="rId1078"/>
    <hyperlink xmlns:r="http://schemas.openxmlformats.org/officeDocument/2006/relationships" ref="M960" r:id="rId1079"/>
    <hyperlink xmlns:r="http://schemas.openxmlformats.org/officeDocument/2006/relationships" ref="M961" r:id="rId1080"/>
    <hyperlink xmlns:r="http://schemas.openxmlformats.org/officeDocument/2006/relationships" ref="M962" r:id="rId1081"/>
    <hyperlink xmlns:r="http://schemas.openxmlformats.org/officeDocument/2006/relationships" ref="M963" r:id="rId1082"/>
    <hyperlink xmlns:r="http://schemas.openxmlformats.org/officeDocument/2006/relationships" ref="M964" r:id="rId1083"/>
    <hyperlink xmlns:r="http://schemas.openxmlformats.org/officeDocument/2006/relationships" ref="M965" r:id="rId1084"/>
    <hyperlink xmlns:r="http://schemas.openxmlformats.org/officeDocument/2006/relationships" ref="M966" r:id="rId1085"/>
    <hyperlink xmlns:r="http://schemas.openxmlformats.org/officeDocument/2006/relationships" ref="M967" r:id="rId1086"/>
    <hyperlink xmlns:r="http://schemas.openxmlformats.org/officeDocument/2006/relationships" ref="M968" r:id="rId1087"/>
    <hyperlink xmlns:r="http://schemas.openxmlformats.org/officeDocument/2006/relationships" ref="M969" r:id="rId1088"/>
    <hyperlink xmlns:r="http://schemas.openxmlformats.org/officeDocument/2006/relationships" ref="M970" r:id="rId1089"/>
    <hyperlink xmlns:r="http://schemas.openxmlformats.org/officeDocument/2006/relationships" ref="M971" r:id="rId1090"/>
    <hyperlink xmlns:r="http://schemas.openxmlformats.org/officeDocument/2006/relationships" ref="M972" r:id="rId1091"/>
    <hyperlink xmlns:r="http://schemas.openxmlformats.org/officeDocument/2006/relationships" ref="M973" r:id="rId1092"/>
    <hyperlink xmlns:r="http://schemas.openxmlformats.org/officeDocument/2006/relationships" ref="M974" r:id="rId1093"/>
    <hyperlink xmlns:r="http://schemas.openxmlformats.org/officeDocument/2006/relationships" ref="M975" r:id="rId1094"/>
    <hyperlink xmlns:r="http://schemas.openxmlformats.org/officeDocument/2006/relationships" ref="M976" r:id="rId1095"/>
    <hyperlink xmlns:r="http://schemas.openxmlformats.org/officeDocument/2006/relationships" ref="M977" r:id="rId1096"/>
    <hyperlink xmlns:r="http://schemas.openxmlformats.org/officeDocument/2006/relationships" ref="M978" r:id="rId1097"/>
    <hyperlink xmlns:r="http://schemas.openxmlformats.org/officeDocument/2006/relationships" ref="M979" r:id="rId1098"/>
    <hyperlink xmlns:r="http://schemas.openxmlformats.org/officeDocument/2006/relationships" ref="M980" r:id="rId1099"/>
    <hyperlink xmlns:r="http://schemas.openxmlformats.org/officeDocument/2006/relationships" ref="M981" r:id="rId1100"/>
    <hyperlink xmlns:r="http://schemas.openxmlformats.org/officeDocument/2006/relationships" ref="M982" r:id="rId1101"/>
    <hyperlink xmlns:r="http://schemas.openxmlformats.org/officeDocument/2006/relationships" ref="M983" r:id="rId1102"/>
    <hyperlink xmlns:r="http://schemas.openxmlformats.org/officeDocument/2006/relationships" ref="M984" r:id="rId1103"/>
    <hyperlink xmlns:r="http://schemas.openxmlformats.org/officeDocument/2006/relationships" ref="M985" r:id="rId1104"/>
    <hyperlink xmlns:r="http://schemas.openxmlformats.org/officeDocument/2006/relationships" ref="M986" r:id="rId1105"/>
    <hyperlink xmlns:r="http://schemas.openxmlformats.org/officeDocument/2006/relationships" ref="M987" r:id="rId1106"/>
    <hyperlink xmlns:r="http://schemas.openxmlformats.org/officeDocument/2006/relationships" ref="M988" r:id="rId1107"/>
    <hyperlink xmlns:r="http://schemas.openxmlformats.org/officeDocument/2006/relationships" ref="N989" r:id="rId1108"/>
    <hyperlink xmlns:r="http://schemas.openxmlformats.org/officeDocument/2006/relationships" ref="M990" r:id="rId1109"/>
    <hyperlink xmlns:r="http://schemas.openxmlformats.org/officeDocument/2006/relationships" ref="N991" r:id="rId1110"/>
    <hyperlink xmlns:r="http://schemas.openxmlformats.org/officeDocument/2006/relationships" ref="M992" r:id="rId1111"/>
    <hyperlink xmlns:r="http://schemas.openxmlformats.org/officeDocument/2006/relationships" ref="N992" r:id="rId1112"/>
    <hyperlink xmlns:r="http://schemas.openxmlformats.org/officeDocument/2006/relationships" ref="N993" r:id="rId1113"/>
    <hyperlink xmlns:r="http://schemas.openxmlformats.org/officeDocument/2006/relationships" ref="M994" r:id="rId1114"/>
    <hyperlink xmlns:r="http://schemas.openxmlformats.org/officeDocument/2006/relationships" ref="M995" r:id="rId1115"/>
    <hyperlink xmlns:r="http://schemas.openxmlformats.org/officeDocument/2006/relationships" ref="N995" r:id="rId1116"/>
    <hyperlink xmlns:r="http://schemas.openxmlformats.org/officeDocument/2006/relationships" ref="M996" r:id="rId1117"/>
    <hyperlink xmlns:r="http://schemas.openxmlformats.org/officeDocument/2006/relationships" ref="N997" r:id="rId1118"/>
    <hyperlink xmlns:r="http://schemas.openxmlformats.org/officeDocument/2006/relationships" ref="M998" r:id="rId1119"/>
    <hyperlink xmlns:r="http://schemas.openxmlformats.org/officeDocument/2006/relationships" ref="M999" r:id="rId1120"/>
    <hyperlink xmlns:r="http://schemas.openxmlformats.org/officeDocument/2006/relationships" ref="N1000" r:id="rId1121"/>
    <hyperlink xmlns:r="http://schemas.openxmlformats.org/officeDocument/2006/relationships" ref="N1001" r:id="rId1122"/>
    <hyperlink xmlns:r="http://schemas.openxmlformats.org/officeDocument/2006/relationships" ref="M1002" r:id="rId1123"/>
    <hyperlink xmlns:r="http://schemas.openxmlformats.org/officeDocument/2006/relationships" ref="N1003" r:id="rId1124"/>
    <hyperlink xmlns:r="http://schemas.openxmlformats.org/officeDocument/2006/relationships" ref="M1004" r:id="rId1125"/>
    <hyperlink xmlns:r="http://schemas.openxmlformats.org/officeDocument/2006/relationships" ref="N1005" r:id="rId1126"/>
    <hyperlink xmlns:r="http://schemas.openxmlformats.org/officeDocument/2006/relationships" ref="M1006" r:id="rId1127"/>
    <hyperlink xmlns:r="http://schemas.openxmlformats.org/officeDocument/2006/relationships" ref="N1006" r:id="rId1128"/>
    <hyperlink xmlns:r="http://schemas.openxmlformats.org/officeDocument/2006/relationships" ref="M1007" r:id="rId1129"/>
    <hyperlink xmlns:r="http://schemas.openxmlformats.org/officeDocument/2006/relationships" ref="M1008" r:id="rId1130"/>
    <hyperlink xmlns:r="http://schemas.openxmlformats.org/officeDocument/2006/relationships" ref="M1009" r:id="rId1131"/>
    <hyperlink xmlns:r="http://schemas.openxmlformats.org/officeDocument/2006/relationships" ref="M1010" r:id="rId1132"/>
    <hyperlink xmlns:r="http://schemas.openxmlformats.org/officeDocument/2006/relationships" ref="M1011" r:id="rId1133"/>
    <hyperlink xmlns:r="http://schemas.openxmlformats.org/officeDocument/2006/relationships" ref="M1012" r:id="rId1134"/>
    <hyperlink xmlns:r="http://schemas.openxmlformats.org/officeDocument/2006/relationships" ref="M1013" r:id="rId1135"/>
    <hyperlink xmlns:r="http://schemas.openxmlformats.org/officeDocument/2006/relationships" ref="M1014" r:id="rId1136"/>
    <hyperlink xmlns:r="http://schemas.openxmlformats.org/officeDocument/2006/relationships" ref="M1015" r:id="rId1137"/>
    <hyperlink xmlns:r="http://schemas.openxmlformats.org/officeDocument/2006/relationships" ref="M1016" r:id="rId1138"/>
    <hyperlink xmlns:r="http://schemas.openxmlformats.org/officeDocument/2006/relationships" ref="M1017" r:id="rId1139"/>
    <hyperlink xmlns:r="http://schemas.openxmlformats.org/officeDocument/2006/relationships" ref="M1018" r:id="rId1140"/>
    <hyperlink xmlns:r="http://schemas.openxmlformats.org/officeDocument/2006/relationships" ref="M1019" r:id="rId1141"/>
    <hyperlink xmlns:r="http://schemas.openxmlformats.org/officeDocument/2006/relationships" ref="M1020" r:id="rId1142"/>
    <hyperlink xmlns:r="http://schemas.openxmlformats.org/officeDocument/2006/relationships" ref="M1021" r:id="rId1143"/>
    <hyperlink xmlns:r="http://schemas.openxmlformats.org/officeDocument/2006/relationships" ref="M1022" r:id="rId1144"/>
    <hyperlink xmlns:r="http://schemas.openxmlformats.org/officeDocument/2006/relationships" ref="M1023" r:id="rId1145"/>
    <hyperlink xmlns:r="http://schemas.openxmlformats.org/officeDocument/2006/relationships" ref="M1024" r:id="rId1146"/>
    <hyperlink xmlns:r="http://schemas.openxmlformats.org/officeDocument/2006/relationships" ref="M1025" r:id="rId1147"/>
    <hyperlink xmlns:r="http://schemas.openxmlformats.org/officeDocument/2006/relationships" ref="M1026" r:id="rId1148"/>
    <hyperlink xmlns:r="http://schemas.openxmlformats.org/officeDocument/2006/relationships" ref="M1027" r:id="rId1149"/>
    <hyperlink xmlns:r="http://schemas.openxmlformats.org/officeDocument/2006/relationships" ref="M1028" r:id="rId1150"/>
    <hyperlink xmlns:r="http://schemas.openxmlformats.org/officeDocument/2006/relationships" ref="M1029" r:id="rId1151"/>
    <hyperlink xmlns:r="http://schemas.openxmlformats.org/officeDocument/2006/relationships" ref="M1030" r:id="rId1152"/>
    <hyperlink xmlns:r="http://schemas.openxmlformats.org/officeDocument/2006/relationships" ref="N1031" r:id="rId1153"/>
    <hyperlink xmlns:r="http://schemas.openxmlformats.org/officeDocument/2006/relationships" ref="N1032" r:id="rId1154"/>
    <hyperlink xmlns:r="http://schemas.openxmlformats.org/officeDocument/2006/relationships" ref="N1033" r:id="rId1155"/>
    <hyperlink xmlns:r="http://schemas.openxmlformats.org/officeDocument/2006/relationships" ref="N1034" r:id="rId1156"/>
    <hyperlink xmlns:r="http://schemas.openxmlformats.org/officeDocument/2006/relationships" ref="N1035" r:id="rId1157"/>
    <hyperlink xmlns:r="http://schemas.openxmlformats.org/officeDocument/2006/relationships" ref="N1036" r:id="rId1158"/>
    <hyperlink xmlns:r="http://schemas.openxmlformats.org/officeDocument/2006/relationships" ref="M1037" r:id="rId1159"/>
    <hyperlink xmlns:r="http://schemas.openxmlformats.org/officeDocument/2006/relationships" ref="M1038" r:id="rId1160"/>
    <hyperlink xmlns:r="http://schemas.openxmlformats.org/officeDocument/2006/relationships" ref="M1039" r:id="rId1161"/>
    <hyperlink xmlns:r="http://schemas.openxmlformats.org/officeDocument/2006/relationships" ref="M1040" r:id="rId1162"/>
    <hyperlink xmlns:r="http://schemas.openxmlformats.org/officeDocument/2006/relationships" ref="M1041" r:id="rId1163"/>
    <hyperlink xmlns:r="http://schemas.openxmlformats.org/officeDocument/2006/relationships" ref="M1042" r:id="rId1164"/>
    <hyperlink xmlns:r="http://schemas.openxmlformats.org/officeDocument/2006/relationships" ref="M1043" r:id="rId1165"/>
    <hyperlink xmlns:r="http://schemas.openxmlformats.org/officeDocument/2006/relationships" ref="M1044" r:id="rId1166"/>
    <hyperlink xmlns:r="http://schemas.openxmlformats.org/officeDocument/2006/relationships" ref="M1045" r:id="rId1167"/>
    <hyperlink xmlns:r="http://schemas.openxmlformats.org/officeDocument/2006/relationships" ref="M1046" r:id="rId1168"/>
    <hyperlink xmlns:r="http://schemas.openxmlformats.org/officeDocument/2006/relationships" ref="M1047" r:id="rId1169"/>
    <hyperlink xmlns:r="http://schemas.openxmlformats.org/officeDocument/2006/relationships" ref="M1048" r:id="rId1170"/>
    <hyperlink xmlns:r="http://schemas.openxmlformats.org/officeDocument/2006/relationships" ref="M1049" r:id="rId1171"/>
    <hyperlink xmlns:r="http://schemas.openxmlformats.org/officeDocument/2006/relationships" ref="M1050" r:id="rId1172"/>
    <hyperlink xmlns:r="http://schemas.openxmlformats.org/officeDocument/2006/relationships" ref="M1051" r:id="rId1173"/>
    <hyperlink xmlns:r="http://schemas.openxmlformats.org/officeDocument/2006/relationships" ref="N1051" r:id="rId1174"/>
    <hyperlink xmlns:r="http://schemas.openxmlformats.org/officeDocument/2006/relationships" ref="M1052" r:id="rId1175"/>
    <hyperlink xmlns:r="http://schemas.openxmlformats.org/officeDocument/2006/relationships" ref="M1053" r:id="rId1176"/>
    <hyperlink xmlns:r="http://schemas.openxmlformats.org/officeDocument/2006/relationships" ref="M1054" r:id="rId1177"/>
    <hyperlink xmlns:r="http://schemas.openxmlformats.org/officeDocument/2006/relationships" ref="M1055" r:id="rId1178"/>
    <hyperlink xmlns:r="http://schemas.openxmlformats.org/officeDocument/2006/relationships" ref="M1056" r:id="rId1179"/>
    <hyperlink xmlns:r="http://schemas.openxmlformats.org/officeDocument/2006/relationships" ref="M1057" r:id="rId1180"/>
    <hyperlink xmlns:r="http://schemas.openxmlformats.org/officeDocument/2006/relationships" ref="M1058" r:id="rId1181"/>
    <hyperlink xmlns:r="http://schemas.openxmlformats.org/officeDocument/2006/relationships" ref="N1059" r:id="rId1182"/>
    <hyperlink xmlns:r="http://schemas.openxmlformats.org/officeDocument/2006/relationships" ref="N1060" r:id="rId1183"/>
    <hyperlink xmlns:r="http://schemas.openxmlformats.org/officeDocument/2006/relationships" ref="N1061" r:id="rId1184"/>
    <hyperlink xmlns:r="http://schemas.openxmlformats.org/officeDocument/2006/relationships" ref="N1062" r:id="rId1185"/>
    <hyperlink xmlns:r="http://schemas.openxmlformats.org/officeDocument/2006/relationships" ref="N1063" r:id="rId1186"/>
    <hyperlink xmlns:r="http://schemas.openxmlformats.org/officeDocument/2006/relationships" ref="N1064" r:id="rId1187"/>
    <hyperlink xmlns:r="http://schemas.openxmlformats.org/officeDocument/2006/relationships" ref="N1065" r:id="rId1188"/>
    <hyperlink xmlns:r="http://schemas.openxmlformats.org/officeDocument/2006/relationships" ref="N1066" r:id="rId1189"/>
    <hyperlink xmlns:r="http://schemas.openxmlformats.org/officeDocument/2006/relationships" ref="N1067" r:id="rId1190"/>
    <hyperlink xmlns:r="http://schemas.openxmlformats.org/officeDocument/2006/relationships" ref="N1068" r:id="rId1191"/>
    <hyperlink xmlns:r="http://schemas.openxmlformats.org/officeDocument/2006/relationships" ref="N1069" r:id="rId1192"/>
    <hyperlink xmlns:r="http://schemas.openxmlformats.org/officeDocument/2006/relationships" ref="N1070" r:id="rId1193"/>
    <hyperlink xmlns:r="http://schemas.openxmlformats.org/officeDocument/2006/relationships" ref="M1071" r:id="rId1194"/>
    <hyperlink xmlns:r="http://schemas.openxmlformats.org/officeDocument/2006/relationships" ref="M1072" r:id="rId1195"/>
    <hyperlink xmlns:r="http://schemas.openxmlformats.org/officeDocument/2006/relationships" ref="M1073" r:id="rId1196"/>
    <hyperlink xmlns:r="http://schemas.openxmlformats.org/officeDocument/2006/relationships" ref="M1074" r:id="rId1197"/>
    <hyperlink xmlns:r="http://schemas.openxmlformats.org/officeDocument/2006/relationships" ref="M1075" r:id="rId1198"/>
    <hyperlink xmlns:r="http://schemas.openxmlformats.org/officeDocument/2006/relationships" ref="M1076" r:id="rId1199"/>
    <hyperlink xmlns:r="http://schemas.openxmlformats.org/officeDocument/2006/relationships" ref="M1077" r:id="rId1200"/>
    <hyperlink xmlns:r="http://schemas.openxmlformats.org/officeDocument/2006/relationships" ref="M1078" r:id="rId1201"/>
    <hyperlink xmlns:r="http://schemas.openxmlformats.org/officeDocument/2006/relationships" ref="M1079" r:id="rId1202"/>
    <hyperlink xmlns:r="http://schemas.openxmlformats.org/officeDocument/2006/relationships" ref="M1080" r:id="rId1203"/>
    <hyperlink xmlns:r="http://schemas.openxmlformats.org/officeDocument/2006/relationships" ref="M1081" r:id="rId1204"/>
    <hyperlink xmlns:r="http://schemas.openxmlformats.org/officeDocument/2006/relationships" ref="M1082" r:id="rId1205"/>
    <hyperlink xmlns:r="http://schemas.openxmlformats.org/officeDocument/2006/relationships" ref="M1083" r:id="rId1206"/>
    <hyperlink xmlns:r="http://schemas.openxmlformats.org/officeDocument/2006/relationships" ref="M1084" r:id="rId1207"/>
    <hyperlink xmlns:r="http://schemas.openxmlformats.org/officeDocument/2006/relationships" ref="M1085" r:id="rId1208"/>
    <hyperlink xmlns:r="http://schemas.openxmlformats.org/officeDocument/2006/relationships" ref="M1086" r:id="rId1209"/>
    <hyperlink xmlns:r="http://schemas.openxmlformats.org/officeDocument/2006/relationships" ref="M1087" r:id="rId1210"/>
    <hyperlink xmlns:r="http://schemas.openxmlformats.org/officeDocument/2006/relationships" ref="M1088" r:id="rId1211"/>
    <hyperlink xmlns:r="http://schemas.openxmlformats.org/officeDocument/2006/relationships" ref="M1089" r:id="rId1212"/>
    <hyperlink xmlns:r="http://schemas.openxmlformats.org/officeDocument/2006/relationships" ref="N1090" r:id="rId1213"/>
    <hyperlink xmlns:r="http://schemas.openxmlformats.org/officeDocument/2006/relationships" ref="M1091" r:id="rId1214"/>
    <hyperlink xmlns:r="http://schemas.openxmlformats.org/officeDocument/2006/relationships" ref="M1092" r:id="rId1215"/>
    <hyperlink xmlns:r="http://schemas.openxmlformats.org/officeDocument/2006/relationships" ref="N1092" r:id="rId1216"/>
    <hyperlink xmlns:r="http://schemas.openxmlformats.org/officeDocument/2006/relationships" ref="M1093" r:id="rId1217"/>
    <hyperlink xmlns:r="http://schemas.openxmlformats.org/officeDocument/2006/relationships" ref="N1093" r:id="rId1218"/>
    <hyperlink xmlns:r="http://schemas.openxmlformats.org/officeDocument/2006/relationships" ref="M1094" r:id="rId1219"/>
    <hyperlink xmlns:r="http://schemas.openxmlformats.org/officeDocument/2006/relationships" ref="N1094" r:id="rId1220"/>
    <hyperlink xmlns:r="http://schemas.openxmlformats.org/officeDocument/2006/relationships" ref="M1095" r:id="rId1221"/>
    <hyperlink xmlns:r="http://schemas.openxmlformats.org/officeDocument/2006/relationships" ref="N1095" r:id="rId1222"/>
    <hyperlink xmlns:r="http://schemas.openxmlformats.org/officeDocument/2006/relationships" ref="M1096" r:id="rId1223"/>
    <hyperlink xmlns:r="http://schemas.openxmlformats.org/officeDocument/2006/relationships" ref="M1097" r:id="rId1224"/>
    <hyperlink xmlns:r="http://schemas.openxmlformats.org/officeDocument/2006/relationships" ref="N1098" r:id="rId1225"/>
    <hyperlink xmlns:r="http://schemas.openxmlformats.org/officeDocument/2006/relationships" ref="N1099" r:id="rId1226"/>
    <hyperlink xmlns:r="http://schemas.openxmlformats.org/officeDocument/2006/relationships" ref="N1100" r:id="rId1227"/>
    <hyperlink xmlns:r="http://schemas.openxmlformats.org/officeDocument/2006/relationships" ref="N1101" r:id="rId1228"/>
    <hyperlink xmlns:r="http://schemas.openxmlformats.org/officeDocument/2006/relationships" ref="N1102" r:id="rId1229"/>
    <hyperlink xmlns:r="http://schemas.openxmlformats.org/officeDocument/2006/relationships" ref="M1103" r:id="rId1230"/>
    <hyperlink xmlns:r="http://schemas.openxmlformats.org/officeDocument/2006/relationships" ref="N1103" r:id="rId1231"/>
    <hyperlink xmlns:r="http://schemas.openxmlformats.org/officeDocument/2006/relationships" ref="M1104" r:id="rId1232"/>
    <hyperlink xmlns:r="http://schemas.openxmlformats.org/officeDocument/2006/relationships" ref="N1105" r:id="rId1233"/>
    <hyperlink xmlns:r="http://schemas.openxmlformats.org/officeDocument/2006/relationships" ref="N1106" r:id="rId1234"/>
    <hyperlink xmlns:r="http://schemas.openxmlformats.org/officeDocument/2006/relationships" ref="N1107" r:id="rId1235"/>
    <hyperlink xmlns:r="http://schemas.openxmlformats.org/officeDocument/2006/relationships" ref="N1108" r:id="rId1236"/>
    <hyperlink xmlns:r="http://schemas.openxmlformats.org/officeDocument/2006/relationships" ref="M1109" r:id="rId1237"/>
    <hyperlink xmlns:r="http://schemas.openxmlformats.org/officeDocument/2006/relationships" ref="M1110" r:id="rId1238"/>
    <hyperlink xmlns:r="http://schemas.openxmlformats.org/officeDocument/2006/relationships" ref="N1111" r:id="rId1239"/>
    <hyperlink xmlns:r="http://schemas.openxmlformats.org/officeDocument/2006/relationships" ref="M1112" r:id="rId1240"/>
    <hyperlink xmlns:r="http://schemas.openxmlformats.org/officeDocument/2006/relationships" ref="M1113" r:id="rId1241"/>
    <hyperlink xmlns:r="http://schemas.openxmlformats.org/officeDocument/2006/relationships" ref="M1114" r:id="rId1242"/>
    <hyperlink xmlns:r="http://schemas.openxmlformats.org/officeDocument/2006/relationships" ref="M1115" r:id="rId1243"/>
    <hyperlink xmlns:r="http://schemas.openxmlformats.org/officeDocument/2006/relationships" ref="M1116" r:id="rId1244"/>
    <hyperlink xmlns:r="http://schemas.openxmlformats.org/officeDocument/2006/relationships" ref="M1117" r:id="rId1245"/>
    <hyperlink xmlns:r="http://schemas.openxmlformats.org/officeDocument/2006/relationships" ref="M1118" r:id="rId1246"/>
    <hyperlink xmlns:r="http://schemas.openxmlformats.org/officeDocument/2006/relationships" ref="M1119" r:id="rId1247"/>
    <hyperlink xmlns:r="http://schemas.openxmlformats.org/officeDocument/2006/relationships" ref="M1120" r:id="rId1248"/>
    <hyperlink xmlns:r="http://schemas.openxmlformats.org/officeDocument/2006/relationships" ref="M1121" r:id="rId1249"/>
    <hyperlink xmlns:r="http://schemas.openxmlformats.org/officeDocument/2006/relationships" ref="M1122" r:id="rId1250"/>
    <hyperlink xmlns:r="http://schemas.openxmlformats.org/officeDocument/2006/relationships" ref="M1123" r:id="rId1251"/>
    <hyperlink xmlns:r="http://schemas.openxmlformats.org/officeDocument/2006/relationships" ref="M1124" r:id="rId1252"/>
    <hyperlink xmlns:r="http://schemas.openxmlformats.org/officeDocument/2006/relationships" ref="M1125" r:id="rId1253"/>
    <hyperlink xmlns:r="http://schemas.openxmlformats.org/officeDocument/2006/relationships" ref="M1126" r:id="rId1254"/>
    <hyperlink xmlns:r="http://schemas.openxmlformats.org/officeDocument/2006/relationships" ref="M1127" r:id="rId1255"/>
    <hyperlink xmlns:r="http://schemas.openxmlformats.org/officeDocument/2006/relationships" ref="M1128" r:id="rId1256"/>
    <hyperlink xmlns:r="http://schemas.openxmlformats.org/officeDocument/2006/relationships" ref="M1129" r:id="rId1257"/>
    <hyperlink xmlns:r="http://schemas.openxmlformats.org/officeDocument/2006/relationships" ref="M1130" r:id="rId1258"/>
    <hyperlink xmlns:r="http://schemas.openxmlformats.org/officeDocument/2006/relationships" ref="M1131" r:id="rId1259"/>
    <hyperlink xmlns:r="http://schemas.openxmlformats.org/officeDocument/2006/relationships" ref="M1132" r:id="rId1260"/>
    <hyperlink xmlns:r="http://schemas.openxmlformats.org/officeDocument/2006/relationships" ref="M1133" r:id="rId1261"/>
    <hyperlink xmlns:r="http://schemas.openxmlformats.org/officeDocument/2006/relationships" ref="M1134" r:id="rId1262"/>
    <hyperlink xmlns:r="http://schemas.openxmlformats.org/officeDocument/2006/relationships" ref="M1135" r:id="rId1263"/>
    <hyperlink xmlns:r="http://schemas.openxmlformats.org/officeDocument/2006/relationships" ref="M1136" r:id="rId1264"/>
    <hyperlink xmlns:r="http://schemas.openxmlformats.org/officeDocument/2006/relationships" ref="M1137" r:id="rId1265"/>
    <hyperlink xmlns:r="http://schemas.openxmlformats.org/officeDocument/2006/relationships" ref="M1138" r:id="rId1266"/>
    <hyperlink xmlns:r="http://schemas.openxmlformats.org/officeDocument/2006/relationships" ref="M1139" r:id="rId1267"/>
    <hyperlink xmlns:r="http://schemas.openxmlformats.org/officeDocument/2006/relationships" ref="M1140" r:id="rId1268"/>
    <hyperlink xmlns:r="http://schemas.openxmlformats.org/officeDocument/2006/relationships" ref="M1141" r:id="rId1269"/>
    <hyperlink xmlns:r="http://schemas.openxmlformats.org/officeDocument/2006/relationships" ref="M1142" r:id="rId1270"/>
    <hyperlink xmlns:r="http://schemas.openxmlformats.org/officeDocument/2006/relationships" ref="M1143" r:id="rId1271"/>
    <hyperlink xmlns:r="http://schemas.openxmlformats.org/officeDocument/2006/relationships" ref="M1144" r:id="rId1272"/>
    <hyperlink xmlns:r="http://schemas.openxmlformats.org/officeDocument/2006/relationships" ref="M1145" r:id="rId1273"/>
    <hyperlink xmlns:r="http://schemas.openxmlformats.org/officeDocument/2006/relationships" ref="M1146" r:id="rId1274"/>
    <hyperlink xmlns:r="http://schemas.openxmlformats.org/officeDocument/2006/relationships" ref="M1147" r:id="rId1275"/>
    <hyperlink xmlns:r="http://schemas.openxmlformats.org/officeDocument/2006/relationships" ref="M1148" r:id="rId1276"/>
    <hyperlink xmlns:r="http://schemas.openxmlformats.org/officeDocument/2006/relationships" ref="M1149" r:id="rId1277"/>
    <hyperlink xmlns:r="http://schemas.openxmlformats.org/officeDocument/2006/relationships" ref="M1150" r:id="rId1278"/>
    <hyperlink xmlns:r="http://schemas.openxmlformats.org/officeDocument/2006/relationships" ref="M1151" r:id="rId1279"/>
    <hyperlink xmlns:r="http://schemas.openxmlformats.org/officeDocument/2006/relationships" ref="M1152" r:id="rId1280"/>
    <hyperlink xmlns:r="http://schemas.openxmlformats.org/officeDocument/2006/relationships" ref="M1153" r:id="rId1281"/>
    <hyperlink xmlns:r="http://schemas.openxmlformats.org/officeDocument/2006/relationships" ref="M1154" r:id="rId1282"/>
    <hyperlink xmlns:r="http://schemas.openxmlformats.org/officeDocument/2006/relationships" ref="M1155" r:id="rId1283"/>
    <hyperlink xmlns:r="http://schemas.openxmlformats.org/officeDocument/2006/relationships" ref="M1156" r:id="rId1284"/>
    <hyperlink xmlns:r="http://schemas.openxmlformats.org/officeDocument/2006/relationships" ref="M1157" r:id="rId1285"/>
    <hyperlink xmlns:r="http://schemas.openxmlformats.org/officeDocument/2006/relationships" ref="M1158" r:id="rId1286"/>
    <hyperlink xmlns:r="http://schemas.openxmlformats.org/officeDocument/2006/relationships" ref="M1159" r:id="rId1287"/>
    <hyperlink xmlns:r="http://schemas.openxmlformats.org/officeDocument/2006/relationships" ref="M1160" r:id="rId1288"/>
    <hyperlink xmlns:r="http://schemas.openxmlformats.org/officeDocument/2006/relationships" ref="M1161" r:id="rId1289"/>
    <hyperlink xmlns:r="http://schemas.openxmlformats.org/officeDocument/2006/relationships" ref="M1162" r:id="rId1290"/>
    <hyperlink xmlns:r="http://schemas.openxmlformats.org/officeDocument/2006/relationships" ref="M1163" r:id="rId1291"/>
    <hyperlink xmlns:r="http://schemas.openxmlformats.org/officeDocument/2006/relationships" ref="M1164" r:id="rId1292"/>
    <hyperlink xmlns:r="http://schemas.openxmlformats.org/officeDocument/2006/relationships" ref="M1165" r:id="rId1293"/>
    <hyperlink xmlns:r="http://schemas.openxmlformats.org/officeDocument/2006/relationships" ref="M1166" r:id="rId1294"/>
    <hyperlink xmlns:r="http://schemas.openxmlformats.org/officeDocument/2006/relationships" ref="M1167" r:id="rId1295"/>
    <hyperlink xmlns:r="http://schemas.openxmlformats.org/officeDocument/2006/relationships" ref="M1168" r:id="rId1296"/>
    <hyperlink xmlns:r="http://schemas.openxmlformats.org/officeDocument/2006/relationships" ref="M1169" r:id="rId1297"/>
    <hyperlink xmlns:r="http://schemas.openxmlformats.org/officeDocument/2006/relationships" ref="M1170" r:id="rId1298"/>
    <hyperlink xmlns:r="http://schemas.openxmlformats.org/officeDocument/2006/relationships" ref="M1171" r:id="rId1299"/>
    <hyperlink xmlns:r="http://schemas.openxmlformats.org/officeDocument/2006/relationships" ref="M1172" r:id="rId1300"/>
    <hyperlink xmlns:r="http://schemas.openxmlformats.org/officeDocument/2006/relationships" ref="M1173" r:id="rId1301"/>
    <hyperlink xmlns:r="http://schemas.openxmlformats.org/officeDocument/2006/relationships" ref="M1174" r:id="rId1302"/>
    <hyperlink xmlns:r="http://schemas.openxmlformats.org/officeDocument/2006/relationships" ref="M1175" r:id="rId1303"/>
    <hyperlink xmlns:r="http://schemas.openxmlformats.org/officeDocument/2006/relationships" ref="M1176" r:id="rId1304"/>
    <hyperlink xmlns:r="http://schemas.openxmlformats.org/officeDocument/2006/relationships" ref="M1177" r:id="rId1305"/>
    <hyperlink xmlns:r="http://schemas.openxmlformats.org/officeDocument/2006/relationships" ref="M1178" r:id="rId1306"/>
    <hyperlink xmlns:r="http://schemas.openxmlformats.org/officeDocument/2006/relationships" ref="M1179" r:id="rId1307"/>
    <hyperlink xmlns:r="http://schemas.openxmlformats.org/officeDocument/2006/relationships" ref="M1180" r:id="rId1308"/>
    <hyperlink xmlns:r="http://schemas.openxmlformats.org/officeDocument/2006/relationships" ref="M1181" r:id="rId1309"/>
    <hyperlink xmlns:r="http://schemas.openxmlformats.org/officeDocument/2006/relationships" ref="M1182" r:id="rId1310"/>
    <hyperlink xmlns:r="http://schemas.openxmlformats.org/officeDocument/2006/relationships" ref="M1183" r:id="rId1311"/>
    <hyperlink xmlns:r="http://schemas.openxmlformats.org/officeDocument/2006/relationships" ref="M1184" r:id="rId1312"/>
    <hyperlink xmlns:r="http://schemas.openxmlformats.org/officeDocument/2006/relationships" ref="M1185" r:id="rId1313"/>
    <hyperlink xmlns:r="http://schemas.openxmlformats.org/officeDocument/2006/relationships" ref="M1186" r:id="rId1314"/>
    <hyperlink xmlns:r="http://schemas.openxmlformats.org/officeDocument/2006/relationships" ref="N1187" r:id="rId1315"/>
    <hyperlink xmlns:r="http://schemas.openxmlformats.org/officeDocument/2006/relationships" ref="N1188" r:id="rId1316"/>
    <hyperlink xmlns:r="http://schemas.openxmlformats.org/officeDocument/2006/relationships" ref="N1189" r:id="rId1317"/>
    <hyperlink xmlns:r="http://schemas.openxmlformats.org/officeDocument/2006/relationships" ref="N1190" r:id="rId1318"/>
    <hyperlink xmlns:r="http://schemas.openxmlformats.org/officeDocument/2006/relationships" ref="N1191" r:id="rId1319"/>
    <hyperlink xmlns:r="http://schemas.openxmlformats.org/officeDocument/2006/relationships" ref="N1192" r:id="rId1320"/>
    <hyperlink xmlns:r="http://schemas.openxmlformats.org/officeDocument/2006/relationships" ref="N1193" r:id="rId1321"/>
    <hyperlink xmlns:r="http://schemas.openxmlformats.org/officeDocument/2006/relationships" ref="N1194" r:id="rId1322"/>
    <hyperlink xmlns:r="http://schemas.openxmlformats.org/officeDocument/2006/relationships" ref="N1195" r:id="rId1323"/>
    <hyperlink xmlns:r="http://schemas.openxmlformats.org/officeDocument/2006/relationships" ref="N1196" r:id="rId1324"/>
    <hyperlink xmlns:r="http://schemas.openxmlformats.org/officeDocument/2006/relationships" ref="N1197" r:id="rId1325"/>
    <hyperlink xmlns:r="http://schemas.openxmlformats.org/officeDocument/2006/relationships" ref="N1198" r:id="rId1326"/>
    <hyperlink xmlns:r="http://schemas.openxmlformats.org/officeDocument/2006/relationships" ref="N1199" r:id="rId1327"/>
    <hyperlink xmlns:r="http://schemas.openxmlformats.org/officeDocument/2006/relationships" ref="N1200" r:id="rId1328"/>
    <hyperlink xmlns:r="http://schemas.openxmlformats.org/officeDocument/2006/relationships" ref="N1201" r:id="rId1329"/>
    <hyperlink xmlns:r="http://schemas.openxmlformats.org/officeDocument/2006/relationships" ref="N1202" r:id="rId1330"/>
    <hyperlink xmlns:r="http://schemas.openxmlformats.org/officeDocument/2006/relationships" ref="N1203" r:id="rId1331"/>
    <hyperlink xmlns:r="http://schemas.openxmlformats.org/officeDocument/2006/relationships" ref="N1204" r:id="rId1332"/>
    <hyperlink xmlns:r="http://schemas.openxmlformats.org/officeDocument/2006/relationships" ref="N1205" r:id="rId1333"/>
    <hyperlink xmlns:r="http://schemas.openxmlformats.org/officeDocument/2006/relationships" ref="N1206" r:id="rId1334"/>
    <hyperlink xmlns:r="http://schemas.openxmlformats.org/officeDocument/2006/relationships" ref="N1207" r:id="rId1335"/>
    <hyperlink xmlns:r="http://schemas.openxmlformats.org/officeDocument/2006/relationships" ref="N1208" r:id="rId1336"/>
    <hyperlink xmlns:r="http://schemas.openxmlformats.org/officeDocument/2006/relationships" ref="N1209" r:id="rId1337"/>
    <hyperlink xmlns:r="http://schemas.openxmlformats.org/officeDocument/2006/relationships" ref="N1210" r:id="rId1338"/>
    <hyperlink xmlns:r="http://schemas.openxmlformats.org/officeDocument/2006/relationships" ref="N1211" r:id="rId1339"/>
    <hyperlink xmlns:r="http://schemas.openxmlformats.org/officeDocument/2006/relationships" ref="N1212" r:id="rId1340"/>
    <hyperlink xmlns:r="http://schemas.openxmlformats.org/officeDocument/2006/relationships" ref="N1213" r:id="rId1341"/>
    <hyperlink xmlns:r="http://schemas.openxmlformats.org/officeDocument/2006/relationships" ref="N1214" r:id="rId1342"/>
    <hyperlink xmlns:r="http://schemas.openxmlformats.org/officeDocument/2006/relationships" ref="N1215" r:id="rId1343"/>
    <hyperlink xmlns:r="http://schemas.openxmlformats.org/officeDocument/2006/relationships" ref="N1216" r:id="rId1344"/>
    <hyperlink xmlns:r="http://schemas.openxmlformats.org/officeDocument/2006/relationships" ref="N1217" r:id="rId1345"/>
    <hyperlink xmlns:r="http://schemas.openxmlformats.org/officeDocument/2006/relationships" ref="N1218" r:id="rId1346"/>
    <hyperlink xmlns:r="http://schemas.openxmlformats.org/officeDocument/2006/relationships" ref="N1219" r:id="rId1347"/>
    <hyperlink xmlns:r="http://schemas.openxmlformats.org/officeDocument/2006/relationships" ref="N1220" r:id="rId1348"/>
    <hyperlink xmlns:r="http://schemas.openxmlformats.org/officeDocument/2006/relationships" ref="N1221" r:id="rId1349"/>
    <hyperlink xmlns:r="http://schemas.openxmlformats.org/officeDocument/2006/relationships" ref="N1222" r:id="rId1350"/>
    <hyperlink xmlns:r="http://schemas.openxmlformats.org/officeDocument/2006/relationships" ref="N1223" r:id="rId1351"/>
    <hyperlink xmlns:r="http://schemas.openxmlformats.org/officeDocument/2006/relationships" ref="N1224" r:id="rId1352"/>
    <hyperlink xmlns:r="http://schemas.openxmlformats.org/officeDocument/2006/relationships" ref="N1225" r:id="rId1353"/>
    <hyperlink xmlns:r="http://schemas.openxmlformats.org/officeDocument/2006/relationships" ref="N1226" r:id="rId1354"/>
    <hyperlink xmlns:r="http://schemas.openxmlformats.org/officeDocument/2006/relationships" ref="N1227" r:id="rId1355"/>
    <hyperlink xmlns:r="http://schemas.openxmlformats.org/officeDocument/2006/relationships" ref="N1228" r:id="rId1356"/>
    <hyperlink xmlns:r="http://schemas.openxmlformats.org/officeDocument/2006/relationships" ref="N1229" r:id="rId1357"/>
    <hyperlink xmlns:r="http://schemas.openxmlformats.org/officeDocument/2006/relationships" ref="N1230" r:id="rId1358"/>
    <hyperlink xmlns:r="http://schemas.openxmlformats.org/officeDocument/2006/relationships" ref="N1231" r:id="rId1359"/>
    <hyperlink xmlns:r="http://schemas.openxmlformats.org/officeDocument/2006/relationships" ref="N1232" r:id="rId1360"/>
    <hyperlink xmlns:r="http://schemas.openxmlformats.org/officeDocument/2006/relationships" ref="N1233" r:id="rId1361"/>
    <hyperlink xmlns:r="http://schemas.openxmlformats.org/officeDocument/2006/relationships" ref="N1234" r:id="rId1362"/>
    <hyperlink xmlns:r="http://schemas.openxmlformats.org/officeDocument/2006/relationships" ref="M1235" r:id="rId1363"/>
    <hyperlink xmlns:r="http://schemas.openxmlformats.org/officeDocument/2006/relationships" ref="N1235" r:id="rId1364"/>
    <hyperlink xmlns:r="http://schemas.openxmlformats.org/officeDocument/2006/relationships" ref="M1236" r:id="rId1365"/>
    <hyperlink xmlns:r="http://schemas.openxmlformats.org/officeDocument/2006/relationships" ref="N1236" r:id="rId1366"/>
    <hyperlink xmlns:r="http://schemas.openxmlformats.org/officeDocument/2006/relationships" ref="M1237" r:id="rId1367"/>
    <hyperlink xmlns:r="http://schemas.openxmlformats.org/officeDocument/2006/relationships" ref="N1237" r:id="rId1368"/>
    <hyperlink xmlns:r="http://schemas.openxmlformats.org/officeDocument/2006/relationships" ref="M1238" r:id="rId1369"/>
    <hyperlink xmlns:r="http://schemas.openxmlformats.org/officeDocument/2006/relationships" ref="N1238" r:id="rId1370"/>
    <hyperlink xmlns:r="http://schemas.openxmlformats.org/officeDocument/2006/relationships" ref="M1239" r:id="rId1371"/>
    <hyperlink xmlns:r="http://schemas.openxmlformats.org/officeDocument/2006/relationships" ref="N1239" r:id="rId1372"/>
    <hyperlink xmlns:r="http://schemas.openxmlformats.org/officeDocument/2006/relationships" ref="M1240" r:id="rId1373"/>
    <hyperlink xmlns:r="http://schemas.openxmlformats.org/officeDocument/2006/relationships" ref="N1240" r:id="rId1374"/>
    <hyperlink xmlns:r="http://schemas.openxmlformats.org/officeDocument/2006/relationships" ref="N1241" r:id="rId1375"/>
    <hyperlink xmlns:r="http://schemas.openxmlformats.org/officeDocument/2006/relationships" ref="N1242" r:id="rId1376"/>
    <hyperlink xmlns:r="http://schemas.openxmlformats.org/officeDocument/2006/relationships" ref="N1243" r:id="rId1377"/>
    <hyperlink xmlns:r="http://schemas.openxmlformats.org/officeDocument/2006/relationships" ref="N1244" r:id="rId1378"/>
    <hyperlink xmlns:r="http://schemas.openxmlformats.org/officeDocument/2006/relationships" ref="N1245" r:id="rId1379"/>
    <hyperlink xmlns:r="http://schemas.openxmlformats.org/officeDocument/2006/relationships" ref="N1246" r:id="rId1380"/>
    <hyperlink xmlns:r="http://schemas.openxmlformats.org/officeDocument/2006/relationships" ref="M1247" r:id="rId1381"/>
    <hyperlink xmlns:r="http://schemas.openxmlformats.org/officeDocument/2006/relationships" ref="N1247" r:id="rId1382"/>
    <hyperlink xmlns:r="http://schemas.openxmlformats.org/officeDocument/2006/relationships" ref="M1248" r:id="rId1383"/>
    <hyperlink xmlns:r="http://schemas.openxmlformats.org/officeDocument/2006/relationships" ref="N1248" r:id="rId1384"/>
    <hyperlink xmlns:r="http://schemas.openxmlformats.org/officeDocument/2006/relationships" ref="M1249" r:id="rId1385"/>
    <hyperlink xmlns:r="http://schemas.openxmlformats.org/officeDocument/2006/relationships" ref="N1249" r:id="rId1386"/>
    <hyperlink xmlns:r="http://schemas.openxmlformats.org/officeDocument/2006/relationships" ref="M1250" r:id="rId1387"/>
    <hyperlink xmlns:r="http://schemas.openxmlformats.org/officeDocument/2006/relationships" ref="N1250" r:id="rId1388"/>
    <hyperlink xmlns:r="http://schemas.openxmlformats.org/officeDocument/2006/relationships" ref="M1251" r:id="rId1389"/>
    <hyperlink xmlns:r="http://schemas.openxmlformats.org/officeDocument/2006/relationships" ref="N1251" r:id="rId1390"/>
    <hyperlink xmlns:r="http://schemas.openxmlformats.org/officeDocument/2006/relationships" ref="M1252" r:id="rId1391"/>
    <hyperlink xmlns:r="http://schemas.openxmlformats.org/officeDocument/2006/relationships" ref="N1252" r:id="rId1392"/>
    <hyperlink xmlns:r="http://schemas.openxmlformats.org/officeDocument/2006/relationships" ref="M1253" r:id="rId1393"/>
    <hyperlink xmlns:r="http://schemas.openxmlformats.org/officeDocument/2006/relationships" ref="N1253" r:id="rId1394"/>
    <hyperlink xmlns:r="http://schemas.openxmlformats.org/officeDocument/2006/relationships" ref="M1254" r:id="rId1395"/>
    <hyperlink xmlns:r="http://schemas.openxmlformats.org/officeDocument/2006/relationships" ref="N1254" r:id="rId1396"/>
    <hyperlink xmlns:r="http://schemas.openxmlformats.org/officeDocument/2006/relationships" ref="M1255" r:id="rId1397"/>
    <hyperlink xmlns:r="http://schemas.openxmlformats.org/officeDocument/2006/relationships" ref="N1255" r:id="rId1398"/>
    <hyperlink xmlns:r="http://schemas.openxmlformats.org/officeDocument/2006/relationships" ref="M1256" r:id="rId1399"/>
    <hyperlink xmlns:r="http://schemas.openxmlformats.org/officeDocument/2006/relationships" ref="N1256" r:id="rId1400"/>
    <hyperlink xmlns:r="http://schemas.openxmlformats.org/officeDocument/2006/relationships" ref="M1257" r:id="rId1401"/>
    <hyperlink xmlns:r="http://schemas.openxmlformats.org/officeDocument/2006/relationships" ref="N1257" r:id="rId1402"/>
    <hyperlink xmlns:r="http://schemas.openxmlformats.org/officeDocument/2006/relationships" ref="M1258" r:id="rId1403"/>
    <hyperlink xmlns:r="http://schemas.openxmlformats.org/officeDocument/2006/relationships" ref="N1258" r:id="rId1404"/>
    <hyperlink xmlns:r="http://schemas.openxmlformats.org/officeDocument/2006/relationships" ref="M1259" r:id="rId1405"/>
    <hyperlink xmlns:r="http://schemas.openxmlformats.org/officeDocument/2006/relationships" ref="N1259" r:id="rId1406"/>
    <hyperlink xmlns:r="http://schemas.openxmlformats.org/officeDocument/2006/relationships" ref="M1260" r:id="rId1407"/>
    <hyperlink xmlns:r="http://schemas.openxmlformats.org/officeDocument/2006/relationships" ref="N1260" r:id="rId1408"/>
    <hyperlink xmlns:r="http://schemas.openxmlformats.org/officeDocument/2006/relationships" ref="N1261" r:id="rId1409"/>
    <hyperlink xmlns:r="http://schemas.openxmlformats.org/officeDocument/2006/relationships" ref="M1262" r:id="rId1410"/>
    <hyperlink xmlns:r="http://schemas.openxmlformats.org/officeDocument/2006/relationships" ref="N1262" r:id="rId1411"/>
    <hyperlink xmlns:r="http://schemas.openxmlformats.org/officeDocument/2006/relationships" ref="M1263" r:id="rId1412"/>
    <hyperlink xmlns:r="http://schemas.openxmlformats.org/officeDocument/2006/relationships" ref="N1263" r:id="rId1413"/>
    <hyperlink xmlns:r="http://schemas.openxmlformats.org/officeDocument/2006/relationships" ref="M1264" r:id="rId1414"/>
    <hyperlink xmlns:r="http://schemas.openxmlformats.org/officeDocument/2006/relationships" ref="N1264" r:id="rId1415"/>
    <hyperlink xmlns:r="http://schemas.openxmlformats.org/officeDocument/2006/relationships" ref="M1265" r:id="rId1416"/>
    <hyperlink xmlns:r="http://schemas.openxmlformats.org/officeDocument/2006/relationships" ref="N1265" r:id="rId1417"/>
    <hyperlink xmlns:r="http://schemas.openxmlformats.org/officeDocument/2006/relationships" ref="N1266" r:id="rId1418"/>
    <hyperlink xmlns:r="http://schemas.openxmlformats.org/officeDocument/2006/relationships" ref="M1267" r:id="rId1419"/>
    <hyperlink xmlns:r="http://schemas.openxmlformats.org/officeDocument/2006/relationships" ref="N1267" r:id="rId1420"/>
    <hyperlink xmlns:r="http://schemas.openxmlformats.org/officeDocument/2006/relationships" ref="M1268" r:id="rId1421"/>
    <hyperlink xmlns:r="http://schemas.openxmlformats.org/officeDocument/2006/relationships" ref="N1268" r:id="rId1422"/>
    <hyperlink xmlns:r="http://schemas.openxmlformats.org/officeDocument/2006/relationships" ref="M1269" r:id="rId1423"/>
    <hyperlink xmlns:r="http://schemas.openxmlformats.org/officeDocument/2006/relationships" ref="N1269" r:id="rId1424"/>
    <hyperlink xmlns:r="http://schemas.openxmlformats.org/officeDocument/2006/relationships" ref="M1270" r:id="rId1425"/>
    <hyperlink xmlns:r="http://schemas.openxmlformats.org/officeDocument/2006/relationships" ref="N1270" r:id="rId1426"/>
    <hyperlink xmlns:r="http://schemas.openxmlformats.org/officeDocument/2006/relationships" ref="M1271" r:id="rId1427"/>
    <hyperlink xmlns:r="http://schemas.openxmlformats.org/officeDocument/2006/relationships" ref="N1271" r:id="rId1428"/>
    <hyperlink xmlns:r="http://schemas.openxmlformats.org/officeDocument/2006/relationships" ref="N1272" r:id="rId1429"/>
    <hyperlink xmlns:r="http://schemas.openxmlformats.org/officeDocument/2006/relationships" ref="M1273" r:id="rId1430"/>
    <hyperlink xmlns:r="http://schemas.openxmlformats.org/officeDocument/2006/relationships" ref="N1273" r:id="rId1431"/>
    <hyperlink xmlns:r="http://schemas.openxmlformats.org/officeDocument/2006/relationships" ref="M1274" r:id="rId1432"/>
    <hyperlink xmlns:r="http://schemas.openxmlformats.org/officeDocument/2006/relationships" ref="N1274" r:id="rId1433"/>
    <hyperlink xmlns:r="http://schemas.openxmlformats.org/officeDocument/2006/relationships" ref="M1275" r:id="rId1434"/>
    <hyperlink xmlns:r="http://schemas.openxmlformats.org/officeDocument/2006/relationships" ref="N1275" r:id="rId1435"/>
    <hyperlink xmlns:r="http://schemas.openxmlformats.org/officeDocument/2006/relationships" ref="M1276" r:id="rId1436"/>
    <hyperlink xmlns:r="http://schemas.openxmlformats.org/officeDocument/2006/relationships" ref="N1276" r:id="rId1437"/>
    <hyperlink xmlns:r="http://schemas.openxmlformats.org/officeDocument/2006/relationships" ref="M1277" r:id="rId1438"/>
    <hyperlink xmlns:r="http://schemas.openxmlformats.org/officeDocument/2006/relationships" ref="N1277" r:id="rId1439"/>
    <hyperlink xmlns:r="http://schemas.openxmlformats.org/officeDocument/2006/relationships" ref="M1278" r:id="rId1440"/>
    <hyperlink xmlns:r="http://schemas.openxmlformats.org/officeDocument/2006/relationships" ref="N1278" r:id="rId1441"/>
    <hyperlink xmlns:r="http://schemas.openxmlformats.org/officeDocument/2006/relationships" ref="M1279" r:id="rId1442"/>
    <hyperlink xmlns:r="http://schemas.openxmlformats.org/officeDocument/2006/relationships" ref="N1279" r:id="rId1443"/>
    <hyperlink xmlns:r="http://schemas.openxmlformats.org/officeDocument/2006/relationships" ref="M1280" r:id="rId1444"/>
    <hyperlink xmlns:r="http://schemas.openxmlformats.org/officeDocument/2006/relationships" ref="N1280" r:id="rId1445"/>
    <hyperlink xmlns:r="http://schemas.openxmlformats.org/officeDocument/2006/relationships" ref="N1281" r:id="rId1446"/>
    <hyperlink xmlns:r="http://schemas.openxmlformats.org/officeDocument/2006/relationships" ref="N1282" r:id="rId1447"/>
    <hyperlink xmlns:r="http://schemas.openxmlformats.org/officeDocument/2006/relationships" ref="N1283" r:id="rId1448"/>
    <hyperlink xmlns:r="http://schemas.openxmlformats.org/officeDocument/2006/relationships" ref="N1284" r:id="rId1449"/>
    <hyperlink xmlns:r="http://schemas.openxmlformats.org/officeDocument/2006/relationships" ref="N1285" r:id="rId1450"/>
    <hyperlink xmlns:r="http://schemas.openxmlformats.org/officeDocument/2006/relationships" ref="N1286" r:id="rId1451"/>
    <hyperlink xmlns:r="http://schemas.openxmlformats.org/officeDocument/2006/relationships" ref="N1287" r:id="rId1452"/>
    <hyperlink xmlns:r="http://schemas.openxmlformats.org/officeDocument/2006/relationships" ref="N1288" r:id="rId1453"/>
    <hyperlink xmlns:r="http://schemas.openxmlformats.org/officeDocument/2006/relationships" ref="N1289" r:id="rId1454"/>
    <hyperlink xmlns:r="http://schemas.openxmlformats.org/officeDocument/2006/relationships" ref="N1290" r:id="rId1455"/>
    <hyperlink xmlns:r="http://schemas.openxmlformats.org/officeDocument/2006/relationships" ref="N1291" r:id="rId1456"/>
    <hyperlink xmlns:r="http://schemas.openxmlformats.org/officeDocument/2006/relationships" ref="N1292" r:id="rId1457"/>
    <hyperlink xmlns:r="http://schemas.openxmlformats.org/officeDocument/2006/relationships" ref="N1293" r:id="rId1458"/>
    <hyperlink xmlns:r="http://schemas.openxmlformats.org/officeDocument/2006/relationships" ref="N1294" r:id="rId1459"/>
    <hyperlink xmlns:r="http://schemas.openxmlformats.org/officeDocument/2006/relationships" ref="M1295" r:id="rId1460"/>
    <hyperlink xmlns:r="http://schemas.openxmlformats.org/officeDocument/2006/relationships" ref="N1295" r:id="rId1461"/>
    <hyperlink xmlns:r="http://schemas.openxmlformats.org/officeDocument/2006/relationships" ref="M1296" r:id="rId1462"/>
    <hyperlink xmlns:r="http://schemas.openxmlformats.org/officeDocument/2006/relationships" ref="M1297" r:id="rId1463"/>
    <hyperlink xmlns:r="http://schemas.openxmlformats.org/officeDocument/2006/relationships" ref="M1298" r:id="rId1464"/>
    <hyperlink xmlns:r="http://schemas.openxmlformats.org/officeDocument/2006/relationships" ref="M1299" r:id="rId1465"/>
    <hyperlink xmlns:r="http://schemas.openxmlformats.org/officeDocument/2006/relationships" ref="M1300" r:id="rId1466"/>
    <hyperlink xmlns:r="http://schemas.openxmlformats.org/officeDocument/2006/relationships" ref="M1301" r:id="rId1467"/>
    <hyperlink xmlns:r="http://schemas.openxmlformats.org/officeDocument/2006/relationships" ref="M1302" r:id="rId1468"/>
    <hyperlink xmlns:r="http://schemas.openxmlformats.org/officeDocument/2006/relationships" ref="M1303" r:id="rId1469"/>
    <hyperlink xmlns:r="http://schemas.openxmlformats.org/officeDocument/2006/relationships" ref="M1304" r:id="rId1470"/>
    <hyperlink xmlns:r="http://schemas.openxmlformats.org/officeDocument/2006/relationships" ref="M1305" r:id="rId1471"/>
    <hyperlink xmlns:r="http://schemas.openxmlformats.org/officeDocument/2006/relationships" ref="M1306" r:id="rId1472"/>
    <hyperlink xmlns:r="http://schemas.openxmlformats.org/officeDocument/2006/relationships" ref="M1307" r:id="rId1473"/>
    <hyperlink xmlns:r="http://schemas.openxmlformats.org/officeDocument/2006/relationships" ref="N1308" r:id="rId1474"/>
    <hyperlink xmlns:r="http://schemas.openxmlformats.org/officeDocument/2006/relationships" ref="N1309" r:id="rId1475"/>
    <hyperlink xmlns:r="http://schemas.openxmlformats.org/officeDocument/2006/relationships" ref="N1310" r:id="rId1476"/>
    <hyperlink xmlns:r="http://schemas.openxmlformats.org/officeDocument/2006/relationships" ref="N1311" r:id="rId1477"/>
    <hyperlink xmlns:r="http://schemas.openxmlformats.org/officeDocument/2006/relationships" ref="N1312" r:id="rId1478"/>
    <hyperlink xmlns:r="http://schemas.openxmlformats.org/officeDocument/2006/relationships" ref="N1313" r:id="rId1479"/>
    <hyperlink xmlns:r="http://schemas.openxmlformats.org/officeDocument/2006/relationships" ref="N1314" r:id="rId1480"/>
    <hyperlink xmlns:r="http://schemas.openxmlformats.org/officeDocument/2006/relationships" ref="N1315" r:id="rId1481"/>
    <hyperlink xmlns:r="http://schemas.openxmlformats.org/officeDocument/2006/relationships" ref="N1316" r:id="rId1482"/>
    <hyperlink xmlns:r="http://schemas.openxmlformats.org/officeDocument/2006/relationships" ref="N1317" r:id="rId1483"/>
    <hyperlink xmlns:r="http://schemas.openxmlformats.org/officeDocument/2006/relationships" ref="N1318" r:id="rId1484"/>
    <hyperlink xmlns:r="http://schemas.openxmlformats.org/officeDocument/2006/relationships" ref="N1319" r:id="rId1485"/>
    <hyperlink xmlns:r="http://schemas.openxmlformats.org/officeDocument/2006/relationships" ref="N1320" r:id="rId1486"/>
    <hyperlink xmlns:r="http://schemas.openxmlformats.org/officeDocument/2006/relationships" ref="N1321" r:id="rId1487"/>
    <hyperlink xmlns:r="http://schemas.openxmlformats.org/officeDocument/2006/relationships" ref="N1322" r:id="rId1488"/>
    <hyperlink xmlns:r="http://schemas.openxmlformats.org/officeDocument/2006/relationships" ref="N1323" r:id="rId1489"/>
    <hyperlink xmlns:r="http://schemas.openxmlformats.org/officeDocument/2006/relationships" ref="N1324" r:id="rId1490"/>
    <hyperlink xmlns:r="http://schemas.openxmlformats.org/officeDocument/2006/relationships" ref="N1325" r:id="rId1491"/>
    <hyperlink xmlns:r="http://schemas.openxmlformats.org/officeDocument/2006/relationships" ref="N1326" r:id="rId1492"/>
    <hyperlink xmlns:r="http://schemas.openxmlformats.org/officeDocument/2006/relationships" ref="N1327" r:id="rId1493"/>
    <hyperlink xmlns:r="http://schemas.openxmlformats.org/officeDocument/2006/relationships" ref="N1328" r:id="rId1494"/>
    <hyperlink xmlns:r="http://schemas.openxmlformats.org/officeDocument/2006/relationships" ref="N1329" r:id="rId1495"/>
    <hyperlink xmlns:r="http://schemas.openxmlformats.org/officeDocument/2006/relationships" ref="N1330" r:id="rId1496"/>
    <hyperlink xmlns:r="http://schemas.openxmlformats.org/officeDocument/2006/relationships" ref="N1331" r:id="rId1497"/>
    <hyperlink xmlns:r="http://schemas.openxmlformats.org/officeDocument/2006/relationships" ref="N1332" r:id="rId1498"/>
    <hyperlink xmlns:r="http://schemas.openxmlformats.org/officeDocument/2006/relationships" ref="N1333" r:id="rId1499"/>
    <hyperlink xmlns:r="http://schemas.openxmlformats.org/officeDocument/2006/relationships" ref="N1334" r:id="rId1500"/>
    <hyperlink xmlns:r="http://schemas.openxmlformats.org/officeDocument/2006/relationships" ref="N1335" r:id="rId1501"/>
    <hyperlink xmlns:r="http://schemas.openxmlformats.org/officeDocument/2006/relationships" ref="N1336" r:id="rId1502"/>
    <hyperlink xmlns:r="http://schemas.openxmlformats.org/officeDocument/2006/relationships" ref="N1337" r:id="rId1503"/>
    <hyperlink xmlns:r="http://schemas.openxmlformats.org/officeDocument/2006/relationships" ref="N1338" r:id="rId1504"/>
    <hyperlink xmlns:r="http://schemas.openxmlformats.org/officeDocument/2006/relationships" ref="N1339" r:id="rId1505"/>
    <hyperlink xmlns:r="http://schemas.openxmlformats.org/officeDocument/2006/relationships" ref="N1340" r:id="rId1506"/>
    <hyperlink xmlns:r="http://schemas.openxmlformats.org/officeDocument/2006/relationships" ref="N1341" r:id="rId1507"/>
    <hyperlink xmlns:r="http://schemas.openxmlformats.org/officeDocument/2006/relationships" ref="N1342" r:id="rId1508"/>
    <hyperlink xmlns:r="http://schemas.openxmlformats.org/officeDocument/2006/relationships" ref="N1343" r:id="rId1509"/>
    <hyperlink xmlns:r="http://schemas.openxmlformats.org/officeDocument/2006/relationships" ref="N1344" r:id="rId1510"/>
    <hyperlink xmlns:r="http://schemas.openxmlformats.org/officeDocument/2006/relationships" ref="N1345" r:id="rId1511"/>
    <hyperlink xmlns:r="http://schemas.openxmlformats.org/officeDocument/2006/relationships" ref="N1346" r:id="rId1512"/>
    <hyperlink xmlns:r="http://schemas.openxmlformats.org/officeDocument/2006/relationships" ref="N1347" r:id="rId1513"/>
    <hyperlink xmlns:r="http://schemas.openxmlformats.org/officeDocument/2006/relationships" ref="N1348" r:id="rId1514"/>
    <hyperlink xmlns:r="http://schemas.openxmlformats.org/officeDocument/2006/relationships" ref="N1349" r:id="rId1515"/>
    <hyperlink xmlns:r="http://schemas.openxmlformats.org/officeDocument/2006/relationships" ref="N1350" r:id="rId1516"/>
    <hyperlink xmlns:r="http://schemas.openxmlformats.org/officeDocument/2006/relationships" ref="N1351" r:id="rId1517"/>
    <hyperlink xmlns:r="http://schemas.openxmlformats.org/officeDocument/2006/relationships" ref="N1352" r:id="rId1518"/>
    <hyperlink xmlns:r="http://schemas.openxmlformats.org/officeDocument/2006/relationships" ref="N1353" r:id="rId1519"/>
    <hyperlink xmlns:r="http://schemas.openxmlformats.org/officeDocument/2006/relationships" ref="N1354" r:id="rId1520"/>
    <hyperlink xmlns:r="http://schemas.openxmlformats.org/officeDocument/2006/relationships" ref="N1355" r:id="rId1521"/>
    <hyperlink xmlns:r="http://schemas.openxmlformats.org/officeDocument/2006/relationships" ref="N1356" r:id="rId1522"/>
    <hyperlink xmlns:r="http://schemas.openxmlformats.org/officeDocument/2006/relationships" ref="N1357" r:id="rId1523"/>
    <hyperlink xmlns:r="http://schemas.openxmlformats.org/officeDocument/2006/relationships" ref="N1358" r:id="rId1524"/>
    <hyperlink xmlns:r="http://schemas.openxmlformats.org/officeDocument/2006/relationships" ref="N1359" r:id="rId1525"/>
    <hyperlink xmlns:r="http://schemas.openxmlformats.org/officeDocument/2006/relationships" ref="N1360" r:id="rId1526"/>
    <hyperlink xmlns:r="http://schemas.openxmlformats.org/officeDocument/2006/relationships" ref="N1361" r:id="rId1527"/>
    <hyperlink xmlns:r="http://schemas.openxmlformats.org/officeDocument/2006/relationships" ref="N1362" r:id="rId1528"/>
    <hyperlink xmlns:r="http://schemas.openxmlformats.org/officeDocument/2006/relationships" ref="N1363" r:id="rId1529"/>
    <hyperlink xmlns:r="http://schemas.openxmlformats.org/officeDocument/2006/relationships" ref="N1364" r:id="rId1530"/>
    <hyperlink xmlns:r="http://schemas.openxmlformats.org/officeDocument/2006/relationships" ref="N1365" r:id="rId1531"/>
    <hyperlink xmlns:r="http://schemas.openxmlformats.org/officeDocument/2006/relationships" ref="N1366" r:id="rId1532"/>
    <hyperlink xmlns:r="http://schemas.openxmlformats.org/officeDocument/2006/relationships" ref="N1367" r:id="rId1533"/>
    <hyperlink xmlns:r="http://schemas.openxmlformats.org/officeDocument/2006/relationships" ref="N1368" r:id="rId1534"/>
    <hyperlink xmlns:r="http://schemas.openxmlformats.org/officeDocument/2006/relationships" ref="N1369" r:id="rId1535"/>
    <hyperlink xmlns:r="http://schemas.openxmlformats.org/officeDocument/2006/relationships" ref="N1370" r:id="rId1536"/>
    <hyperlink xmlns:r="http://schemas.openxmlformats.org/officeDocument/2006/relationships" ref="N1371" r:id="rId1537"/>
    <hyperlink xmlns:r="http://schemas.openxmlformats.org/officeDocument/2006/relationships" ref="N1372" r:id="rId1538"/>
    <hyperlink xmlns:r="http://schemas.openxmlformats.org/officeDocument/2006/relationships" ref="N1373" r:id="rId1539"/>
    <hyperlink xmlns:r="http://schemas.openxmlformats.org/officeDocument/2006/relationships" ref="N1374" r:id="rId1540"/>
    <hyperlink xmlns:r="http://schemas.openxmlformats.org/officeDocument/2006/relationships" ref="N1375" r:id="rId1541"/>
    <hyperlink xmlns:r="http://schemas.openxmlformats.org/officeDocument/2006/relationships" ref="N1376" r:id="rId1542"/>
    <hyperlink xmlns:r="http://schemas.openxmlformats.org/officeDocument/2006/relationships" ref="N1377" r:id="rId1543"/>
    <hyperlink xmlns:r="http://schemas.openxmlformats.org/officeDocument/2006/relationships" ref="N1378" r:id="rId1544"/>
    <hyperlink xmlns:r="http://schemas.openxmlformats.org/officeDocument/2006/relationships" ref="N1379" r:id="rId1545"/>
    <hyperlink xmlns:r="http://schemas.openxmlformats.org/officeDocument/2006/relationships" ref="N1380" r:id="rId1546"/>
    <hyperlink xmlns:r="http://schemas.openxmlformats.org/officeDocument/2006/relationships" ref="N1381" r:id="rId1547"/>
    <hyperlink xmlns:r="http://schemas.openxmlformats.org/officeDocument/2006/relationships" ref="N1382" r:id="rId1548"/>
    <hyperlink xmlns:r="http://schemas.openxmlformats.org/officeDocument/2006/relationships" ref="N1383" r:id="rId1549"/>
    <hyperlink xmlns:r="http://schemas.openxmlformats.org/officeDocument/2006/relationships" ref="N1384" r:id="rId1550"/>
    <hyperlink xmlns:r="http://schemas.openxmlformats.org/officeDocument/2006/relationships" ref="N1385" r:id="rId1551"/>
    <hyperlink xmlns:r="http://schemas.openxmlformats.org/officeDocument/2006/relationships" ref="N1386" r:id="rId1552"/>
    <hyperlink xmlns:r="http://schemas.openxmlformats.org/officeDocument/2006/relationships" ref="N1387" r:id="rId1553"/>
    <hyperlink xmlns:r="http://schemas.openxmlformats.org/officeDocument/2006/relationships" ref="N1388" r:id="rId1554"/>
    <hyperlink xmlns:r="http://schemas.openxmlformats.org/officeDocument/2006/relationships" ref="N1389" r:id="rId1555"/>
    <hyperlink xmlns:r="http://schemas.openxmlformats.org/officeDocument/2006/relationships" ref="N1390" r:id="rId1556"/>
    <hyperlink xmlns:r="http://schemas.openxmlformats.org/officeDocument/2006/relationships" ref="N1391" r:id="rId1557"/>
    <hyperlink xmlns:r="http://schemas.openxmlformats.org/officeDocument/2006/relationships" ref="N1392" r:id="rId1558"/>
    <hyperlink xmlns:r="http://schemas.openxmlformats.org/officeDocument/2006/relationships" ref="N1393" r:id="rId1559"/>
    <hyperlink xmlns:r="http://schemas.openxmlformats.org/officeDocument/2006/relationships" ref="N1394" r:id="rId1560"/>
    <hyperlink xmlns:r="http://schemas.openxmlformats.org/officeDocument/2006/relationships" ref="N1395" r:id="rId1561"/>
    <hyperlink xmlns:r="http://schemas.openxmlformats.org/officeDocument/2006/relationships" ref="N1396" r:id="rId1562"/>
    <hyperlink xmlns:r="http://schemas.openxmlformats.org/officeDocument/2006/relationships" ref="N1397" r:id="rId1563"/>
    <hyperlink xmlns:r="http://schemas.openxmlformats.org/officeDocument/2006/relationships" ref="N1398" r:id="rId1564"/>
    <hyperlink xmlns:r="http://schemas.openxmlformats.org/officeDocument/2006/relationships" ref="N1399" r:id="rId1565"/>
    <hyperlink xmlns:r="http://schemas.openxmlformats.org/officeDocument/2006/relationships" ref="N1400" r:id="rId1566"/>
    <hyperlink xmlns:r="http://schemas.openxmlformats.org/officeDocument/2006/relationships" ref="N1401" r:id="rId1567"/>
    <hyperlink xmlns:r="http://schemas.openxmlformats.org/officeDocument/2006/relationships" ref="N1402" r:id="rId1568"/>
    <hyperlink xmlns:r="http://schemas.openxmlformats.org/officeDocument/2006/relationships" ref="N1403" r:id="rId1569"/>
    <hyperlink xmlns:r="http://schemas.openxmlformats.org/officeDocument/2006/relationships" ref="N1404" r:id="rId1570"/>
    <hyperlink xmlns:r="http://schemas.openxmlformats.org/officeDocument/2006/relationships" ref="N1405" r:id="rId1571"/>
    <hyperlink xmlns:r="http://schemas.openxmlformats.org/officeDocument/2006/relationships" ref="N1406" r:id="rId1572"/>
    <hyperlink xmlns:r="http://schemas.openxmlformats.org/officeDocument/2006/relationships" ref="N1407" r:id="rId1573"/>
    <hyperlink xmlns:r="http://schemas.openxmlformats.org/officeDocument/2006/relationships" ref="N1408" r:id="rId1574"/>
    <hyperlink xmlns:r="http://schemas.openxmlformats.org/officeDocument/2006/relationships" ref="N1409" r:id="rId1575"/>
    <hyperlink xmlns:r="http://schemas.openxmlformats.org/officeDocument/2006/relationships" ref="N1410" r:id="rId1576"/>
    <hyperlink xmlns:r="http://schemas.openxmlformats.org/officeDocument/2006/relationships" ref="N1411" r:id="rId1577"/>
    <hyperlink xmlns:r="http://schemas.openxmlformats.org/officeDocument/2006/relationships" ref="N1412" r:id="rId1578"/>
    <hyperlink xmlns:r="http://schemas.openxmlformats.org/officeDocument/2006/relationships" ref="N1413" r:id="rId1579"/>
    <hyperlink xmlns:r="http://schemas.openxmlformats.org/officeDocument/2006/relationships" ref="N1414" r:id="rId1580"/>
    <hyperlink xmlns:r="http://schemas.openxmlformats.org/officeDocument/2006/relationships" ref="N1415" r:id="rId1581"/>
    <hyperlink xmlns:r="http://schemas.openxmlformats.org/officeDocument/2006/relationships" ref="N1416" r:id="rId1582"/>
    <hyperlink xmlns:r="http://schemas.openxmlformats.org/officeDocument/2006/relationships" ref="N1417" r:id="rId1583"/>
    <hyperlink xmlns:r="http://schemas.openxmlformats.org/officeDocument/2006/relationships" ref="N1418" r:id="rId1584"/>
    <hyperlink xmlns:r="http://schemas.openxmlformats.org/officeDocument/2006/relationships" ref="N1419" r:id="rId1585"/>
    <hyperlink xmlns:r="http://schemas.openxmlformats.org/officeDocument/2006/relationships" ref="N1420" r:id="rId1586"/>
    <hyperlink xmlns:r="http://schemas.openxmlformats.org/officeDocument/2006/relationships" ref="N1421" r:id="rId1587"/>
    <hyperlink xmlns:r="http://schemas.openxmlformats.org/officeDocument/2006/relationships" ref="N1422" r:id="rId1588"/>
    <hyperlink xmlns:r="http://schemas.openxmlformats.org/officeDocument/2006/relationships" ref="N1423" r:id="rId1589"/>
    <hyperlink xmlns:r="http://schemas.openxmlformats.org/officeDocument/2006/relationships" ref="N1424" r:id="rId1590"/>
    <hyperlink xmlns:r="http://schemas.openxmlformats.org/officeDocument/2006/relationships" ref="N1425" r:id="rId1591"/>
    <hyperlink xmlns:r="http://schemas.openxmlformats.org/officeDocument/2006/relationships" ref="N1426" r:id="rId1592"/>
    <hyperlink xmlns:r="http://schemas.openxmlformats.org/officeDocument/2006/relationships" ref="N1427" r:id="rId1593"/>
    <hyperlink xmlns:r="http://schemas.openxmlformats.org/officeDocument/2006/relationships" ref="N1428" r:id="rId1594"/>
    <hyperlink xmlns:r="http://schemas.openxmlformats.org/officeDocument/2006/relationships" ref="N1429" r:id="rId1595"/>
    <hyperlink xmlns:r="http://schemas.openxmlformats.org/officeDocument/2006/relationships" ref="N1430" r:id="rId1596"/>
    <hyperlink xmlns:r="http://schemas.openxmlformats.org/officeDocument/2006/relationships" ref="N1431" r:id="rId1597"/>
    <hyperlink xmlns:r="http://schemas.openxmlformats.org/officeDocument/2006/relationships" ref="N1432" r:id="rId1598"/>
    <hyperlink xmlns:r="http://schemas.openxmlformats.org/officeDocument/2006/relationships" ref="N1433" r:id="rId1599"/>
    <hyperlink xmlns:r="http://schemas.openxmlformats.org/officeDocument/2006/relationships" ref="N1434" r:id="rId1600"/>
    <hyperlink xmlns:r="http://schemas.openxmlformats.org/officeDocument/2006/relationships" ref="N1435" r:id="rId1601"/>
    <hyperlink xmlns:r="http://schemas.openxmlformats.org/officeDocument/2006/relationships" ref="N1436" r:id="rId1602"/>
    <hyperlink xmlns:r="http://schemas.openxmlformats.org/officeDocument/2006/relationships" ref="N1437" r:id="rId1603"/>
    <hyperlink xmlns:r="http://schemas.openxmlformats.org/officeDocument/2006/relationships" ref="N1438" r:id="rId1604"/>
    <hyperlink xmlns:r="http://schemas.openxmlformats.org/officeDocument/2006/relationships" ref="N1439" r:id="rId1605"/>
    <hyperlink xmlns:r="http://schemas.openxmlformats.org/officeDocument/2006/relationships" ref="N1440" r:id="rId1606"/>
    <hyperlink xmlns:r="http://schemas.openxmlformats.org/officeDocument/2006/relationships" ref="N1441" r:id="rId1607"/>
    <hyperlink xmlns:r="http://schemas.openxmlformats.org/officeDocument/2006/relationships" ref="N1442" r:id="rId1608"/>
    <hyperlink xmlns:r="http://schemas.openxmlformats.org/officeDocument/2006/relationships" ref="N1443" r:id="rId1609"/>
    <hyperlink xmlns:r="http://schemas.openxmlformats.org/officeDocument/2006/relationships" ref="N1444" r:id="rId1610"/>
    <hyperlink xmlns:r="http://schemas.openxmlformats.org/officeDocument/2006/relationships" ref="N1445" r:id="rId1611"/>
    <hyperlink xmlns:r="http://schemas.openxmlformats.org/officeDocument/2006/relationships" ref="N1446" r:id="rId1612"/>
    <hyperlink xmlns:r="http://schemas.openxmlformats.org/officeDocument/2006/relationships" ref="N1447" r:id="rId1613"/>
    <hyperlink xmlns:r="http://schemas.openxmlformats.org/officeDocument/2006/relationships" ref="N1448" r:id="rId1614"/>
    <hyperlink xmlns:r="http://schemas.openxmlformats.org/officeDocument/2006/relationships" ref="N1449" r:id="rId1615"/>
    <hyperlink xmlns:r="http://schemas.openxmlformats.org/officeDocument/2006/relationships" ref="N1450" r:id="rId1616"/>
    <hyperlink xmlns:r="http://schemas.openxmlformats.org/officeDocument/2006/relationships" ref="N1451" r:id="rId1617"/>
    <hyperlink xmlns:r="http://schemas.openxmlformats.org/officeDocument/2006/relationships" ref="N1452" r:id="rId1618"/>
    <hyperlink xmlns:r="http://schemas.openxmlformats.org/officeDocument/2006/relationships" ref="N1453" r:id="rId1619"/>
    <hyperlink xmlns:r="http://schemas.openxmlformats.org/officeDocument/2006/relationships" ref="N1454" r:id="rId1620"/>
    <hyperlink xmlns:r="http://schemas.openxmlformats.org/officeDocument/2006/relationships" ref="N1455" r:id="rId1621"/>
    <hyperlink xmlns:r="http://schemas.openxmlformats.org/officeDocument/2006/relationships" ref="N1456" r:id="rId1622"/>
    <hyperlink xmlns:r="http://schemas.openxmlformats.org/officeDocument/2006/relationships" ref="N1457" r:id="rId1623"/>
    <hyperlink xmlns:r="http://schemas.openxmlformats.org/officeDocument/2006/relationships" ref="N1458" r:id="rId1624"/>
    <hyperlink xmlns:r="http://schemas.openxmlformats.org/officeDocument/2006/relationships" ref="N1459" r:id="rId1625"/>
    <hyperlink xmlns:r="http://schemas.openxmlformats.org/officeDocument/2006/relationships" ref="N1460" r:id="rId1626"/>
    <hyperlink xmlns:r="http://schemas.openxmlformats.org/officeDocument/2006/relationships" ref="N1461" r:id="rId1627"/>
    <hyperlink xmlns:r="http://schemas.openxmlformats.org/officeDocument/2006/relationships" ref="N1462" r:id="rId1628"/>
    <hyperlink xmlns:r="http://schemas.openxmlformats.org/officeDocument/2006/relationships" ref="N1463" r:id="rId1629"/>
    <hyperlink xmlns:r="http://schemas.openxmlformats.org/officeDocument/2006/relationships" ref="N1464" r:id="rId1630"/>
    <hyperlink xmlns:r="http://schemas.openxmlformats.org/officeDocument/2006/relationships" ref="N1465" r:id="rId1631"/>
    <hyperlink xmlns:r="http://schemas.openxmlformats.org/officeDocument/2006/relationships" ref="N1466" r:id="rId1632"/>
    <hyperlink xmlns:r="http://schemas.openxmlformats.org/officeDocument/2006/relationships" ref="N1467" r:id="rId1633"/>
    <hyperlink xmlns:r="http://schemas.openxmlformats.org/officeDocument/2006/relationships" ref="N1468" r:id="rId1634"/>
    <hyperlink xmlns:r="http://schemas.openxmlformats.org/officeDocument/2006/relationships" ref="N1469" r:id="rId1635"/>
    <hyperlink xmlns:r="http://schemas.openxmlformats.org/officeDocument/2006/relationships" ref="N1470" r:id="rId1636"/>
    <hyperlink xmlns:r="http://schemas.openxmlformats.org/officeDocument/2006/relationships" ref="N1471" r:id="rId1637"/>
    <hyperlink xmlns:r="http://schemas.openxmlformats.org/officeDocument/2006/relationships" ref="N1472" r:id="rId1638"/>
    <hyperlink xmlns:r="http://schemas.openxmlformats.org/officeDocument/2006/relationships" ref="N1473" r:id="rId1639"/>
    <hyperlink xmlns:r="http://schemas.openxmlformats.org/officeDocument/2006/relationships" ref="N1474" r:id="rId1640"/>
    <hyperlink xmlns:r="http://schemas.openxmlformats.org/officeDocument/2006/relationships" ref="N1475" r:id="rId1641"/>
    <hyperlink xmlns:r="http://schemas.openxmlformats.org/officeDocument/2006/relationships" ref="N1476" r:id="rId1642"/>
    <hyperlink xmlns:r="http://schemas.openxmlformats.org/officeDocument/2006/relationships" ref="N1477" r:id="rId1643"/>
    <hyperlink xmlns:r="http://schemas.openxmlformats.org/officeDocument/2006/relationships" ref="N1478" r:id="rId1644"/>
    <hyperlink xmlns:r="http://schemas.openxmlformats.org/officeDocument/2006/relationships" ref="N1479" r:id="rId1645"/>
    <hyperlink xmlns:r="http://schemas.openxmlformats.org/officeDocument/2006/relationships" ref="N1480" r:id="rId1646"/>
    <hyperlink xmlns:r="http://schemas.openxmlformats.org/officeDocument/2006/relationships" ref="N1481" r:id="rId1647"/>
    <hyperlink xmlns:r="http://schemas.openxmlformats.org/officeDocument/2006/relationships" ref="N1482" r:id="rId1648"/>
    <hyperlink xmlns:r="http://schemas.openxmlformats.org/officeDocument/2006/relationships" ref="N1483" r:id="rId1649"/>
    <hyperlink xmlns:r="http://schemas.openxmlformats.org/officeDocument/2006/relationships" ref="N1484" r:id="rId1650"/>
    <hyperlink xmlns:r="http://schemas.openxmlformats.org/officeDocument/2006/relationships" ref="N1485" r:id="rId1651"/>
    <hyperlink xmlns:r="http://schemas.openxmlformats.org/officeDocument/2006/relationships" ref="N1486" r:id="rId1652"/>
    <hyperlink xmlns:r="http://schemas.openxmlformats.org/officeDocument/2006/relationships" ref="N1487" r:id="rId1653"/>
    <hyperlink xmlns:r="http://schemas.openxmlformats.org/officeDocument/2006/relationships" ref="N1488" r:id="rId1654"/>
    <hyperlink xmlns:r="http://schemas.openxmlformats.org/officeDocument/2006/relationships" ref="N1489" r:id="rId1655"/>
    <hyperlink xmlns:r="http://schemas.openxmlformats.org/officeDocument/2006/relationships" ref="N1490" r:id="rId1656"/>
    <hyperlink xmlns:r="http://schemas.openxmlformats.org/officeDocument/2006/relationships" ref="N1491" r:id="rId1657"/>
    <hyperlink xmlns:r="http://schemas.openxmlformats.org/officeDocument/2006/relationships" ref="N1492" r:id="rId1658"/>
    <hyperlink xmlns:r="http://schemas.openxmlformats.org/officeDocument/2006/relationships" ref="N1493" r:id="rId1659"/>
    <hyperlink xmlns:r="http://schemas.openxmlformats.org/officeDocument/2006/relationships" ref="N1494" r:id="rId1660"/>
    <hyperlink xmlns:r="http://schemas.openxmlformats.org/officeDocument/2006/relationships" ref="N1495" r:id="rId1661"/>
    <hyperlink xmlns:r="http://schemas.openxmlformats.org/officeDocument/2006/relationships" ref="N1496" r:id="rId1662"/>
    <hyperlink xmlns:r="http://schemas.openxmlformats.org/officeDocument/2006/relationships" ref="N1497" r:id="rId1663"/>
    <hyperlink xmlns:r="http://schemas.openxmlformats.org/officeDocument/2006/relationships" ref="N1498" r:id="rId1664"/>
    <hyperlink xmlns:r="http://schemas.openxmlformats.org/officeDocument/2006/relationships" ref="N1499" r:id="rId1665"/>
    <hyperlink xmlns:r="http://schemas.openxmlformats.org/officeDocument/2006/relationships" ref="N1500" r:id="rId1666"/>
    <hyperlink xmlns:r="http://schemas.openxmlformats.org/officeDocument/2006/relationships" ref="N1501" r:id="rId1667"/>
    <hyperlink xmlns:r="http://schemas.openxmlformats.org/officeDocument/2006/relationships" ref="N1502" r:id="rId1668"/>
    <hyperlink xmlns:r="http://schemas.openxmlformats.org/officeDocument/2006/relationships" ref="N1503" r:id="rId1669"/>
    <hyperlink xmlns:r="http://schemas.openxmlformats.org/officeDocument/2006/relationships" ref="N1504" r:id="rId1670"/>
    <hyperlink xmlns:r="http://schemas.openxmlformats.org/officeDocument/2006/relationships" ref="N1505" r:id="rId1671"/>
    <hyperlink xmlns:r="http://schemas.openxmlformats.org/officeDocument/2006/relationships" ref="N1506" r:id="rId1672"/>
    <hyperlink xmlns:r="http://schemas.openxmlformats.org/officeDocument/2006/relationships" ref="N1507" r:id="rId1673"/>
    <hyperlink xmlns:r="http://schemas.openxmlformats.org/officeDocument/2006/relationships" ref="N1508" r:id="rId1674"/>
    <hyperlink xmlns:r="http://schemas.openxmlformats.org/officeDocument/2006/relationships" ref="N1509" r:id="rId1675"/>
    <hyperlink xmlns:r="http://schemas.openxmlformats.org/officeDocument/2006/relationships" ref="N1510" r:id="rId1676"/>
    <hyperlink xmlns:r="http://schemas.openxmlformats.org/officeDocument/2006/relationships" ref="N1511" r:id="rId1677"/>
    <hyperlink xmlns:r="http://schemas.openxmlformats.org/officeDocument/2006/relationships" ref="N1512" r:id="rId1678"/>
    <hyperlink xmlns:r="http://schemas.openxmlformats.org/officeDocument/2006/relationships" ref="N1513" r:id="rId1679"/>
    <hyperlink xmlns:r="http://schemas.openxmlformats.org/officeDocument/2006/relationships" ref="N1514" r:id="rId1680"/>
    <hyperlink xmlns:r="http://schemas.openxmlformats.org/officeDocument/2006/relationships" ref="N1515" r:id="rId1681"/>
    <hyperlink xmlns:r="http://schemas.openxmlformats.org/officeDocument/2006/relationships" ref="N1516" r:id="rId1682"/>
    <hyperlink xmlns:r="http://schemas.openxmlformats.org/officeDocument/2006/relationships" ref="N1517" r:id="rId1683"/>
    <hyperlink xmlns:r="http://schemas.openxmlformats.org/officeDocument/2006/relationships" ref="N1518" r:id="rId1684"/>
    <hyperlink xmlns:r="http://schemas.openxmlformats.org/officeDocument/2006/relationships" ref="N1519" r:id="rId1685"/>
    <hyperlink xmlns:r="http://schemas.openxmlformats.org/officeDocument/2006/relationships" ref="N1520" r:id="rId1686"/>
    <hyperlink xmlns:r="http://schemas.openxmlformats.org/officeDocument/2006/relationships" ref="N1521" r:id="rId1687"/>
    <hyperlink xmlns:r="http://schemas.openxmlformats.org/officeDocument/2006/relationships" ref="N1522" r:id="rId1688"/>
    <hyperlink xmlns:r="http://schemas.openxmlformats.org/officeDocument/2006/relationships" ref="N1523" r:id="rId1689"/>
    <hyperlink xmlns:r="http://schemas.openxmlformats.org/officeDocument/2006/relationships" ref="N1524" r:id="rId1690"/>
    <hyperlink xmlns:r="http://schemas.openxmlformats.org/officeDocument/2006/relationships" ref="N1525" r:id="rId1691"/>
    <hyperlink xmlns:r="http://schemas.openxmlformats.org/officeDocument/2006/relationships" ref="N1526" r:id="rId1692"/>
    <hyperlink xmlns:r="http://schemas.openxmlformats.org/officeDocument/2006/relationships" ref="N1527" r:id="rId1693"/>
    <hyperlink xmlns:r="http://schemas.openxmlformats.org/officeDocument/2006/relationships" ref="N1528" r:id="rId1694"/>
    <hyperlink xmlns:r="http://schemas.openxmlformats.org/officeDocument/2006/relationships" ref="N1529" r:id="rId1695"/>
    <hyperlink xmlns:r="http://schemas.openxmlformats.org/officeDocument/2006/relationships" ref="N1530" r:id="rId1696"/>
    <hyperlink xmlns:r="http://schemas.openxmlformats.org/officeDocument/2006/relationships" ref="N1531" r:id="rId1697"/>
    <hyperlink xmlns:r="http://schemas.openxmlformats.org/officeDocument/2006/relationships" ref="N1532" r:id="rId1698"/>
    <hyperlink xmlns:r="http://schemas.openxmlformats.org/officeDocument/2006/relationships" ref="N1533" r:id="rId1699"/>
    <hyperlink xmlns:r="http://schemas.openxmlformats.org/officeDocument/2006/relationships" ref="N1534" r:id="rId1700"/>
    <hyperlink xmlns:r="http://schemas.openxmlformats.org/officeDocument/2006/relationships" ref="N1535" r:id="rId1701"/>
    <hyperlink xmlns:r="http://schemas.openxmlformats.org/officeDocument/2006/relationships" ref="N1536" r:id="rId1702"/>
    <hyperlink xmlns:r="http://schemas.openxmlformats.org/officeDocument/2006/relationships" ref="N1537" r:id="rId1703"/>
    <hyperlink xmlns:r="http://schemas.openxmlformats.org/officeDocument/2006/relationships" ref="N1538" r:id="rId1704"/>
    <hyperlink xmlns:r="http://schemas.openxmlformats.org/officeDocument/2006/relationships" ref="N1539" r:id="rId1705"/>
    <hyperlink xmlns:r="http://schemas.openxmlformats.org/officeDocument/2006/relationships" ref="N1540" r:id="rId1706"/>
    <hyperlink xmlns:r="http://schemas.openxmlformats.org/officeDocument/2006/relationships" ref="N1541" r:id="rId1707"/>
    <hyperlink xmlns:r="http://schemas.openxmlformats.org/officeDocument/2006/relationships" ref="N1542" r:id="rId1708"/>
    <hyperlink xmlns:r="http://schemas.openxmlformats.org/officeDocument/2006/relationships" ref="N1543" r:id="rId1709"/>
    <hyperlink xmlns:r="http://schemas.openxmlformats.org/officeDocument/2006/relationships" ref="N1544" r:id="rId1710"/>
    <hyperlink xmlns:r="http://schemas.openxmlformats.org/officeDocument/2006/relationships" ref="N1545" r:id="rId1711"/>
    <hyperlink xmlns:r="http://schemas.openxmlformats.org/officeDocument/2006/relationships" ref="N1546" r:id="rId1712"/>
    <hyperlink xmlns:r="http://schemas.openxmlformats.org/officeDocument/2006/relationships" ref="N1547" r:id="rId1713"/>
    <hyperlink xmlns:r="http://schemas.openxmlformats.org/officeDocument/2006/relationships" ref="N1548" r:id="rId1714"/>
    <hyperlink xmlns:r="http://schemas.openxmlformats.org/officeDocument/2006/relationships" ref="N1549" r:id="rId1715"/>
    <hyperlink xmlns:r="http://schemas.openxmlformats.org/officeDocument/2006/relationships" ref="N1550" r:id="rId1716"/>
    <hyperlink xmlns:r="http://schemas.openxmlformats.org/officeDocument/2006/relationships" ref="N1551" r:id="rId1717"/>
    <hyperlink xmlns:r="http://schemas.openxmlformats.org/officeDocument/2006/relationships" ref="N1552" r:id="rId1718"/>
    <hyperlink xmlns:r="http://schemas.openxmlformats.org/officeDocument/2006/relationships" ref="N1553" r:id="rId1719"/>
    <hyperlink xmlns:r="http://schemas.openxmlformats.org/officeDocument/2006/relationships" ref="N1554" r:id="rId1720"/>
    <hyperlink xmlns:r="http://schemas.openxmlformats.org/officeDocument/2006/relationships" ref="N1555" r:id="rId1721"/>
    <hyperlink xmlns:r="http://schemas.openxmlformats.org/officeDocument/2006/relationships" ref="N1556" r:id="rId1722"/>
    <hyperlink xmlns:r="http://schemas.openxmlformats.org/officeDocument/2006/relationships" ref="N1557" r:id="rId1723"/>
    <hyperlink xmlns:r="http://schemas.openxmlformats.org/officeDocument/2006/relationships" ref="N1558" r:id="rId1724"/>
    <hyperlink xmlns:r="http://schemas.openxmlformats.org/officeDocument/2006/relationships" ref="N1559" r:id="rId1725"/>
    <hyperlink xmlns:r="http://schemas.openxmlformats.org/officeDocument/2006/relationships" ref="N1560" r:id="rId1726"/>
    <hyperlink xmlns:r="http://schemas.openxmlformats.org/officeDocument/2006/relationships" ref="N1561" r:id="rId1727"/>
    <hyperlink xmlns:r="http://schemas.openxmlformats.org/officeDocument/2006/relationships" ref="N1562" r:id="rId1728"/>
    <hyperlink xmlns:r="http://schemas.openxmlformats.org/officeDocument/2006/relationships" ref="N1563" r:id="rId1729"/>
    <hyperlink xmlns:r="http://schemas.openxmlformats.org/officeDocument/2006/relationships" ref="N1564" r:id="rId1730"/>
    <hyperlink xmlns:r="http://schemas.openxmlformats.org/officeDocument/2006/relationships" ref="N1565" r:id="rId1731"/>
    <hyperlink xmlns:r="http://schemas.openxmlformats.org/officeDocument/2006/relationships" ref="N1566" r:id="rId1732"/>
    <hyperlink xmlns:r="http://schemas.openxmlformats.org/officeDocument/2006/relationships" ref="N1567" r:id="rId1733"/>
    <hyperlink xmlns:r="http://schemas.openxmlformats.org/officeDocument/2006/relationships" ref="N1568" r:id="rId1734"/>
    <hyperlink xmlns:r="http://schemas.openxmlformats.org/officeDocument/2006/relationships" ref="N1569" r:id="rId1735"/>
    <hyperlink xmlns:r="http://schemas.openxmlformats.org/officeDocument/2006/relationships" ref="N1570" r:id="rId1736"/>
    <hyperlink xmlns:r="http://schemas.openxmlformats.org/officeDocument/2006/relationships" ref="N1571" r:id="rId1737"/>
    <hyperlink xmlns:r="http://schemas.openxmlformats.org/officeDocument/2006/relationships" ref="N1572" r:id="rId1738"/>
    <hyperlink xmlns:r="http://schemas.openxmlformats.org/officeDocument/2006/relationships" ref="N1573" r:id="rId1739"/>
    <hyperlink xmlns:r="http://schemas.openxmlformats.org/officeDocument/2006/relationships" ref="N1574" r:id="rId1740"/>
    <hyperlink xmlns:r="http://schemas.openxmlformats.org/officeDocument/2006/relationships" ref="N1575" r:id="rId1741"/>
    <hyperlink xmlns:r="http://schemas.openxmlformats.org/officeDocument/2006/relationships" ref="N1576" r:id="rId1742"/>
    <hyperlink xmlns:r="http://schemas.openxmlformats.org/officeDocument/2006/relationships" ref="N1577" r:id="rId1743"/>
    <hyperlink xmlns:r="http://schemas.openxmlformats.org/officeDocument/2006/relationships" ref="N1578" r:id="rId1744"/>
    <hyperlink xmlns:r="http://schemas.openxmlformats.org/officeDocument/2006/relationships" ref="N1579" r:id="rId1745"/>
    <hyperlink xmlns:r="http://schemas.openxmlformats.org/officeDocument/2006/relationships" ref="N1580" r:id="rId1746"/>
    <hyperlink xmlns:r="http://schemas.openxmlformats.org/officeDocument/2006/relationships" ref="N1581" r:id="rId1747"/>
    <hyperlink xmlns:r="http://schemas.openxmlformats.org/officeDocument/2006/relationships" ref="N1582" r:id="rId1748"/>
    <hyperlink xmlns:r="http://schemas.openxmlformats.org/officeDocument/2006/relationships" ref="N1583" r:id="rId1749"/>
    <hyperlink xmlns:r="http://schemas.openxmlformats.org/officeDocument/2006/relationships" ref="N1584" r:id="rId1750"/>
    <hyperlink xmlns:r="http://schemas.openxmlformats.org/officeDocument/2006/relationships" ref="N1585" r:id="rId1751"/>
    <hyperlink xmlns:r="http://schemas.openxmlformats.org/officeDocument/2006/relationships" ref="N1586" r:id="rId1752"/>
    <hyperlink xmlns:r="http://schemas.openxmlformats.org/officeDocument/2006/relationships" ref="N1587" r:id="rId1753"/>
    <hyperlink xmlns:r="http://schemas.openxmlformats.org/officeDocument/2006/relationships" ref="N1588" r:id="rId1754"/>
    <hyperlink xmlns:r="http://schemas.openxmlformats.org/officeDocument/2006/relationships" ref="N1589" r:id="rId1755"/>
    <hyperlink xmlns:r="http://schemas.openxmlformats.org/officeDocument/2006/relationships" ref="N1590" r:id="rId1756"/>
    <hyperlink xmlns:r="http://schemas.openxmlformats.org/officeDocument/2006/relationships" ref="N1591" r:id="rId1757"/>
    <hyperlink xmlns:r="http://schemas.openxmlformats.org/officeDocument/2006/relationships" ref="N1592" r:id="rId1758"/>
    <hyperlink xmlns:r="http://schemas.openxmlformats.org/officeDocument/2006/relationships" ref="N1593" r:id="rId1759"/>
    <hyperlink xmlns:r="http://schemas.openxmlformats.org/officeDocument/2006/relationships" ref="N1594" r:id="rId1760"/>
    <hyperlink xmlns:r="http://schemas.openxmlformats.org/officeDocument/2006/relationships" ref="N1595" r:id="rId1761"/>
    <hyperlink xmlns:r="http://schemas.openxmlformats.org/officeDocument/2006/relationships" ref="N1596" r:id="rId1762"/>
    <hyperlink xmlns:r="http://schemas.openxmlformats.org/officeDocument/2006/relationships" ref="N1597" r:id="rId1763"/>
    <hyperlink xmlns:r="http://schemas.openxmlformats.org/officeDocument/2006/relationships" ref="N1598" r:id="rId1764"/>
    <hyperlink xmlns:r="http://schemas.openxmlformats.org/officeDocument/2006/relationships" ref="N1599" r:id="rId1765"/>
    <hyperlink xmlns:r="http://schemas.openxmlformats.org/officeDocument/2006/relationships" ref="N1600" r:id="rId1766"/>
    <hyperlink xmlns:r="http://schemas.openxmlformats.org/officeDocument/2006/relationships" ref="N1601" r:id="rId1767"/>
    <hyperlink xmlns:r="http://schemas.openxmlformats.org/officeDocument/2006/relationships" ref="N1602" r:id="rId1768"/>
    <hyperlink xmlns:r="http://schemas.openxmlformats.org/officeDocument/2006/relationships" ref="N1603" r:id="rId1769"/>
    <hyperlink xmlns:r="http://schemas.openxmlformats.org/officeDocument/2006/relationships" ref="N1604" r:id="rId1770"/>
    <hyperlink xmlns:r="http://schemas.openxmlformats.org/officeDocument/2006/relationships" ref="N1605" r:id="rId1771"/>
    <hyperlink xmlns:r="http://schemas.openxmlformats.org/officeDocument/2006/relationships" ref="N1606" r:id="rId1772"/>
    <hyperlink xmlns:r="http://schemas.openxmlformats.org/officeDocument/2006/relationships" ref="N1607" r:id="rId1773"/>
    <hyperlink xmlns:r="http://schemas.openxmlformats.org/officeDocument/2006/relationships" ref="N1608" r:id="rId1774"/>
    <hyperlink xmlns:r="http://schemas.openxmlformats.org/officeDocument/2006/relationships" ref="N1609" r:id="rId1775"/>
    <hyperlink xmlns:r="http://schemas.openxmlformats.org/officeDocument/2006/relationships" ref="N1610" r:id="rId1776"/>
    <hyperlink xmlns:r="http://schemas.openxmlformats.org/officeDocument/2006/relationships" ref="N1611" r:id="rId1777"/>
    <hyperlink xmlns:r="http://schemas.openxmlformats.org/officeDocument/2006/relationships" ref="N1612" r:id="rId1778"/>
    <hyperlink xmlns:r="http://schemas.openxmlformats.org/officeDocument/2006/relationships" ref="N1613" r:id="rId1779"/>
    <hyperlink xmlns:r="http://schemas.openxmlformats.org/officeDocument/2006/relationships" ref="N1614" r:id="rId1780"/>
    <hyperlink xmlns:r="http://schemas.openxmlformats.org/officeDocument/2006/relationships" ref="N1615" r:id="rId1781"/>
    <hyperlink xmlns:r="http://schemas.openxmlformats.org/officeDocument/2006/relationships" ref="N1616" r:id="rId1782"/>
    <hyperlink xmlns:r="http://schemas.openxmlformats.org/officeDocument/2006/relationships" ref="N1617" r:id="rId1783"/>
    <hyperlink xmlns:r="http://schemas.openxmlformats.org/officeDocument/2006/relationships" ref="N1618" r:id="rId1784"/>
    <hyperlink xmlns:r="http://schemas.openxmlformats.org/officeDocument/2006/relationships" ref="N1619" r:id="rId1785"/>
    <hyperlink xmlns:r="http://schemas.openxmlformats.org/officeDocument/2006/relationships" ref="N1620" r:id="rId1786"/>
    <hyperlink xmlns:r="http://schemas.openxmlformats.org/officeDocument/2006/relationships" ref="N1621" r:id="rId1787"/>
    <hyperlink xmlns:r="http://schemas.openxmlformats.org/officeDocument/2006/relationships" ref="N1622" r:id="rId1788"/>
    <hyperlink xmlns:r="http://schemas.openxmlformats.org/officeDocument/2006/relationships" ref="N1623" r:id="rId1789"/>
    <hyperlink xmlns:r="http://schemas.openxmlformats.org/officeDocument/2006/relationships" ref="N1624" r:id="rId1790"/>
    <hyperlink xmlns:r="http://schemas.openxmlformats.org/officeDocument/2006/relationships" ref="N1625" r:id="rId1791"/>
    <hyperlink xmlns:r="http://schemas.openxmlformats.org/officeDocument/2006/relationships" ref="N1626" r:id="rId1792"/>
    <hyperlink xmlns:r="http://schemas.openxmlformats.org/officeDocument/2006/relationships" ref="N1627" r:id="rId1793"/>
    <hyperlink xmlns:r="http://schemas.openxmlformats.org/officeDocument/2006/relationships" ref="N1628" r:id="rId1794"/>
    <hyperlink xmlns:r="http://schemas.openxmlformats.org/officeDocument/2006/relationships" ref="N1629" r:id="rId1795"/>
    <hyperlink xmlns:r="http://schemas.openxmlformats.org/officeDocument/2006/relationships" ref="N1630" r:id="rId1796"/>
    <hyperlink xmlns:r="http://schemas.openxmlformats.org/officeDocument/2006/relationships" ref="N1631" r:id="rId1797"/>
    <hyperlink xmlns:r="http://schemas.openxmlformats.org/officeDocument/2006/relationships" ref="N1632" r:id="rId1798"/>
    <hyperlink xmlns:r="http://schemas.openxmlformats.org/officeDocument/2006/relationships" ref="N1633" r:id="rId1799"/>
    <hyperlink xmlns:r="http://schemas.openxmlformats.org/officeDocument/2006/relationships" ref="N1634" r:id="rId1800"/>
    <hyperlink xmlns:r="http://schemas.openxmlformats.org/officeDocument/2006/relationships" ref="N1635" r:id="rId1801"/>
    <hyperlink xmlns:r="http://schemas.openxmlformats.org/officeDocument/2006/relationships" ref="N1636" r:id="rId1802"/>
    <hyperlink xmlns:r="http://schemas.openxmlformats.org/officeDocument/2006/relationships" ref="N1637" r:id="rId1803"/>
    <hyperlink xmlns:r="http://schemas.openxmlformats.org/officeDocument/2006/relationships" ref="N1638" r:id="rId1804"/>
    <hyperlink xmlns:r="http://schemas.openxmlformats.org/officeDocument/2006/relationships" ref="N1639" r:id="rId1805"/>
    <hyperlink xmlns:r="http://schemas.openxmlformats.org/officeDocument/2006/relationships" ref="N1640" r:id="rId1806"/>
    <hyperlink xmlns:r="http://schemas.openxmlformats.org/officeDocument/2006/relationships" ref="N1641" r:id="rId1807"/>
    <hyperlink xmlns:r="http://schemas.openxmlformats.org/officeDocument/2006/relationships" ref="N1642" r:id="rId1808"/>
    <hyperlink xmlns:r="http://schemas.openxmlformats.org/officeDocument/2006/relationships" ref="N1643" r:id="rId1809"/>
    <hyperlink xmlns:r="http://schemas.openxmlformats.org/officeDocument/2006/relationships" ref="N1644" r:id="rId1810"/>
    <hyperlink xmlns:r="http://schemas.openxmlformats.org/officeDocument/2006/relationships" ref="N1645" r:id="rId1811"/>
    <hyperlink xmlns:r="http://schemas.openxmlformats.org/officeDocument/2006/relationships" ref="N1646" r:id="rId1812"/>
    <hyperlink xmlns:r="http://schemas.openxmlformats.org/officeDocument/2006/relationships" ref="N1647" r:id="rId1813"/>
    <hyperlink xmlns:r="http://schemas.openxmlformats.org/officeDocument/2006/relationships" ref="N1648" r:id="rId1814"/>
    <hyperlink xmlns:r="http://schemas.openxmlformats.org/officeDocument/2006/relationships" ref="N1649" r:id="rId1815"/>
    <hyperlink xmlns:r="http://schemas.openxmlformats.org/officeDocument/2006/relationships" ref="N1650" r:id="rId1816"/>
    <hyperlink xmlns:r="http://schemas.openxmlformats.org/officeDocument/2006/relationships" ref="N1651" r:id="rId1817"/>
    <hyperlink xmlns:r="http://schemas.openxmlformats.org/officeDocument/2006/relationships" ref="N1652" r:id="rId1818"/>
    <hyperlink xmlns:r="http://schemas.openxmlformats.org/officeDocument/2006/relationships" ref="N1653" r:id="rId1819"/>
    <hyperlink xmlns:r="http://schemas.openxmlformats.org/officeDocument/2006/relationships" ref="N1654" r:id="rId1820"/>
    <hyperlink xmlns:r="http://schemas.openxmlformats.org/officeDocument/2006/relationships" ref="N1655" r:id="rId1821"/>
    <hyperlink xmlns:r="http://schemas.openxmlformats.org/officeDocument/2006/relationships" ref="N1656" r:id="rId1822"/>
    <hyperlink xmlns:r="http://schemas.openxmlformats.org/officeDocument/2006/relationships" ref="N1657" r:id="rId1823"/>
    <hyperlink xmlns:r="http://schemas.openxmlformats.org/officeDocument/2006/relationships" ref="N1658" r:id="rId1824"/>
    <hyperlink xmlns:r="http://schemas.openxmlformats.org/officeDocument/2006/relationships" ref="N1659" r:id="rId1825"/>
    <hyperlink xmlns:r="http://schemas.openxmlformats.org/officeDocument/2006/relationships" ref="N1660" r:id="rId1826"/>
    <hyperlink xmlns:r="http://schemas.openxmlformats.org/officeDocument/2006/relationships" ref="N1661" r:id="rId1827"/>
    <hyperlink xmlns:r="http://schemas.openxmlformats.org/officeDocument/2006/relationships" ref="N1662" r:id="rId1828"/>
    <hyperlink xmlns:r="http://schemas.openxmlformats.org/officeDocument/2006/relationships" ref="N1663" r:id="rId1829"/>
    <hyperlink xmlns:r="http://schemas.openxmlformats.org/officeDocument/2006/relationships" ref="N1664" r:id="rId1830"/>
    <hyperlink xmlns:r="http://schemas.openxmlformats.org/officeDocument/2006/relationships" ref="N1665" r:id="rId1831"/>
    <hyperlink xmlns:r="http://schemas.openxmlformats.org/officeDocument/2006/relationships" ref="N1666" r:id="rId1832"/>
    <hyperlink xmlns:r="http://schemas.openxmlformats.org/officeDocument/2006/relationships" ref="N1667" r:id="rId1833"/>
    <hyperlink xmlns:r="http://schemas.openxmlformats.org/officeDocument/2006/relationships" ref="N1668" r:id="rId1834"/>
    <hyperlink xmlns:r="http://schemas.openxmlformats.org/officeDocument/2006/relationships" ref="N1669" r:id="rId1835"/>
    <hyperlink xmlns:r="http://schemas.openxmlformats.org/officeDocument/2006/relationships" ref="N1670" r:id="rId1836"/>
    <hyperlink xmlns:r="http://schemas.openxmlformats.org/officeDocument/2006/relationships" ref="N1671" r:id="rId1837"/>
    <hyperlink xmlns:r="http://schemas.openxmlformats.org/officeDocument/2006/relationships" ref="N1672" r:id="rId1838"/>
    <hyperlink xmlns:r="http://schemas.openxmlformats.org/officeDocument/2006/relationships" ref="N1673" r:id="rId1839"/>
    <hyperlink xmlns:r="http://schemas.openxmlformats.org/officeDocument/2006/relationships" ref="N1674" r:id="rId1840"/>
    <hyperlink xmlns:r="http://schemas.openxmlformats.org/officeDocument/2006/relationships" ref="N1675" r:id="rId1841"/>
    <hyperlink xmlns:r="http://schemas.openxmlformats.org/officeDocument/2006/relationships" ref="N1676" r:id="rId1842"/>
    <hyperlink xmlns:r="http://schemas.openxmlformats.org/officeDocument/2006/relationships" ref="N1677" r:id="rId1843"/>
    <hyperlink xmlns:r="http://schemas.openxmlformats.org/officeDocument/2006/relationships" ref="M1678" r:id="rId1844"/>
    <hyperlink xmlns:r="http://schemas.openxmlformats.org/officeDocument/2006/relationships" ref="M1679" r:id="rId1845"/>
    <hyperlink xmlns:r="http://schemas.openxmlformats.org/officeDocument/2006/relationships" ref="M1680" r:id="rId1846"/>
    <hyperlink xmlns:r="http://schemas.openxmlformats.org/officeDocument/2006/relationships" ref="N1681" r:id="rId1847"/>
    <hyperlink xmlns:r="http://schemas.openxmlformats.org/officeDocument/2006/relationships" ref="M1682" r:id="rId1848"/>
    <hyperlink xmlns:r="http://schemas.openxmlformats.org/officeDocument/2006/relationships" ref="N1683" r:id="rId1849"/>
    <hyperlink xmlns:r="http://schemas.openxmlformats.org/officeDocument/2006/relationships" ref="M1684" r:id="rId1850"/>
    <hyperlink xmlns:r="http://schemas.openxmlformats.org/officeDocument/2006/relationships" ref="M1685" r:id="rId1851"/>
    <hyperlink xmlns:r="http://schemas.openxmlformats.org/officeDocument/2006/relationships" ref="M1686" r:id="rId1852"/>
    <hyperlink xmlns:r="http://schemas.openxmlformats.org/officeDocument/2006/relationships" ref="M1687" r:id="rId1853"/>
    <hyperlink xmlns:r="http://schemas.openxmlformats.org/officeDocument/2006/relationships" ref="M1688" r:id="rId1854"/>
    <hyperlink xmlns:r="http://schemas.openxmlformats.org/officeDocument/2006/relationships" ref="M1689" r:id="rId1855"/>
    <hyperlink xmlns:r="http://schemas.openxmlformats.org/officeDocument/2006/relationships" ref="M1690" r:id="rId1856"/>
    <hyperlink xmlns:r="http://schemas.openxmlformats.org/officeDocument/2006/relationships" ref="M1691" r:id="rId1857"/>
    <hyperlink xmlns:r="http://schemas.openxmlformats.org/officeDocument/2006/relationships" ref="M1692" r:id="rId1858"/>
    <hyperlink xmlns:r="http://schemas.openxmlformats.org/officeDocument/2006/relationships" ref="M1693" r:id="rId1859"/>
    <hyperlink xmlns:r="http://schemas.openxmlformats.org/officeDocument/2006/relationships" ref="M1694" r:id="rId1860"/>
    <hyperlink xmlns:r="http://schemas.openxmlformats.org/officeDocument/2006/relationships" ref="M1695" r:id="rId1861"/>
    <hyperlink xmlns:r="http://schemas.openxmlformats.org/officeDocument/2006/relationships" ref="M1696" r:id="rId1862"/>
    <hyperlink xmlns:r="http://schemas.openxmlformats.org/officeDocument/2006/relationships" ref="M1697" r:id="rId1863"/>
    <hyperlink xmlns:r="http://schemas.openxmlformats.org/officeDocument/2006/relationships" ref="M1698" r:id="rId1864"/>
    <hyperlink xmlns:r="http://schemas.openxmlformats.org/officeDocument/2006/relationships" ref="M1699" r:id="rId1865"/>
    <hyperlink xmlns:r="http://schemas.openxmlformats.org/officeDocument/2006/relationships" ref="M1700" r:id="rId1866"/>
    <hyperlink xmlns:r="http://schemas.openxmlformats.org/officeDocument/2006/relationships" ref="M1701" r:id="rId1867"/>
    <hyperlink xmlns:r="http://schemas.openxmlformats.org/officeDocument/2006/relationships" ref="M1702" r:id="rId1868"/>
    <hyperlink xmlns:r="http://schemas.openxmlformats.org/officeDocument/2006/relationships" ref="M1703" r:id="rId1869"/>
    <hyperlink xmlns:r="http://schemas.openxmlformats.org/officeDocument/2006/relationships" ref="M1704" r:id="rId1870"/>
    <hyperlink xmlns:r="http://schemas.openxmlformats.org/officeDocument/2006/relationships" ref="M1705" r:id="rId1871"/>
    <hyperlink xmlns:r="http://schemas.openxmlformats.org/officeDocument/2006/relationships" ref="M1706" r:id="rId1872"/>
    <hyperlink xmlns:r="http://schemas.openxmlformats.org/officeDocument/2006/relationships" ref="M1707" r:id="rId1873"/>
    <hyperlink xmlns:r="http://schemas.openxmlformats.org/officeDocument/2006/relationships" ref="M1708" r:id="rId1874"/>
    <hyperlink xmlns:r="http://schemas.openxmlformats.org/officeDocument/2006/relationships" ref="M1709" r:id="rId1875"/>
    <hyperlink xmlns:r="http://schemas.openxmlformats.org/officeDocument/2006/relationships" ref="M1710" r:id="rId1876"/>
    <hyperlink xmlns:r="http://schemas.openxmlformats.org/officeDocument/2006/relationships" ref="M1711" r:id="rId1877"/>
    <hyperlink xmlns:r="http://schemas.openxmlformats.org/officeDocument/2006/relationships" ref="M1712" r:id="rId1878"/>
    <hyperlink xmlns:r="http://schemas.openxmlformats.org/officeDocument/2006/relationships" ref="M1713" r:id="rId1879"/>
    <hyperlink xmlns:r="http://schemas.openxmlformats.org/officeDocument/2006/relationships" ref="M1714" r:id="rId1880"/>
    <hyperlink xmlns:r="http://schemas.openxmlformats.org/officeDocument/2006/relationships" ref="M1715" r:id="rId1881"/>
    <hyperlink xmlns:r="http://schemas.openxmlformats.org/officeDocument/2006/relationships" ref="M1716" r:id="rId1882"/>
    <hyperlink xmlns:r="http://schemas.openxmlformats.org/officeDocument/2006/relationships" ref="M1717" r:id="rId1883"/>
    <hyperlink xmlns:r="http://schemas.openxmlformats.org/officeDocument/2006/relationships" ref="M1718" r:id="rId1884"/>
    <hyperlink xmlns:r="http://schemas.openxmlformats.org/officeDocument/2006/relationships" ref="M1719" r:id="rId1885"/>
    <hyperlink xmlns:r="http://schemas.openxmlformats.org/officeDocument/2006/relationships" ref="M1720" r:id="rId1886"/>
    <hyperlink xmlns:r="http://schemas.openxmlformats.org/officeDocument/2006/relationships" ref="N1721" r:id="rId1887"/>
    <hyperlink xmlns:r="http://schemas.openxmlformats.org/officeDocument/2006/relationships" ref="M1722" r:id="rId1888"/>
    <hyperlink xmlns:r="http://schemas.openxmlformats.org/officeDocument/2006/relationships" ref="M1723" r:id="rId1889"/>
    <hyperlink xmlns:r="http://schemas.openxmlformats.org/officeDocument/2006/relationships" ref="M1724" r:id="rId1890"/>
    <hyperlink xmlns:r="http://schemas.openxmlformats.org/officeDocument/2006/relationships" ref="M1725" r:id="rId1891"/>
    <hyperlink xmlns:r="http://schemas.openxmlformats.org/officeDocument/2006/relationships" ref="M1726" r:id="rId1892"/>
    <hyperlink xmlns:r="http://schemas.openxmlformats.org/officeDocument/2006/relationships" ref="M1727" r:id="rId1893"/>
    <hyperlink xmlns:r="http://schemas.openxmlformats.org/officeDocument/2006/relationships" ref="N1728" r:id="rId1894"/>
    <hyperlink xmlns:r="http://schemas.openxmlformats.org/officeDocument/2006/relationships" ref="N1729" r:id="rId1895"/>
    <hyperlink xmlns:r="http://schemas.openxmlformats.org/officeDocument/2006/relationships" ref="M1730" r:id="rId1896"/>
    <hyperlink xmlns:r="http://schemas.openxmlformats.org/officeDocument/2006/relationships" ref="M1731" r:id="rId1897"/>
    <hyperlink xmlns:r="http://schemas.openxmlformats.org/officeDocument/2006/relationships" ref="M1732" r:id="rId1898"/>
    <hyperlink xmlns:r="http://schemas.openxmlformats.org/officeDocument/2006/relationships" ref="M1733" r:id="rId1899"/>
    <hyperlink xmlns:r="http://schemas.openxmlformats.org/officeDocument/2006/relationships" ref="N1734" r:id="rId1900"/>
    <hyperlink xmlns:r="http://schemas.openxmlformats.org/officeDocument/2006/relationships" ref="N1735" r:id="rId1901"/>
    <hyperlink xmlns:r="http://schemas.openxmlformats.org/officeDocument/2006/relationships" ref="N1736" r:id="rId1902"/>
    <hyperlink xmlns:r="http://schemas.openxmlformats.org/officeDocument/2006/relationships" ref="N1737" r:id="rId1903"/>
    <hyperlink xmlns:r="http://schemas.openxmlformats.org/officeDocument/2006/relationships" ref="N1738" r:id="rId1904"/>
    <hyperlink xmlns:r="http://schemas.openxmlformats.org/officeDocument/2006/relationships" ref="N1739" r:id="rId1905"/>
    <hyperlink xmlns:r="http://schemas.openxmlformats.org/officeDocument/2006/relationships" ref="N1740" r:id="rId1906"/>
    <hyperlink xmlns:r="http://schemas.openxmlformats.org/officeDocument/2006/relationships" ref="N1741" r:id="rId1907"/>
    <hyperlink xmlns:r="http://schemas.openxmlformats.org/officeDocument/2006/relationships" ref="N1742" r:id="rId1908"/>
    <hyperlink xmlns:r="http://schemas.openxmlformats.org/officeDocument/2006/relationships" ref="N1743" r:id="rId1909"/>
    <hyperlink xmlns:r="http://schemas.openxmlformats.org/officeDocument/2006/relationships" ref="N1744" r:id="rId1910"/>
    <hyperlink xmlns:r="http://schemas.openxmlformats.org/officeDocument/2006/relationships" ref="N1745" r:id="rId1911"/>
    <hyperlink xmlns:r="http://schemas.openxmlformats.org/officeDocument/2006/relationships" ref="N1746" r:id="rId1912"/>
    <hyperlink xmlns:r="http://schemas.openxmlformats.org/officeDocument/2006/relationships" ref="N1747" r:id="rId1913"/>
    <hyperlink xmlns:r="http://schemas.openxmlformats.org/officeDocument/2006/relationships" ref="N1748" r:id="rId1914"/>
    <hyperlink xmlns:r="http://schemas.openxmlformats.org/officeDocument/2006/relationships" ref="N1749" r:id="rId1915"/>
    <hyperlink xmlns:r="http://schemas.openxmlformats.org/officeDocument/2006/relationships" ref="N1750" r:id="rId1916"/>
    <hyperlink xmlns:r="http://schemas.openxmlformats.org/officeDocument/2006/relationships" ref="N1751" r:id="rId1917"/>
    <hyperlink xmlns:r="http://schemas.openxmlformats.org/officeDocument/2006/relationships" ref="N1752" r:id="rId1918"/>
    <hyperlink xmlns:r="http://schemas.openxmlformats.org/officeDocument/2006/relationships" ref="N1753" r:id="rId1919"/>
    <hyperlink xmlns:r="http://schemas.openxmlformats.org/officeDocument/2006/relationships" ref="N1754" r:id="rId1920"/>
    <hyperlink xmlns:r="http://schemas.openxmlformats.org/officeDocument/2006/relationships" ref="N1755" r:id="rId1921"/>
    <hyperlink xmlns:r="http://schemas.openxmlformats.org/officeDocument/2006/relationships" ref="N1756" r:id="rId1922"/>
    <hyperlink xmlns:r="http://schemas.openxmlformats.org/officeDocument/2006/relationships" ref="M1757" r:id="rId1923"/>
    <hyperlink xmlns:r="http://schemas.openxmlformats.org/officeDocument/2006/relationships" ref="M1758" r:id="rId1924"/>
    <hyperlink xmlns:r="http://schemas.openxmlformats.org/officeDocument/2006/relationships" ref="M1759" r:id="rId1925"/>
    <hyperlink xmlns:r="http://schemas.openxmlformats.org/officeDocument/2006/relationships" ref="M1760" r:id="rId1926"/>
    <hyperlink xmlns:r="http://schemas.openxmlformats.org/officeDocument/2006/relationships" ref="M1761" r:id="rId1927"/>
    <hyperlink xmlns:r="http://schemas.openxmlformats.org/officeDocument/2006/relationships" ref="M1762" r:id="rId1928"/>
    <hyperlink xmlns:r="http://schemas.openxmlformats.org/officeDocument/2006/relationships" ref="M1763" r:id="rId1929"/>
    <hyperlink xmlns:r="http://schemas.openxmlformats.org/officeDocument/2006/relationships" ref="M1764" r:id="rId1930"/>
    <hyperlink xmlns:r="http://schemas.openxmlformats.org/officeDocument/2006/relationships" ref="M1765" r:id="rId1931"/>
    <hyperlink xmlns:r="http://schemas.openxmlformats.org/officeDocument/2006/relationships" ref="M1766" r:id="rId1932"/>
    <hyperlink xmlns:r="http://schemas.openxmlformats.org/officeDocument/2006/relationships" ref="M1767" r:id="rId1933"/>
    <hyperlink xmlns:r="http://schemas.openxmlformats.org/officeDocument/2006/relationships" ref="M1768" r:id="rId1934"/>
    <hyperlink xmlns:r="http://schemas.openxmlformats.org/officeDocument/2006/relationships" ref="M1769" r:id="rId1935"/>
    <hyperlink xmlns:r="http://schemas.openxmlformats.org/officeDocument/2006/relationships" ref="M1770" r:id="rId1936"/>
    <hyperlink xmlns:r="http://schemas.openxmlformats.org/officeDocument/2006/relationships" ref="M1771" r:id="rId1937"/>
    <hyperlink xmlns:r="http://schemas.openxmlformats.org/officeDocument/2006/relationships" ref="M1772" r:id="rId1938"/>
    <hyperlink xmlns:r="http://schemas.openxmlformats.org/officeDocument/2006/relationships" ref="M1773" r:id="rId1939"/>
    <hyperlink xmlns:r="http://schemas.openxmlformats.org/officeDocument/2006/relationships" ref="M1774" r:id="rId1940"/>
    <hyperlink xmlns:r="http://schemas.openxmlformats.org/officeDocument/2006/relationships" ref="M1775" r:id="rId1941"/>
    <hyperlink xmlns:r="http://schemas.openxmlformats.org/officeDocument/2006/relationships" ref="M1776" r:id="rId1942"/>
    <hyperlink xmlns:r="http://schemas.openxmlformats.org/officeDocument/2006/relationships" ref="M1777" r:id="rId1943"/>
    <hyperlink xmlns:r="http://schemas.openxmlformats.org/officeDocument/2006/relationships" ref="M1778" r:id="rId1944"/>
    <hyperlink xmlns:r="http://schemas.openxmlformats.org/officeDocument/2006/relationships" ref="M1779" r:id="rId1945"/>
    <hyperlink xmlns:r="http://schemas.openxmlformats.org/officeDocument/2006/relationships" ref="M1780" r:id="rId1946"/>
    <hyperlink xmlns:r="http://schemas.openxmlformats.org/officeDocument/2006/relationships" ref="M1781" r:id="rId1947"/>
    <hyperlink xmlns:r="http://schemas.openxmlformats.org/officeDocument/2006/relationships" ref="M1782" r:id="rId1948"/>
    <hyperlink xmlns:r="http://schemas.openxmlformats.org/officeDocument/2006/relationships" ref="M1783" r:id="rId1949"/>
    <hyperlink xmlns:r="http://schemas.openxmlformats.org/officeDocument/2006/relationships" ref="M1784" r:id="rId1950"/>
    <hyperlink xmlns:r="http://schemas.openxmlformats.org/officeDocument/2006/relationships" ref="M1785" r:id="rId1951"/>
    <hyperlink xmlns:r="http://schemas.openxmlformats.org/officeDocument/2006/relationships" ref="M1786" r:id="rId1952"/>
    <hyperlink xmlns:r="http://schemas.openxmlformats.org/officeDocument/2006/relationships" ref="M1787" r:id="rId1953"/>
    <hyperlink xmlns:r="http://schemas.openxmlformats.org/officeDocument/2006/relationships" ref="M1788" r:id="rId1954"/>
    <hyperlink xmlns:r="http://schemas.openxmlformats.org/officeDocument/2006/relationships" ref="M1789" r:id="rId1955"/>
    <hyperlink xmlns:r="http://schemas.openxmlformats.org/officeDocument/2006/relationships" ref="M1790" r:id="rId1956"/>
    <hyperlink xmlns:r="http://schemas.openxmlformats.org/officeDocument/2006/relationships" ref="M1791" r:id="rId1957"/>
    <hyperlink xmlns:r="http://schemas.openxmlformats.org/officeDocument/2006/relationships" ref="M1792" r:id="rId1958"/>
    <hyperlink xmlns:r="http://schemas.openxmlformats.org/officeDocument/2006/relationships" ref="M1793" r:id="rId1959"/>
    <hyperlink xmlns:r="http://schemas.openxmlformats.org/officeDocument/2006/relationships" ref="M1794" r:id="rId1960"/>
    <hyperlink xmlns:r="http://schemas.openxmlformats.org/officeDocument/2006/relationships" ref="M1795" r:id="rId1961"/>
    <hyperlink xmlns:r="http://schemas.openxmlformats.org/officeDocument/2006/relationships" ref="M1796" r:id="rId1962"/>
    <hyperlink xmlns:r="http://schemas.openxmlformats.org/officeDocument/2006/relationships" ref="M1797" r:id="rId1963"/>
    <hyperlink xmlns:r="http://schemas.openxmlformats.org/officeDocument/2006/relationships" ref="M1798" r:id="rId1964"/>
    <hyperlink xmlns:r="http://schemas.openxmlformats.org/officeDocument/2006/relationships" ref="M1799" r:id="rId1965"/>
    <hyperlink xmlns:r="http://schemas.openxmlformats.org/officeDocument/2006/relationships" ref="M1800" r:id="rId1966"/>
    <hyperlink xmlns:r="http://schemas.openxmlformats.org/officeDocument/2006/relationships" ref="M1801" r:id="rId1967"/>
    <hyperlink xmlns:r="http://schemas.openxmlformats.org/officeDocument/2006/relationships" ref="M1802" r:id="rId1968"/>
    <hyperlink xmlns:r="http://schemas.openxmlformats.org/officeDocument/2006/relationships" ref="M1803" r:id="rId1969"/>
    <hyperlink xmlns:r="http://schemas.openxmlformats.org/officeDocument/2006/relationships" ref="M1804" r:id="rId1970"/>
    <hyperlink xmlns:r="http://schemas.openxmlformats.org/officeDocument/2006/relationships" ref="M1805" r:id="rId1971"/>
    <hyperlink xmlns:r="http://schemas.openxmlformats.org/officeDocument/2006/relationships" ref="M1806" r:id="rId1972"/>
    <hyperlink xmlns:r="http://schemas.openxmlformats.org/officeDocument/2006/relationships" ref="M1807" r:id="rId1973"/>
    <hyperlink xmlns:r="http://schemas.openxmlformats.org/officeDocument/2006/relationships" ref="M1808" r:id="rId1974"/>
    <hyperlink xmlns:r="http://schemas.openxmlformats.org/officeDocument/2006/relationships" ref="M1809" r:id="rId1975"/>
    <hyperlink xmlns:r="http://schemas.openxmlformats.org/officeDocument/2006/relationships" ref="M1810" r:id="rId1976"/>
    <hyperlink xmlns:r="http://schemas.openxmlformats.org/officeDocument/2006/relationships" ref="M1811" r:id="rId1977"/>
    <hyperlink xmlns:r="http://schemas.openxmlformats.org/officeDocument/2006/relationships" ref="M1812" r:id="rId1978"/>
    <hyperlink xmlns:r="http://schemas.openxmlformats.org/officeDocument/2006/relationships" ref="M1813" r:id="rId1979"/>
    <hyperlink xmlns:r="http://schemas.openxmlformats.org/officeDocument/2006/relationships" ref="M1814" r:id="rId1980"/>
    <hyperlink xmlns:r="http://schemas.openxmlformats.org/officeDocument/2006/relationships" ref="M1815" r:id="rId1981"/>
    <hyperlink xmlns:r="http://schemas.openxmlformats.org/officeDocument/2006/relationships" ref="M1816" r:id="rId1982"/>
    <hyperlink xmlns:r="http://schemas.openxmlformats.org/officeDocument/2006/relationships" ref="M1817" r:id="rId1983"/>
    <hyperlink xmlns:r="http://schemas.openxmlformats.org/officeDocument/2006/relationships" ref="M1818" r:id="rId1984"/>
    <hyperlink xmlns:r="http://schemas.openxmlformats.org/officeDocument/2006/relationships" ref="M1819" r:id="rId1985"/>
    <hyperlink xmlns:r="http://schemas.openxmlformats.org/officeDocument/2006/relationships" ref="M1820" r:id="rId1986"/>
    <hyperlink xmlns:r="http://schemas.openxmlformats.org/officeDocument/2006/relationships" ref="M1821" r:id="rId1987"/>
    <hyperlink xmlns:r="http://schemas.openxmlformats.org/officeDocument/2006/relationships" ref="M1822" r:id="rId1988"/>
    <hyperlink xmlns:r="http://schemas.openxmlformats.org/officeDocument/2006/relationships" ref="M1823" r:id="rId1989"/>
    <hyperlink xmlns:r="http://schemas.openxmlformats.org/officeDocument/2006/relationships" ref="M1824" r:id="rId1990"/>
    <hyperlink xmlns:r="http://schemas.openxmlformats.org/officeDocument/2006/relationships" ref="M1825" r:id="rId1991"/>
    <hyperlink xmlns:r="http://schemas.openxmlformats.org/officeDocument/2006/relationships" ref="M1826" r:id="rId1992"/>
    <hyperlink xmlns:r="http://schemas.openxmlformats.org/officeDocument/2006/relationships" ref="M1827" r:id="rId1993"/>
    <hyperlink xmlns:r="http://schemas.openxmlformats.org/officeDocument/2006/relationships" ref="M1828" r:id="rId1994"/>
    <hyperlink xmlns:r="http://schemas.openxmlformats.org/officeDocument/2006/relationships" ref="M1829" r:id="rId1995"/>
    <hyperlink xmlns:r="http://schemas.openxmlformats.org/officeDocument/2006/relationships" ref="M1830" r:id="rId1996"/>
    <hyperlink xmlns:r="http://schemas.openxmlformats.org/officeDocument/2006/relationships" ref="M1831" r:id="rId1997"/>
    <hyperlink xmlns:r="http://schemas.openxmlformats.org/officeDocument/2006/relationships" ref="M1832" r:id="rId1998"/>
    <hyperlink xmlns:r="http://schemas.openxmlformats.org/officeDocument/2006/relationships" ref="M1833" r:id="rId1999"/>
    <hyperlink xmlns:r="http://schemas.openxmlformats.org/officeDocument/2006/relationships" ref="M1834" r:id="rId2000"/>
    <hyperlink xmlns:r="http://schemas.openxmlformats.org/officeDocument/2006/relationships" ref="M1835" r:id="rId2001"/>
    <hyperlink xmlns:r="http://schemas.openxmlformats.org/officeDocument/2006/relationships" ref="M1836" r:id="rId2002"/>
    <hyperlink xmlns:r="http://schemas.openxmlformats.org/officeDocument/2006/relationships" ref="M1837" r:id="rId2003"/>
    <hyperlink xmlns:r="http://schemas.openxmlformats.org/officeDocument/2006/relationships" ref="M1838" r:id="rId2004"/>
    <hyperlink xmlns:r="http://schemas.openxmlformats.org/officeDocument/2006/relationships" ref="M1839" r:id="rId2005"/>
    <hyperlink xmlns:r="http://schemas.openxmlformats.org/officeDocument/2006/relationships" ref="M1840" r:id="rId2006"/>
    <hyperlink xmlns:r="http://schemas.openxmlformats.org/officeDocument/2006/relationships" ref="M1841" r:id="rId2007"/>
    <hyperlink xmlns:r="http://schemas.openxmlformats.org/officeDocument/2006/relationships" ref="M1842" r:id="rId2008"/>
    <hyperlink xmlns:r="http://schemas.openxmlformats.org/officeDocument/2006/relationships" ref="M1843" r:id="rId2009"/>
    <hyperlink xmlns:r="http://schemas.openxmlformats.org/officeDocument/2006/relationships" ref="M1844" r:id="rId2010"/>
    <hyperlink xmlns:r="http://schemas.openxmlformats.org/officeDocument/2006/relationships" ref="M1845" r:id="rId2011"/>
    <hyperlink xmlns:r="http://schemas.openxmlformats.org/officeDocument/2006/relationships" ref="M1846" r:id="rId2012"/>
    <hyperlink xmlns:r="http://schemas.openxmlformats.org/officeDocument/2006/relationships" ref="M1847" r:id="rId2013"/>
    <hyperlink xmlns:r="http://schemas.openxmlformats.org/officeDocument/2006/relationships" ref="M1848" r:id="rId2014"/>
    <hyperlink xmlns:r="http://schemas.openxmlformats.org/officeDocument/2006/relationships" ref="M1849" r:id="rId2015"/>
    <hyperlink xmlns:r="http://schemas.openxmlformats.org/officeDocument/2006/relationships" ref="M1850" r:id="rId2016"/>
    <hyperlink xmlns:r="http://schemas.openxmlformats.org/officeDocument/2006/relationships" ref="M1851" r:id="rId2017"/>
    <hyperlink xmlns:r="http://schemas.openxmlformats.org/officeDocument/2006/relationships" ref="M1852" r:id="rId2018"/>
    <hyperlink xmlns:r="http://schemas.openxmlformats.org/officeDocument/2006/relationships" ref="M1853" r:id="rId2019"/>
    <hyperlink xmlns:r="http://schemas.openxmlformats.org/officeDocument/2006/relationships" ref="M1854" r:id="rId2020"/>
    <hyperlink xmlns:r="http://schemas.openxmlformats.org/officeDocument/2006/relationships" ref="M1855" r:id="rId2021"/>
    <hyperlink xmlns:r="http://schemas.openxmlformats.org/officeDocument/2006/relationships" ref="M1856" r:id="rId2022"/>
    <hyperlink xmlns:r="http://schemas.openxmlformats.org/officeDocument/2006/relationships" ref="M1857" r:id="rId2023"/>
    <hyperlink xmlns:r="http://schemas.openxmlformats.org/officeDocument/2006/relationships" ref="M1858" r:id="rId2024"/>
    <hyperlink xmlns:r="http://schemas.openxmlformats.org/officeDocument/2006/relationships" ref="M1859" r:id="rId2025"/>
    <hyperlink xmlns:r="http://schemas.openxmlformats.org/officeDocument/2006/relationships" ref="M1860" r:id="rId2026"/>
    <hyperlink xmlns:r="http://schemas.openxmlformats.org/officeDocument/2006/relationships" ref="M1861" r:id="rId2027"/>
    <hyperlink xmlns:r="http://schemas.openxmlformats.org/officeDocument/2006/relationships" ref="M1862" r:id="rId2028"/>
    <hyperlink xmlns:r="http://schemas.openxmlformats.org/officeDocument/2006/relationships" ref="M1863" r:id="rId2029"/>
    <hyperlink xmlns:r="http://schemas.openxmlformats.org/officeDocument/2006/relationships" ref="M1864" r:id="rId2030"/>
    <hyperlink xmlns:r="http://schemas.openxmlformats.org/officeDocument/2006/relationships" ref="M1865" r:id="rId2031"/>
    <hyperlink xmlns:r="http://schemas.openxmlformats.org/officeDocument/2006/relationships" ref="M1866" r:id="rId2032"/>
    <hyperlink xmlns:r="http://schemas.openxmlformats.org/officeDocument/2006/relationships" ref="M1867" r:id="rId2033"/>
    <hyperlink xmlns:r="http://schemas.openxmlformats.org/officeDocument/2006/relationships" ref="M1868" r:id="rId2034"/>
    <hyperlink xmlns:r="http://schemas.openxmlformats.org/officeDocument/2006/relationships" ref="M1869" r:id="rId2035"/>
    <hyperlink xmlns:r="http://schemas.openxmlformats.org/officeDocument/2006/relationships" ref="M1870" r:id="rId2036"/>
    <hyperlink xmlns:r="http://schemas.openxmlformats.org/officeDocument/2006/relationships" ref="M1871" r:id="rId2037"/>
    <hyperlink xmlns:r="http://schemas.openxmlformats.org/officeDocument/2006/relationships" ref="M1872" r:id="rId2038"/>
    <hyperlink xmlns:r="http://schemas.openxmlformats.org/officeDocument/2006/relationships" ref="M1873" r:id="rId2039"/>
    <hyperlink xmlns:r="http://schemas.openxmlformats.org/officeDocument/2006/relationships" ref="M1874" r:id="rId2040"/>
    <hyperlink xmlns:r="http://schemas.openxmlformats.org/officeDocument/2006/relationships" ref="M1875" r:id="rId2041"/>
    <hyperlink xmlns:r="http://schemas.openxmlformats.org/officeDocument/2006/relationships" ref="M1876" r:id="rId2042"/>
    <hyperlink xmlns:r="http://schemas.openxmlformats.org/officeDocument/2006/relationships" ref="M1877" r:id="rId2043"/>
    <hyperlink xmlns:r="http://schemas.openxmlformats.org/officeDocument/2006/relationships" ref="M1878" r:id="rId2044"/>
    <hyperlink xmlns:r="http://schemas.openxmlformats.org/officeDocument/2006/relationships" ref="M1879" r:id="rId2045"/>
    <hyperlink xmlns:r="http://schemas.openxmlformats.org/officeDocument/2006/relationships" ref="M1880" r:id="rId2046"/>
    <hyperlink xmlns:r="http://schemas.openxmlformats.org/officeDocument/2006/relationships" ref="M1881" r:id="rId2047"/>
    <hyperlink xmlns:r="http://schemas.openxmlformats.org/officeDocument/2006/relationships" ref="M1882" r:id="rId2048"/>
    <hyperlink xmlns:r="http://schemas.openxmlformats.org/officeDocument/2006/relationships" ref="M1883" r:id="rId2049"/>
    <hyperlink xmlns:r="http://schemas.openxmlformats.org/officeDocument/2006/relationships" ref="M1884" r:id="rId2050"/>
    <hyperlink xmlns:r="http://schemas.openxmlformats.org/officeDocument/2006/relationships" ref="M1885" r:id="rId2051"/>
    <hyperlink xmlns:r="http://schemas.openxmlformats.org/officeDocument/2006/relationships" ref="M1886" r:id="rId2052"/>
    <hyperlink xmlns:r="http://schemas.openxmlformats.org/officeDocument/2006/relationships" ref="M1887" r:id="rId2053"/>
    <hyperlink xmlns:r="http://schemas.openxmlformats.org/officeDocument/2006/relationships" ref="M1888" r:id="rId2054"/>
    <hyperlink xmlns:r="http://schemas.openxmlformats.org/officeDocument/2006/relationships" ref="M1889" r:id="rId2055"/>
    <hyperlink xmlns:r="http://schemas.openxmlformats.org/officeDocument/2006/relationships" ref="M1890" r:id="rId2056"/>
    <hyperlink xmlns:r="http://schemas.openxmlformats.org/officeDocument/2006/relationships" ref="M1891" r:id="rId2057"/>
    <hyperlink xmlns:r="http://schemas.openxmlformats.org/officeDocument/2006/relationships" ref="M1892" r:id="rId2058"/>
    <hyperlink xmlns:r="http://schemas.openxmlformats.org/officeDocument/2006/relationships" ref="M1893" r:id="rId2059"/>
    <hyperlink xmlns:r="http://schemas.openxmlformats.org/officeDocument/2006/relationships" ref="M1894" r:id="rId2060"/>
    <hyperlink xmlns:r="http://schemas.openxmlformats.org/officeDocument/2006/relationships" ref="M1895" r:id="rId2061"/>
    <hyperlink xmlns:r="http://schemas.openxmlformats.org/officeDocument/2006/relationships" ref="M1896" r:id="rId2062"/>
    <hyperlink xmlns:r="http://schemas.openxmlformats.org/officeDocument/2006/relationships" ref="M1897" r:id="rId2063"/>
    <hyperlink xmlns:r="http://schemas.openxmlformats.org/officeDocument/2006/relationships" ref="M1898" r:id="rId2064"/>
    <hyperlink xmlns:r="http://schemas.openxmlformats.org/officeDocument/2006/relationships" ref="M1899" r:id="rId2065"/>
    <hyperlink xmlns:r="http://schemas.openxmlformats.org/officeDocument/2006/relationships" ref="M1900" r:id="rId2066"/>
    <hyperlink xmlns:r="http://schemas.openxmlformats.org/officeDocument/2006/relationships" ref="M1901" r:id="rId2067"/>
    <hyperlink xmlns:r="http://schemas.openxmlformats.org/officeDocument/2006/relationships" ref="M1902" r:id="rId2068"/>
    <hyperlink xmlns:r="http://schemas.openxmlformats.org/officeDocument/2006/relationships" ref="M1903" r:id="rId2069"/>
    <hyperlink xmlns:r="http://schemas.openxmlformats.org/officeDocument/2006/relationships" ref="M1904" r:id="rId2070"/>
    <hyperlink xmlns:r="http://schemas.openxmlformats.org/officeDocument/2006/relationships" ref="M1905" r:id="rId2071"/>
    <hyperlink xmlns:r="http://schemas.openxmlformats.org/officeDocument/2006/relationships" ref="M1906" r:id="rId2072"/>
    <hyperlink xmlns:r="http://schemas.openxmlformats.org/officeDocument/2006/relationships" ref="M1907" r:id="rId2073"/>
    <hyperlink xmlns:r="http://schemas.openxmlformats.org/officeDocument/2006/relationships" ref="M1908" r:id="rId2074"/>
    <hyperlink xmlns:r="http://schemas.openxmlformats.org/officeDocument/2006/relationships" ref="M1909" r:id="rId2075"/>
    <hyperlink xmlns:r="http://schemas.openxmlformats.org/officeDocument/2006/relationships" ref="M1910" r:id="rId2076"/>
    <hyperlink xmlns:r="http://schemas.openxmlformats.org/officeDocument/2006/relationships" ref="M1911" r:id="rId2077"/>
    <hyperlink xmlns:r="http://schemas.openxmlformats.org/officeDocument/2006/relationships" ref="M1912" r:id="rId2078"/>
    <hyperlink xmlns:r="http://schemas.openxmlformats.org/officeDocument/2006/relationships" ref="M1913" r:id="rId2079"/>
    <hyperlink xmlns:r="http://schemas.openxmlformats.org/officeDocument/2006/relationships" ref="M1914" r:id="rId2080"/>
    <hyperlink xmlns:r="http://schemas.openxmlformats.org/officeDocument/2006/relationships" ref="M1915" r:id="rId2081"/>
    <hyperlink xmlns:r="http://schemas.openxmlformats.org/officeDocument/2006/relationships" ref="M1916" r:id="rId2082"/>
    <hyperlink xmlns:r="http://schemas.openxmlformats.org/officeDocument/2006/relationships" ref="M1917" r:id="rId2083"/>
    <hyperlink xmlns:r="http://schemas.openxmlformats.org/officeDocument/2006/relationships" ref="M1918" r:id="rId2084"/>
    <hyperlink xmlns:r="http://schemas.openxmlformats.org/officeDocument/2006/relationships" ref="M1919" r:id="rId2085"/>
    <hyperlink xmlns:r="http://schemas.openxmlformats.org/officeDocument/2006/relationships" ref="M1920" r:id="rId2086"/>
    <hyperlink xmlns:r="http://schemas.openxmlformats.org/officeDocument/2006/relationships" ref="M1921" r:id="rId2087"/>
    <hyperlink xmlns:r="http://schemas.openxmlformats.org/officeDocument/2006/relationships" ref="M1922" r:id="rId2088"/>
    <hyperlink xmlns:r="http://schemas.openxmlformats.org/officeDocument/2006/relationships" ref="M1923" r:id="rId2089"/>
    <hyperlink xmlns:r="http://schemas.openxmlformats.org/officeDocument/2006/relationships" ref="M1924" r:id="rId2090"/>
    <hyperlink xmlns:r="http://schemas.openxmlformats.org/officeDocument/2006/relationships" ref="M1925" r:id="rId2091"/>
    <hyperlink xmlns:r="http://schemas.openxmlformats.org/officeDocument/2006/relationships" ref="M1926" r:id="rId2092"/>
    <hyperlink xmlns:r="http://schemas.openxmlformats.org/officeDocument/2006/relationships" ref="M1927" r:id="rId2093"/>
    <hyperlink xmlns:r="http://schemas.openxmlformats.org/officeDocument/2006/relationships" ref="M1928" r:id="rId2094"/>
    <hyperlink xmlns:r="http://schemas.openxmlformats.org/officeDocument/2006/relationships" ref="M1929" r:id="rId2095"/>
    <hyperlink xmlns:r="http://schemas.openxmlformats.org/officeDocument/2006/relationships" ref="M1930" r:id="rId2096"/>
    <hyperlink xmlns:r="http://schemas.openxmlformats.org/officeDocument/2006/relationships" ref="M1931" r:id="rId2097"/>
    <hyperlink xmlns:r="http://schemas.openxmlformats.org/officeDocument/2006/relationships" ref="M1932" r:id="rId2098"/>
    <hyperlink xmlns:r="http://schemas.openxmlformats.org/officeDocument/2006/relationships" ref="M1933" r:id="rId2099"/>
    <hyperlink xmlns:r="http://schemas.openxmlformats.org/officeDocument/2006/relationships" ref="M1934" r:id="rId2100"/>
    <hyperlink xmlns:r="http://schemas.openxmlformats.org/officeDocument/2006/relationships" ref="M1935" r:id="rId2101"/>
    <hyperlink xmlns:r="http://schemas.openxmlformats.org/officeDocument/2006/relationships" ref="M1936" r:id="rId2102"/>
    <hyperlink xmlns:r="http://schemas.openxmlformats.org/officeDocument/2006/relationships" ref="M1937" r:id="rId2103"/>
    <hyperlink xmlns:r="http://schemas.openxmlformats.org/officeDocument/2006/relationships" ref="M1938" r:id="rId2104"/>
    <hyperlink xmlns:r="http://schemas.openxmlformats.org/officeDocument/2006/relationships" ref="M1939" r:id="rId2105"/>
    <hyperlink xmlns:r="http://schemas.openxmlformats.org/officeDocument/2006/relationships" ref="M1940" r:id="rId2106"/>
    <hyperlink xmlns:r="http://schemas.openxmlformats.org/officeDocument/2006/relationships" ref="M1941" r:id="rId2107"/>
    <hyperlink xmlns:r="http://schemas.openxmlformats.org/officeDocument/2006/relationships" ref="M1942" r:id="rId2108"/>
    <hyperlink xmlns:r="http://schemas.openxmlformats.org/officeDocument/2006/relationships" ref="M1943" r:id="rId2109"/>
    <hyperlink xmlns:r="http://schemas.openxmlformats.org/officeDocument/2006/relationships" ref="M1944" r:id="rId2110"/>
    <hyperlink xmlns:r="http://schemas.openxmlformats.org/officeDocument/2006/relationships" ref="M1945" r:id="rId2111"/>
    <hyperlink xmlns:r="http://schemas.openxmlformats.org/officeDocument/2006/relationships" ref="M1946" r:id="rId2112"/>
    <hyperlink xmlns:r="http://schemas.openxmlformats.org/officeDocument/2006/relationships" ref="M1947" r:id="rId2113"/>
    <hyperlink xmlns:r="http://schemas.openxmlformats.org/officeDocument/2006/relationships" ref="M1948" r:id="rId2114"/>
    <hyperlink xmlns:r="http://schemas.openxmlformats.org/officeDocument/2006/relationships" ref="M1949" r:id="rId2115"/>
    <hyperlink xmlns:r="http://schemas.openxmlformats.org/officeDocument/2006/relationships" ref="M1950" r:id="rId2116"/>
    <hyperlink xmlns:r="http://schemas.openxmlformats.org/officeDocument/2006/relationships" ref="M1951" r:id="rId2117"/>
    <hyperlink xmlns:r="http://schemas.openxmlformats.org/officeDocument/2006/relationships" ref="M1952" r:id="rId2118"/>
    <hyperlink xmlns:r="http://schemas.openxmlformats.org/officeDocument/2006/relationships" ref="M1953" r:id="rId2119"/>
    <hyperlink xmlns:r="http://schemas.openxmlformats.org/officeDocument/2006/relationships" ref="M1954" r:id="rId2120"/>
    <hyperlink xmlns:r="http://schemas.openxmlformats.org/officeDocument/2006/relationships" ref="M1955" r:id="rId2121"/>
    <hyperlink xmlns:r="http://schemas.openxmlformats.org/officeDocument/2006/relationships" ref="M1956" r:id="rId2122"/>
    <hyperlink xmlns:r="http://schemas.openxmlformats.org/officeDocument/2006/relationships" ref="M1957" r:id="rId2123"/>
    <hyperlink xmlns:r="http://schemas.openxmlformats.org/officeDocument/2006/relationships" ref="M1958" r:id="rId2124"/>
    <hyperlink xmlns:r="http://schemas.openxmlformats.org/officeDocument/2006/relationships" ref="M1959" r:id="rId2125"/>
    <hyperlink xmlns:r="http://schemas.openxmlformats.org/officeDocument/2006/relationships" ref="M1960" r:id="rId2126"/>
    <hyperlink xmlns:r="http://schemas.openxmlformats.org/officeDocument/2006/relationships" ref="M1961" r:id="rId2127"/>
    <hyperlink xmlns:r="http://schemas.openxmlformats.org/officeDocument/2006/relationships" ref="M1962" r:id="rId2128"/>
    <hyperlink xmlns:r="http://schemas.openxmlformats.org/officeDocument/2006/relationships" ref="M1963" r:id="rId2129"/>
    <hyperlink xmlns:r="http://schemas.openxmlformats.org/officeDocument/2006/relationships" ref="M1964" r:id="rId2130"/>
    <hyperlink xmlns:r="http://schemas.openxmlformats.org/officeDocument/2006/relationships" ref="M1965" r:id="rId2131"/>
    <hyperlink xmlns:r="http://schemas.openxmlformats.org/officeDocument/2006/relationships" ref="N1966" r:id="rId2132"/>
    <hyperlink xmlns:r="http://schemas.openxmlformats.org/officeDocument/2006/relationships" ref="N1967" r:id="rId2133"/>
    <hyperlink xmlns:r="http://schemas.openxmlformats.org/officeDocument/2006/relationships" ref="N1968" r:id="rId2134"/>
    <hyperlink xmlns:r="http://schemas.openxmlformats.org/officeDocument/2006/relationships" ref="N1969" r:id="rId2135"/>
    <hyperlink xmlns:r="http://schemas.openxmlformats.org/officeDocument/2006/relationships" ref="N1970" r:id="rId2136"/>
    <hyperlink xmlns:r="http://schemas.openxmlformats.org/officeDocument/2006/relationships" ref="N1971" r:id="rId2137"/>
    <hyperlink xmlns:r="http://schemas.openxmlformats.org/officeDocument/2006/relationships" ref="N1972" r:id="rId2138"/>
    <hyperlink xmlns:r="http://schemas.openxmlformats.org/officeDocument/2006/relationships" ref="N1973" r:id="rId2139"/>
    <hyperlink xmlns:r="http://schemas.openxmlformats.org/officeDocument/2006/relationships" ref="N1974" r:id="rId2140"/>
    <hyperlink xmlns:r="http://schemas.openxmlformats.org/officeDocument/2006/relationships" ref="N1975" r:id="rId2141"/>
    <hyperlink xmlns:r="http://schemas.openxmlformats.org/officeDocument/2006/relationships" ref="N1976" r:id="rId2142"/>
    <hyperlink xmlns:r="http://schemas.openxmlformats.org/officeDocument/2006/relationships" ref="M1977" r:id="rId2143"/>
    <hyperlink xmlns:r="http://schemas.openxmlformats.org/officeDocument/2006/relationships" ref="N1978" r:id="rId2144"/>
    <hyperlink xmlns:r="http://schemas.openxmlformats.org/officeDocument/2006/relationships" ref="N1979" r:id="rId2145"/>
    <hyperlink xmlns:r="http://schemas.openxmlformats.org/officeDocument/2006/relationships" ref="N1980" r:id="rId2146"/>
    <hyperlink xmlns:r="http://schemas.openxmlformats.org/officeDocument/2006/relationships" ref="N1981" r:id="rId2147"/>
    <hyperlink xmlns:r="http://schemas.openxmlformats.org/officeDocument/2006/relationships" ref="M1982" r:id="rId2148"/>
    <hyperlink xmlns:r="http://schemas.openxmlformats.org/officeDocument/2006/relationships" ref="M1983" r:id="rId2149"/>
    <hyperlink xmlns:r="http://schemas.openxmlformats.org/officeDocument/2006/relationships" ref="M1984" r:id="rId2150"/>
    <hyperlink xmlns:r="http://schemas.openxmlformats.org/officeDocument/2006/relationships" ref="N1984" r:id="rId2151"/>
    <hyperlink xmlns:r="http://schemas.openxmlformats.org/officeDocument/2006/relationships" ref="N1985" r:id="rId2152"/>
    <hyperlink xmlns:r="http://schemas.openxmlformats.org/officeDocument/2006/relationships" ref="N1986" r:id="rId2153"/>
    <hyperlink xmlns:r="http://schemas.openxmlformats.org/officeDocument/2006/relationships" ref="N1987" r:id="rId2154"/>
    <hyperlink xmlns:r="http://schemas.openxmlformats.org/officeDocument/2006/relationships" ref="N1988" r:id="rId2155"/>
    <hyperlink xmlns:r="http://schemas.openxmlformats.org/officeDocument/2006/relationships" ref="N1989" r:id="rId2156"/>
    <hyperlink xmlns:r="http://schemas.openxmlformats.org/officeDocument/2006/relationships" ref="M1990" r:id="rId2157"/>
    <hyperlink xmlns:r="http://schemas.openxmlformats.org/officeDocument/2006/relationships" ref="N1991" r:id="rId2158"/>
    <hyperlink xmlns:r="http://schemas.openxmlformats.org/officeDocument/2006/relationships" ref="N1992" r:id="rId2159"/>
    <hyperlink xmlns:r="http://schemas.openxmlformats.org/officeDocument/2006/relationships" ref="N1993" r:id="rId2160"/>
    <hyperlink xmlns:r="http://schemas.openxmlformats.org/officeDocument/2006/relationships" ref="N1994" r:id="rId2161"/>
    <hyperlink xmlns:r="http://schemas.openxmlformats.org/officeDocument/2006/relationships" ref="M1995" r:id="rId2162"/>
    <hyperlink xmlns:r="http://schemas.openxmlformats.org/officeDocument/2006/relationships" ref="M1996" r:id="rId2163"/>
    <hyperlink xmlns:r="http://schemas.openxmlformats.org/officeDocument/2006/relationships" ref="N1997" r:id="rId2164"/>
    <hyperlink xmlns:r="http://schemas.openxmlformats.org/officeDocument/2006/relationships" ref="N1998" r:id="rId2165"/>
    <hyperlink xmlns:r="http://schemas.openxmlformats.org/officeDocument/2006/relationships" ref="M1999" r:id="rId2166"/>
    <hyperlink xmlns:r="http://schemas.openxmlformats.org/officeDocument/2006/relationships" ref="M2000" r:id="rId2167"/>
    <hyperlink xmlns:r="http://schemas.openxmlformats.org/officeDocument/2006/relationships" ref="M2001" r:id="rId2168"/>
    <hyperlink xmlns:r="http://schemas.openxmlformats.org/officeDocument/2006/relationships" ref="M2002" r:id="rId2169"/>
    <hyperlink xmlns:r="http://schemas.openxmlformats.org/officeDocument/2006/relationships" ref="M2003" r:id="rId2170"/>
    <hyperlink xmlns:r="http://schemas.openxmlformats.org/officeDocument/2006/relationships" ref="N2004" r:id="rId2171"/>
    <hyperlink xmlns:r="http://schemas.openxmlformats.org/officeDocument/2006/relationships" ref="N2005" r:id="rId2172"/>
    <hyperlink xmlns:r="http://schemas.openxmlformats.org/officeDocument/2006/relationships" ref="N2006" r:id="rId2173"/>
    <hyperlink xmlns:r="http://schemas.openxmlformats.org/officeDocument/2006/relationships" ref="M2007" r:id="rId2174"/>
    <hyperlink xmlns:r="http://schemas.openxmlformats.org/officeDocument/2006/relationships" ref="N2007" r:id="rId2175"/>
    <hyperlink xmlns:r="http://schemas.openxmlformats.org/officeDocument/2006/relationships" ref="N2008" r:id="rId2176"/>
    <hyperlink xmlns:r="http://schemas.openxmlformats.org/officeDocument/2006/relationships" ref="M2009" r:id="rId2177"/>
    <hyperlink xmlns:r="http://schemas.openxmlformats.org/officeDocument/2006/relationships" ref="N2009" r:id="rId2178"/>
    <hyperlink xmlns:r="http://schemas.openxmlformats.org/officeDocument/2006/relationships" ref="M2010" r:id="rId2179"/>
    <hyperlink xmlns:r="http://schemas.openxmlformats.org/officeDocument/2006/relationships" ref="N2010" r:id="rId2180"/>
    <hyperlink xmlns:r="http://schemas.openxmlformats.org/officeDocument/2006/relationships" ref="M2011" r:id="rId2181"/>
    <hyperlink xmlns:r="http://schemas.openxmlformats.org/officeDocument/2006/relationships" ref="N2012" r:id="rId2182"/>
    <hyperlink xmlns:r="http://schemas.openxmlformats.org/officeDocument/2006/relationships" ref="N2013" r:id="rId2183"/>
    <hyperlink xmlns:r="http://schemas.openxmlformats.org/officeDocument/2006/relationships" ref="N2014" r:id="rId2184"/>
    <hyperlink xmlns:r="http://schemas.openxmlformats.org/officeDocument/2006/relationships" ref="M2015" r:id="rId2185"/>
    <hyperlink xmlns:r="http://schemas.openxmlformats.org/officeDocument/2006/relationships" ref="M2016" r:id="rId2186"/>
    <hyperlink xmlns:r="http://schemas.openxmlformats.org/officeDocument/2006/relationships" ref="M2017" r:id="rId2187"/>
    <hyperlink xmlns:r="http://schemas.openxmlformats.org/officeDocument/2006/relationships" ref="N2018" r:id="rId2188"/>
    <hyperlink xmlns:r="http://schemas.openxmlformats.org/officeDocument/2006/relationships" ref="N2019" r:id="rId2189"/>
    <hyperlink xmlns:r="http://schemas.openxmlformats.org/officeDocument/2006/relationships" ref="M2020" r:id="rId2190"/>
    <hyperlink xmlns:r="http://schemas.openxmlformats.org/officeDocument/2006/relationships" ref="N2021" r:id="rId2191"/>
    <hyperlink xmlns:r="http://schemas.openxmlformats.org/officeDocument/2006/relationships" ref="M2022" r:id="rId2192"/>
    <hyperlink xmlns:r="http://schemas.openxmlformats.org/officeDocument/2006/relationships" ref="N2023" r:id="rId2193"/>
    <hyperlink xmlns:r="http://schemas.openxmlformats.org/officeDocument/2006/relationships" ref="M2024" r:id="rId2194"/>
    <hyperlink xmlns:r="http://schemas.openxmlformats.org/officeDocument/2006/relationships" ref="M2025" r:id="rId2195"/>
    <hyperlink xmlns:r="http://schemas.openxmlformats.org/officeDocument/2006/relationships" ref="M2026" r:id="rId2196"/>
    <hyperlink xmlns:r="http://schemas.openxmlformats.org/officeDocument/2006/relationships" ref="M2027" r:id="rId2197"/>
    <hyperlink xmlns:r="http://schemas.openxmlformats.org/officeDocument/2006/relationships" ref="N2028" r:id="rId2198"/>
    <hyperlink xmlns:r="http://schemas.openxmlformats.org/officeDocument/2006/relationships" ref="N2029" r:id="rId2199"/>
    <hyperlink xmlns:r="http://schemas.openxmlformats.org/officeDocument/2006/relationships" ref="N2030" r:id="rId2200"/>
    <hyperlink xmlns:r="http://schemas.openxmlformats.org/officeDocument/2006/relationships" ref="M2031" r:id="rId2201"/>
    <hyperlink xmlns:r="http://schemas.openxmlformats.org/officeDocument/2006/relationships" ref="N2031" r:id="rId2202"/>
    <hyperlink xmlns:r="http://schemas.openxmlformats.org/officeDocument/2006/relationships" ref="N2032" r:id="rId2203"/>
    <hyperlink xmlns:r="http://schemas.openxmlformats.org/officeDocument/2006/relationships" ref="N2033" r:id="rId2204"/>
    <hyperlink xmlns:r="http://schemas.openxmlformats.org/officeDocument/2006/relationships" ref="N2034" r:id="rId2205"/>
    <hyperlink xmlns:r="http://schemas.openxmlformats.org/officeDocument/2006/relationships" ref="N2035" r:id="rId2206"/>
    <hyperlink xmlns:r="http://schemas.openxmlformats.org/officeDocument/2006/relationships" ref="N2036" r:id="rId2207"/>
    <hyperlink xmlns:r="http://schemas.openxmlformats.org/officeDocument/2006/relationships" ref="N2037" r:id="rId2208"/>
    <hyperlink xmlns:r="http://schemas.openxmlformats.org/officeDocument/2006/relationships" ref="N2038" r:id="rId2209"/>
    <hyperlink xmlns:r="http://schemas.openxmlformats.org/officeDocument/2006/relationships" ref="N2039" r:id="rId2210"/>
    <hyperlink xmlns:r="http://schemas.openxmlformats.org/officeDocument/2006/relationships" ref="N2040" r:id="rId2211"/>
    <hyperlink xmlns:r="http://schemas.openxmlformats.org/officeDocument/2006/relationships" ref="N2041" r:id="rId2212"/>
    <hyperlink xmlns:r="http://schemas.openxmlformats.org/officeDocument/2006/relationships" ref="N2042" r:id="rId2213"/>
    <hyperlink xmlns:r="http://schemas.openxmlformats.org/officeDocument/2006/relationships" ref="M2043" r:id="rId2214"/>
    <hyperlink xmlns:r="http://schemas.openxmlformats.org/officeDocument/2006/relationships" ref="N2043" r:id="rId2215"/>
    <hyperlink xmlns:r="http://schemas.openxmlformats.org/officeDocument/2006/relationships" ref="M2044" r:id="rId2216"/>
    <hyperlink xmlns:r="http://schemas.openxmlformats.org/officeDocument/2006/relationships" ref="N2044" r:id="rId2217"/>
    <hyperlink xmlns:r="http://schemas.openxmlformats.org/officeDocument/2006/relationships" ref="N2045" r:id="rId2218"/>
    <hyperlink xmlns:r="http://schemas.openxmlformats.org/officeDocument/2006/relationships" ref="N2046" r:id="rId2219"/>
    <hyperlink xmlns:r="http://schemas.openxmlformats.org/officeDocument/2006/relationships" ref="M2047" r:id="rId2220"/>
    <hyperlink xmlns:r="http://schemas.openxmlformats.org/officeDocument/2006/relationships" ref="N2047" r:id="rId2221"/>
    <hyperlink xmlns:r="http://schemas.openxmlformats.org/officeDocument/2006/relationships" ref="N2048" r:id="rId2222"/>
    <hyperlink xmlns:r="http://schemas.openxmlformats.org/officeDocument/2006/relationships" ref="M2049" r:id="rId2223"/>
    <hyperlink xmlns:r="http://schemas.openxmlformats.org/officeDocument/2006/relationships" ref="N2049" r:id="rId2224"/>
    <hyperlink xmlns:r="http://schemas.openxmlformats.org/officeDocument/2006/relationships" ref="N2050" r:id="rId2225"/>
    <hyperlink xmlns:r="http://schemas.openxmlformats.org/officeDocument/2006/relationships" ref="M2051" r:id="rId2226"/>
    <hyperlink xmlns:r="http://schemas.openxmlformats.org/officeDocument/2006/relationships" ref="N2051" r:id="rId2227"/>
    <hyperlink xmlns:r="http://schemas.openxmlformats.org/officeDocument/2006/relationships" ref="N2052" r:id="rId2228"/>
    <hyperlink xmlns:r="http://schemas.openxmlformats.org/officeDocument/2006/relationships" ref="M2053" r:id="rId2229"/>
    <hyperlink xmlns:r="http://schemas.openxmlformats.org/officeDocument/2006/relationships" ref="N2053" r:id="rId2230"/>
    <hyperlink xmlns:r="http://schemas.openxmlformats.org/officeDocument/2006/relationships" ref="N2054" r:id="rId2231"/>
    <hyperlink xmlns:r="http://schemas.openxmlformats.org/officeDocument/2006/relationships" ref="N2055" r:id="rId2232"/>
    <hyperlink xmlns:r="http://schemas.openxmlformats.org/officeDocument/2006/relationships" ref="N2056" r:id="rId2233"/>
    <hyperlink xmlns:r="http://schemas.openxmlformats.org/officeDocument/2006/relationships" ref="M2057" r:id="rId2234"/>
    <hyperlink xmlns:r="http://schemas.openxmlformats.org/officeDocument/2006/relationships" ref="N2057" r:id="rId2235"/>
    <hyperlink xmlns:r="http://schemas.openxmlformats.org/officeDocument/2006/relationships" ref="N2058" r:id="rId2236"/>
    <hyperlink xmlns:r="http://schemas.openxmlformats.org/officeDocument/2006/relationships" ref="N2059" r:id="rId2237"/>
    <hyperlink xmlns:r="http://schemas.openxmlformats.org/officeDocument/2006/relationships" ref="M2060" r:id="rId2238"/>
    <hyperlink xmlns:r="http://schemas.openxmlformats.org/officeDocument/2006/relationships" ref="N2060" r:id="rId2239"/>
    <hyperlink xmlns:r="http://schemas.openxmlformats.org/officeDocument/2006/relationships" ref="N2061" r:id="rId2240"/>
    <hyperlink xmlns:r="http://schemas.openxmlformats.org/officeDocument/2006/relationships" ref="M2062" r:id="rId2241"/>
    <hyperlink xmlns:r="http://schemas.openxmlformats.org/officeDocument/2006/relationships" ref="N2062" r:id="rId2242"/>
    <hyperlink xmlns:r="http://schemas.openxmlformats.org/officeDocument/2006/relationships" ref="M2063" r:id="rId2243"/>
    <hyperlink xmlns:r="http://schemas.openxmlformats.org/officeDocument/2006/relationships" ref="N2063" r:id="rId2244"/>
    <hyperlink xmlns:r="http://schemas.openxmlformats.org/officeDocument/2006/relationships" ref="M2064" r:id="rId2245"/>
    <hyperlink xmlns:r="http://schemas.openxmlformats.org/officeDocument/2006/relationships" ref="N2064" r:id="rId2246"/>
    <hyperlink xmlns:r="http://schemas.openxmlformats.org/officeDocument/2006/relationships" ref="N2065" r:id="rId2247"/>
    <hyperlink xmlns:r="http://schemas.openxmlformats.org/officeDocument/2006/relationships" ref="M2066" r:id="rId2248"/>
    <hyperlink xmlns:r="http://schemas.openxmlformats.org/officeDocument/2006/relationships" ref="N2066" r:id="rId2249"/>
    <hyperlink xmlns:r="http://schemas.openxmlformats.org/officeDocument/2006/relationships" ref="N2067" r:id="rId2250"/>
    <hyperlink xmlns:r="http://schemas.openxmlformats.org/officeDocument/2006/relationships" ref="N2068" r:id="rId2251"/>
    <hyperlink xmlns:r="http://schemas.openxmlformats.org/officeDocument/2006/relationships" ref="M2069" r:id="rId2252"/>
    <hyperlink xmlns:r="http://schemas.openxmlformats.org/officeDocument/2006/relationships" ref="N2069" r:id="rId2253"/>
    <hyperlink xmlns:r="http://schemas.openxmlformats.org/officeDocument/2006/relationships" ref="N2070" r:id="rId2254"/>
    <hyperlink xmlns:r="http://schemas.openxmlformats.org/officeDocument/2006/relationships" ref="N2071" r:id="rId2255"/>
    <hyperlink xmlns:r="http://schemas.openxmlformats.org/officeDocument/2006/relationships" ref="M2072" r:id="rId2256"/>
    <hyperlink xmlns:r="http://schemas.openxmlformats.org/officeDocument/2006/relationships" ref="N2072" r:id="rId2257"/>
    <hyperlink xmlns:r="http://schemas.openxmlformats.org/officeDocument/2006/relationships" ref="N2073" r:id="rId2258"/>
    <hyperlink xmlns:r="http://schemas.openxmlformats.org/officeDocument/2006/relationships" ref="M2074" r:id="rId2259"/>
    <hyperlink xmlns:r="http://schemas.openxmlformats.org/officeDocument/2006/relationships" ref="N2074" r:id="rId2260"/>
    <hyperlink xmlns:r="http://schemas.openxmlformats.org/officeDocument/2006/relationships" ref="N2075" r:id="rId2261"/>
    <hyperlink xmlns:r="http://schemas.openxmlformats.org/officeDocument/2006/relationships" ref="N2076" r:id="rId2262"/>
    <hyperlink xmlns:r="http://schemas.openxmlformats.org/officeDocument/2006/relationships" ref="N2077" r:id="rId2263"/>
    <hyperlink xmlns:r="http://schemas.openxmlformats.org/officeDocument/2006/relationships" ref="N2078" r:id="rId2264"/>
    <hyperlink xmlns:r="http://schemas.openxmlformats.org/officeDocument/2006/relationships" ref="N2079" r:id="rId2265"/>
    <hyperlink xmlns:r="http://schemas.openxmlformats.org/officeDocument/2006/relationships" ref="N2080" r:id="rId2266"/>
    <hyperlink xmlns:r="http://schemas.openxmlformats.org/officeDocument/2006/relationships" ref="N2081" r:id="rId2267"/>
    <hyperlink xmlns:r="http://schemas.openxmlformats.org/officeDocument/2006/relationships" ref="N2082" r:id="rId2268"/>
    <hyperlink xmlns:r="http://schemas.openxmlformats.org/officeDocument/2006/relationships" ref="N2083" r:id="rId2269"/>
    <hyperlink xmlns:r="http://schemas.openxmlformats.org/officeDocument/2006/relationships" ref="N2084" r:id="rId2270"/>
    <hyperlink xmlns:r="http://schemas.openxmlformats.org/officeDocument/2006/relationships" ref="M2085" r:id="rId2271"/>
    <hyperlink xmlns:r="http://schemas.openxmlformats.org/officeDocument/2006/relationships" ref="N2085" r:id="rId2272"/>
    <hyperlink xmlns:r="http://schemas.openxmlformats.org/officeDocument/2006/relationships" ref="N2086" r:id="rId2273"/>
    <hyperlink xmlns:r="http://schemas.openxmlformats.org/officeDocument/2006/relationships" ref="N2087" r:id="rId2274"/>
    <hyperlink xmlns:r="http://schemas.openxmlformats.org/officeDocument/2006/relationships" ref="M2088" r:id="rId2275"/>
    <hyperlink xmlns:r="http://schemas.openxmlformats.org/officeDocument/2006/relationships" ref="N2088" r:id="rId2276"/>
    <hyperlink xmlns:r="http://schemas.openxmlformats.org/officeDocument/2006/relationships" ref="N2089" r:id="rId2277"/>
    <hyperlink xmlns:r="http://schemas.openxmlformats.org/officeDocument/2006/relationships" ref="N2090" r:id="rId2278"/>
    <hyperlink xmlns:r="http://schemas.openxmlformats.org/officeDocument/2006/relationships" ref="M2091" r:id="rId2279"/>
    <hyperlink xmlns:r="http://schemas.openxmlformats.org/officeDocument/2006/relationships" ref="N2091" r:id="rId2280"/>
    <hyperlink xmlns:r="http://schemas.openxmlformats.org/officeDocument/2006/relationships" ref="N2092" r:id="rId2281"/>
    <hyperlink xmlns:r="http://schemas.openxmlformats.org/officeDocument/2006/relationships" ref="N2093" r:id="rId2282"/>
    <hyperlink xmlns:r="http://schemas.openxmlformats.org/officeDocument/2006/relationships" ref="N2094" r:id="rId2283"/>
    <hyperlink xmlns:r="http://schemas.openxmlformats.org/officeDocument/2006/relationships" ref="N2095" r:id="rId2284"/>
    <hyperlink xmlns:r="http://schemas.openxmlformats.org/officeDocument/2006/relationships" ref="N2096" r:id="rId2285"/>
    <hyperlink xmlns:r="http://schemas.openxmlformats.org/officeDocument/2006/relationships" ref="M2097" r:id="rId2286"/>
    <hyperlink xmlns:r="http://schemas.openxmlformats.org/officeDocument/2006/relationships" ref="N2097" r:id="rId2287"/>
    <hyperlink xmlns:r="http://schemas.openxmlformats.org/officeDocument/2006/relationships" ref="M2098" r:id="rId2288"/>
    <hyperlink xmlns:r="http://schemas.openxmlformats.org/officeDocument/2006/relationships" ref="N2098" r:id="rId2289"/>
    <hyperlink xmlns:r="http://schemas.openxmlformats.org/officeDocument/2006/relationships" ref="N2099" r:id="rId2290"/>
    <hyperlink xmlns:r="http://schemas.openxmlformats.org/officeDocument/2006/relationships" ref="N2100" r:id="rId2291"/>
    <hyperlink xmlns:r="http://schemas.openxmlformats.org/officeDocument/2006/relationships" ref="N2101" r:id="rId2292"/>
    <hyperlink xmlns:r="http://schemas.openxmlformats.org/officeDocument/2006/relationships" ref="N2102" r:id="rId2293"/>
    <hyperlink xmlns:r="http://schemas.openxmlformats.org/officeDocument/2006/relationships" ref="N2103" r:id="rId2294"/>
    <hyperlink xmlns:r="http://schemas.openxmlformats.org/officeDocument/2006/relationships" ref="N2104" r:id="rId2295"/>
    <hyperlink xmlns:r="http://schemas.openxmlformats.org/officeDocument/2006/relationships" ref="M2105" r:id="rId2296"/>
    <hyperlink xmlns:r="http://schemas.openxmlformats.org/officeDocument/2006/relationships" ref="N2105" r:id="rId2297"/>
    <hyperlink xmlns:r="http://schemas.openxmlformats.org/officeDocument/2006/relationships" ref="N2106" r:id="rId2298"/>
    <hyperlink xmlns:r="http://schemas.openxmlformats.org/officeDocument/2006/relationships" ref="N2107" r:id="rId2299"/>
    <hyperlink xmlns:r="http://schemas.openxmlformats.org/officeDocument/2006/relationships" ref="M2108" r:id="rId2300"/>
    <hyperlink xmlns:r="http://schemas.openxmlformats.org/officeDocument/2006/relationships" ref="N2108" r:id="rId2301"/>
    <hyperlink xmlns:r="http://schemas.openxmlformats.org/officeDocument/2006/relationships" ref="M2109" r:id="rId2302"/>
    <hyperlink xmlns:r="http://schemas.openxmlformats.org/officeDocument/2006/relationships" ref="N2109" r:id="rId2303"/>
    <hyperlink xmlns:r="http://schemas.openxmlformats.org/officeDocument/2006/relationships" ref="N2110" r:id="rId2304"/>
    <hyperlink xmlns:r="http://schemas.openxmlformats.org/officeDocument/2006/relationships" ref="N2111" r:id="rId2305"/>
    <hyperlink xmlns:r="http://schemas.openxmlformats.org/officeDocument/2006/relationships" ref="N2112" r:id="rId2306"/>
    <hyperlink xmlns:r="http://schemas.openxmlformats.org/officeDocument/2006/relationships" ref="N2113" r:id="rId2307"/>
    <hyperlink xmlns:r="http://schemas.openxmlformats.org/officeDocument/2006/relationships" ref="M2114" r:id="rId2308"/>
    <hyperlink xmlns:r="http://schemas.openxmlformats.org/officeDocument/2006/relationships" ref="N2114" r:id="rId2309"/>
    <hyperlink xmlns:r="http://schemas.openxmlformats.org/officeDocument/2006/relationships" ref="N2115" r:id="rId2310"/>
    <hyperlink xmlns:r="http://schemas.openxmlformats.org/officeDocument/2006/relationships" ref="M2116" r:id="rId2311"/>
    <hyperlink xmlns:r="http://schemas.openxmlformats.org/officeDocument/2006/relationships" ref="N2116" r:id="rId2312"/>
    <hyperlink xmlns:r="http://schemas.openxmlformats.org/officeDocument/2006/relationships" ref="M2117" r:id="rId2313"/>
    <hyperlink xmlns:r="http://schemas.openxmlformats.org/officeDocument/2006/relationships" ref="N2117" r:id="rId2314"/>
    <hyperlink xmlns:r="http://schemas.openxmlformats.org/officeDocument/2006/relationships" ref="N2118" r:id="rId2315"/>
    <hyperlink xmlns:r="http://schemas.openxmlformats.org/officeDocument/2006/relationships" ref="N2119" r:id="rId2316"/>
    <hyperlink xmlns:r="http://schemas.openxmlformats.org/officeDocument/2006/relationships" ref="N2120" r:id="rId2317"/>
    <hyperlink xmlns:r="http://schemas.openxmlformats.org/officeDocument/2006/relationships" ref="M2121" r:id="rId2318"/>
    <hyperlink xmlns:r="http://schemas.openxmlformats.org/officeDocument/2006/relationships" ref="N2121" r:id="rId2319"/>
    <hyperlink xmlns:r="http://schemas.openxmlformats.org/officeDocument/2006/relationships" ref="N2122" r:id="rId2320"/>
    <hyperlink xmlns:r="http://schemas.openxmlformats.org/officeDocument/2006/relationships" ref="M2123" r:id="rId2321"/>
    <hyperlink xmlns:r="http://schemas.openxmlformats.org/officeDocument/2006/relationships" ref="N2123" r:id="rId2322"/>
    <hyperlink xmlns:r="http://schemas.openxmlformats.org/officeDocument/2006/relationships" ref="N2124" r:id="rId2323"/>
    <hyperlink xmlns:r="http://schemas.openxmlformats.org/officeDocument/2006/relationships" ref="N2125" r:id="rId2324"/>
    <hyperlink xmlns:r="http://schemas.openxmlformats.org/officeDocument/2006/relationships" ref="M2126" r:id="rId2325"/>
    <hyperlink xmlns:r="http://schemas.openxmlformats.org/officeDocument/2006/relationships" ref="N2126" r:id="rId2326"/>
    <hyperlink xmlns:r="http://schemas.openxmlformats.org/officeDocument/2006/relationships" ref="N2127" r:id="rId2327"/>
    <hyperlink xmlns:r="http://schemas.openxmlformats.org/officeDocument/2006/relationships" ref="N2128" r:id="rId2328"/>
    <hyperlink xmlns:r="http://schemas.openxmlformats.org/officeDocument/2006/relationships" ref="N2129" r:id="rId2329"/>
    <hyperlink xmlns:r="http://schemas.openxmlformats.org/officeDocument/2006/relationships" ref="N2130" r:id="rId2330"/>
    <hyperlink xmlns:r="http://schemas.openxmlformats.org/officeDocument/2006/relationships" ref="N2131" r:id="rId2331"/>
    <hyperlink xmlns:r="http://schemas.openxmlformats.org/officeDocument/2006/relationships" ref="N2132" r:id="rId2332"/>
    <hyperlink xmlns:r="http://schemas.openxmlformats.org/officeDocument/2006/relationships" ref="N2133" r:id="rId2333"/>
    <hyperlink xmlns:r="http://schemas.openxmlformats.org/officeDocument/2006/relationships" ref="N2134" r:id="rId2334"/>
    <hyperlink xmlns:r="http://schemas.openxmlformats.org/officeDocument/2006/relationships" ref="N2135" r:id="rId2335"/>
    <hyperlink xmlns:r="http://schemas.openxmlformats.org/officeDocument/2006/relationships" ref="M2136" r:id="rId2336"/>
    <hyperlink xmlns:r="http://schemas.openxmlformats.org/officeDocument/2006/relationships" ref="N2136" r:id="rId2337"/>
    <hyperlink xmlns:r="http://schemas.openxmlformats.org/officeDocument/2006/relationships" ref="N2137" r:id="rId2338"/>
    <hyperlink xmlns:r="http://schemas.openxmlformats.org/officeDocument/2006/relationships" ref="N2138" r:id="rId2339"/>
    <hyperlink xmlns:r="http://schemas.openxmlformats.org/officeDocument/2006/relationships" ref="N2139" r:id="rId2340"/>
    <hyperlink xmlns:r="http://schemas.openxmlformats.org/officeDocument/2006/relationships" ref="N2140" r:id="rId2341"/>
    <hyperlink xmlns:r="http://schemas.openxmlformats.org/officeDocument/2006/relationships" ref="N2141" r:id="rId2342"/>
    <hyperlink xmlns:r="http://schemas.openxmlformats.org/officeDocument/2006/relationships" ref="N2142" r:id="rId2343"/>
    <hyperlink xmlns:r="http://schemas.openxmlformats.org/officeDocument/2006/relationships" ref="N2143" r:id="rId2344"/>
    <hyperlink xmlns:r="http://schemas.openxmlformats.org/officeDocument/2006/relationships" ref="N2144" r:id="rId2345"/>
    <hyperlink xmlns:r="http://schemas.openxmlformats.org/officeDocument/2006/relationships" ref="N2145" r:id="rId2346"/>
    <hyperlink xmlns:r="http://schemas.openxmlformats.org/officeDocument/2006/relationships" ref="N2146" r:id="rId2347"/>
    <hyperlink xmlns:r="http://schemas.openxmlformats.org/officeDocument/2006/relationships" ref="N2147" r:id="rId2348"/>
    <hyperlink xmlns:r="http://schemas.openxmlformats.org/officeDocument/2006/relationships" ref="N2148" r:id="rId2349"/>
    <hyperlink xmlns:r="http://schemas.openxmlformats.org/officeDocument/2006/relationships" ref="N2149" r:id="rId2350"/>
    <hyperlink xmlns:r="http://schemas.openxmlformats.org/officeDocument/2006/relationships" ref="N2150" r:id="rId2351"/>
    <hyperlink xmlns:r="http://schemas.openxmlformats.org/officeDocument/2006/relationships" ref="N2151" r:id="rId2352"/>
    <hyperlink xmlns:r="http://schemas.openxmlformats.org/officeDocument/2006/relationships" ref="N2152" r:id="rId2353"/>
    <hyperlink xmlns:r="http://schemas.openxmlformats.org/officeDocument/2006/relationships" ref="N2153" r:id="rId2354"/>
    <hyperlink xmlns:r="http://schemas.openxmlformats.org/officeDocument/2006/relationships" ref="N2154" r:id="rId2355"/>
    <hyperlink xmlns:r="http://schemas.openxmlformats.org/officeDocument/2006/relationships" ref="N2155" r:id="rId2356"/>
    <hyperlink xmlns:r="http://schemas.openxmlformats.org/officeDocument/2006/relationships" ref="N2156" r:id="rId2357"/>
    <hyperlink xmlns:r="http://schemas.openxmlformats.org/officeDocument/2006/relationships" ref="N2157" r:id="rId2358"/>
    <hyperlink xmlns:r="http://schemas.openxmlformats.org/officeDocument/2006/relationships" ref="N2158" r:id="rId2359"/>
    <hyperlink xmlns:r="http://schemas.openxmlformats.org/officeDocument/2006/relationships" ref="N2159" r:id="rId2360"/>
    <hyperlink xmlns:r="http://schemas.openxmlformats.org/officeDocument/2006/relationships" ref="N2160" r:id="rId2361"/>
    <hyperlink xmlns:r="http://schemas.openxmlformats.org/officeDocument/2006/relationships" ref="N2161" r:id="rId2362"/>
    <hyperlink xmlns:r="http://schemas.openxmlformats.org/officeDocument/2006/relationships" ref="N2162" r:id="rId2363"/>
    <hyperlink xmlns:r="http://schemas.openxmlformats.org/officeDocument/2006/relationships" ref="N2163" r:id="rId2364"/>
    <hyperlink xmlns:r="http://schemas.openxmlformats.org/officeDocument/2006/relationships" ref="N2164" r:id="rId2365"/>
    <hyperlink xmlns:r="http://schemas.openxmlformats.org/officeDocument/2006/relationships" ref="M2165" r:id="rId2366"/>
    <hyperlink xmlns:r="http://schemas.openxmlformats.org/officeDocument/2006/relationships" ref="N2166" r:id="rId2367"/>
    <hyperlink xmlns:r="http://schemas.openxmlformats.org/officeDocument/2006/relationships" ref="N2167" r:id="rId2368"/>
    <hyperlink xmlns:r="http://schemas.openxmlformats.org/officeDocument/2006/relationships" ref="N2168" r:id="rId2369"/>
    <hyperlink xmlns:r="http://schemas.openxmlformats.org/officeDocument/2006/relationships" ref="N2169" r:id="rId2370"/>
    <hyperlink xmlns:r="http://schemas.openxmlformats.org/officeDocument/2006/relationships" ref="M2170" r:id="rId2371"/>
    <hyperlink xmlns:r="http://schemas.openxmlformats.org/officeDocument/2006/relationships" ref="M2171" r:id="rId2372"/>
    <hyperlink xmlns:r="http://schemas.openxmlformats.org/officeDocument/2006/relationships" ref="M2172" r:id="rId2373"/>
    <hyperlink xmlns:r="http://schemas.openxmlformats.org/officeDocument/2006/relationships" ref="M2173" r:id="rId2374"/>
    <hyperlink xmlns:r="http://schemas.openxmlformats.org/officeDocument/2006/relationships" ref="M2174" r:id="rId2375"/>
    <hyperlink xmlns:r="http://schemas.openxmlformats.org/officeDocument/2006/relationships" ref="M2175" r:id="rId2376"/>
    <hyperlink xmlns:r="http://schemas.openxmlformats.org/officeDocument/2006/relationships" ref="M2176" r:id="rId2377"/>
    <hyperlink xmlns:r="http://schemas.openxmlformats.org/officeDocument/2006/relationships" ref="M2177" r:id="rId2378"/>
    <hyperlink xmlns:r="http://schemas.openxmlformats.org/officeDocument/2006/relationships" ref="M2178" r:id="rId2379"/>
    <hyperlink xmlns:r="http://schemas.openxmlformats.org/officeDocument/2006/relationships" ref="M2179" r:id="rId2380"/>
    <hyperlink xmlns:r="http://schemas.openxmlformats.org/officeDocument/2006/relationships" ref="M2180" r:id="rId2381"/>
    <hyperlink xmlns:r="http://schemas.openxmlformats.org/officeDocument/2006/relationships" ref="M2181" r:id="rId2382"/>
    <hyperlink xmlns:r="http://schemas.openxmlformats.org/officeDocument/2006/relationships" ref="M2182" r:id="rId2383"/>
    <hyperlink xmlns:r="http://schemas.openxmlformats.org/officeDocument/2006/relationships" ref="M2183" r:id="rId2384"/>
    <hyperlink xmlns:r="http://schemas.openxmlformats.org/officeDocument/2006/relationships" ref="M2184" r:id="rId2385"/>
    <hyperlink xmlns:r="http://schemas.openxmlformats.org/officeDocument/2006/relationships" ref="N2185" r:id="rId2386"/>
    <hyperlink xmlns:r="http://schemas.openxmlformats.org/officeDocument/2006/relationships" ref="N2186" r:id="rId2387"/>
    <hyperlink xmlns:r="http://schemas.openxmlformats.org/officeDocument/2006/relationships" ref="N2187" r:id="rId2388"/>
    <hyperlink xmlns:r="http://schemas.openxmlformats.org/officeDocument/2006/relationships" ref="N2188" r:id="rId2389"/>
    <hyperlink xmlns:r="http://schemas.openxmlformats.org/officeDocument/2006/relationships" ref="N2189" r:id="rId2390"/>
    <hyperlink xmlns:r="http://schemas.openxmlformats.org/officeDocument/2006/relationships" ref="N2190" r:id="rId2391"/>
    <hyperlink xmlns:r="http://schemas.openxmlformats.org/officeDocument/2006/relationships" ref="N2191" r:id="rId2392"/>
    <hyperlink xmlns:r="http://schemas.openxmlformats.org/officeDocument/2006/relationships" ref="N2192" r:id="rId2393"/>
    <hyperlink xmlns:r="http://schemas.openxmlformats.org/officeDocument/2006/relationships" ref="N2193" r:id="rId2394"/>
    <hyperlink xmlns:r="http://schemas.openxmlformats.org/officeDocument/2006/relationships" ref="N2194" r:id="rId2395"/>
    <hyperlink xmlns:r="http://schemas.openxmlformats.org/officeDocument/2006/relationships" ref="M2195" r:id="rId2396"/>
    <hyperlink xmlns:r="http://schemas.openxmlformats.org/officeDocument/2006/relationships" ref="N2195" r:id="rId2397"/>
    <hyperlink xmlns:r="http://schemas.openxmlformats.org/officeDocument/2006/relationships" ref="N2196" r:id="rId2398"/>
    <hyperlink xmlns:r="http://schemas.openxmlformats.org/officeDocument/2006/relationships" ref="M2197" r:id="rId2399"/>
    <hyperlink xmlns:r="http://schemas.openxmlformats.org/officeDocument/2006/relationships" ref="N2197" r:id="rId2400"/>
    <hyperlink xmlns:r="http://schemas.openxmlformats.org/officeDocument/2006/relationships" ref="M2198" r:id="rId2401"/>
    <hyperlink xmlns:r="http://schemas.openxmlformats.org/officeDocument/2006/relationships" ref="N2198" r:id="rId2402"/>
    <hyperlink xmlns:r="http://schemas.openxmlformats.org/officeDocument/2006/relationships" ref="M2199" r:id="rId2403"/>
    <hyperlink xmlns:r="http://schemas.openxmlformats.org/officeDocument/2006/relationships" ref="N2199" r:id="rId2404"/>
    <hyperlink xmlns:r="http://schemas.openxmlformats.org/officeDocument/2006/relationships" ref="N2200" r:id="rId2405"/>
    <hyperlink xmlns:r="http://schemas.openxmlformats.org/officeDocument/2006/relationships" ref="N2201" r:id="rId2406"/>
    <hyperlink xmlns:r="http://schemas.openxmlformats.org/officeDocument/2006/relationships" ref="M2202" r:id="rId2407"/>
    <hyperlink xmlns:r="http://schemas.openxmlformats.org/officeDocument/2006/relationships" ref="N2202" r:id="rId2408"/>
    <hyperlink xmlns:r="http://schemas.openxmlformats.org/officeDocument/2006/relationships" ref="N2203" r:id="rId2409"/>
    <hyperlink xmlns:r="http://schemas.openxmlformats.org/officeDocument/2006/relationships" ref="M2204" r:id="rId2410"/>
    <hyperlink xmlns:r="http://schemas.openxmlformats.org/officeDocument/2006/relationships" ref="N2204" r:id="rId2411"/>
    <hyperlink xmlns:r="http://schemas.openxmlformats.org/officeDocument/2006/relationships" ref="M2205" r:id="rId2412"/>
    <hyperlink xmlns:r="http://schemas.openxmlformats.org/officeDocument/2006/relationships" ref="N2205" r:id="rId2413"/>
    <hyperlink xmlns:r="http://schemas.openxmlformats.org/officeDocument/2006/relationships" ref="M2206" r:id="rId2414"/>
    <hyperlink xmlns:r="http://schemas.openxmlformats.org/officeDocument/2006/relationships" ref="N2206" r:id="rId2415"/>
    <hyperlink xmlns:r="http://schemas.openxmlformats.org/officeDocument/2006/relationships" ref="N2207" r:id="rId2416"/>
    <hyperlink xmlns:r="http://schemas.openxmlformats.org/officeDocument/2006/relationships" ref="N2208" r:id="rId2417"/>
    <hyperlink xmlns:r="http://schemas.openxmlformats.org/officeDocument/2006/relationships" ref="M2209" r:id="rId2418"/>
    <hyperlink xmlns:r="http://schemas.openxmlformats.org/officeDocument/2006/relationships" ref="N2209" r:id="rId2419"/>
    <hyperlink xmlns:r="http://schemas.openxmlformats.org/officeDocument/2006/relationships" ref="N2210" r:id="rId2420"/>
    <hyperlink xmlns:r="http://schemas.openxmlformats.org/officeDocument/2006/relationships" ref="M2211" r:id="rId2421"/>
    <hyperlink xmlns:r="http://schemas.openxmlformats.org/officeDocument/2006/relationships" ref="N2211" r:id="rId2422"/>
    <hyperlink xmlns:r="http://schemas.openxmlformats.org/officeDocument/2006/relationships" ref="M2212" r:id="rId2423"/>
    <hyperlink xmlns:r="http://schemas.openxmlformats.org/officeDocument/2006/relationships" ref="N2212" r:id="rId2424"/>
    <hyperlink xmlns:r="http://schemas.openxmlformats.org/officeDocument/2006/relationships" ref="M2213" r:id="rId2425"/>
    <hyperlink xmlns:r="http://schemas.openxmlformats.org/officeDocument/2006/relationships" ref="N2213" r:id="rId2426"/>
    <hyperlink xmlns:r="http://schemas.openxmlformats.org/officeDocument/2006/relationships" ref="M2214" r:id="rId2427"/>
    <hyperlink xmlns:r="http://schemas.openxmlformats.org/officeDocument/2006/relationships" ref="N2214" r:id="rId2428"/>
    <hyperlink xmlns:r="http://schemas.openxmlformats.org/officeDocument/2006/relationships" ref="N2215" r:id="rId2429"/>
    <hyperlink xmlns:r="http://schemas.openxmlformats.org/officeDocument/2006/relationships" ref="N2216" r:id="rId2430"/>
    <hyperlink xmlns:r="http://schemas.openxmlformats.org/officeDocument/2006/relationships" ref="M2217" r:id="rId2431"/>
    <hyperlink xmlns:r="http://schemas.openxmlformats.org/officeDocument/2006/relationships" ref="N2217" r:id="rId2432"/>
    <hyperlink xmlns:r="http://schemas.openxmlformats.org/officeDocument/2006/relationships" ref="N2218" r:id="rId2433"/>
    <hyperlink xmlns:r="http://schemas.openxmlformats.org/officeDocument/2006/relationships" ref="M2219" r:id="rId2434"/>
    <hyperlink xmlns:r="http://schemas.openxmlformats.org/officeDocument/2006/relationships" ref="N2219" r:id="rId2435"/>
    <hyperlink xmlns:r="http://schemas.openxmlformats.org/officeDocument/2006/relationships" ref="N2220" r:id="rId2436"/>
    <hyperlink xmlns:r="http://schemas.openxmlformats.org/officeDocument/2006/relationships" ref="N2221" r:id="rId2437"/>
    <hyperlink xmlns:r="http://schemas.openxmlformats.org/officeDocument/2006/relationships" ref="M2222" r:id="rId2438"/>
    <hyperlink xmlns:r="http://schemas.openxmlformats.org/officeDocument/2006/relationships" ref="N2222" r:id="rId2439"/>
    <hyperlink xmlns:r="http://schemas.openxmlformats.org/officeDocument/2006/relationships" ref="N2223" r:id="rId2440"/>
    <hyperlink xmlns:r="http://schemas.openxmlformats.org/officeDocument/2006/relationships" ref="N2224" r:id="rId2441"/>
    <hyperlink xmlns:r="http://schemas.openxmlformats.org/officeDocument/2006/relationships" ref="N2225" r:id="rId2442"/>
    <hyperlink xmlns:r="http://schemas.openxmlformats.org/officeDocument/2006/relationships" ref="N2226" r:id="rId2443"/>
    <hyperlink xmlns:r="http://schemas.openxmlformats.org/officeDocument/2006/relationships" ref="M2227" r:id="rId2444"/>
    <hyperlink xmlns:r="http://schemas.openxmlformats.org/officeDocument/2006/relationships" ref="N2227" r:id="rId2445"/>
    <hyperlink xmlns:r="http://schemas.openxmlformats.org/officeDocument/2006/relationships" ref="N2228" r:id="rId2446"/>
    <hyperlink xmlns:r="http://schemas.openxmlformats.org/officeDocument/2006/relationships" ref="M2229" r:id="rId2447"/>
    <hyperlink xmlns:r="http://schemas.openxmlformats.org/officeDocument/2006/relationships" ref="N2229" r:id="rId2448"/>
    <hyperlink xmlns:r="http://schemas.openxmlformats.org/officeDocument/2006/relationships" ref="M2230" r:id="rId2449"/>
    <hyperlink xmlns:r="http://schemas.openxmlformats.org/officeDocument/2006/relationships" ref="N2230" r:id="rId2450"/>
    <hyperlink xmlns:r="http://schemas.openxmlformats.org/officeDocument/2006/relationships" ref="N2231" r:id="rId2451"/>
    <hyperlink xmlns:r="http://schemas.openxmlformats.org/officeDocument/2006/relationships" ref="N2232" r:id="rId2452"/>
    <hyperlink xmlns:r="http://schemas.openxmlformats.org/officeDocument/2006/relationships" ref="N2233" r:id="rId2453"/>
    <hyperlink xmlns:r="http://schemas.openxmlformats.org/officeDocument/2006/relationships" ref="N2234" r:id="rId2454"/>
    <hyperlink xmlns:r="http://schemas.openxmlformats.org/officeDocument/2006/relationships" ref="N2235" r:id="rId2455"/>
    <hyperlink xmlns:r="http://schemas.openxmlformats.org/officeDocument/2006/relationships" ref="N2236" r:id="rId2456"/>
    <hyperlink xmlns:r="http://schemas.openxmlformats.org/officeDocument/2006/relationships" ref="N2237" r:id="rId2457"/>
    <hyperlink xmlns:r="http://schemas.openxmlformats.org/officeDocument/2006/relationships" ref="N2238" r:id="rId2458"/>
    <hyperlink xmlns:r="http://schemas.openxmlformats.org/officeDocument/2006/relationships" ref="N2239" r:id="rId2459"/>
    <hyperlink xmlns:r="http://schemas.openxmlformats.org/officeDocument/2006/relationships" ref="N2240" r:id="rId2460"/>
    <hyperlink xmlns:r="http://schemas.openxmlformats.org/officeDocument/2006/relationships" ref="N2241" r:id="rId2461"/>
    <hyperlink xmlns:r="http://schemas.openxmlformats.org/officeDocument/2006/relationships" ref="N2242" r:id="rId2462"/>
    <hyperlink xmlns:r="http://schemas.openxmlformats.org/officeDocument/2006/relationships" ref="M2243" r:id="rId2463"/>
    <hyperlink xmlns:r="http://schemas.openxmlformats.org/officeDocument/2006/relationships" ref="N2243" r:id="rId2464"/>
    <hyperlink xmlns:r="http://schemas.openxmlformats.org/officeDocument/2006/relationships" ref="M2244" r:id="rId2465"/>
    <hyperlink xmlns:r="http://schemas.openxmlformats.org/officeDocument/2006/relationships" ref="N2244" r:id="rId2466"/>
    <hyperlink xmlns:r="http://schemas.openxmlformats.org/officeDocument/2006/relationships" ref="N2245" r:id="rId2467"/>
    <hyperlink xmlns:r="http://schemas.openxmlformats.org/officeDocument/2006/relationships" ref="N2246" r:id="rId2468"/>
    <hyperlink xmlns:r="http://schemas.openxmlformats.org/officeDocument/2006/relationships" ref="M2247" r:id="rId2469"/>
    <hyperlink xmlns:r="http://schemas.openxmlformats.org/officeDocument/2006/relationships" ref="N2247" r:id="rId2470"/>
    <hyperlink xmlns:r="http://schemas.openxmlformats.org/officeDocument/2006/relationships" ref="N2248" r:id="rId2471"/>
    <hyperlink xmlns:r="http://schemas.openxmlformats.org/officeDocument/2006/relationships" ref="M2249" r:id="rId2472"/>
    <hyperlink xmlns:r="http://schemas.openxmlformats.org/officeDocument/2006/relationships" ref="N2249" r:id="rId2473"/>
    <hyperlink xmlns:r="http://schemas.openxmlformats.org/officeDocument/2006/relationships" ref="M2250" r:id="rId2474"/>
    <hyperlink xmlns:r="http://schemas.openxmlformats.org/officeDocument/2006/relationships" ref="N2250" r:id="rId2475"/>
    <hyperlink xmlns:r="http://schemas.openxmlformats.org/officeDocument/2006/relationships" ref="N2251" r:id="rId2476"/>
    <hyperlink xmlns:r="http://schemas.openxmlformats.org/officeDocument/2006/relationships" ref="N2252" r:id="rId2477"/>
    <hyperlink xmlns:r="http://schemas.openxmlformats.org/officeDocument/2006/relationships" ref="M2253" r:id="rId2478"/>
    <hyperlink xmlns:r="http://schemas.openxmlformats.org/officeDocument/2006/relationships" ref="N2253" r:id="rId2479"/>
    <hyperlink xmlns:r="http://schemas.openxmlformats.org/officeDocument/2006/relationships" ref="N2254" r:id="rId2480"/>
    <hyperlink xmlns:r="http://schemas.openxmlformats.org/officeDocument/2006/relationships" ref="M2255" r:id="rId2481"/>
    <hyperlink xmlns:r="http://schemas.openxmlformats.org/officeDocument/2006/relationships" ref="N2255" r:id="rId2482"/>
    <hyperlink xmlns:r="http://schemas.openxmlformats.org/officeDocument/2006/relationships" ref="M2256" r:id="rId2483"/>
    <hyperlink xmlns:r="http://schemas.openxmlformats.org/officeDocument/2006/relationships" ref="N2256" r:id="rId2484"/>
    <hyperlink xmlns:r="http://schemas.openxmlformats.org/officeDocument/2006/relationships" ref="N2257" r:id="rId2485"/>
    <hyperlink xmlns:r="http://schemas.openxmlformats.org/officeDocument/2006/relationships" ref="N2258" r:id="rId2486"/>
    <hyperlink xmlns:r="http://schemas.openxmlformats.org/officeDocument/2006/relationships" ref="N2259" r:id="rId2487"/>
    <hyperlink xmlns:r="http://schemas.openxmlformats.org/officeDocument/2006/relationships" ref="N2260" r:id="rId2488"/>
    <hyperlink xmlns:r="http://schemas.openxmlformats.org/officeDocument/2006/relationships" ref="N2261" r:id="rId2489"/>
    <hyperlink xmlns:r="http://schemas.openxmlformats.org/officeDocument/2006/relationships" ref="N2262" r:id="rId2490"/>
    <hyperlink xmlns:r="http://schemas.openxmlformats.org/officeDocument/2006/relationships" ref="N2263" r:id="rId2491"/>
    <hyperlink xmlns:r="http://schemas.openxmlformats.org/officeDocument/2006/relationships" ref="N2264" r:id="rId2492"/>
    <hyperlink xmlns:r="http://schemas.openxmlformats.org/officeDocument/2006/relationships" ref="N2265" r:id="rId2493"/>
    <hyperlink xmlns:r="http://schemas.openxmlformats.org/officeDocument/2006/relationships" ref="M2266" r:id="rId2494"/>
    <hyperlink xmlns:r="http://schemas.openxmlformats.org/officeDocument/2006/relationships" ref="N2266" r:id="rId2495"/>
    <hyperlink xmlns:r="http://schemas.openxmlformats.org/officeDocument/2006/relationships" ref="M2267" r:id="rId2496"/>
    <hyperlink xmlns:r="http://schemas.openxmlformats.org/officeDocument/2006/relationships" ref="N2267" r:id="rId2497"/>
    <hyperlink xmlns:r="http://schemas.openxmlformats.org/officeDocument/2006/relationships" ref="M2268" r:id="rId2498"/>
    <hyperlink xmlns:r="http://schemas.openxmlformats.org/officeDocument/2006/relationships" ref="N2268" r:id="rId2499"/>
    <hyperlink xmlns:r="http://schemas.openxmlformats.org/officeDocument/2006/relationships" ref="N2269" r:id="rId2500"/>
    <hyperlink xmlns:r="http://schemas.openxmlformats.org/officeDocument/2006/relationships" ref="M2270" r:id="rId2501"/>
    <hyperlink xmlns:r="http://schemas.openxmlformats.org/officeDocument/2006/relationships" ref="N2270" r:id="rId2502"/>
    <hyperlink xmlns:r="http://schemas.openxmlformats.org/officeDocument/2006/relationships" ref="N2271" r:id="rId2503"/>
    <hyperlink xmlns:r="http://schemas.openxmlformats.org/officeDocument/2006/relationships" ref="M2272" r:id="rId2504"/>
    <hyperlink xmlns:r="http://schemas.openxmlformats.org/officeDocument/2006/relationships" ref="N2272" r:id="rId2505"/>
    <hyperlink xmlns:r="http://schemas.openxmlformats.org/officeDocument/2006/relationships" ref="M2273" r:id="rId2506"/>
    <hyperlink xmlns:r="http://schemas.openxmlformats.org/officeDocument/2006/relationships" ref="N2273" r:id="rId2507"/>
    <hyperlink xmlns:r="http://schemas.openxmlformats.org/officeDocument/2006/relationships" ref="M2274" r:id="rId2508"/>
    <hyperlink xmlns:r="http://schemas.openxmlformats.org/officeDocument/2006/relationships" ref="N2274" r:id="rId2509"/>
    <hyperlink xmlns:r="http://schemas.openxmlformats.org/officeDocument/2006/relationships" ref="M2275" r:id="rId2510"/>
    <hyperlink xmlns:r="http://schemas.openxmlformats.org/officeDocument/2006/relationships" ref="N2275" r:id="rId2511"/>
    <hyperlink xmlns:r="http://schemas.openxmlformats.org/officeDocument/2006/relationships" ref="M2276" r:id="rId2512"/>
    <hyperlink xmlns:r="http://schemas.openxmlformats.org/officeDocument/2006/relationships" ref="N2276" r:id="rId2513"/>
    <hyperlink xmlns:r="http://schemas.openxmlformats.org/officeDocument/2006/relationships" ref="M2277" r:id="rId2514"/>
    <hyperlink xmlns:r="http://schemas.openxmlformats.org/officeDocument/2006/relationships" ref="N2277" r:id="rId2515"/>
    <hyperlink xmlns:r="http://schemas.openxmlformats.org/officeDocument/2006/relationships" ref="M2278" r:id="rId2516"/>
    <hyperlink xmlns:r="http://schemas.openxmlformats.org/officeDocument/2006/relationships" ref="N2278" r:id="rId2517"/>
    <hyperlink xmlns:r="http://schemas.openxmlformats.org/officeDocument/2006/relationships" ref="M2279" r:id="rId2518"/>
    <hyperlink xmlns:r="http://schemas.openxmlformats.org/officeDocument/2006/relationships" ref="N2279" r:id="rId2519"/>
    <hyperlink xmlns:r="http://schemas.openxmlformats.org/officeDocument/2006/relationships" ref="N2280" r:id="rId2520"/>
    <hyperlink xmlns:r="http://schemas.openxmlformats.org/officeDocument/2006/relationships" ref="M2281" r:id="rId2521"/>
    <hyperlink xmlns:r="http://schemas.openxmlformats.org/officeDocument/2006/relationships" ref="N2281" r:id="rId2522"/>
    <hyperlink xmlns:r="http://schemas.openxmlformats.org/officeDocument/2006/relationships" ref="N2282" r:id="rId2523"/>
    <hyperlink xmlns:r="http://schemas.openxmlformats.org/officeDocument/2006/relationships" ref="M2283" r:id="rId2524"/>
    <hyperlink xmlns:r="http://schemas.openxmlformats.org/officeDocument/2006/relationships" ref="N2283" r:id="rId2525"/>
    <hyperlink xmlns:r="http://schemas.openxmlformats.org/officeDocument/2006/relationships" ref="M2284" r:id="rId2526"/>
    <hyperlink xmlns:r="http://schemas.openxmlformats.org/officeDocument/2006/relationships" ref="N2284" r:id="rId2527"/>
    <hyperlink xmlns:r="http://schemas.openxmlformats.org/officeDocument/2006/relationships" ref="M2285" r:id="rId2528"/>
    <hyperlink xmlns:r="http://schemas.openxmlformats.org/officeDocument/2006/relationships" ref="N2285" r:id="rId2529"/>
    <hyperlink xmlns:r="http://schemas.openxmlformats.org/officeDocument/2006/relationships" ref="M2286" r:id="rId2530"/>
    <hyperlink xmlns:r="http://schemas.openxmlformats.org/officeDocument/2006/relationships" ref="N2286" r:id="rId2531"/>
    <hyperlink xmlns:r="http://schemas.openxmlformats.org/officeDocument/2006/relationships" ref="N2287" r:id="rId2532"/>
    <hyperlink xmlns:r="http://schemas.openxmlformats.org/officeDocument/2006/relationships" ref="M2288" r:id="rId2533"/>
    <hyperlink xmlns:r="http://schemas.openxmlformats.org/officeDocument/2006/relationships" ref="N2288" r:id="rId2534"/>
    <hyperlink xmlns:r="http://schemas.openxmlformats.org/officeDocument/2006/relationships" ref="M2289" r:id="rId2535"/>
    <hyperlink xmlns:r="http://schemas.openxmlformats.org/officeDocument/2006/relationships" ref="N2289" r:id="rId2536"/>
    <hyperlink xmlns:r="http://schemas.openxmlformats.org/officeDocument/2006/relationships" ref="M2290" r:id="rId2537"/>
    <hyperlink xmlns:r="http://schemas.openxmlformats.org/officeDocument/2006/relationships" ref="N2290" r:id="rId2538"/>
    <hyperlink xmlns:r="http://schemas.openxmlformats.org/officeDocument/2006/relationships" ref="N2291" r:id="rId2539"/>
    <hyperlink xmlns:r="http://schemas.openxmlformats.org/officeDocument/2006/relationships" ref="M2292" r:id="rId2540"/>
    <hyperlink xmlns:r="http://schemas.openxmlformats.org/officeDocument/2006/relationships" ref="N2292" r:id="rId2541"/>
    <hyperlink xmlns:r="http://schemas.openxmlformats.org/officeDocument/2006/relationships" ref="M2293" r:id="rId2542"/>
    <hyperlink xmlns:r="http://schemas.openxmlformats.org/officeDocument/2006/relationships" ref="N2293" r:id="rId2543"/>
    <hyperlink xmlns:r="http://schemas.openxmlformats.org/officeDocument/2006/relationships" ref="N2294" r:id="rId2544"/>
    <hyperlink xmlns:r="http://schemas.openxmlformats.org/officeDocument/2006/relationships" ref="N2295" r:id="rId2545"/>
    <hyperlink xmlns:r="http://schemas.openxmlformats.org/officeDocument/2006/relationships" ref="N2296" r:id="rId2546"/>
    <hyperlink xmlns:r="http://schemas.openxmlformats.org/officeDocument/2006/relationships" ref="N2297" r:id="rId2547"/>
    <hyperlink xmlns:r="http://schemas.openxmlformats.org/officeDocument/2006/relationships" ref="N2298" r:id="rId2548"/>
    <hyperlink xmlns:r="http://schemas.openxmlformats.org/officeDocument/2006/relationships" ref="M2299" r:id="rId2549"/>
    <hyperlink xmlns:r="http://schemas.openxmlformats.org/officeDocument/2006/relationships" ref="N2299" r:id="rId2550"/>
    <hyperlink xmlns:r="http://schemas.openxmlformats.org/officeDocument/2006/relationships" ref="M2300" r:id="rId2551"/>
    <hyperlink xmlns:r="http://schemas.openxmlformats.org/officeDocument/2006/relationships" ref="N2300" r:id="rId2552"/>
    <hyperlink xmlns:r="http://schemas.openxmlformats.org/officeDocument/2006/relationships" ref="M2301" r:id="rId2553"/>
    <hyperlink xmlns:r="http://schemas.openxmlformats.org/officeDocument/2006/relationships" ref="N2301" r:id="rId2554"/>
    <hyperlink xmlns:r="http://schemas.openxmlformats.org/officeDocument/2006/relationships" ref="N2302" r:id="rId2555"/>
    <hyperlink xmlns:r="http://schemas.openxmlformats.org/officeDocument/2006/relationships" ref="N2303" r:id="rId2556"/>
    <hyperlink xmlns:r="http://schemas.openxmlformats.org/officeDocument/2006/relationships" ref="N2304" r:id="rId2557"/>
    <hyperlink xmlns:r="http://schemas.openxmlformats.org/officeDocument/2006/relationships" ref="N2305" r:id="rId2558"/>
    <hyperlink xmlns:r="http://schemas.openxmlformats.org/officeDocument/2006/relationships" ref="N2306" r:id="rId2559"/>
    <hyperlink xmlns:r="http://schemas.openxmlformats.org/officeDocument/2006/relationships" ref="N2307" r:id="rId2560"/>
    <hyperlink xmlns:r="http://schemas.openxmlformats.org/officeDocument/2006/relationships" ref="M2308" r:id="rId2561"/>
    <hyperlink xmlns:r="http://schemas.openxmlformats.org/officeDocument/2006/relationships" ref="N2308" r:id="rId2562"/>
    <hyperlink xmlns:r="http://schemas.openxmlformats.org/officeDocument/2006/relationships" ref="M2309" r:id="rId2563"/>
    <hyperlink xmlns:r="http://schemas.openxmlformats.org/officeDocument/2006/relationships" ref="N2309" r:id="rId2564"/>
    <hyperlink xmlns:r="http://schemas.openxmlformats.org/officeDocument/2006/relationships" ref="M2310" r:id="rId2565"/>
    <hyperlink xmlns:r="http://schemas.openxmlformats.org/officeDocument/2006/relationships" ref="N2310" r:id="rId2566"/>
    <hyperlink xmlns:r="http://schemas.openxmlformats.org/officeDocument/2006/relationships" ref="N2311" r:id="rId2567"/>
    <hyperlink xmlns:r="http://schemas.openxmlformats.org/officeDocument/2006/relationships" ref="N2312" r:id="rId2568"/>
    <hyperlink xmlns:r="http://schemas.openxmlformats.org/officeDocument/2006/relationships" ref="M2313" r:id="rId2569"/>
    <hyperlink xmlns:r="http://schemas.openxmlformats.org/officeDocument/2006/relationships" ref="N2313" r:id="rId2570"/>
    <hyperlink xmlns:r="http://schemas.openxmlformats.org/officeDocument/2006/relationships" ref="N2314" r:id="rId2571"/>
    <hyperlink xmlns:r="http://schemas.openxmlformats.org/officeDocument/2006/relationships" ref="M2315" r:id="rId2572"/>
    <hyperlink xmlns:r="http://schemas.openxmlformats.org/officeDocument/2006/relationships" ref="N2315" r:id="rId2573"/>
    <hyperlink xmlns:r="http://schemas.openxmlformats.org/officeDocument/2006/relationships" ref="M2316" r:id="rId2574"/>
    <hyperlink xmlns:r="http://schemas.openxmlformats.org/officeDocument/2006/relationships" ref="N2316" r:id="rId2575"/>
    <hyperlink xmlns:r="http://schemas.openxmlformats.org/officeDocument/2006/relationships" ref="M2317" r:id="rId2576"/>
    <hyperlink xmlns:r="http://schemas.openxmlformats.org/officeDocument/2006/relationships" ref="N2317" r:id="rId2577"/>
    <hyperlink xmlns:r="http://schemas.openxmlformats.org/officeDocument/2006/relationships" ref="M2318" r:id="rId2578"/>
    <hyperlink xmlns:r="http://schemas.openxmlformats.org/officeDocument/2006/relationships" ref="N2318" r:id="rId2579"/>
    <hyperlink xmlns:r="http://schemas.openxmlformats.org/officeDocument/2006/relationships" ref="M2319" r:id="rId2580"/>
    <hyperlink xmlns:r="http://schemas.openxmlformats.org/officeDocument/2006/relationships" ref="N2319" r:id="rId2581"/>
    <hyperlink xmlns:r="http://schemas.openxmlformats.org/officeDocument/2006/relationships" ref="M2320" r:id="rId2582"/>
    <hyperlink xmlns:r="http://schemas.openxmlformats.org/officeDocument/2006/relationships" ref="N2320" r:id="rId2583"/>
    <hyperlink xmlns:r="http://schemas.openxmlformats.org/officeDocument/2006/relationships" ref="M2321" r:id="rId2584"/>
    <hyperlink xmlns:r="http://schemas.openxmlformats.org/officeDocument/2006/relationships" ref="N2321" r:id="rId2585"/>
    <hyperlink xmlns:r="http://schemas.openxmlformats.org/officeDocument/2006/relationships" ref="M2322" r:id="rId2586"/>
    <hyperlink xmlns:r="http://schemas.openxmlformats.org/officeDocument/2006/relationships" ref="N2322" r:id="rId2587"/>
    <hyperlink xmlns:r="http://schemas.openxmlformats.org/officeDocument/2006/relationships" ref="N2323" r:id="rId2588"/>
    <hyperlink xmlns:r="http://schemas.openxmlformats.org/officeDocument/2006/relationships" ref="N2324" r:id="rId2589"/>
    <hyperlink xmlns:r="http://schemas.openxmlformats.org/officeDocument/2006/relationships" ref="M2325" r:id="rId2590"/>
    <hyperlink xmlns:r="http://schemas.openxmlformats.org/officeDocument/2006/relationships" ref="N2325" r:id="rId2591"/>
    <hyperlink xmlns:r="http://schemas.openxmlformats.org/officeDocument/2006/relationships" ref="N2326" r:id="rId2592"/>
    <hyperlink xmlns:r="http://schemas.openxmlformats.org/officeDocument/2006/relationships" ref="N2327" r:id="rId2593"/>
    <hyperlink xmlns:r="http://schemas.openxmlformats.org/officeDocument/2006/relationships" ref="M2328" r:id="rId2594"/>
    <hyperlink xmlns:r="http://schemas.openxmlformats.org/officeDocument/2006/relationships" ref="N2328" r:id="rId2595"/>
    <hyperlink xmlns:r="http://schemas.openxmlformats.org/officeDocument/2006/relationships" ref="M2329" r:id="rId2596"/>
    <hyperlink xmlns:r="http://schemas.openxmlformats.org/officeDocument/2006/relationships" ref="N2329" r:id="rId2597"/>
    <hyperlink xmlns:r="http://schemas.openxmlformats.org/officeDocument/2006/relationships" ref="M2330" r:id="rId2598"/>
    <hyperlink xmlns:r="http://schemas.openxmlformats.org/officeDocument/2006/relationships" ref="N2330" r:id="rId2599"/>
    <hyperlink xmlns:r="http://schemas.openxmlformats.org/officeDocument/2006/relationships" ref="N2331" r:id="rId2600"/>
    <hyperlink xmlns:r="http://schemas.openxmlformats.org/officeDocument/2006/relationships" ref="M2332" r:id="rId2601"/>
    <hyperlink xmlns:r="http://schemas.openxmlformats.org/officeDocument/2006/relationships" ref="N2332" r:id="rId2602"/>
    <hyperlink xmlns:r="http://schemas.openxmlformats.org/officeDocument/2006/relationships" ref="N2333" r:id="rId2603"/>
    <hyperlink xmlns:r="http://schemas.openxmlformats.org/officeDocument/2006/relationships" ref="N2334" r:id="rId2604"/>
    <hyperlink xmlns:r="http://schemas.openxmlformats.org/officeDocument/2006/relationships" ref="N2335" r:id="rId2605"/>
    <hyperlink xmlns:r="http://schemas.openxmlformats.org/officeDocument/2006/relationships" ref="N2336" r:id="rId2606"/>
    <hyperlink xmlns:r="http://schemas.openxmlformats.org/officeDocument/2006/relationships" ref="N2337" r:id="rId2607"/>
    <hyperlink xmlns:r="http://schemas.openxmlformats.org/officeDocument/2006/relationships" ref="N2338" r:id="rId2608"/>
    <hyperlink xmlns:r="http://schemas.openxmlformats.org/officeDocument/2006/relationships" ref="N2339" r:id="rId2609"/>
    <hyperlink xmlns:r="http://schemas.openxmlformats.org/officeDocument/2006/relationships" ref="N2340" r:id="rId2610"/>
    <hyperlink xmlns:r="http://schemas.openxmlformats.org/officeDocument/2006/relationships" ref="N2341" r:id="rId2611"/>
    <hyperlink xmlns:r="http://schemas.openxmlformats.org/officeDocument/2006/relationships" ref="N2342" r:id="rId2612"/>
    <hyperlink xmlns:r="http://schemas.openxmlformats.org/officeDocument/2006/relationships" ref="N2343" r:id="rId2613"/>
    <hyperlink xmlns:r="http://schemas.openxmlformats.org/officeDocument/2006/relationships" ref="N2344" r:id="rId2614"/>
    <hyperlink xmlns:r="http://schemas.openxmlformats.org/officeDocument/2006/relationships" ref="N2345" r:id="rId2615"/>
    <hyperlink xmlns:r="http://schemas.openxmlformats.org/officeDocument/2006/relationships" ref="N2346" r:id="rId2616"/>
    <hyperlink xmlns:r="http://schemas.openxmlformats.org/officeDocument/2006/relationships" ref="N2347" r:id="rId2617"/>
    <hyperlink xmlns:r="http://schemas.openxmlformats.org/officeDocument/2006/relationships" ref="N2348" r:id="rId2618"/>
    <hyperlink xmlns:r="http://schemas.openxmlformats.org/officeDocument/2006/relationships" ref="N2349" r:id="rId2619"/>
    <hyperlink xmlns:r="http://schemas.openxmlformats.org/officeDocument/2006/relationships" ref="N2350" r:id="rId2620"/>
    <hyperlink xmlns:r="http://schemas.openxmlformats.org/officeDocument/2006/relationships" ref="N2351" r:id="rId2621"/>
    <hyperlink xmlns:r="http://schemas.openxmlformats.org/officeDocument/2006/relationships" ref="N2352" r:id="rId2622"/>
    <hyperlink xmlns:r="http://schemas.openxmlformats.org/officeDocument/2006/relationships" ref="M2353" r:id="rId2623"/>
    <hyperlink xmlns:r="http://schemas.openxmlformats.org/officeDocument/2006/relationships" ref="N2353" r:id="rId2624"/>
    <hyperlink xmlns:r="http://schemas.openxmlformats.org/officeDocument/2006/relationships" ref="M2354" r:id="rId2625"/>
    <hyperlink xmlns:r="http://schemas.openxmlformats.org/officeDocument/2006/relationships" ref="N2354" r:id="rId2626"/>
    <hyperlink xmlns:r="http://schemas.openxmlformats.org/officeDocument/2006/relationships" ref="M2355" r:id="rId2627"/>
    <hyperlink xmlns:r="http://schemas.openxmlformats.org/officeDocument/2006/relationships" ref="N2355" r:id="rId2628"/>
    <hyperlink xmlns:r="http://schemas.openxmlformats.org/officeDocument/2006/relationships" ref="M2356" r:id="rId2629"/>
    <hyperlink xmlns:r="http://schemas.openxmlformats.org/officeDocument/2006/relationships" ref="N2356" r:id="rId2630"/>
    <hyperlink xmlns:r="http://schemas.openxmlformats.org/officeDocument/2006/relationships" ref="M2357" r:id="rId2631"/>
    <hyperlink xmlns:r="http://schemas.openxmlformats.org/officeDocument/2006/relationships" ref="N2357" r:id="rId2632"/>
    <hyperlink xmlns:r="http://schemas.openxmlformats.org/officeDocument/2006/relationships" ref="M2358" r:id="rId2633"/>
    <hyperlink xmlns:r="http://schemas.openxmlformats.org/officeDocument/2006/relationships" ref="N2358" r:id="rId2634"/>
    <hyperlink xmlns:r="http://schemas.openxmlformats.org/officeDocument/2006/relationships" ref="M2359" r:id="rId2635"/>
    <hyperlink xmlns:r="http://schemas.openxmlformats.org/officeDocument/2006/relationships" ref="N2359" r:id="rId2636"/>
    <hyperlink xmlns:r="http://schemas.openxmlformats.org/officeDocument/2006/relationships" ref="M2360" r:id="rId2637"/>
    <hyperlink xmlns:r="http://schemas.openxmlformats.org/officeDocument/2006/relationships" ref="N2360" r:id="rId2638"/>
    <hyperlink xmlns:r="http://schemas.openxmlformats.org/officeDocument/2006/relationships" ref="M2361" r:id="rId2639"/>
    <hyperlink xmlns:r="http://schemas.openxmlformats.org/officeDocument/2006/relationships" ref="N2361" r:id="rId2640"/>
    <hyperlink xmlns:r="http://schemas.openxmlformats.org/officeDocument/2006/relationships" ref="N2362" r:id="rId2641"/>
    <hyperlink xmlns:r="http://schemas.openxmlformats.org/officeDocument/2006/relationships" ref="N2363" r:id="rId2642"/>
    <hyperlink xmlns:r="http://schemas.openxmlformats.org/officeDocument/2006/relationships" ref="N2364" r:id="rId2643"/>
    <hyperlink xmlns:r="http://schemas.openxmlformats.org/officeDocument/2006/relationships" ref="M2365" r:id="rId2644"/>
    <hyperlink xmlns:r="http://schemas.openxmlformats.org/officeDocument/2006/relationships" ref="N2365" r:id="rId2645"/>
    <hyperlink xmlns:r="http://schemas.openxmlformats.org/officeDocument/2006/relationships" ref="M2366" r:id="rId2646"/>
    <hyperlink xmlns:r="http://schemas.openxmlformats.org/officeDocument/2006/relationships" ref="N2366" r:id="rId2647"/>
    <hyperlink xmlns:r="http://schemas.openxmlformats.org/officeDocument/2006/relationships" ref="M2367" r:id="rId2648"/>
    <hyperlink xmlns:r="http://schemas.openxmlformats.org/officeDocument/2006/relationships" ref="N2367" r:id="rId2649"/>
    <hyperlink xmlns:r="http://schemas.openxmlformats.org/officeDocument/2006/relationships" ref="N2368" r:id="rId2650"/>
    <hyperlink xmlns:r="http://schemas.openxmlformats.org/officeDocument/2006/relationships" ref="M2369" r:id="rId2651"/>
    <hyperlink xmlns:r="http://schemas.openxmlformats.org/officeDocument/2006/relationships" ref="N2369" r:id="rId2652"/>
    <hyperlink xmlns:r="http://schemas.openxmlformats.org/officeDocument/2006/relationships" ref="N2370" r:id="rId2653"/>
    <hyperlink xmlns:r="http://schemas.openxmlformats.org/officeDocument/2006/relationships" ref="N2371" r:id="rId2654"/>
    <hyperlink xmlns:r="http://schemas.openxmlformats.org/officeDocument/2006/relationships" ref="N2372" r:id="rId2655"/>
    <hyperlink xmlns:r="http://schemas.openxmlformats.org/officeDocument/2006/relationships" ref="N2373" r:id="rId2656"/>
    <hyperlink xmlns:r="http://schemas.openxmlformats.org/officeDocument/2006/relationships" ref="N2374" r:id="rId2657"/>
    <hyperlink xmlns:r="http://schemas.openxmlformats.org/officeDocument/2006/relationships" ref="N2375" r:id="rId2658"/>
    <hyperlink xmlns:r="http://schemas.openxmlformats.org/officeDocument/2006/relationships" ref="N2376" r:id="rId2659"/>
    <hyperlink xmlns:r="http://schemas.openxmlformats.org/officeDocument/2006/relationships" ref="N2377" r:id="rId2660"/>
    <hyperlink xmlns:r="http://schemas.openxmlformats.org/officeDocument/2006/relationships" ref="N2378" r:id="rId2661"/>
    <hyperlink xmlns:r="http://schemas.openxmlformats.org/officeDocument/2006/relationships" ref="N2379" r:id="rId2662"/>
    <hyperlink xmlns:r="http://schemas.openxmlformats.org/officeDocument/2006/relationships" ref="N2380" r:id="rId2663"/>
    <hyperlink xmlns:r="http://schemas.openxmlformats.org/officeDocument/2006/relationships" ref="N2381" r:id="rId2664"/>
    <hyperlink xmlns:r="http://schemas.openxmlformats.org/officeDocument/2006/relationships" ref="N2382" r:id="rId2665"/>
    <hyperlink xmlns:r="http://schemas.openxmlformats.org/officeDocument/2006/relationships" ref="N2383" r:id="rId2666"/>
    <hyperlink xmlns:r="http://schemas.openxmlformats.org/officeDocument/2006/relationships" ref="N2384" r:id="rId2667"/>
    <hyperlink xmlns:r="http://schemas.openxmlformats.org/officeDocument/2006/relationships" ref="N2385" r:id="rId2668"/>
    <hyperlink xmlns:r="http://schemas.openxmlformats.org/officeDocument/2006/relationships" ref="N2386" r:id="rId2669"/>
    <hyperlink xmlns:r="http://schemas.openxmlformats.org/officeDocument/2006/relationships" ref="N2387" r:id="rId2670"/>
    <hyperlink xmlns:r="http://schemas.openxmlformats.org/officeDocument/2006/relationships" ref="N2388" r:id="rId2671"/>
    <hyperlink xmlns:r="http://schemas.openxmlformats.org/officeDocument/2006/relationships" ref="N2389" r:id="rId2672"/>
    <hyperlink xmlns:r="http://schemas.openxmlformats.org/officeDocument/2006/relationships" ref="N2390" r:id="rId2673"/>
    <hyperlink xmlns:r="http://schemas.openxmlformats.org/officeDocument/2006/relationships" ref="N2391" r:id="rId2674"/>
    <hyperlink xmlns:r="http://schemas.openxmlformats.org/officeDocument/2006/relationships" ref="N2392" r:id="rId2675"/>
    <hyperlink xmlns:r="http://schemas.openxmlformats.org/officeDocument/2006/relationships" ref="N2393" r:id="rId2676"/>
    <hyperlink xmlns:r="http://schemas.openxmlformats.org/officeDocument/2006/relationships" ref="N2394" r:id="rId2677"/>
    <hyperlink xmlns:r="http://schemas.openxmlformats.org/officeDocument/2006/relationships" ref="N2395" r:id="rId2678"/>
    <hyperlink xmlns:r="http://schemas.openxmlformats.org/officeDocument/2006/relationships" ref="M2396" r:id="rId2679"/>
    <hyperlink xmlns:r="http://schemas.openxmlformats.org/officeDocument/2006/relationships" ref="N2396" r:id="rId2680"/>
    <hyperlink xmlns:r="http://schemas.openxmlformats.org/officeDocument/2006/relationships" ref="N2397" r:id="rId2681"/>
    <hyperlink xmlns:r="http://schemas.openxmlformats.org/officeDocument/2006/relationships" ref="N2398" r:id="rId2682"/>
    <hyperlink xmlns:r="http://schemas.openxmlformats.org/officeDocument/2006/relationships" ref="N2399" r:id="rId2683"/>
    <hyperlink xmlns:r="http://schemas.openxmlformats.org/officeDocument/2006/relationships" ref="N2400" r:id="rId2684"/>
    <hyperlink xmlns:r="http://schemas.openxmlformats.org/officeDocument/2006/relationships" ref="M2401" r:id="rId2685"/>
    <hyperlink xmlns:r="http://schemas.openxmlformats.org/officeDocument/2006/relationships" ref="N2401" r:id="rId2686"/>
    <hyperlink xmlns:r="http://schemas.openxmlformats.org/officeDocument/2006/relationships" ref="M2402" r:id="rId2687"/>
    <hyperlink xmlns:r="http://schemas.openxmlformats.org/officeDocument/2006/relationships" ref="N2402" r:id="rId2688"/>
    <hyperlink xmlns:r="http://schemas.openxmlformats.org/officeDocument/2006/relationships" ref="N2403" r:id="rId2689"/>
    <hyperlink xmlns:r="http://schemas.openxmlformats.org/officeDocument/2006/relationships" ref="N2404" r:id="rId2690"/>
    <hyperlink xmlns:r="http://schemas.openxmlformats.org/officeDocument/2006/relationships" ref="N2405" r:id="rId2691"/>
    <hyperlink xmlns:r="http://schemas.openxmlformats.org/officeDocument/2006/relationships" ref="M2406" r:id="rId2692"/>
    <hyperlink xmlns:r="http://schemas.openxmlformats.org/officeDocument/2006/relationships" ref="N2406" r:id="rId2693"/>
    <hyperlink xmlns:r="http://schemas.openxmlformats.org/officeDocument/2006/relationships" ref="M2407" r:id="rId2694"/>
    <hyperlink xmlns:r="http://schemas.openxmlformats.org/officeDocument/2006/relationships" ref="N2407" r:id="rId2695"/>
    <hyperlink xmlns:r="http://schemas.openxmlformats.org/officeDocument/2006/relationships" ref="N2408" r:id="rId2696"/>
    <hyperlink xmlns:r="http://schemas.openxmlformats.org/officeDocument/2006/relationships" ref="N2409" r:id="rId2697"/>
    <hyperlink xmlns:r="http://schemas.openxmlformats.org/officeDocument/2006/relationships" ref="N2410" r:id="rId2698"/>
    <hyperlink xmlns:r="http://schemas.openxmlformats.org/officeDocument/2006/relationships" ref="N2411" r:id="rId2699"/>
    <hyperlink xmlns:r="http://schemas.openxmlformats.org/officeDocument/2006/relationships" ref="M2412" r:id="rId2700"/>
    <hyperlink xmlns:r="http://schemas.openxmlformats.org/officeDocument/2006/relationships" ref="N2412" r:id="rId2701"/>
    <hyperlink xmlns:r="http://schemas.openxmlformats.org/officeDocument/2006/relationships" ref="N2413" r:id="rId2702"/>
    <hyperlink xmlns:r="http://schemas.openxmlformats.org/officeDocument/2006/relationships" ref="N2414" r:id="rId2703"/>
    <hyperlink xmlns:r="http://schemas.openxmlformats.org/officeDocument/2006/relationships" ref="N2415" r:id="rId2704"/>
    <hyperlink xmlns:r="http://schemas.openxmlformats.org/officeDocument/2006/relationships" ref="N2416" r:id="rId2705"/>
    <hyperlink xmlns:r="http://schemas.openxmlformats.org/officeDocument/2006/relationships" ref="N2417" r:id="rId2706"/>
    <hyperlink xmlns:r="http://schemas.openxmlformats.org/officeDocument/2006/relationships" ref="M2418" r:id="rId2707"/>
    <hyperlink xmlns:r="http://schemas.openxmlformats.org/officeDocument/2006/relationships" ref="N2418" r:id="rId2708"/>
    <hyperlink xmlns:r="http://schemas.openxmlformats.org/officeDocument/2006/relationships" ref="M2419" r:id="rId2709"/>
    <hyperlink xmlns:r="http://schemas.openxmlformats.org/officeDocument/2006/relationships" ref="N2419" r:id="rId2710"/>
    <hyperlink xmlns:r="http://schemas.openxmlformats.org/officeDocument/2006/relationships" ref="N2420" r:id="rId2711"/>
    <hyperlink xmlns:r="http://schemas.openxmlformats.org/officeDocument/2006/relationships" ref="M2421" r:id="rId2712"/>
    <hyperlink xmlns:r="http://schemas.openxmlformats.org/officeDocument/2006/relationships" ref="N2421" r:id="rId2713"/>
    <hyperlink xmlns:r="http://schemas.openxmlformats.org/officeDocument/2006/relationships" ref="N2422" r:id="rId2714"/>
    <hyperlink xmlns:r="http://schemas.openxmlformats.org/officeDocument/2006/relationships" ref="N2423" r:id="rId2715"/>
    <hyperlink xmlns:r="http://schemas.openxmlformats.org/officeDocument/2006/relationships" ref="N2424" r:id="rId2716"/>
    <hyperlink xmlns:r="http://schemas.openxmlformats.org/officeDocument/2006/relationships" ref="N2425" r:id="rId2717"/>
    <hyperlink xmlns:r="http://schemas.openxmlformats.org/officeDocument/2006/relationships" ref="N2426" r:id="rId2718"/>
    <hyperlink xmlns:r="http://schemas.openxmlformats.org/officeDocument/2006/relationships" ref="N2427" r:id="rId2719"/>
    <hyperlink xmlns:r="http://schemas.openxmlformats.org/officeDocument/2006/relationships" ref="N2428" r:id="rId2720"/>
    <hyperlink xmlns:r="http://schemas.openxmlformats.org/officeDocument/2006/relationships" ref="N2429" r:id="rId2721"/>
    <hyperlink xmlns:r="http://schemas.openxmlformats.org/officeDocument/2006/relationships" ref="N2430" r:id="rId2722"/>
    <hyperlink xmlns:r="http://schemas.openxmlformats.org/officeDocument/2006/relationships" ref="N2431" r:id="rId2723"/>
    <hyperlink xmlns:r="http://schemas.openxmlformats.org/officeDocument/2006/relationships" ref="N2432" r:id="rId2724"/>
    <hyperlink xmlns:r="http://schemas.openxmlformats.org/officeDocument/2006/relationships" ref="M2433" r:id="rId2725"/>
    <hyperlink xmlns:r="http://schemas.openxmlformats.org/officeDocument/2006/relationships" ref="N2433" r:id="rId2726"/>
    <hyperlink xmlns:r="http://schemas.openxmlformats.org/officeDocument/2006/relationships" ref="N2434" r:id="rId2727"/>
    <hyperlink xmlns:r="http://schemas.openxmlformats.org/officeDocument/2006/relationships" ref="N2435" r:id="rId2728"/>
    <hyperlink xmlns:r="http://schemas.openxmlformats.org/officeDocument/2006/relationships" ref="N2436" r:id="rId2729"/>
    <hyperlink xmlns:r="http://schemas.openxmlformats.org/officeDocument/2006/relationships" ref="N2437" r:id="rId2730"/>
    <hyperlink xmlns:r="http://schemas.openxmlformats.org/officeDocument/2006/relationships" ref="N2438" r:id="rId2731"/>
    <hyperlink xmlns:r="http://schemas.openxmlformats.org/officeDocument/2006/relationships" ref="N2439" r:id="rId2732"/>
    <hyperlink xmlns:r="http://schemas.openxmlformats.org/officeDocument/2006/relationships" ref="N2440" r:id="rId2733"/>
    <hyperlink xmlns:r="http://schemas.openxmlformats.org/officeDocument/2006/relationships" ref="N2441" r:id="rId2734"/>
    <hyperlink xmlns:r="http://schemas.openxmlformats.org/officeDocument/2006/relationships" ref="N2442" r:id="rId2735"/>
    <hyperlink xmlns:r="http://schemas.openxmlformats.org/officeDocument/2006/relationships" ref="N2443" r:id="rId2736"/>
    <hyperlink xmlns:r="http://schemas.openxmlformats.org/officeDocument/2006/relationships" ref="N2444" r:id="rId2737"/>
    <hyperlink xmlns:r="http://schemas.openxmlformats.org/officeDocument/2006/relationships" ref="M2445" r:id="rId2738"/>
    <hyperlink xmlns:r="http://schemas.openxmlformats.org/officeDocument/2006/relationships" ref="N2445" r:id="rId2739"/>
    <hyperlink xmlns:r="http://schemas.openxmlformats.org/officeDocument/2006/relationships" ref="N2446" r:id="rId2740"/>
    <hyperlink xmlns:r="http://schemas.openxmlformats.org/officeDocument/2006/relationships" ref="N2447" r:id="rId2741"/>
    <hyperlink xmlns:r="http://schemas.openxmlformats.org/officeDocument/2006/relationships" ref="N2448" r:id="rId2742"/>
    <hyperlink xmlns:r="http://schemas.openxmlformats.org/officeDocument/2006/relationships" ref="N2449" r:id="rId2743"/>
    <hyperlink xmlns:r="http://schemas.openxmlformats.org/officeDocument/2006/relationships" ref="N2450" r:id="rId2744"/>
    <hyperlink xmlns:r="http://schemas.openxmlformats.org/officeDocument/2006/relationships" ref="N2451" r:id="rId2745"/>
    <hyperlink xmlns:r="http://schemas.openxmlformats.org/officeDocument/2006/relationships" ref="N2452" r:id="rId2746"/>
    <hyperlink xmlns:r="http://schemas.openxmlformats.org/officeDocument/2006/relationships" ref="N2453" r:id="rId2747"/>
    <hyperlink xmlns:r="http://schemas.openxmlformats.org/officeDocument/2006/relationships" ref="N2454" r:id="rId2748"/>
    <hyperlink xmlns:r="http://schemas.openxmlformats.org/officeDocument/2006/relationships" ref="N2455" r:id="rId2749"/>
    <hyperlink xmlns:r="http://schemas.openxmlformats.org/officeDocument/2006/relationships" ref="N2456" r:id="rId2750"/>
    <hyperlink xmlns:r="http://schemas.openxmlformats.org/officeDocument/2006/relationships" ref="N2457" r:id="rId2751"/>
    <hyperlink xmlns:r="http://schemas.openxmlformats.org/officeDocument/2006/relationships" ref="N2458" r:id="rId2752"/>
    <hyperlink xmlns:r="http://schemas.openxmlformats.org/officeDocument/2006/relationships" ref="N2459" r:id="rId2753"/>
    <hyperlink xmlns:r="http://schemas.openxmlformats.org/officeDocument/2006/relationships" ref="M2460" r:id="rId2754"/>
    <hyperlink xmlns:r="http://schemas.openxmlformats.org/officeDocument/2006/relationships" ref="N2460" r:id="rId2755"/>
    <hyperlink xmlns:r="http://schemas.openxmlformats.org/officeDocument/2006/relationships" ref="M2461" r:id="rId2756"/>
    <hyperlink xmlns:r="http://schemas.openxmlformats.org/officeDocument/2006/relationships" ref="N2461" r:id="rId2757"/>
    <hyperlink xmlns:r="http://schemas.openxmlformats.org/officeDocument/2006/relationships" ref="M2462" r:id="rId2758"/>
    <hyperlink xmlns:r="http://schemas.openxmlformats.org/officeDocument/2006/relationships" ref="N2462" r:id="rId2759"/>
    <hyperlink xmlns:r="http://schemas.openxmlformats.org/officeDocument/2006/relationships" ref="N2463" r:id="rId2760"/>
    <hyperlink xmlns:r="http://schemas.openxmlformats.org/officeDocument/2006/relationships" ref="N2464" r:id="rId2761"/>
    <hyperlink xmlns:r="http://schemas.openxmlformats.org/officeDocument/2006/relationships" ref="N2465" r:id="rId2762"/>
    <hyperlink xmlns:r="http://schemas.openxmlformats.org/officeDocument/2006/relationships" ref="N2466" r:id="rId2763"/>
    <hyperlink xmlns:r="http://schemas.openxmlformats.org/officeDocument/2006/relationships" ref="M2467" r:id="rId2764"/>
    <hyperlink xmlns:r="http://schemas.openxmlformats.org/officeDocument/2006/relationships" ref="N2467" r:id="rId2765"/>
    <hyperlink xmlns:r="http://schemas.openxmlformats.org/officeDocument/2006/relationships" ref="N2468" r:id="rId2766"/>
    <hyperlink xmlns:r="http://schemas.openxmlformats.org/officeDocument/2006/relationships" ref="N2469" r:id="rId2767"/>
    <hyperlink xmlns:r="http://schemas.openxmlformats.org/officeDocument/2006/relationships" ref="N2470" r:id="rId2768"/>
    <hyperlink xmlns:r="http://schemas.openxmlformats.org/officeDocument/2006/relationships" ref="M2471" r:id="rId2769"/>
    <hyperlink xmlns:r="http://schemas.openxmlformats.org/officeDocument/2006/relationships" ref="N2471" r:id="rId2770"/>
    <hyperlink xmlns:r="http://schemas.openxmlformats.org/officeDocument/2006/relationships" ref="N2472" r:id="rId2771"/>
    <hyperlink xmlns:r="http://schemas.openxmlformats.org/officeDocument/2006/relationships" ref="M2473" r:id="rId2772"/>
    <hyperlink xmlns:r="http://schemas.openxmlformats.org/officeDocument/2006/relationships" ref="N2473" r:id="rId2773"/>
    <hyperlink xmlns:r="http://schemas.openxmlformats.org/officeDocument/2006/relationships" ref="M2474" r:id="rId2774"/>
    <hyperlink xmlns:r="http://schemas.openxmlformats.org/officeDocument/2006/relationships" ref="N2474" r:id="rId2775"/>
    <hyperlink xmlns:r="http://schemas.openxmlformats.org/officeDocument/2006/relationships" ref="M2475" r:id="rId2776"/>
    <hyperlink xmlns:r="http://schemas.openxmlformats.org/officeDocument/2006/relationships" ref="N2475" r:id="rId2777"/>
    <hyperlink xmlns:r="http://schemas.openxmlformats.org/officeDocument/2006/relationships" ref="N2476" r:id="rId2778"/>
    <hyperlink xmlns:r="http://schemas.openxmlformats.org/officeDocument/2006/relationships" ref="N2477" r:id="rId2779"/>
    <hyperlink xmlns:r="http://schemas.openxmlformats.org/officeDocument/2006/relationships" ref="N2478" r:id="rId2780"/>
    <hyperlink xmlns:r="http://schemas.openxmlformats.org/officeDocument/2006/relationships" ref="N2479" r:id="rId2781"/>
    <hyperlink xmlns:r="http://schemas.openxmlformats.org/officeDocument/2006/relationships" ref="M2480" r:id="rId2782"/>
    <hyperlink xmlns:r="http://schemas.openxmlformats.org/officeDocument/2006/relationships" ref="N2480" r:id="rId2783"/>
    <hyperlink xmlns:r="http://schemas.openxmlformats.org/officeDocument/2006/relationships" ref="N2481" r:id="rId2784"/>
    <hyperlink xmlns:r="http://schemas.openxmlformats.org/officeDocument/2006/relationships" ref="N2482" r:id="rId2785"/>
    <hyperlink xmlns:r="http://schemas.openxmlformats.org/officeDocument/2006/relationships" ref="M2483" r:id="rId2786"/>
    <hyperlink xmlns:r="http://schemas.openxmlformats.org/officeDocument/2006/relationships" ref="N2483" r:id="rId2787"/>
    <hyperlink xmlns:r="http://schemas.openxmlformats.org/officeDocument/2006/relationships" ref="M2484" r:id="rId2788"/>
    <hyperlink xmlns:r="http://schemas.openxmlformats.org/officeDocument/2006/relationships" ref="N2484" r:id="rId2789"/>
    <hyperlink xmlns:r="http://schemas.openxmlformats.org/officeDocument/2006/relationships" ref="M2485" r:id="rId2790"/>
    <hyperlink xmlns:r="http://schemas.openxmlformats.org/officeDocument/2006/relationships" ref="N2485" r:id="rId2791"/>
    <hyperlink xmlns:r="http://schemas.openxmlformats.org/officeDocument/2006/relationships" ref="N2486" r:id="rId2792"/>
    <hyperlink xmlns:r="http://schemas.openxmlformats.org/officeDocument/2006/relationships" ref="N2487" r:id="rId2793"/>
    <hyperlink xmlns:r="http://schemas.openxmlformats.org/officeDocument/2006/relationships" ref="N2488" r:id="rId2794"/>
    <hyperlink xmlns:r="http://schemas.openxmlformats.org/officeDocument/2006/relationships" ref="N2489" r:id="rId2795"/>
    <hyperlink xmlns:r="http://schemas.openxmlformats.org/officeDocument/2006/relationships" ref="N2490" r:id="rId2796"/>
    <hyperlink xmlns:r="http://schemas.openxmlformats.org/officeDocument/2006/relationships" ref="N2491" r:id="rId2797"/>
    <hyperlink xmlns:r="http://schemas.openxmlformats.org/officeDocument/2006/relationships" ref="N2492" r:id="rId2798"/>
    <hyperlink xmlns:r="http://schemas.openxmlformats.org/officeDocument/2006/relationships" ref="N2493" r:id="rId2799"/>
    <hyperlink xmlns:r="http://schemas.openxmlformats.org/officeDocument/2006/relationships" ref="M2494" r:id="rId2800"/>
    <hyperlink xmlns:r="http://schemas.openxmlformats.org/officeDocument/2006/relationships" ref="N2494" r:id="rId2801"/>
    <hyperlink xmlns:r="http://schemas.openxmlformats.org/officeDocument/2006/relationships" ref="M2495" r:id="rId2802"/>
    <hyperlink xmlns:r="http://schemas.openxmlformats.org/officeDocument/2006/relationships" ref="N2495" r:id="rId2803"/>
    <hyperlink xmlns:r="http://schemas.openxmlformats.org/officeDocument/2006/relationships" ref="M2496" r:id="rId2804"/>
    <hyperlink xmlns:r="http://schemas.openxmlformats.org/officeDocument/2006/relationships" ref="N2496" r:id="rId2805"/>
    <hyperlink xmlns:r="http://schemas.openxmlformats.org/officeDocument/2006/relationships" ref="N2497" r:id="rId2806"/>
    <hyperlink xmlns:r="http://schemas.openxmlformats.org/officeDocument/2006/relationships" ref="N2498" r:id="rId2807"/>
    <hyperlink xmlns:r="http://schemas.openxmlformats.org/officeDocument/2006/relationships" ref="N2499" r:id="rId2808"/>
    <hyperlink xmlns:r="http://schemas.openxmlformats.org/officeDocument/2006/relationships" ref="N2500" r:id="rId2809"/>
    <hyperlink xmlns:r="http://schemas.openxmlformats.org/officeDocument/2006/relationships" ref="N2501" r:id="rId2810"/>
    <hyperlink xmlns:r="http://schemas.openxmlformats.org/officeDocument/2006/relationships" ref="N2502" r:id="rId2811"/>
    <hyperlink xmlns:r="http://schemas.openxmlformats.org/officeDocument/2006/relationships" ref="N2503" r:id="rId2812"/>
    <hyperlink xmlns:r="http://schemas.openxmlformats.org/officeDocument/2006/relationships" ref="N2504" r:id="rId2813"/>
    <hyperlink xmlns:r="http://schemas.openxmlformats.org/officeDocument/2006/relationships" ref="N2505" r:id="rId2814"/>
    <hyperlink xmlns:r="http://schemas.openxmlformats.org/officeDocument/2006/relationships" ref="N2506" r:id="rId2815"/>
    <hyperlink xmlns:r="http://schemas.openxmlformats.org/officeDocument/2006/relationships" ref="M2507" r:id="rId2816"/>
    <hyperlink xmlns:r="http://schemas.openxmlformats.org/officeDocument/2006/relationships" ref="N2507" r:id="rId2817"/>
    <hyperlink xmlns:r="http://schemas.openxmlformats.org/officeDocument/2006/relationships" ref="N2508" r:id="rId2818"/>
    <hyperlink xmlns:r="http://schemas.openxmlformats.org/officeDocument/2006/relationships" ref="M2509" r:id="rId2819"/>
    <hyperlink xmlns:r="http://schemas.openxmlformats.org/officeDocument/2006/relationships" ref="N2509" r:id="rId2820"/>
    <hyperlink xmlns:r="http://schemas.openxmlformats.org/officeDocument/2006/relationships" ref="M2510" r:id="rId2821"/>
    <hyperlink xmlns:r="http://schemas.openxmlformats.org/officeDocument/2006/relationships" ref="N2510" r:id="rId2822"/>
    <hyperlink xmlns:r="http://schemas.openxmlformats.org/officeDocument/2006/relationships" ref="M2511" r:id="rId2823"/>
    <hyperlink xmlns:r="http://schemas.openxmlformats.org/officeDocument/2006/relationships" ref="N2511" r:id="rId2824"/>
    <hyperlink xmlns:r="http://schemas.openxmlformats.org/officeDocument/2006/relationships" ref="N2512" r:id="rId2825"/>
    <hyperlink xmlns:r="http://schemas.openxmlformats.org/officeDocument/2006/relationships" ref="N2513" r:id="rId2826"/>
    <hyperlink xmlns:r="http://schemas.openxmlformats.org/officeDocument/2006/relationships" ref="N2514" r:id="rId2827"/>
    <hyperlink xmlns:r="http://schemas.openxmlformats.org/officeDocument/2006/relationships" ref="M2515" r:id="rId2828"/>
    <hyperlink xmlns:r="http://schemas.openxmlformats.org/officeDocument/2006/relationships" ref="N2515" r:id="rId2829"/>
    <hyperlink xmlns:r="http://schemas.openxmlformats.org/officeDocument/2006/relationships" ref="N2516" r:id="rId2830"/>
    <hyperlink xmlns:r="http://schemas.openxmlformats.org/officeDocument/2006/relationships" ref="N2517" r:id="rId2831"/>
    <hyperlink xmlns:r="http://schemas.openxmlformats.org/officeDocument/2006/relationships" ref="M2518" r:id="rId2832"/>
    <hyperlink xmlns:r="http://schemas.openxmlformats.org/officeDocument/2006/relationships" ref="N2518" r:id="rId2833"/>
    <hyperlink xmlns:r="http://schemas.openxmlformats.org/officeDocument/2006/relationships" ref="N2519" r:id="rId2834"/>
    <hyperlink xmlns:r="http://schemas.openxmlformats.org/officeDocument/2006/relationships" ref="N2520" r:id="rId2835"/>
    <hyperlink xmlns:r="http://schemas.openxmlformats.org/officeDocument/2006/relationships" ref="N2521" r:id="rId2836"/>
    <hyperlink xmlns:r="http://schemas.openxmlformats.org/officeDocument/2006/relationships" ref="N2522" r:id="rId2837"/>
    <hyperlink xmlns:r="http://schemas.openxmlformats.org/officeDocument/2006/relationships" ref="N2523" r:id="rId2838"/>
    <hyperlink xmlns:r="http://schemas.openxmlformats.org/officeDocument/2006/relationships" ref="N2524" r:id="rId2839"/>
    <hyperlink xmlns:r="http://schemas.openxmlformats.org/officeDocument/2006/relationships" ref="M2525" r:id="rId2840"/>
    <hyperlink xmlns:r="http://schemas.openxmlformats.org/officeDocument/2006/relationships" ref="N2525" r:id="rId2841"/>
    <hyperlink xmlns:r="http://schemas.openxmlformats.org/officeDocument/2006/relationships" ref="M2526" r:id="rId2842"/>
    <hyperlink xmlns:r="http://schemas.openxmlformats.org/officeDocument/2006/relationships" ref="N2526" r:id="rId2843"/>
    <hyperlink xmlns:r="http://schemas.openxmlformats.org/officeDocument/2006/relationships" ref="N2527" r:id="rId2844"/>
    <hyperlink xmlns:r="http://schemas.openxmlformats.org/officeDocument/2006/relationships" ref="N2528" r:id="rId2845"/>
    <hyperlink xmlns:r="http://schemas.openxmlformats.org/officeDocument/2006/relationships" ref="N2529" r:id="rId2846"/>
    <hyperlink xmlns:r="http://schemas.openxmlformats.org/officeDocument/2006/relationships" ref="N2530" r:id="rId2847"/>
    <hyperlink xmlns:r="http://schemas.openxmlformats.org/officeDocument/2006/relationships" ref="N2531" r:id="rId2848"/>
    <hyperlink xmlns:r="http://schemas.openxmlformats.org/officeDocument/2006/relationships" ref="N2532" r:id="rId2849"/>
    <hyperlink xmlns:r="http://schemas.openxmlformats.org/officeDocument/2006/relationships" ref="N2533" r:id="rId2850"/>
    <hyperlink xmlns:r="http://schemas.openxmlformats.org/officeDocument/2006/relationships" ref="N2534" r:id="rId2851"/>
    <hyperlink xmlns:r="http://schemas.openxmlformats.org/officeDocument/2006/relationships" ref="M2535" r:id="rId2852"/>
    <hyperlink xmlns:r="http://schemas.openxmlformats.org/officeDocument/2006/relationships" ref="N2535" r:id="rId2853"/>
    <hyperlink xmlns:r="http://schemas.openxmlformats.org/officeDocument/2006/relationships" ref="N2536" r:id="rId2854"/>
    <hyperlink xmlns:r="http://schemas.openxmlformats.org/officeDocument/2006/relationships" ref="M2537" r:id="rId2855"/>
    <hyperlink xmlns:r="http://schemas.openxmlformats.org/officeDocument/2006/relationships" ref="N2537" r:id="rId2856"/>
    <hyperlink xmlns:r="http://schemas.openxmlformats.org/officeDocument/2006/relationships" ref="N2538" r:id="rId2857"/>
    <hyperlink xmlns:r="http://schemas.openxmlformats.org/officeDocument/2006/relationships" ref="N2539" r:id="rId2858"/>
    <hyperlink xmlns:r="http://schemas.openxmlformats.org/officeDocument/2006/relationships" ref="N2540" r:id="rId2859"/>
    <hyperlink xmlns:r="http://schemas.openxmlformats.org/officeDocument/2006/relationships" ref="N2541" r:id="rId2860"/>
    <hyperlink xmlns:r="http://schemas.openxmlformats.org/officeDocument/2006/relationships" ref="M2542" r:id="rId2861"/>
    <hyperlink xmlns:r="http://schemas.openxmlformats.org/officeDocument/2006/relationships" ref="N2542" r:id="rId2862"/>
    <hyperlink xmlns:r="http://schemas.openxmlformats.org/officeDocument/2006/relationships" ref="M2543" r:id="rId2863"/>
    <hyperlink xmlns:r="http://schemas.openxmlformats.org/officeDocument/2006/relationships" ref="N2543" r:id="rId2864"/>
    <hyperlink xmlns:r="http://schemas.openxmlformats.org/officeDocument/2006/relationships" ref="N2544" r:id="rId2865"/>
    <hyperlink xmlns:r="http://schemas.openxmlformats.org/officeDocument/2006/relationships" ref="M2545" r:id="rId2866"/>
    <hyperlink xmlns:r="http://schemas.openxmlformats.org/officeDocument/2006/relationships" ref="M2546" r:id="rId2867"/>
    <hyperlink xmlns:r="http://schemas.openxmlformats.org/officeDocument/2006/relationships" ref="M2547" r:id="rId2868"/>
    <hyperlink xmlns:r="http://schemas.openxmlformats.org/officeDocument/2006/relationships" ref="M2548" r:id="rId2869"/>
    <hyperlink xmlns:r="http://schemas.openxmlformats.org/officeDocument/2006/relationships" ref="M2549" r:id="rId2870"/>
    <hyperlink xmlns:r="http://schemas.openxmlformats.org/officeDocument/2006/relationships" ref="M2550" r:id="rId2871"/>
    <hyperlink xmlns:r="http://schemas.openxmlformats.org/officeDocument/2006/relationships" ref="M2551" r:id="rId2872"/>
    <hyperlink xmlns:r="http://schemas.openxmlformats.org/officeDocument/2006/relationships" ref="M2552" r:id="rId2873"/>
    <hyperlink xmlns:r="http://schemas.openxmlformats.org/officeDocument/2006/relationships" ref="M2553" r:id="rId2874"/>
    <hyperlink xmlns:r="http://schemas.openxmlformats.org/officeDocument/2006/relationships" ref="M2554" r:id="rId2875"/>
    <hyperlink xmlns:r="http://schemas.openxmlformats.org/officeDocument/2006/relationships" ref="M2555" r:id="rId2876"/>
    <hyperlink xmlns:r="http://schemas.openxmlformats.org/officeDocument/2006/relationships" ref="M2556" r:id="rId2877"/>
    <hyperlink xmlns:r="http://schemas.openxmlformats.org/officeDocument/2006/relationships" ref="N2557" r:id="rId2878"/>
    <hyperlink xmlns:r="http://schemas.openxmlformats.org/officeDocument/2006/relationships" ref="N2558" r:id="rId2879"/>
    <hyperlink xmlns:r="http://schemas.openxmlformats.org/officeDocument/2006/relationships" ref="N2559" r:id="rId2880"/>
    <hyperlink xmlns:r="http://schemas.openxmlformats.org/officeDocument/2006/relationships" ref="N2560" r:id="rId2881"/>
    <hyperlink xmlns:r="http://schemas.openxmlformats.org/officeDocument/2006/relationships" ref="N2561" r:id="rId2882"/>
    <hyperlink xmlns:r="http://schemas.openxmlformats.org/officeDocument/2006/relationships" ref="N2562" r:id="rId2883"/>
    <hyperlink xmlns:r="http://schemas.openxmlformats.org/officeDocument/2006/relationships" ref="N2563" r:id="rId2884"/>
    <hyperlink xmlns:r="http://schemas.openxmlformats.org/officeDocument/2006/relationships" ref="N2564" r:id="rId2885"/>
    <hyperlink xmlns:r="http://schemas.openxmlformats.org/officeDocument/2006/relationships" ref="N2565" r:id="rId2886"/>
    <hyperlink xmlns:r="http://schemas.openxmlformats.org/officeDocument/2006/relationships" ref="N2566" r:id="rId2887"/>
    <hyperlink xmlns:r="http://schemas.openxmlformats.org/officeDocument/2006/relationships" ref="M2567" r:id="rId2888"/>
    <hyperlink xmlns:r="http://schemas.openxmlformats.org/officeDocument/2006/relationships" ref="M2568" r:id="rId2889"/>
    <hyperlink xmlns:r="http://schemas.openxmlformats.org/officeDocument/2006/relationships" ref="M2569" r:id="rId2890"/>
    <hyperlink xmlns:r="http://schemas.openxmlformats.org/officeDocument/2006/relationships" ref="M2570" r:id="rId2891"/>
    <hyperlink xmlns:r="http://schemas.openxmlformats.org/officeDocument/2006/relationships" ref="M2571" r:id="rId2892"/>
    <hyperlink xmlns:r="http://schemas.openxmlformats.org/officeDocument/2006/relationships" ref="M2572" r:id="rId2893"/>
    <hyperlink xmlns:r="http://schemas.openxmlformats.org/officeDocument/2006/relationships" ref="M2573" r:id="rId2894"/>
    <hyperlink xmlns:r="http://schemas.openxmlformats.org/officeDocument/2006/relationships" ref="M2574" r:id="rId2895"/>
    <hyperlink xmlns:r="http://schemas.openxmlformats.org/officeDocument/2006/relationships" ref="M2575" r:id="rId2896"/>
    <hyperlink xmlns:r="http://schemas.openxmlformats.org/officeDocument/2006/relationships" ref="M2576" r:id="rId2897"/>
    <hyperlink xmlns:r="http://schemas.openxmlformats.org/officeDocument/2006/relationships" ref="M2577" r:id="rId2898"/>
    <hyperlink xmlns:r="http://schemas.openxmlformats.org/officeDocument/2006/relationships" ref="M2578" r:id="rId2899"/>
    <hyperlink xmlns:r="http://schemas.openxmlformats.org/officeDocument/2006/relationships" ref="M2579" r:id="rId2900"/>
    <hyperlink xmlns:r="http://schemas.openxmlformats.org/officeDocument/2006/relationships" ref="M2580" r:id="rId2901"/>
    <hyperlink xmlns:r="http://schemas.openxmlformats.org/officeDocument/2006/relationships" ref="M2581" r:id="rId2902"/>
    <hyperlink xmlns:r="http://schemas.openxmlformats.org/officeDocument/2006/relationships" ref="M2582" r:id="rId2903"/>
    <hyperlink xmlns:r="http://schemas.openxmlformats.org/officeDocument/2006/relationships" ref="M2583" r:id="rId2904"/>
    <hyperlink xmlns:r="http://schemas.openxmlformats.org/officeDocument/2006/relationships" ref="M2584" r:id="rId2905"/>
    <hyperlink xmlns:r="http://schemas.openxmlformats.org/officeDocument/2006/relationships" ref="M2585" r:id="rId2906"/>
    <hyperlink xmlns:r="http://schemas.openxmlformats.org/officeDocument/2006/relationships" ref="M2586" r:id="rId2907"/>
    <hyperlink xmlns:r="http://schemas.openxmlformats.org/officeDocument/2006/relationships" ref="M2587" r:id="rId2908"/>
    <hyperlink xmlns:r="http://schemas.openxmlformats.org/officeDocument/2006/relationships" ref="M2588" r:id="rId2909"/>
    <hyperlink xmlns:r="http://schemas.openxmlformats.org/officeDocument/2006/relationships" ref="M2589" r:id="rId2910"/>
    <hyperlink xmlns:r="http://schemas.openxmlformats.org/officeDocument/2006/relationships" ref="M2590" r:id="rId2911"/>
    <hyperlink xmlns:r="http://schemas.openxmlformats.org/officeDocument/2006/relationships" ref="M2591" r:id="rId2912"/>
    <hyperlink xmlns:r="http://schemas.openxmlformats.org/officeDocument/2006/relationships" ref="M2592" r:id="rId2913"/>
    <hyperlink xmlns:r="http://schemas.openxmlformats.org/officeDocument/2006/relationships" ref="N2592" r:id="rId2914"/>
    <hyperlink xmlns:r="http://schemas.openxmlformats.org/officeDocument/2006/relationships" ref="N2593" r:id="rId2915"/>
    <hyperlink xmlns:r="http://schemas.openxmlformats.org/officeDocument/2006/relationships" ref="N2594" r:id="rId2916"/>
    <hyperlink xmlns:r="http://schemas.openxmlformats.org/officeDocument/2006/relationships" ref="N2595" r:id="rId2917"/>
    <hyperlink xmlns:r="http://schemas.openxmlformats.org/officeDocument/2006/relationships" ref="N2596" r:id="rId2918"/>
    <hyperlink xmlns:r="http://schemas.openxmlformats.org/officeDocument/2006/relationships" ref="N2597" r:id="rId2919"/>
    <hyperlink xmlns:r="http://schemas.openxmlformats.org/officeDocument/2006/relationships" ref="N2598" r:id="rId2920"/>
    <hyperlink xmlns:r="http://schemas.openxmlformats.org/officeDocument/2006/relationships" ref="N2599" r:id="rId2921"/>
    <hyperlink xmlns:r="http://schemas.openxmlformats.org/officeDocument/2006/relationships" ref="N2600" r:id="rId2922"/>
    <hyperlink xmlns:r="http://schemas.openxmlformats.org/officeDocument/2006/relationships" ref="N2601" r:id="rId2923"/>
    <hyperlink xmlns:r="http://schemas.openxmlformats.org/officeDocument/2006/relationships" ref="N2602" r:id="rId2924"/>
    <hyperlink xmlns:r="http://schemas.openxmlformats.org/officeDocument/2006/relationships" ref="N2603" r:id="rId2925"/>
    <hyperlink xmlns:r="http://schemas.openxmlformats.org/officeDocument/2006/relationships" ref="N2604" r:id="rId2926"/>
    <hyperlink xmlns:r="http://schemas.openxmlformats.org/officeDocument/2006/relationships" ref="N2605" r:id="rId2927"/>
    <hyperlink xmlns:r="http://schemas.openxmlformats.org/officeDocument/2006/relationships" ref="N2606" r:id="rId2928"/>
    <hyperlink xmlns:r="http://schemas.openxmlformats.org/officeDocument/2006/relationships" ref="N2607" r:id="rId2929"/>
    <hyperlink xmlns:r="http://schemas.openxmlformats.org/officeDocument/2006/relationships" ref="N2608" r:id="rId2930"/>
    <hyperlink xmlns:r="http://schemas.openxmlformats.org/officeDocument/2006/relationships" ref="N2609" r:id="rId2931"/>
    <hyperlink xmlns:r="http://schemas.openxmlformats.org/officeDocument/2006/relationships" ref="N2610" r:id="rId2932"/>
    <hyperlink xmlns:r="http://schemas.openxmlformats.org/officeDocument/2006/relationships" ref="N2611" r:id="rId2933"/>
    <hyperlink xmlns:r="http://schemas.openxmlformats.org/officeDocument/2006/relationships" ref="N2612" r:id="rId2934"/>
    <hyperlink xmlns:r="http://schemas.openxmlformats.org/officeDocument/2006/relationships" ref="N2613" r:id="rId2935"/>
    <hyperlink xmlns:r="http://schemas.openxmlformats.org/officeDocument/2006/relationships" ref="N2614" r:id="rId2936"/>
    <hyperlink xmlns:r="http://schemas.openxmlformats.org/officeDocument/2006/relationships" ref="M2615" r:id="rId2937"/>
    <hyperlink xmlns:r="http://schemas.openxmlformats.org/officeDocument/2006/relationships" ref="N2615" r:id="rId2938"/>
    <hyperlink xmlns:r="http://schemas.openxmlformats.org/officeDocument/2006/relationships" ref="N2616" r:id="rId2939"/>
    <hyperlink xmlns:r="http://schemas.openxmlformats.org/officeDocument/2006/relationships" ref="N2617" r:id="rId2940"/>
    <hyperlink xmlns:r="http://schemas.openxmlformats.org/officeDocument/2006/relationships" ref="N2618" r:id="rId2941"/>
    <hyperlink xmlns:r="http://schemas.openxmlformats.org/officeDocument/2006/relationships" ref="N2619" r:id="rId2942"/>
    <hyperlink xmlns:r="http://schemas.openxmlformats.org/officeDocument/2006/relationships" ref="N2620" r:id="rId2943"/>
    <hyperlink xmlns:r="http://schemas.openxmlformats.org/officeDocument/2006/relationships" ref="N2621" r:id="rId2944"/>
    <hyperlink xmlns:r="http://schemas.openxmlformats.org/officeDocument/2006/relationships" ref="M2622" r:id="rId2945"/>
    <hyperlink xmlns:r="http://schemas.openxmlformats.org/officeDocument/2006/relationships" ref="N2622" r:id="rId2946"/>
    <hyperlink xmlns:r="http://schemas.openxmlformats.org/officeDocument/2006/relationships" ref="N2623" r:id="rId2947"/>
    <hyperlink xmlns:r="http://schemas.openxmlformats.org/officeDocument/2006/relationships" ref="M2624" r:id="rId2948"/>
    <hyperlink xmlns:r="http://schemas.openxmlformats.org/officeDocument/2006/relationships" ref="N2624" r:id="rId2949"/>
    <hyperlink xmlns:r="http://schemas.openxmlformats.org/officeDocument/2006/relationships" ref="N2625" r:id="rId2950"/>
    <hyperlink xmlns:r="http://schemas.openxmlformats.org/officeDocument/2006/relationships" ref="N2626" r:id="rId2951"/>
    <hyperlink xmlns:r="http://schemas.openxmlformats.org/officeDocument/2006/relationships" ref="N2627" r:id="rId2952"/>
    <hyperlink xmlns:r="http://schemas.openxmlformats.org/officeDocument/2006/relationships" ref="M2628" r:id="rId2953"/>
    <hyperlink xmlns:r="http://schemas.openxmlformats.org/officeDocument/2006/relationships" ref="N2628" r:id="rId2954"/>
    <hyperlink xmlns:r="http://schemas.openxmlformats.org/officeDocument/2006/relationships" ref="N2629" r:id="rId2955"/>
    <hyperlink xmlns:r="http://schemas.openxmlformats.org/officeDocument/2006/relationships" ref="N2630" r:id="rId2956"/>
    <hyperlink xmlns:r="http://schemas.openxmlformats.org/officeDocument/2006/relationships" ref="N2631" r:id="rId2957"/>
    <hyperlink xmlns:r="http://schemas.openxmlformats.org/officeDocument/2006/relationships" ref="N2632" r:id="rId2958"/>
    <hyperlink xmlns:r="http://schemas.openxmlformats.org/officeDocument/2006/relationships" ref="N2633" r:id="rId2959"/>
    <hyperlink xmlns:r="http://schemas.openxmlformats.org/officeDocument/2006/relationships" ref="N2634" r:id="rId2960"/>
    <hyperlink xmlns:r="http://schemas.openxmlformats.org/officeDocument/2006/relationships" ref="N2635" r:id="rId2961"/>
    <hyperlink xmlns:r="http://schemas.openxmlformats.org/officeDocument/2006/relationships" ref="N2636" r:id="rId2962"/>
    <hyperlink xmlns:r="http://schemas.openxmlformats.org/officeDocument/2006/relationships" ref="N2637" r:id="rId2963"/>
    <hyperlink xmlns:r="http://schemas.openxmlformats.org/officeDocument/2006/relationships" ref="M2638" r:id="rId2964"/>
    <hyperlink xmlns:r="http://schemas.openxmlformats.org/officeDocument/2006/relationships" ref="N2638" r:id="rId2965"/>
    <hyperlink xmlns:r="http://schemas.openxmlformats.org/officeDocument/2006/relationships" ref="M2639" r:id="rId2966"/>
    <hyperlink xmlns:r="http://schemas.openxmlformats.org/officeDocument/2006/relationships" ref="N2639" r:id="rId2967"/>
    <hyperlink xmlns:r="http://schemas.openxmlformats.org/officeDocument/2006/relationships" ref="M2640" r:id="rId2968"/>
    <hyperlink xmlns:r="http://schemas.openxmlformats.org/officeDocument/2006/relationships" ref="N2640" r:id="rId2969"/>
    <hyperlink xmlns:r="http://schemas.openxmlformats.org/officeDocument/2006/relationships" ref="N2641" r:id="rId2970"/>
    <hyperlink xmlns:r="http://schemas.openxmlformats.org/officeDocument/2006/relationships" ref="M2642" r:id="rId2971"/>
    <hyperlink xmlns:r="http://schemas.openxmlformats.org/officeDocument/2006/relationships" ref="N2642" r:id="rId2972"/>
    <hyperlink xmlns:r="http://schemas.openxmlformats.org/officeDocument/2006/relationships" ref="M2643" r:id="rId2973"/>
    <hyperlink xmlns:r="http://schemas.openxmlformats.org/officeDocument/2006/relationships" ref="N2643" r:id="rId2974"/>
    <hyperlink xmlns:r="http://schemas.openxmlformats.org/officeDocument/2006/relationships" ref="N2644" r:id="rId2975"/>
    <hyperlink xmlns:r="http://schemas.openxmlformats.org/officeDocument/2006/relationships" ref="M2645" r:id="rId2976"/>
    <hyperlink xmlns:r="http://schemas.openxmlformats.org/officeDocument/2006/relationships" ref="N2645" r:id="rId2977"/>
    <hyperlink xmlns:r="http://schemas.openxmlformats.org/officeDocument/2006/relationships" ref="N2646" r:id="rId2978"/>
    <hyperlink xmlns:r="http://schemas.openxmlformats.org/officeDocument/2006/relationships" ref="N2647" r:id="rId2979"/>
    <hyperlink xmlns:r="http://schemas.openxmlformats.org/officeDocument/2006/relationships" ref="N2648" r:id="rId2980"/>
    <hyperlink xmlns:r="http://schemas.openxmlformats.org/officeDocument/2006/relationships" ref="N2649" r:id="rId2981"/>
    <hyperlink xmlns:r="http://schemas.openxmlformats.org/officeDocument/2006/relationships" ref="M2650" r:id="rId2982"/>
    <hyperlink xmlns:r="http://schemas.openxmlformats.org/officeDocument/2006/relationships" ref="N2650" r:id="rId2983"/>
    <hyperlink xmlns:r="http://schemas.openxmlformats.org/officeDocument/2006/relationships" ref="M2651" r:id="rId2984"/>
    <hyperlink xmlns:r="http://schemas.openxmlformats.org/officeDocument/2006/relationships" ref="N2651" r:id="rId2985"/>
    <hyperlink xmlns:r="http://schemas.openxmlformats.org/officeDocument/2006/relationships" ref="M2652" r:id="rId2986"/>
    <hyperlink xmlns:r="http://schemas.openxmlformats.org/officeDocument/2006/relationships" ref="N2652" r:id="rId2987"/>
    <hyperlink xmlns:r="http://schemas.openxmlformats.org/officeDocument/2006/relationships" ref="N2653" r:id="rId2988"/>
    <hyperlink xmlns:r="http://schemas.openxmlformats.org/officeDocument/2006/relationships" ref="N2654" r:id="rId2989"/>
    <hyperlink xmlns:r="http://schemas.openxmlformats.org/officeDocument/2006/relationships" ref="N2655" r:id="rId2990"/>
    <hyperlink xmlns:r="http://schemas.openxmlformats.org/officeDocument/2006/relationships" ref="N2656" r:id="rId2991"/>
    <hyperlink xmlns:r="http://schemas.openxmlformats.org/officeDocument/2006/relationships" ref="N2657" r:id="rId2992"/>
    <hyperlink xmlns:r="http://schemas.openxmlformats.org/officeDocument/2006/relationships" ref="N2658" r:id="rId2993"/>
    <hyperlink xmlns:r="http://schemas.openxmlformats.org/officeDocument/2006/relationships" ref="N2659" r:id="rId2994"/>
    <hyperlink xmlns:r="http://schemas.openxmlformats.org/officeDocument/2006/relationships" ref="N2660" r:id="rId2995"/>
    <hyperlink xmlns:r="http://schemas.openxmlformats.org/officeDocument/2006/relationships" ref="N2661" r:id="rId2996"/>
    <hyperlink xmlns:r="http://schemas.openxmlformats.org/officeDocument/2006/relationships" ref="N2662" r:id="rId2997"/>
    <hyperlink xmlns:r="http://schemas.openxmlformats.org/officeDocument/2006/relationships" ref="N2663" r:id="rId2998"/>
    <hyperlink xmlns:r="http://schemas.openxmlformats.org/officeDocument/2006/relationships" ref="N2664" r:id="rId2999"/>
    <hyperlink xmlns:r="http://schemas.openxmlformats.org/officeDocument/2006/relationships" ref="N2665" r:id="rId3000"/>
    <hyperlink xmlns:r="http://schemas.openxmlformats.org/officeDocument/2006/relationships" ref="N2666" r:id="rId3001"/>
    <hyperlink xmlns:r="http://schemas.openxmlformats.org/officeDocument/2006/relationships" ref="N2667" r:id="rId3002"/>
    <hyperlink xmlns:r="http://schemas.openxmlformats.org/officeDocument/2006/relationships" ref="N2668" r:id="rId3003"/>
    <hyperlink xmlns:r="http://schemas.openxmlformats.org/officeDocument/2006/relationships" ref="N2669" r:id="rId3004"/>
    <hyperlink xmlns:r="http://schemas.openxmlformats.org/officeDocument/2006/relationships" ref="N2670" r:id="rId3005"/>
    <hyperlink xmlns:r="http://schemas.openxmlformats.org/officeDocument/2006/relationships" ref="N2671" r:id="rId3006"/>
    <hyperlink xmlns:r="http://schemas.openxmlformats.org/officeDocument/2006/relationships" ref="N2672" r:id="rId3007"/>
    <hyperlink xmlns:r="http://schemas.openxmlformats.org/officeDocument/2006/relationships" ref="N2673" r:id="rId3008"/>
    <hyperlink xmlns:r="http://schemas.openxmlformats.org/officeDocument/2006/relationships" ref="M2674" r:id="rId3009"/>
    <hyperlink xmlns:r="http://schemas.openxmlformats.org/officeDocument/2006/relationships" ref="M2675" r:id="rId3010"/>
    <hyperlink xmlns:r="http://schemas.openxmlformats.org/officeDocument/2006/relationships" ref="M2676" r:id="rId3011"/>
    <hyperlink xmlns:r="http://schemas.openxmlformats.org/officeDocument/2006/relationships" ref="M2677" r:id="rId3012"/>
    <hyperlink xmlns:r="http://schemas.openxmlformats.org/officeDocument/2006/relationships" ref="M2678" r:id="rId3013"/>
    <hyperlink xmlns:r="http://schemas.openxmlformats.org/officeDocument/2006/relationships" ref="M2679" r:id="rId3014"/>
    <hyperlink xmlns:r="http://schemas.openxmlformats.org/officeDocument/2006/relationships" ref="M2680" r:id="rId3015"/>
    <hyperlink xmlns:r="http://schemas.openxmlformats.org/officeDocument/2006/relationships" ref="M2681" r:id="rId3016"/>
    <hyperlink xmlns:r="http://schemas.openxmlformats.org/officeDocument/2006/relationships" ref="M2682" r:id="rId3017"/>
    <hyperlink xmlns:r="http://schemas.openxmlformats.org/officeDocument/2006/relationships" ref="M2683" r:id="rId3018"/>
    <hyperlink xmlns:r="http://schemas.openxmlformats.org/officeDocument/2006/relationships" ref="N2683" r:id="rId3019"/>
    <hyperlink xmlns:r="http://schemas.openxmlformats.org/officeDocument/2006/relationships" ref="M2684" r:id="rId3020"/>
    <hyperlink xmlns:r="http://schemas.openxmlformats.org/officeDocument/2006/relationships" ref="N2684" r:id="rId3021"/>
    <hyperlink xmlns:r="http://schemas.openxmlformats.org/officeDocument/2006/relationships" ref="M2685" r:id="rId3022"/>
    <hyperlink xmlns:r="http://schemas.openxmlformats.org/officeDocument/2006/relationships" ref="N2685" r:id="rId3023"/>
    <hyperlink xmlns:r="http://schemas.openxmlformats.org/officeDocument/2006/relationships" ref="M2686" r:id="rId3024"/>
    <hyperlink xmlns:r="http://schemas.openxmlformats.org/officeDocument/2006/relationships" ref="M2687" r:id="rId3025"/>
    <hyperlink xmlns:r="http://schemas.openxmlformats.org/officeDocument/2006/relationships" ref="M2688" r:id="rId3026"/>
    <hyperlink xmlns:r="http://schemas.openxmlformats.org/officeDocument/2006/relationships" ref="M2689" r:id="rId3027"/>
    <hyperlink xmlns:r="http://schemas.openxmlformats.org/officeDocument/2006/relationships" ref="M2690" r:id="rId3028"/>
    <hyperlink xmlns:r="http://schemas.openxmlformats.org/officeDocument/2006/relationships" ref="M2691" r:id="rId3029"/>
    <hyperlink xmlns:r="http://schemas.openxmlformats.org/officeDocument/2006/relationships" ref="M2692" r:id="rId3030"/>
    <hyperlink xmlns:r="http://schemas.openxmlformats.org/officeDocument/2006/relationships" ref="N2693" r:id="rId3031"/>
    <hyperlink xmlns:r="http://schemas.openxmlformats.org/officeDocument/2006/relationships" ref="M2694" r:id="rId3032"/>
    <hyperlink xmlns:r="http://schemas.openxmlformats.org/officeDocument/2006/relationships" ref="M2695" r:id="rId3033"/>
    <hyperlink xmlns:r="http://schemas.openxmlformats.org/officeDocument/2006/relationships" ref="M2696" r:id="rId3034"/>
    <hyperlink xmlns:r="http://schemas.openxmlformats.org/officeDocument/2006/relationships" ref="N2697" r:id="rId3035"/>
    <hyperlink xmlns:r="http://schemas.openxmlformats.org/officeDocument/2006/relationships" ref="N2698" r:id="rId3036"/>
    <hyperlink xmlns:r="http://schemas.openxmlformats.org/officeDocument/2006/relationships" ref="M2699" r:id="rId3037"/>
    <hyperlink xmlns:r="http://schemas.openxmlformats.org/officeDocument/2006/relationships" ref="N2699" r:id="rId3038"/>
    <hyperlink xmlns:r="http://schemas.openxmlformats.org/officeDocument/2006/relationships" ref="M2700" r:id="rId3039"/>
    <hyperlink xmlns:r="http://schemas.openxmlformats.org/officeDocument/2006/relationships" ref="N2701" r:id="rId3040"/>
    <hyperlink xmlns:r="http://schemas.openxmlformats.org/officeDocument/2006/relationships" ref="M2702" r:id="rId3041"/>
    <hyperlink xmlns:r="http://schemas.openxmlformats.org/officeDocument/2006/relationships" ref="M2703" r:id="rId3042"/>
    <hyperlink xmlns:r="http://schemas.openxmlformats.org/officeDocument/2006/relationships" ref="N2703" r:id="rId3043"/>
    <hyperlink xmlns:r="http://schemas.openxmlformats.org/officeDocument/2006/relationships" ref="M2704" r:id="rId3044"/>
    <hyperlink xmlns:r="http://schemas.openxmlformats.org/officeDocument/2006/relationships" ref="M2705" r:id="rId3045"/>
    <hyperlink xmlns:r="http://schemas.openxmlformats.org/officeDocument/2006/relationships" ref="M2706" r:id="rId3046"/>
    <hyperlink xmlns:r="http://schemas.openxmlformats.org/officeDocument/2006/relationships" ref="M2707" r:id="rId3047"/>
    <hyperlink xmlns:r="http://schemas.openxmlformats.org/officeDocument/2006/relationships" ref="M2708" r:id="rId3048"/>
    <hyperlink xmlns:r="http://schemas.openxmlformats.org/officeDocument/2006/relationships" ref="M2709" r:id="rId3049"/>
    <hyperlink xmlns:r="http://schemas.openxmlformats.org/officeDocument/2006/relationships" ref="M2710" r:id="rId3050"/>
    <hyperlink xmlns:r="http://schemas.openxmlformats.org/officeDocument/2006/relationships" ref="M2711" r:id="rId3051"/>
    <hyperlink xmlns:r="http://schemas.openxmlformats.org/officeDocument/2006/relationships" ref="M2712" r:id="rId3052"/>
    <hyperlink xmlns:r="http://schemas.openxmlformats.org/officeDocument/2006/relationships" ref="N2712" r:id="rId3053"/>
    <hyperlink xmlns:r="http://schemas.openxmlformats.org/officeDocument/2006/relationships" ref="M2713" r:id="rId3054"/>
    <hyperlink xmlns:r="http://schemas.openxmlformats.org/officeDocument/2006/relationships" ref="N2713" r:id="rId3055"/>
    <hyperlink xmlns:r="http://schemas.openxmlformats.org/officeDocument/2006/relationships" ref="M2714" r:id="rId3056"/>
    <hyperlink xmlns:r="http://schemas.openxmlformats.org/officeDocument/2006/relationships" ref="M2715" r:id="rId3057"/>
    <hyperlink xmlns:r="http://schemas.openxmlformats.org/officeDocument/2006/relationships" ref="M2716" r:id="rId3058"/>
    <hyperlink xmlns:r="http://schemas.openxmlformats.org/officeDocument/2006/relationships" ref="M2717" r:id="rId3059"/>
    <hyperlink xmlns:r="http://schemas.openxmlformats.org/officeDocument/2006/relationships" ref="M2718" r:id="rId3060"/>
    <hyperlink xmlns:r="http://schemas.openxmlformats.org/officeDocument/2006/relationships" ref="M2719" r:id="rId3061"/>
    <hyperlink xmlns:r="http://schemas.openxmlformats.org/officeDocument/2006/relationships" ref="M2720" r:id="rId3062"/>
    <hyperlink xmlns:r="http://schemas.openxmlformats.org/officeDocument/2006/relationships" ref="M2721" r:id="rId3063"/>
    <hyperlink xmlns:r="http://schemas.openxmlformats.org/officeDocument/2006/relationships" ref="M2722" r:id="rId3064"/>
    <hyperlink xmlns:r="http://schemas.openxmlformats.org/officeDocument/2006/relationships" ref="M2723" r:id="rId3065"/>
    <hyperlink xmlns:r="http://schemas.openxmlformats.org/officeDocument/2006/relationships" ref="N2724" r:id="rId3066"/>
    <hyperlink xmlns:r="http://schemas.openxmlformats.org/officeDocument/2006/relationships" ref="M2725" r:id="rId3067"/>
    <hyperlink xmlns:r="http://schemas.openxmlformats.org/officeDocument/2006/relationships" ref="M2726" r:id="rId3068"/>
    <hyperlink xmlns:r="http://schemas.openxmlformats.org/officeDocument/2006/relationships" ref="M2727" r:id="rId3069"/>
    <hyperlink xmlns:r="http://schemas.openxmlformats.org/officeDocument/2006/relationships" ref="M2728" r:id="rId3070"/>
    <hyperlink xmlns:r="http://schemas.openxmlformats.org/officeDocument/2006/relationships" ref="M2729" r:id="rId3071"/>
    <hyperlink xmlns:r="http://schemas.openxmlformats.org/officeDocument/2006/relationships" ref="M2730" r:id="rId3072"/>
    <hyperlink xmlns:r="http://schemas.openxmlformats.org/officeDocument/2006/relationships" ref="M2731" r:id="rId3073"/>
    <hyperlink xmlns:r="http://schemas.openxmlformats.org/officeDocument/2006/relationships" ref="M2732" r:id="rId3074"/>
    <hyperlink xmlns:r="http://schemas.openxmlformats.org/officeDocument/2006/relationships" ref="M2733" r:id="rId3075"/>
    <hyperlink xmlns:r="http://schemas.openxmlformats.org/officeDocument/2006/relationships" ref="M2734" r:id="rId3076"/>
    <hyperlink xmlns:r="http://schemas.openxmlformats.org/officeDocument/2006/relationships" ref="M2735" r:id="rId3077"/>
    <hyperlink xmlns:r="http://schemas.openxmlformats.org/officeDocument/2006/relationships" ref="M2736" r:id="rId3078"/>
    <hyperlink xmlns:r="http://schemas.openxmlformats.org/officeDocument/2006/relationships" ref="M2737" r:id="rId3079"/>
    <hyperlink xmlns:r="http://schemas.openxmlformats.org/officeDocument/2006/relationships" ref="M2738" r:id="rId3080"/>
    <hyperlink xmlns:r="http://schemas.openxmlformats.org/officeDocument/2006/relationships" ref="M2739" r:id="rId3081"/>
    <hyperlink xmlns:r="http://schemas.openxmlformats.org/officeDocument/2006/relationships" ref="M2740" r:id="rId3082"/>
    <hyperlink xmlns:r="http://schemas.openxmlformats.org/officeDocument/2006/relationships" ref="M2741" r:id="rId3083"/>
    <hyperlink xmlns:r="http://schemas.openxmlformats.org/officeDocument/2006/relationships" ref="M2742" r:id="rId3084"/>
    <hyperlink xmlns:r="http://schemas.openxmlformats.org/officeDocument/2006/relationships" ref="M2743" r:id="rId3085"/>
    <hyperlink xmlns:r="http://schemas.openxmlformats.org/officeDocument/2006/relationships" ref="M2744" r:id="rId3086"/>
    <hyperlink xmlns:r="http://schemas.openxmlformats.org/officeDocument/2006/relationships" ref="M2745" r:id="rId3087"/>
    <hyperlink xmlns:r="http://schemas.openxmlformats.org/officeDocument/2006/relationships" ref="M2746" r:id="rId3088"/>
    <hyperlink xmlns:r="http://schemas.openxmlformats.org/officeDocument/2006/relationships" ref="M2747" r:id="rId3089"/>
    <hyperlink xmlns:r="http://schemas.openxmlformats.org/officeDocument/2006/relationships" ref="M2748" r:id="rId3090"/>
    <hyperlink xmlns:r="http://schemas.openxmlformats.org/officeDocument/2006/relationships" ref="M2749" r:id="rId3091"/>
    <hyperlink xmlns:r="http://schemas.openxmlformats.org/officeDocument/2006/relationships" ref="M2750" r:id="rId3092"/>
    <hyperlink xmlns:r="http://schemas.openxmlformats.org/officeDocument/2006/relationships" ref="M2751" r:id="rId3093"/>
    <hyperlink xmlns:r="http://schemas.openxmlformats.org/officeDocument/2006/relationships" ref="M2752" r:id="rId3094"/>
    <hyperlink xmlns:r="http://schemas.openxmlformats.org/officeDocument/2006/relationships" ref="M2753" r:id="rId3095"/>
    <hyperlink xmlns:r="http://schemas.openxmlformats.org/officeDocument/2006/relationships" ref="M2754" r:id="rId3096"/>
    <hyperlink xmlns:r="http://schemas.openxmlformats.org/officeDocument/2006/relationships" ref="M2755" r:id="rId3097"/>
    <hyperlink xmlns:r="http://schemas.openxmlformats.org/officeDocument/2006/relationships" ref="M2756" r:id="rId3098"/>
    <hyperlink xmlns:r="http://schemas.openxmlformats.org/officeDocument/2006/relationships" ref="N2756" r:id="rId3099"/>
    <hyperlink xmlns:r="http://schemas.openxmlformats.org/officeDocument/2006/relationships" ref="M2757" r:id="rId3100"/>
    <hyperlink xmlns:r="http://schemas.openxmlformats.org/officeDocument/2006/relationships" ref="N2757" r:id="rId3101"/>
    <hyperlink xmlns:r="http://schemas.openxmlformats.org/officeDocument/2006/relationships" ref="M2758" r:id="rId3102"/>
    <hyperlink xmlns:r="http://schemas.openxmlformats.org/officeDocument/2006/relationships" ref="M2759" r:id="rId3103"/>
    <hyperlink xmlns:r="http://schemas.openxmlformats.org/officeDocument/2006/relationships" ref="M2760" r:id="rId3104"/>
    <hyperlink xmlns:r="http://schemas.openxmlformats.org/officeDocument/2006/relationships" ref="M2761" r:id="rId3105"/>
    <hyperlink xmlns:r="http://schemas.openxmlformats.org/officeDocument/2006/relationships" ref="M2762" r:id="rId3106"/>
    <hyperlink xmlns:r="http://schemas.openxmlformats.org/officeDocument/2006/relationships" ref="M2763" r:id="rId3107"/>
    <hyperlink xmlns:r="http://schemas.openxmlformats.org/officeDocument/2006/relationships" ref="N2763" r:id="rId3108"/>
    <hyperlink xmlns:r="http://schemas.openxmlformats.org/officeDocument/2006/relationships" ref="M2764" r:id="rId3109"/>
    <hyperlink xmlns:r="http://schemas.openxmlformats.org/officeDocument/2006/relationships" ref="N2765" r:id="rId3110"/>
    <hyperlink xmlns:r="http://schemas.openxmlformats.org/officeDocument/2006/relationships" ref="N2766" r:id="rId3111"/>
    <hyperlink xmlns:r="http://schemas.openxmlformats.org/officeDocument/2006/relationships" ref="N2767" r:id="rId3112"/>
    <hyperlink xmlns:r="http://schemas.openxmlformats.org/officeDocument/2006/relationships" ref="M2768" r:id="rId3113"/>
    <hyperlink xmlns:r="http://schemas.openxmlformats.org/officeDocument/2006/relationships" ref="N2768" r:id="rId3114"/>
    <hyperlink xmlns:r="http://schemas.openxmlformats.org/officeDocument/2006/relationships" ref="N2769" r:id="rId3115"/>
    <hyperlink xmlns:r="http://schemas.openxmlformats.org/officeDocument/2006/relationships" ref="M2770" r:id="rId3116"/>
    <hyperlink xmlns:r="http://schemas.openxmlformats.org/officeDocument/2006/relationships" ref="M2771" r:id="rId3117"/>
    <hyperlink xmlns:r="http://schemas.openxmlformats.org/officeDocument/2006/relationships" ref="M2772" r:id="rId3118"/>
    <hyperlink xmlns:r="http://schemas.openxmlformats.org/officeDocument/2006/relationships" ref="M2773" r:id="rId3119"/>
    <hyperlink xmlns:r="http://schemas.openxmlformats.org/officeDocument/2006/relationships" ref="N2773" r:id="rId3120"/>
    <hyperlink xmlns:r="http://schemas.openxmlformats.org/officeDocument/2006/relationships" ref="N2774" r:id="rId3121"/>
    <hyperlink xmlns:r="http://schemas.openxmlformats.org/officeDocument/2006/relationships" ref="M2775" r:id="rId3122"/>
    <hyperlink xmlns:r="http://schemas.openxmlformats.org/officeDocument/2006/relationships" ref="N2775" r:id="rId3123"/>
    <hyperlink xmlns:r="http://schemas.openxmlformats.org/officeDocument/2006/relationships" ref="M2776" r:id="rId3124"/>
    <hyperlink xmlns:r="http://schemas.openxmlformats.org/officeDocument/2006/relationships" ref="N2776" r:id="rId3125"/>
    <hyperlink xmlns:r="http://schemas.openxmlformats.org/officeDocument/2006/relationships" ref="M2777" r:id="rId3126"/>
    <hyperlink xmlns:r="http://schemas.openxmlformats.org/officeDocument/2006/relationships" ref="N2778" r:id="rId3127"/>
    <hyperlink xmlns:r="http://schemas.openxmlformats.org/officeDocument/2006/relationships" ref="M2779" r:id="rId3128"/>
    <hyperlink xmlns:r="http://schemas.openxmlformats.org/officeDocument/2006/relationships" ref="M2780" r:id="rId3129"/>
    <hyperlink xmlns:r="http://schemas.openxmlformats.org/officeDocument/2006/relationships" ref="M2781" r:id="rId3130"/>
    <hyperlink xmlns:r="http://schemas.openxmlformats.org/officeDocument/2006/relationships" ref="M2782" r:id="rId3131"/>
    <hyperlink xmlns:r="http://schemas.openxmlformats.org/officeDocument/2006/relationships" ref="M2783" r:id="rId3132"/>
    <hyperlink xmlns:r="http://schemas.openxmlformats.org/officeDocument/2006/relationships" ref="M2784" r:id="rId3133"/>
    <hyperlink xmlns:r="http://schemas.openxmlformats.org/officeDocument/2006/relationships" ref="M2785" r:id="rId3134"/>
    <hyperlink xmlns:r="http://schemas.openxmlformats.org/officeDocument/2006/relationships" ref="M2786" r:id="rId3135"/>
    <hyperlink xmlns:r="http://schemas.openxmlformats.org/officeDocument/2006/relationships" ref="M2787" r:id="rId3136"/>
    <hyperlink xmlns:r="http://schemas.openxmlformats.org/officeDocument/2006/relationships" ref="M2788" r:id="rId3137"/>
    <hyperlink xmlns:r="http://schemas.openxmlformats.org/officeDocument/2006/relationships" ref="M2789" r:id="rId3138"/>
    <hyperlink xmlns:r="http://schemas.openxmlformats.org/officeDocument/2006/relationships" ref="N2789" r:id="rId3139"/>
    <hyperlink xmlns:r="http://schemas.openxmlformats.org/officeDocument/2006/relationships" ref="M2790" r:id="rId3140"/>
    <hyperlink xmlns:r="http://schemas.openxmlformats.org/officeDocument/2006/relationships" ref="N2790" r:id="rId3141"/>
    <hyperlink xmlns:r="http://schemas.openxmlformats.org/officeDocument/2006/relationships" ref="M2791" r:id="rId3142"/>
    <hyperlink xmlns:r="http://schemas.openxmlformats.org/officeDocument/2006/relationships" ref="N2791" r:id="rId3143"/>
    <hyperlink xmlns:r="http://schemas.openxmlformats.org/officeDocument/2006/relationships" ref="N2792" r:id="rId3144"/>
    <hyperlink xmlns:r="http://schemas.openxmlformats.org/officeDocument/2006/relationships" ref="M2793" r:id="rId3145"/>
    <hyperlink xmlns:r="http://schemas.openxmlformats.org/officeDocument/2006/relationships" ref="N2793" r:id="rId3146"/>
    <hyperlink xmlns:r="http://schemas.openxmlformats.org/officeDocument/2006/relationships" ref="M2794" r:id="rId3147"/>
    <hyperlink xmlns:r="http://schemas.openxmlformats.org/officeDocument/2006/relationships" ref="N2794" r:id="rId3148"/>
    <hyperlink xmlns:r="http://schemas.openxmlformats.org/officeDocument/2006/relationships" ref="N2795" r:id="rId3149"/>
    <hyperlink xmlns:r="http://schemas.openxmlformats.org/officeDocument/2006/relationships" ref="M2796" r:id="rId3150"/>
    <hyperlink xmlns:r="http://schemas.openxmlformats.org/officeDocument/2006/relationships" ref="N2796" r:id="rId3151"/>
    <hyperlink xmlns:r="http://schemas.openxmlformats.org/officeDocument/2006/relationships" ref="M2797" r:id="rId3152"/>
    <hyperlink xmlns:r="http://schemas.openxmlformats.org/officeDocument/2006/relationships" ref="N2797" r:id="rId3153"/>
    <hyperlink xmlns:r="http://schemas.openxmlformats.org/officeDocument/2006/relationships" ref="M2798" r:id="rId3154"/>
    <hyperlink xmlns:r="http://schemas.openxmlformats.org/officeDocument/2006/relationships" ref="N2798" r:id="rId3155"/>
    <hyperlink xmlns:r="http://schemas.openxmlformats.org/officeDocument/2006/relationships" ref="N2799" r:id="rId3156"/>
    <hyperlink xmlns:r="http://schemas.openxmlformats.org/officeDocument/2006/relationships" ref="M2800" r:id="rId3157"/>
    <hyperlink xmlns:r="http://schemas.openxmlformats.org/officeDocument/2006/relationships" ref="N2800" r:id="rId3158"/>
    <hyperlink xmlns:r="http://schemas.openxmlformats.org/officeDocument/2006/relationships" ref="N2801" r:id="rId3159"/>
    <hyperlink xmlns:r="http://schemas.openxmlformats.org/officeDocument/2006/relationships" ref="M2802" r:id="rId3160"/>
    <hyperlink xmlns:r="http://schemas.openxmlformats.org/officeDocument/2006/relationships" ref="N2802" r:id="rId3161"/>
    <hyperlink xmlns:r="http://schemas.openxmlformats.org/officeDocument/2006/relationships" ref="M2803" r:id="rId3162"/>
    <hyperlink xmlns:r="http://schemas.openxmlformats.org/officeDocument/2006/relationships" ref="N2803" r:id="rId3163"/>
    <hyperlink xmlns:r="http://schemas.openxmlformats.org/officeDocument/2006/relationships" ref="M2804" r:id="rId3164"/>
    <hyperlink xmlns:r="http://schemas.openxmlformats.org/officeDocument/2006/relationships" ref="M2805" r:id="rId3165"/>
    <hyperlink xmlns:r="http://schemas.openxmlformats.org/officeDocument/2006/relationships" ref="N2806" r:id="rId3166"/>
    <hyperlink xmlns:r="http://schemas.openxmlformats.org/officeDocument/2006/relationships" ref="M2807" r:id="rId3167"/>
    <hyperlink xmlns:r="http://schemas.openxmlformats.org/officeDocument/2006/relationships" ref="M2808" r:id="rId3168"/>
    <hyperlink xmlns:r="http://schemas.openxmlformats.org/officeDocument/2006/relationships" ref="M2809" r:id="rId3169"/>
    <hyperlink xmlns:r="http://schemas.openxmlformats.org/officeDocument/2006/relationships" ref="M2810" r:id="rId3170"/>
    <hyperlink xmlns:r="http://schemas.openxmlformats.org/officeDocument/2006/relationships" ref="N2811" r:id="rId3171"/>
    <hyperlink xmlns:r="http://schemas.openxmlformats.org/officeDocument/2006/relationships" ref="N2812" r:id="rId3172"/>
    <hyperlink xmlns:r="http://schemas.openxmlformats.org/officeDocument/2006/relationships" ref="N2813" r:id="rId3173"/>
    <hyperlink xmlns:r="http://schemas.openxmlformats.org/officeDocument/2006/relationships" ref="N2814" r:id="rId3174"/>
    <hyperlink xmlns:r="http://schemas.openxmlformats.org/officeDocument/2006/relationships" ref="N2815" r:id="rId3175"/>
    <hyperlink xmlns:r="http://schemas.openxmlformats.org/officeDocument/2006/relationships" ref="N2816" r:id="rId3176"/>
    <hyperlink xmlns:r="http://schemas.openxmlformats.org/officeDocument/2006/relationships" ref="N2817" r:id="rId3177"/>
    <hyperlink xmlns:r="http://schemas.openxmlformats.org/officeDocument/2006/relationships" ref="N2818" r:id="rId3178"/>
    <hyperlink xmlns:r="http://schemas.openxmlformats.org/officeDocument/2006/relationships" ref="M2819" r:id="rId3179"/>
    <hyperlink xmlns:r="http://schemas.openxmlformats.org/officeDocument/2006/relationships" ref="M2820" r:id="rId3180"/>
    <hyperlink xmlns:r="http://schemas.openxmlformats.org/officeDocument/2006/relationships" ref="M2821" r:id="rId3181"/>
    <hyperlink xmlns:r="http://schemas.openxmlformats.org/officeDocument/2006/relationships" ref="M2822" r:id="rId3182"/>
    <hyperlink xmlns:r="http://schemas.openxmlformats.org/officeDocument/2006/relationships" ref="M2823" r:id="rId3183"/>
    <hyperlink xmlns:r="http://schemas.openxmlformats.org/officeDocument/2006/relationships" ref="M2824" r:id="rId3184"/>
    <hyperlink xmlns:r="http://schemas.openxmlformats.org/officeDocument/2006/relationships" ref="M2825" r:id="rId3185"/>
    <hyperlink xmlns:r="http://schemas.openxmlformats.org/officeDocument/2006/relationships" ref="N2825" r:id="rId3186"/>
    <hyperlink xmlns:r="http://schemas.openxmlformats.org/officeDocument/2006/relationships" ref="M2826" r:id="rId3187"/>
    <hyperlink xmlns:r="http://schemas.openxmlformats.org/officeDocument/2006/relationships" ref="M2827" r:id="rId3188"/>
    <hyperlink xmlns:r="http://schemas.openxmlformats.org/officeDocument/2006/relationships" ref="N2827" r:id="rId3189"/>
    <hyperlink xmlns:r="http://schemas.openxmlformats.org/officeDocument/2006/relationships" ref="N2828" r:id="rId3190"/>
    <hyperlink xmlns:r="http://schemas.openxmlformats.org/officeDocument/2006/relationships" ref="M2829" r:id="rId3191"/>
    <hyperlink xmlns:r="http://schemas.openxmlformats.org/officeDocument/2006/relationships" ref="M2830" r:id="rId3192"/>
    <hyperlink xmlns:r="http://schemas.openxmlformats.org/officeDocument/2006/relationships" ref="M2831" r:id="rId3193"/>
    <hyperlink xmlns:r="http://schemas.openxmlformats.org/officeDocument/2006/relationships" ref="M2832" r:id="rId3194"/>
    <hyperlink xmlns:r="http://schemas.openxmlformats.org/officeDocument/2006/relationships" ref="M2833" r:id="rId3195"/>
    <hyperlink xmlns:r="http://schemas.openxmlformats.org/officeDocument/2006/relationships" ref="N2833" r:id="rId3196"/>
    <hyperlink xmlns:r="http://schemas.openxmlformats.org/officeDocument/2006/relationships" ref="M2834" r:id="rId3197"/>
    <hyperlink xmlns:r="http://schemas.openxmlformats.org/officeDocument/2006/relationships" ref="M2835" r:id="rId3198"/>
    <hyperlink xmlns:r="http://schemas.openxmlformats.org/officeDocument/2006/relationships" ref="M2836" r:id="rId3199"/>
    <hyperlink xmlns:r="http://schemas.openxmlformats.org/officeDocument/2006/relationships" ref="N2836" r:id="rId3200"/>
    <hyperlink xmlns:r="http://schemas.openxmlformats.org/officeDocument/2006/relationships" ref="M2837" r:id="rId3201"/>
    <hyperlink xmlns:r="http://schemas.openxmlformats.org/officeDocument/2006/relationships" ref="M2838" r:id="rId3202"/>
    <hyperlink xmlns:r="http://schemas.openxmlformats.org/officeDocument/2006/relationships" ref="M2839" r:id="rId3203"/>
    <hyperlink xmlns:r="http://schemas.openxmlformats.org/officeDocument/2006/relationships" ref="M2840" r:id="rId3204"/>
    <hyperlink xmlns:r="http://schemas.openxmlformats.org/officeDocument/2006/relationships" ref="N2840" r:id="rId3205"/>
    <hyperlink xmlns:r="http://schemas.openxmlformats.org/officeDocument/2006/relationships" ref="N2841" r:id="rId3206"/>
    <hyperlink xmlns:r="http://schemas.openxmlformats.org/officeDocument/2006/relationships" ref="M2842" r:id="rId3207"/>
    <hyperlink xmlns:r="http://schemas.openxmlformats.org/officeDocument/2006/relationships" ref="M2843" r:id="rId3208"/>
    <hyperlink xmlns:r="http://schemas.openxmlformats.org/officeDocument/2006/relationships" ref="N2844" r:id="rId3209"/>
    <hyperlink xmlns:r="http://schemas.openxmlformats.org/officeDocument/2006/relationships" ref="N2845" r:id="rId3210"/>
    <hyperlink xmlns:r="http://schemas.openxmlformats.org/officeDocument/2006/relationships" ref="M2846" r:id="rId3211"/>
    <hyperlink xmlns:r="http://schemas.openxmlformats.org/officeDocument/2006/relationships" ref="N2846" r:id="rId3212"/>
    <hyperlink xmlns:r="http://schemas.openxmlformats.org/officeDocument/2006/relationships" ref="M2847" r:id="rId3213"/>
    <hyperlink xmlns:r="http://schemas.openxmlformats.org/officeDocument/2006/relationships" ref="M2848" r:id="rId3214"/>
    <hyperlink xmlns:r="http://schemas.openxmlformats.org/officeDocument/2006/relationships" ref="M2849" r:id="rId3215"/>
    <hyperlink xmlns:r="http://schemas.openxmlformats.org/officeDocument/2006/relationships" ref="M2850" r:id="rId3216"/>
    <hyperlink xmlns:r="http://schemas.openxmlformats.org/officeDocument/2006/relationships" ref="M2851" r:id="rId3217"/>
    <hyperlink xmlns:r="http://schemas.openxmlformats.org/officeDocument/2006/relationships" ref="M2852" r:id="rId3218"/>
    <hyperlink xmlns:r="http://schemas.openxmlformats.org/officeDocument/2006/relationships" ref="M2853" r:id="rId3219"/>
    <hyperlink xmlns:r="http://schemas.openxmlformats.org/officeDocument/2006/relationships" ref="M2854" r:id="rId3220"/>
    <hyperlink xmlns:r="http://schemas.openxmlformats.org/officeDocument/2006/relationships" ref="M2855" r:id="rId3221"/>
    <hyperlink xmlns:r="http://schemas.openxmlformats.org/officeDocument/2006/relationships" ref="M2856" r:id="rId3222"/>
    <hyperlink xmlns:r="http://schemas.openxmlformats.org/officeDocument/2006/relationships" ref="M2857" r:id="rId3223"/>
    <hyperlink xmlns:r="http://schemas.openxmlformats.org/officeDocument/2006/relationships" ref="M2858" r:id="rId3224"/>
    <hyperlink xmlns:r="http://schemas.openxmlformats.org/officeDocument/2006/relationships" ref="M2859" r:id="rId3225"/>
    <hyperlink xmlns:r="http://schemas.openxmlformats.org/officeDocument/2006/relationships" ref="M2860" r:id="rId3226"/>
    <hyperlink xmlns:r="http://schemas.openxmlformats.org/officeDocument/2006/relationships" ref="M2861" r:id="rId3227"/>
    <hyperlink xmlns:r="http://schemas.openxmlformats.org/officeDocument/2006/relationships" ref="M2862" r:id="rId3228"/>
    <hyperlink xmlns:r="http://schemas.openxmlformats.org/officeDocument/2006/relationships" ref="M2863" r:id="rId3229"/>
    <hyperlink xmlns:r="http://schemas.openxmlformats.org/officeDocument/2006/relationships" ref="M2864" r:id="rId3230"/>
    <hyperlink xmlns:r="http://schemas.openxmlformats.org/officeDocument/2006/relationships" ref="M2865" r:id="rId3231"/>
    <hyperlink xmlns:r="http://schemas.openxmlformats.org/officeDocument/2006/relationships" ref="M2866" r:id="rId3232"/>
    <hyperlink xmlns:r="http://schemas.openxmlformats.org/officeDocument/2006/relationships" ref="M2867" r:id="rId3233"/>
    <hyperlink xmlns:r="http://schemas.openxmlformats.org/officeDocument/2006/relationships" ref="M2868" r:id="rId3234"/>
    <hyperlink xmlns:r="http://schemas.openxmlformats.org/officeDocument/2006/relationships" ref="M2869" r:id="rId3235"/>
    <hyperlink xmlns:r="http://schemas.openxmlformats.org/officeDocument/2006/relationships" ref="M2870" r:id="rId3236"/>
    <hyperlink xmlns:r="http://schemas.openxmlformats.org/officeDocument/2006/relationships" ref="M2871" r:id="rId3237"/>
    <hyperlink xmlns:r="http://schemas.openxmlformats.org/officeDocument/2006/relationships" ref="M2872" r:id="rId3238"/>
    <hyperlink xmlns:r="http://schemas.openxmlformats.org/officeDocument/2006/relationships" ref="M2873" r:id="rId3239"/>
    <hyperlink xmlns:r="http://schemas.openxmlformats.org/officeDocument/2006/relationships" ref="M2874" r:id="rId3240"/>
    <hyperlink xmlns:r="http://schemas.openxmlformats.org/officeDocument/2006/relationships" ref="M2875" r:id="rId3241"/>
    <hyperlink xmlns:r="http://schemas.openxmlformats.org/officeDocument/2006/relationships" ref="M2876" r:id="rId3242"/>
    <hyperlink xmlns:r="http://schemas.openxmlformats.org/officeDocument/2006/relationships" ref="M2877" r:id="rId3243"/>
    <hyperlink xmlns:r="http://schemas.openxmlformats.org/officeDocument/2006/relationships" ref="M2878" r:id="rId3244"/>
    <hyperlink xmlns:r="http://schemas.openxmlformats.org/officeDocument/2006/relationships" ref="M2879" r:id="rId3245"/>
    <hyperlink xmlns:r="http://schemas.openxmlformats.org/officeDocument/2006/relationships" ref="M2880" r:id="rId3246"/>
    <hyperlink xmlns:r="http://schemas.openxmlformats.org/officeDocument/2006/relationships" ref="M2881" r:id="rId3247"/>
    <hyperlink xmlns:r="http://schemas.openxmlformats.org/officeDocument/2006/relationships" ref="M2882" r:id="rId3248"/>
    <hyperlink xmlns:r="http://schemas.openxmlformats.org/officeDocument/2006/relationships" ref="M2883" r:id="rId3249"/>
    <hyperlink xmlns:r="http://schemas.openxmlformats.org/officeDocument/2006/relationships" ref="M2884" r:id="rId3250"/>
    <hyperlink xmlns:r="http://schemas.openxmlformats.org/officeDocument/2006/relationships" ref="M2885" r:id="rId3251"/>
    <hyperlink xmlns:r="http://schemas.openxmlformats.org/officeDocument/2006/relationships" ref="M2886" r:id="rId3252"/>
    <hyperlink xmlns:r="http://schemas.openxmlformats.org/officeDocument/2006/relationships" ref="M2887" r:id="rId3253"/>
    <hyperlink xmlns:r="http://schemas.openxmlformats.org/officeDocument/2006/relationships" ref="M2888" r:id="rId3254"/>
    <hyperlink xmlns:r="http://schemas.openxmlformats.org/officeDocument/2006/relationships" ref="M2889" r:id="rId3255"/>
    <hyperlink xmlns:r="http://schemas.openxmlformats.org/officeDocument/2006/relationships" ref="M2890" r:id="rId3256"/>
    <hyperlink xmlns:r="http://schemas.openxmlformats.org/officeDocument/2006/relationships" ref="M2891" r:id="rId3257"/>
    <hyperlink xmlns:r="http://schemas.openxmlformats.org/officeDocument/2006/relationships" ref="M2892" r:id="rId3258"/>
    <hyperlink xmlns:r="http://schemas.openxmlformats.org/officeDocument/2006/relationships" ref="M2893" r:id="rId3259"/>
    <hyperlink xmlns:r="http://schemas.openxmlformats.org/officeDocument/2006/relationships" ref="M2894" r:id="rId3260"/>
    <hyperlink xmlns:r="http://schemas.openxmlformats.org/officeDocument/2006/relationships" ref="M2895" r:id="rId3261"/>
    <hyperlink xmlns:r="http://schemas.openxmlformats.org/officeDocument/2006/relationships" ref="M2896" r:id="rId3262"/>
    <hyperlink xmlns:r="http://schemas.openxmlformats.org/officeDocument/2006/relationships" ref="M2897" r:id="rId3263"/>
    <hyperlink xmlns:r="http://schemas.openxmlformats.org/officeDocument/2006/relationships" ref="M2898" r:id="rId3264"/>
    <hyperlink xmlns:r="http://schemas.openxmlformats.org/officeDocument/2006/relationships" ref="M2899" r:id="rId3265"/>
    <hyperlink xmlns:r="http://schemas.openxmlformats.org/officeDocument/2006/relationships" ref="M2900" r:id="rId3266"/>
    <hyperlink xmlns:r="http://schemas.openxmlformats.org/officeDocument/2006/relationships" ref="M2901" r:id="rId3267"/>
    <hyperlink xmlns:r="http://schemas.openxmlformats.org/officeDocument/2006/relationships" ref="M2902" r:id="rId3268"/>
    <hyperlink xmlns:r="http://schemas.openxmlformats.org/officeDocument/2006/relationships" ref="M2903" r:id="rId3269"/>
    <hyperlink xmlns:r="http://schemas.openxmlformats.org/officeDocument/2006/relationships" ref="M2904" r:id="rId3270"/>
    <hyperlink xmlns:r="http://schemas.openxmlformats.org/officeDocument/2006/relationships" ref="M2905" r:id="rId3271"/>
    <hyperlink xmlns:r="http://schemas.openxmlformats.org/officeDocument/2006/relationships" ref="M2906" r:id="rId3272"/>
    <hyperlink xmlns:r="http://schemas.openxmlformats.org/officeDocument/2006/relationships" ref="M2907" r:id="rId3273"/>
    <hyperlink xmlns:r="http://schemas.openxmlformats.org/officeDocument/2006/relationships" ref="M2908" r:id="rId3274"/>
    <hyperlink xmlns:r="http://schemas.openxmlformats.org/officeDocument/2006/relationships" ref="M2909" r:id="rId3275"/>
    <hyperlink xmlns:r="http://schemas.openxmlformats.org/officeDocument/2006/relationships" ref="M2910" r:id="rId3276"/>
    <hyperlink xmlns:r="http://schemas.openxmlformats.org/officeDocument/2006/relationships" ref="M2911" r:id="rId3277"/>
    <hyperlink xmlns:r="http://schemas.openxmlformats.org/officeDocument/2006/relationships" ref="M2912" r:id="rId3278"/>
    <hyperlink xmlns:r="http://schemas.openxmlformats.org/officeDocument/2006/relationships" ref="M2913" r:id="rId3279"/>
    <hyperlink xmlns:r="http://schemas.openxmlformats.org/officeDocument/2006/relationships" ref="M2914" r:id="rId3280"/>
    <hyperlink xmlns:r="http://schemas.openxmlformats.org/officeDocument/2006/relationships" ref="M2915" r:id="rId3281"/>
    <hyperlink xmlns:r="http://schemas.openxmlformats.org/officeDocument/2006/relationships" ref="M2916" r:id="rId3282"/>
    <hyperlink xmlns:r="http://schemas.openxmlformats.org/officeDocument/2006/relationships" ref="M2917" r:id="rId3283"/>
    <hyperlink xmlns:r="http://schemas.openxmlformats.org/officeDocument/2006/relationships" ref="M2918" r:id="rId3284"/>
    <hyperlink xmlns:r="http://schemas.openxmlformats.org/officeDocument/2006/relationships" ref="M2919" r:id="rId3285"/>
    <hyperlink xmlns:r="http://schemas.openxmlformats.org/officeDocument/2006/relationships" ref="M2920" r:id="rId3286"/>
    <hyperlink xmlns:r="http://schemas.openxmlformats.org/officeDocument/2006/relationships" ref="M2921" r:id="rId3287"/>
    <hyperlink xmlns:r="http://schemas.openxmlformats.org/officeDocument/2006/relationships" ref="M2922" r:id="rId3288"/>
    <hyperlink xmlns:r="http://schemas.openxmlformats.org/officeDocument/2006/relationships" ref="M2923" r:id="rId3289"/>
    <hyperlink xmlns:r="http://schemas.openxmlformats.org/officeDocument/2006/relationships" ref="M2924" r:id="rId3290"/>
    <hyperlink xmlns:r="http://schemas.openxmlformats.org/officeDocument/2006/relationships" ref="M2925" r:id="rId3291"/>
    <hyperlink xmlns:r="http://schemas.openxmlformats.org/officeDocument/2006/relationships" ref="M2926" r:id="rId3292"/>
    <hyperlink xmlns:r="http://schemas.openxmlformats.org/officeDocument/2006/relationships" ref="M2927" r:id="rId3293"/>
    <hyperlink xmlns:r="http://schemas.openxmlformats.org/officeDocument/2006/relationships" ref="M2928" r:id="rId3294"/>
    <hyperlink xmlns:r="http://schemas.openxmlformats.org/officeDocument/2006/relationships" ref="M2929" r:id="rId3295"/>
    <hyperlink xmlns:r="http://schemas.openxmlformats.org/officeDocument/2006/relationships" ref="M2930" r:id="rId3296"/>
    <hyperlink xmlns:r="http://schemas.openxmlformats.org/officeDocument/2006/relationships" ref="M2931" r:id="rId3297"/>
    <hyperlink xmlns:r="http://schemas.openxmlformats.org/officeDocument/2006/relationships" ref="M2932" r:id="rId3298"/>
    <hyperlink xmlns:r="http://schemas.openxmlformats.org/officeDocument/2006/relationships" ref="M2933" r:id="rId3299"/>
    <hyperlink xmlns:r="http://schemas.openxmlformats.org/officeDocument/2006/relationships" ref="M2934" r:id="rId3300"/>
    <hyperlink xmlns:r="http://schemas.openxmlformats.org/officeDocument/2006/relationships" ref="M2935" r:id="rId3301"/>
    <hyperlink xmlns:r="http://schemas.openxmlformats.org/officeDocument/2006/relationships" ref="M2936" r:id="rId3302"/>
    <hyperlink xmlns:r="http://schemas.openxmlformats.org/officeDocument/2006/relationships" ref="M2937" r:id="rId3303"/>
    <hyperlink xmlns:r="http://schemas.openxmlformats.org/officeDocument/2006/relationships" ref="M2938" r:id="rId3304"/>
    <hyperlink xmlns:r="http://schemas.openxmlformats.org/officeDocument/2006/relationships" ref="M2939" r:id="rId3305"/>
    <hyperlink xmlns:r="http://schemas.openxmlformats.org/officeDocument/2006/relationships" ref="M2940" r:id="rId3306"/>
    <hyperlink xmlns:r="http://schemas.openxmlformats.org/officeDocument/2006/relationships" ref="M2941" r:id="rId3307"/>
    <hyperlink xmlns:r="http://schemas.openxmlformats.org/officeDocument/2006/relationships" ref="M2942" r:id="rId3308"/>
    <hyperlink xmlns:r="http://schemas.openxmlformats.org/officeDocument/2006/relationships" ref="M2943" r:id="rId3309"/>
    <hyperlink xmlns:r="http://schemas.openxmlformats.org/officeDocument/2006/relationships" ref="M2944" r:id="rId3310"/>
    <hyperlink xmlns:r="http://schemas.openxmlformats.org/officeDocument/2006/relationships" ref="M2945" r:id="rId3311"/>
    <hyperlink xmlns:r="http://schemas.openxmlformats.org/officeDocument/2006/relationships" ref="M2946" r:id="rId3312"/>
    <hyperlink xmlns:r="http://schemas.openxmlformats.org/officeDocument/2006/relationships" ref="M2947" r:id="rId3313"/>
    <hyperlink xmlns:r="http://schemas.openxmlformats.org/officeDocument/2006/relationships" ref="M2948" r:id="rId3314"/>
    <hyperlink xmlns:r="http://schemas.openxmlformats.org/officeDocument/2006/relationships" ref="M2949" r:id="rId3315"/>
    <hyperlink xmlns:r="http://schemas.openxmlformats.org/officeDocument/2006/relationships" ref="M2950" r:id="rId3316"/>
    <hyperlink xmlns:r="http://schemas.openxmlformats.org/officeDocument/2006/relationships" ref="M2951" r:id="rId3317"/>
    <hyperlink xmlns:r="http://schemas.openxmlformats.org/officeDocument/2006/relationships" ref="M2952" r:id="rId3318"/>
    <hyperlink xmlns:r="http://schemas.openxmlformats.org/officeDocument/2006/relationships" ref="M2953" r:id="rId3319"/>
    <hyperlink xmlns:r="http://schemas.openxmlformats.org/officeDocument/2006/relationships" ref="M2954" r:id="rId3320"/>
    <hyperlink xmlns:r="http://schemas.openxmlformats.org/officeDocument/2006/relationships" ref="M2955" r:id="rId3321"/>
    <hyperlink xmlns:r="http://schemas.openxmlformats.org/officeDocument/2006/relationships" ref="M2956" r:id="rId3322"/>
    <hyperlink xmlns:r="http://schemas.openxmlformats.org/officeDocument/2006/relationships" ref="M2957" r:id="rId3323"/>
    <hyperlink xmlns:r="http://schemas.openxmlformats.org/officeDocument/2006/relationships" ref="M2958" r:id="rId3324"/>
    <hyperlink xmlns:r="http://schemas.openxmlformats.org/officeDocument/2006/relationships" ref="M2959" r:id="rId3325"/>
    <hyperlink xmlns:r="http://schemas.openxmlformats.org/officeDocument/2006/relationships" ref="M2960" r:id="rId3326"/>
    <hyperlink xmlns:r="http://schemas.openxmlformats.org/officeDocument/2006/relationships" ref="M2961" r:id="rId3327"/>
    <hyperlink xmlns:r="http://schemas.openxmlformats.org/officeDocument/2006/relationships" ref="M2962" r:id="rId3328"/>
    <hyperlink xmlns:r="http://schemas.openxmlformats.org/officeDocument/2006/relationships" ref="M2963" r:id="rId3329"/>
    <hyperlink xmlns:r="http://schemas.openxmlformats.org/officeDocument/2006/relationships" ref="M2964" r:id="rId3330"/>
    <hyperlink xmlns:r="http://schemas.openxmlformats.org/officeDocument/2006/relationships" ref="M2965" r:id="rId3331"/>
    <hyperlink xmlns:r="http://schemas.openxmlformats.org/officeDocument/2006/relationships" ref="M2966" r:id="rId3332"/>
    <hyperlink xmlns:r="http://schemas.openxmlformats.org/officeDocument/2006/relationships" ref="M2967" r:id="rId3333"/>
    <hyperlink xmlns:r="http://schemas.openxmlformats.org/officeDocument/2006/relationships" ref="M2968" r:id="rId3334"/>
    <hyperlink xmlns:r="http://schemas.openxmlformats.org/officeDocument/2006/relationships" ref="M2969" r:id="rId3335"/>
    <hyperlink xmlns:r="http://schemas.openxmlformats.org/officeDocument/2006/relationships" ref="M2970" r:id="rId3336"/>
    <hyperlink xmlns:r="http://schemas.openxmlformats.org/officeDocument/2006/relationships" ref="M2971" r:id="rId3337"/>
    <hyperlink xmlns:r="http://schemas.openxmlformats.org/officeDocument/2006/relationships" ref="N2971" r:id="rId3338"/>
    <hyperlink xmlns:r="http://schemas.openxmlformats.org/officeDocument/2006/relationships" ref="N2972" r:id="rId3339"/>
    <hyperlink xmlns:r="http://schemas.openxmlformats.org/officeDocument/2006/relationships" ref="M2973" r:id="rId3340"/>
    <hyperlink xmlns:r="http://schemas.openxmlformats.org/officeDocument/2006/relationships" ref="M2974" r:id="rId3341"/>
    <hyperlink xmlns:r="http://schemas.openxmlformats.org/officeDocument/2006/relationships" ref="N2974" r:id="rId3342"/>
    <hyperlink xmlns:r="http://schemas.openxmlformats.org/officeDocument/2006/relationships" ref="M2975" r:id="rId3343"/>
    <hyperlink xmlns:r="http://schemas.openxmlformats.org/officeDocument/2006/relationships" ref="N2975" r:id="rId3344"/>
    <hyperlink xmlns:r="http://schemas.openxmlformats.org/officeDocument/2006/relationships" ref="M2976" r:id="rId3345"/>
    <hyperlink xmlns:r="http://schemas.openxmlformats.org/officeDocument/2006/relationships" ref="N2976" r:id="rId3346"/>
    <hyperlink xmlns:r="http://schemas.openxmlformats.org/officeDocument/2006/relationships" ref="M2977" r:id="rId3347"/>
    <hyperlink xmlns:r="http://schemas.openxmlformats.org/officeDocument/2006/relationships" ref="M2978" r:id="rId3348"/>
    <hyperlink xmlns:r="http://schemas.openxmlformats.org/officeDocument/2006/relationships" ref="M2979" r:id="rId3349"/>
    <hyperlink xmlns:r="http://schemas.openxmlformats.org/officeDocument/2006/relationships" ref="M2980" r:id="rId3350"/>
    <hyperlink xmlns:r="http://schemas.openxmlformats.org/officeDocument/2006/relationships" ref="M2981" r:id="rId3351"/>
    <hyperlink xmlns:r="http://schemas.openxmlformats.org/officeDocument/2006/relationships" ref="M2982" r:id="rId3352"/>
    <hyperlink xmlns:r="http://schemas.openxmlformats.org/officeDocument/2006/relationships" ref="M2983" r:id="rId3353"/>
    <hyperlink xmlns:r="http://schemas.openxmlformats.org/officeDocument/2006/relationships" ref="M2984" r:id="rId3354"/>
    <hyperlink xmlns:r="http://schemas.openxmlformats.org/officeDocument/2006/relationships" ref="N2985" r:id="rId3355"/>
    <hyperlink xmlns:r="http://schemas.openxmlformats.org/officeDocument/2006/relationships" ref="N2986" r:id="rId3356"/>
    <hyperlink xmlns:r="http://schemas.openxmlformats.org/officeDocument/2006/relationships" ref="N2987" r:id="rId3357"/>
    <hyperlink xmlns:r="http://schemas.openxmlformats.org/officeDocument/2006/relationships" ref="N2988" r:id="rId3358"/>
    <hyperlink xmlns:r="http://schemas.openxmlformats.org/officeDocument/2006/relationships" ref="N2989" r:id="rId3359"/>
    <hyperlink xmlns:r="http://schemas.openxmlformats.org/officeDocument/2006/relationships" ref="N2990" r:id="rId3360"/>
    <hyperlink xmlns:r="http://schemas.openxmlformats.org/officeDocument/2006/relationships" ref="N2991" r:id="rId3361"/>
    <hyperlink xmlns:r="http://schemas.openxmlformats.org/officeDocument/2006/relationships" ref="N2992" r:id="rId3362"/>
    <hyperlink xmlns:r="http://schemas.openxmlformats.org/officeDocument/2006/relationships" ref="N2993" r:id="rId3363"/>
    <hyperlink xmlns:r="http://schemas.openxmlformats.org/officeDocument/2006/relationships" ref="M2994" r:id="rId3364"/>
    <hyperlink xmlns:r="http://schemas.openxmlformats.org/officeDocument/2006/relationships" ref="N2994" r:id="rId3365"/>
    <hyperlink xmlns:r="http://schemas.openxmlformats.org/officeDocument/2006/relationships" ref="N2995" r:id="rId3366"/>
    <hyperlink xmlns:r="http://schemas.openxmlformats.org/officeDocument/2006/relationships" ref="N2996" r:id="rId3367"/>
    <hyperlink xmlns:r="http://schemas.openxmlformats.org/officeDocument/2006/relationships" ref="N2997" r:id="rId3368"/>
    <hyperlink xmlns:r="http://schemas.openxmlformats.org/officeDocument/2006/relationships" ref="N2998" r:id="rId3369"/>
    <hyperlink xmlns:r="http://schemas.openxmlformats.org/officeDocument/2006/relationships" ref="M2999" r:id="rId3370"/>
    <hyperlink xmlns:r="http://schemas.openxmlformats.org/officeDocument/2006/relationships" ref="M3000" r:id="rId3371"/>
    <hyperlink xmlns:r="http://schemas.openxmlformats.org/officeDocument/2006/relationships" ref="M3001" r:id="rId3372"/>
    <hyperlink xmlns:r="http://schemas.openxmlformats.org/officeDocument/2006/relationships" ref="M3002" r:id="rId3373"/>
    <hyperlink xmlns:r="http://schemas.openxmlformats.org/officeDocument/2006/relationships" ref="M3003" r:id="rId3374"/>
    <hyperlink xmlns:r="http://schemas.openxmlformats.org/officeDocument/2006/relationships" ref="N3004" r:id="rId3375"/>
    <hyperlink xmlns:r="http://schemas.openxmlformats.org/officeDocument/2006/relationships" ref="N3005" r:id="rId3376"/>
    <hyperlink xmlns:r="http://schemas.openxmlformats.org/officeDocument/2006/relationships" ref="N3006" r:id="rId3377"/>
    <hyperlink xmlns:r="http://schemas.openxmlformats.org/officeDocument/2006/relationships" ref="N3007" r:id="rId3378"/>
    <hyperlink xmlns:r="http://schemas.openxmlformats.org/officeDocument/2006/relationships" ref="N3008" r:id="rId3379"/>
    <hyperlink xmlns:r="http://schemas.openxmlformats.org/officeDocument/2006/relationships" ref="N3009" r:id="rId3380"/>
    <hyperlink xmlns:r="http://schemas.openxmlformats.org/officeDocument/2006/relationships" ref="N3010" r:id="rId3381"/>
    <hyperlink xmlns:r="http://schemas.openxmlformats.org/officeDocument/2006/relationships" ref="N3011" r:id="rId3382"/>
    <hyperlink xmlns:r="http://schemas.openxmlformats.org/officeDocument/2006/relationships" ref="N3012" r:id="rId3383"/>
    <hyperlink xmlns:r="http://schemas.openxmlformats.org/officeDocument/2006/relationships" ref="N3013" r:id="rId3384"/>
    <hyperlink xmlns:r="http://schemas.openxmlformats.org/officeDocument/2006/relationships" ref="N3014" r:id="rId3385"/>
    <hyperlink xmlns:r="http://schemas.openxmlformats.org/officeDocument/2006/relationships" ref="N3015" r:id="rId3386"/>
    <hyperlink xmlns:r="http://schemas.openxmlformats.org/officeDocument/2006/relationships" ref="N3016" r:id="rId3387"/>
    <hyperlink xmlns:r="http://schemas.openxmlformats.org/officeDocument/2006/relationships" ref="N3017" r:id="rId3388"/>
    <hyperlink xmlns:r="http://schemas.openxmlformats.org/officeDocument/2006/relationships" ref="N3018" r:id="rId3389"/>
    <hyperlink xmlns:r="http://schemas.openxmlformats.org/officeDocument/2006/relationships" ref="N3019" r:id="rId3390"/>
    <hyperlink xmlns:r="http://schemas.openxmlformats.org/officeDocument/2006/relationships" ref="N3020" r:id="rId3391"/>
    <hyperlink xmlns:r="http://schemas.openxmlformats.org/officeDocument/2006/relationships" ref="N3021" r:id="rId3392"/>
    <hyperlink xmlns:r="http://schemas.openxmlformats.org/officeDocument/2006/relationships" ref="N3022" r:id="rId3393"/>
    <hyperlink xmlns:r="http://schemas.openxmlformats.org/officeDocument/2006/relationships" ref="N3023" r:id="rId3394"/>
    <hyperlink xmlns:r="http://schemas.openxmlformats.org/officeDocument/2006/relationships" ref="N3024" r:id="rId3395"/>
    <hyperlink xmlns:r="http://schemas.openxmlformats.org/officeDocument/2006/relationships" ref="N3025" r:id="rId3396"/>
    <hyperlink xmlns:r="http://schemas.openxmlformats.org/officeDocument/2006/relationships" ref="N3026" r:id="rId3397"/>
    <hyperlink xmlns:r="http://schemas.openxmlformats.org/officeDocument/2006/relationships" ref="N3027" r:id="rId3398"/>
    <hyperlink xmlns:r="http://schemas.openxmlformats.org/officeDocument/2006/relationships" ref="N3028" r:id="rId3399"/>
    <hyperlink xmlns:r="http://schemas.openxmlformats.org/officeDocument/2006/relationships" ref="N3029" r:id="rId3400"/>
    <hyperlink xmlns:r="http://schemas.openxmlformats.org/officeDocument/2006/relationships" ref="N3030" r:id="rId3401"/>
    <hyperlink xmlns:r="http://schemas.openxmlformats.org/officeDocument/2006/relationships" ref="N3031" r:id="rId3402"/>
    <hyperlink xmlns:r="http://schemas.openxmlformats.org/officeDocument/2006/relationships" ref="N3032" r:id="rId3403"/>
    <hyperlink xmlns:r="http://schemas.openxmlformats.org/officeDocument/2006/relationships" ref="N3033" r:id="rId3404"/>
    <hyperlink xmlns:r="http://schemas.openxmlformats.org/officeDocument/2006/relationships" ref="N3034" r:id="rId3405"/>
    <hyperlink xmlns:r="http://schemas.openxmlformats.org/officeDocument/2006/relationships" ref="N3035" r:id="rId3406"/>
    <hyperlink xmlns:r="http://schemas.openxmlformats.org/officeDocument/2006/relationships" ref="N3036" r:id="rId3407"/>
    <hyperlink xmlns:r="http://schemas.openxmlformats.org/officeDocument/2006/relationships" ref="N3037" r:id="rId3408"/>
    <hyperlink xmlns:r="http://schemas.openxmlformats.org/officeDocument/2006/relationships" ref="N3038" r:id="rId3409"/>
    <hyperlink xmlns:r="http://schemas.openxmlformats.org/officeDocument/2006/relationships" ref="N3039" r:id="rId3410"/>
    <hyperlink xmlns:r="http://schemas.openxmlformats.org/officeDocument/2006/relationships" ref="N3040" r:id="rId3411"/>
    <hyperlink xmlns:r="http://schemas.openxmlformats.org/officeDocument/2006/relationships" ref="N3041" r:id="rId3412"/>
    <hyperlink xmlns:r="http://schemas.openxmlformats.org/officeDocument/2006/relationships" ref="N3042" r:id="rId3413"/>
    <hyperlink xmlns:r="http://schemas.openxmlformats.org/officeDocument/2006/relationships" ref="N3043" r:id="rId3414"/>
    <hyperlink xmlns:r="http://schemas.openxmlformats.org/officeDocument/2006/relationships" ref="N3044" r:id="rId3415"/>
    <hyperlink xmlns:r="http://schemas.openxmlformats.org/officeDocument/2006/relationships" ref="N3045" r:id="rId3416"/>
    <hyperlink xmlns:r="http://schemas.openxmlformats.org/officeDocument/2006/relationships" ref="N3046" r:id="rId3417"/>
    <hyperlink xmlns:r="http://schemas.openxmlformats.org/officeDocument/2006/relationships" ref="N3047" r:id="rId3418"/>
    <hyperlink xmlns:r="http://schemas.openxmlformats.org/officeDocument/2006/relationships" ref="N3048" r:id="rId3419"/>
    <hyperlink xmlns:r="http://schemas.openxmlformats.org/officeDocument/2006/relationships" ref="M3049" r:id="rId3420"/>
    <hyperlink xmlns:r="http://schemas.openxmlformats.org/officeDocument/2006/relationships" ref="N3049" r:id="rId3421"/>
    <hyperlink xmlns:r="http://schemas.openxmlformats.org/officeDocument/2006/relationships" ref="M3050" r:id="rId3422"/>
    <hyperlink xmlns:r="http://schemas.openxmlformats.org/officeDocument/2006/relationships" ref="N3050" r:id="rId3423"/>
    <hyperlink xmlns:r="http://schemas.openxmlformats.org/officeDocument/2006/relationships" ref="M3051" r:id="rId3424"/>
    <hyperlink xmlns:r="http://schemas.openxmlformats.org/officeDocument/2006/relationships" ref="M3052" r:id="rId3425"/>
    <hyperlink xmlns:r="http://schemas.openxmlformats.org/officeDocument/2006/relationships" ref="M3053" r:id="rId3426"/>
    <hyperlink xmlns:r="http://schemas.openxmlformats.org/officeDocument/2006/relationships" ref="M3054" r:id="rId3427"/>
    <hyperlink xmlns:r="http://schemas.openxmlformats.org/officeDocument/2006/relationships" ref="M3055" r:id="rId3428"/>
    <hyperlink xmlns:r="http://schemas.openxmlformats.org/officeDocument/2006/relationships" ref="M3056" r:id="rId3429"/>
    <hyperlink xmlns:r="http://schemas.openxmlformats.org/officeDocument/2006/relationships" ref="M3057" r:id="rId3430"/>
    <hyperlink xmlns:r="http://schemas.openxmlformats.org/officeDocument/2006/relationships" ref="M3058" r:id="rId3431"/>
    <hyperlink xmlns:r="http://schemas.openxmlformats.org/officeDocument/2006/relationships" ref="M3059" r:id="rId3432"/>
    <hyperlink xmlns:r="http://schemas.openxmlformats.org/officeDocument/2006/relationships" ref="M3060" r:id="rId3433"/>
    <hyperlink xmlns:r="http://schemas.openxmlformats.org/officeDocument/2006/relationships" ref="N3061" r:id="rId3434"/>
    <hyperlink xmlns:r="http://schemas.openxmlformats.org/officeDocument/2006/relationships" ref="N3062" r:id="rId3435"/>
    <hyperlink xmlns:r="http://schemas.openxmlformats.org/officeDocument/2006/relationships" ref="N3063" r:id="rId3436"/>
    <hyperlink xmlns:r="http://schemas.openxmlformats.org/officeDocument/2006/relationships" ref="N3064" r:id="rId3437"/>
    <hyperlink xmlns:r="http://schemas.openxmlformats.org/officeDocument/2006/relationships" ref="N3065" r:id="rId3438"/>
    <hyperlink xmlns:r="http://schemas.openxmlformats.org/officeDocument/2006/relationships" ref="N3066" r:id="rId3439"/>
    <hyperlink xmlns:r="http://schemas.openxmlformats.org/officeDocument/2006/relationships" ref="N3067" r:id="rId3440"/>
    <hyperlink xmlns:r="http://schemas.openxmlformats.org/officeDocument/2006/relationships" ref="N3068" r:id="rId3441"/>
    <hyperlink xmlns:r="http://schemas.openxmlformats.org/officeDocument/2006/relationships" ref="N3069" r:id="rId3442"/>
    <hyperlink xmlns:r="http://schemas.openxmlformats.org/officeDocument/2006/relationships" ref="N3070" r:id="rId3443"/>
    <hyperlink xmlns:r="http://schemas.openxmlformats.org/officeDocument/2006/relationships" ref="N3071" r:id="rId3444"/>
    <hyperlink xmlns:r="http://schemas.openxmlformats.org/officeDocument/2006/relationships" ref="N3072" r:id="rId3445"/>
    <hyperlink xmlns:r="http://schemas.openxmlformats.org/officeDocument/2006/relationships" ref="N3073" r:id="rId3446"/>
    <hyperlink xmlns:r="http://schemas.openxmlformats.org/officeDocument/2006/relationships" ref="N3074" r:id="rId3447"/>
    <hyperlink xmlns:r="http://schemas.openxmlformats.org/officeDocument/2006/relationships" ref="N3075" r:id="rId3448"/>
    <hyperlink xmlns:r="http://schemas.openxmlformats.org/officeDocument/2006/relationships" ref="N3076" r:id="rId3449"/>
    <hyperlink xmlns:r="http://schemas.openxmlformats.org/officeDocument/2006/relationships" ref="N3077" r:id="rId3450"/>
    <hyperlink xmlns:r="http://schemas.openxmlformats.org/officeDocument/2006/relationships" ref="N3078" r:id="rId3451"/>
    <hyperlink xmlns:r="http://schemas.openxmlformats.org/officeDocument/2006/relationships" ref="N3079" r:id="rId3452"/>
    <hyperlink xmlns:r="http://schemas.openxmlformats.org/officeDocument/2006/relationships" ref="N3080" r:id="rId3453"/>
    <hyperlink xmlns:r="http://schemas.openxmlformats.org/officeDocument/2006/relationships" ref="N3081" r:id="rId3454"/>
    <hyperlink xmlns:r="http://schemas.openxmlformats.org/officeDocument/2006/relationships" ref="N3082" r:id="rId3455"/>
    <hyperlink xmlns:r="http://schemas.openxmlformats.org/officeDocument/2006/relationships" ref="N3083" r:id="rId3456"/>
    <hyperlink xmlns:r="http://schemas.openxmlformats.org/officeDocument/2006/relationships" ref="N3084" r:id="rId3457"/>
    <hyperlink xmlns:r="http://schemas.openxmlformats.org/officeDocument/2006/relationships" ref="N3085" r:id="rId3458"/>
    <hyperlink xmlns:r="http://schemas.openxmlformats.org/officeDocument/2006/relationships" ref="N3086" r:id="rId3459"/>
    <hyperlink xmlns:r="http://schemas.openxmlformats.org/officeDocument/2006/relationships" ref="M3087" r:id="rId3460"/>
    <hyperlink xmlns:r="http://schemas.openxmlformats.org/officeDocument/2006/relationships" ref="M3088" r:id="rId3461"/>
    <hyperlink xmlns:r="http://schemas.openxmlformats.org/officeDocument/2006/relationships" ref="N3088" r:id="rId3462"/>
    <hyperlink xmlns:r="http://schemas.openxmlformats.org/officeDocument/2006/relationships" ref="M3089" r:id="rId3463"/>
    <hyperlink xmlns:r="http://schemas.openxmlformats.org/officeDocument/2006/relationships" ref="M3090" r:id="rId3464"/>
    <hyperlink xmlns:r="http://schemas.openxmlformats.org/officeDocument/2006/relationships" ref="M3091" r:id="rId3465"/>
    <hyperlink xmlns:r="http://schemas.openxmlformats.org/officeDocument/2006/relationships" ref="N3091" r:id="rId3466"/>
    <hyperlink xmlns:r="http://schemas.openxmlformats.org/officeDocument/2006/relationships" ref="M3092" r:id="rId3467"/>
    <hyperlink xmlns:r="http://schemas.openxmlformats.org/officeDocument/2006/relationships" ref="M3093" r:id="rId3468"/>
    <hyperlink xmlns:r="http://schemas.openxmlformats.org/officeDocument/2006/relationships" ref="M3094" r:id="rId3469"/>
    <hyperlink xmlns:r="http://schemas.openxmlformats.org/officeDocument/2006/relationships" ref="N3094" r:id="rId3470"/>
    <hyperlink xmlns:r="http://schemas.openxmlformats.org/officeDocument/2006/relationships" ref="N3095" r:id="rId3471"/>
    <hyperlink xmlns:r="http://schemas.openxmlformats.org/officeDocument/2006/relationships" ref="M3096" r:id="rId3472"/>
    <hyperlink xmlns:r="http://schemas.openxmlformats.org/officeDocument/2006/relationships" ref="M3097" r:id="rId3473"/>
    <hyperlink xmlns:r="http://schemas.openxmlformats.org/officeDocument/2006/relationships" ref="N3098" r:id="rId3474"/>
    <hyperlink xmlns:r="http://schemas.openxmlformats.org/officeDocument/2006/relationships" ref="M3099" r:id="rId3475"/>
    <hyperlink xmlns:r="http://schemas.openxmlformats.org/officeDocument/2006/relationships" ref="M3100" r:id="rId3476"/>
    <hyperlink xmlns:r="http://schemas.openxmlformats.org/officeDocument/2006/relationships" ref="M3101" r:id="rId3477"/>
    <hyperlink xmlns:r="http://schemas.openxmlformats.org/officeDocument/2006/relationships" ref="N3101" r:id="rId3478"/>
    <hyperlink xmlns:r="http://schemas.openxmlformats.org/officeDocument/2006/relationships" ref="N3102" r:id="rId3479"/>
    <hyperlink xmlns:r="http://schemas.openxmlformats.org/officeDocument/2006/relationships" ref="M3103" r:id="rId3480"/>
    <hyperlink xmlns:r="http://schemas.openxmlformats.org/officeDocument/2006/relationships" ref="M3104" r:id="rId3481"/>
    <hyperlink xmlns:r="http://schemas.openxmlformats.org/officeDocument/2006/relationships" ref="N3104" r:id="rId3482"/>
    <hyperlink xmlns:r="http://schemas.openxmlformats.org/officeDocument/2006/relationships" ref="M3105" r:id="rId3483"/>
    <hyperlink xmlns:r="http://schemas.openxmlformats.org/officeDocument/2006/relationships" ref="M3106" r:id="rId3484"/>
    <hyperlink xmlns:r="http://schemas.openxmlformats.org/officeDocument/2006/relationships" ref="N3106" r:id="rId3485"/>
    <hyperlink xmlns:r="http://schemas.openxmlformats.org/officeDocument/2006/relationships" ref="M3107" r:id="rId3486"/>
    <hyperlink xmlns:r="http://schemas.openxmlformats.org/officeDocument/2006/relationships" ref="M3108" r:id="rId3487"/>
    <hyperlink xmlns:r="http://schemas.openxmlformats.org/officeDocument/2006/relationships" ref="M3109" r:id="rId3488"/>
    <hyperlink xmlns:r="http://schemas.openxmlformats.org/officeDocument/2006/relationships" ref="M3110" r:id="rId3489"/>
    <hyperlink xmlns:r="http://schemas.openxmlformats.org/officeDocument/2006/relationships" ref="M3111" r:id="rId3490"/>
    <hyperlink xmlns:r="http://schemas.openxmlformats.org/officeDocument/2006/relationships" ref="M3112" r:id="rId3491"/>
    <hyperlink xmlns:r="http://schemas.openxmlformats.org/officeDocument/2006/relationships" ref="M3113" r:id="rId3492"/>
    <hyperlink xmlns:r="http://schemas.openxmlformats.org/officeDocument/2006/relationships" ref="M3114" r:id="rId3493"/>
    <hyperlink xmlns:r="http://schemas.openxmlformats.org/officeDocument/2006/relationships" ref="M3115" r:id="rId3494"/>
    <hyperlink xmlns:r="http://schemas.openxmlformats.org/officeDocument/2006/relationships" ref="M3116" r:id="rId3495"/>
    <hyperlink xmlns:r="http://schemas.openxmlformats.org/officeDocument/2006/relationships" ref="M3117" r:id="rId3496"/>
    <hyperlink xmlns:r="http://schemas.openxmlformats.org/officeDocument/2006/relationships" ref="M3118" r:id="rId3497"/>
    <hyperlink xmlns:r="http://schemas.openxmlformats.org/officeDocument/2006/relationships" ref="M3119" r:id="rId3498"/>
    <hyperlink xmlns:r="http://schemas.openxmlformats.org/officeDocument/2006/relationships" ref="M3120" r:id="rId3499"/>
    <hyperlink xmlns:r="http://schemas.openxmlformats.org/officeDocument/2006/relationships" ref="M3121" r:id="rId3500"/>
    <hyperlink xmlns:r="http://schemas.openxmlformats.org/officeDocument/2006/relationships" ref="M3122" r:id="rId3501"/>
    <hyperlink xmlns:r="http://schemas.openxmlformats.org/officeDocument/2006/relationships" ref="M3123" r:id="rId3502"/>
    <hyperlink xmlns:r="http://schemas.openxmlformats.org/officeDocument/2006/relationships" ref="M3124" r:id="rId3503"/>
    <hyperlink xmlns:r="http://schemas.openxmlformats.org/officeDocument/2006/relationships" ref="M3125" r:id="rId3504"/>
    <hyperlink xmlns:r="http://schemas.openxmlformats.org/officeDocument/2006/relationships" ref="M3126" r:id="rId3505"/>
    <hyperlink xmlns:r="http://schemas.openxmlformats.org/officeDocument/2006/relationships" ref="M3127" r:id="rId3506"/>
    <hyperlink xmlns:r="http://schemas.openxmlformats.org/officeDocument/2006/relationships" ref="M3128" r:id="rId3507"/>
    <hyperlink xmlns:r="http://schemas.openxmlformats.org/officeDocument/2006/relationships" ref="M3129" r:id="rId3508"/>
    <hyperlink xmlns:r="http://schemas.openxmlformats.org/officeDocument/2006/relationships" ref="M3130" r:id="rId3509"/>
    <hyperlink xmlns:r="http://schemas.openxmlformats.org/officeDocument/2006/relationships" ref="M3131" r:id="rId3510"/>
    <hyperlink xmlns:r="http://schemas.openxmlformats.org/officeDocument/2006/relationships" ref="M3132" r:id="rId3511"/>
    <hyperlink xmlns:r="http://schemas.openxmlformats.org/officeDocument/2006/relationships" ref="M3133" r:id="rId3512"/>
    <hyperlink xmlns:r="http://schemas.openxmlformats.org/officeDocument/2006/relationships" ref="M3134" r:id="rId3513"/>
    <hyperlink xmlns:r="http://schemas.openxmlformats.org/officeDocument/2006/relationships" ref="M3135" r:id="rId3514"/>
    <hyperlink xmlns:r="http://schemas.openxmlformats.org/officeDocument/2006/relationships" ref="M3136" r:id="rId3515"/>
    <hyperlink xmlns:r="http://schemas.openxmlformats.org/officeDocument/2006/relationships" ref="M3137" r:id="rId3516"/>
    <hyperlink xmlns:r="http://schemas.openxmlformats.org/officeDocument/2006/relationships" ref="M3138" r:id="rId3517"/>
    <hyperlink xmlns:r="http://schemas.openxmlformats.org/officeDocument/2006/relationships" ref="M3139" r:id="rId3518"/>
    <hyperlink xmlns:r="http://schemas.openxmlformats.org/officeDocument/2006/relationships" ref="M3140" r:id="rId3519"/>
    <hyperlink xmlns:r="http://schemas.openxmlformats.org/officeDocument/2006/relationships" ref="M3141" r:id="rId3520"/>
    <hyperlink xmlns:r="http://schemas.openxmlformats.org/officeDocument/2006/relationships" ref="M3142" r:id="rId3521"/>
    <hyperlink xmlns:r="http://schemas.openxmlformats.org/officeDocument/2006/relationships" ref="M3143" r:id="rId3522"/>
    <hyperlink xmlns:r="http://schemas.openxmlformats.org/officeDocument/2006/relationships" ref="M3144" r:id="rId3523"/>
    <hyperlink xmlns:r="http://schemas.openxmlformats.org/officeDocument/2006/relationships" ref="M3145" r:id="rId3524"/>
    <hyperlink xmlns:r="http://schemas.openxmlformats.org/officeDocument/2006/relationships" ref="N3145" r:id="rId3525"/>
    <hyperlink xmlns:r="http://schemas.openxmlformats.org/officeDocument/2006/relationships" ref="M3146" r:id="rId3526"/>
    <hyperlink xmlns:r="http://schemas.openxmlformats.org/officeDocument/2006/relationships" ref="N3146" r:id="rId3527"/>
    <hyperlink xmlns:r="http://schemas.openxmlformats.org/officeDocument/2006/relationships" ref="N3147" r:id="rId3528"/>
    <hyperlink xmlns:r="http://schemas.openxmlformats.org/officeDocument/2006/relationships" ref="M3148" r:id="rId3529"/>
    <hyperlink xmlns:r="http://schemas.openxmlformats.org/officeDocument/2006/relationships" ref="N3148" r:id="rId3530"/>
    <hyperlink xmlns:r="http://schemas.openxmlformats.org/officeDocument/2006/relationships" ref="M3149" r:id="rId3531"/>
    <hyperlink xmlns:r="http://schemas.openxmlformats.org/officeDocument/2006/relationships" ref="M3150" r:id="rId3532"/>
    <hyperlink xmlns:r="http://schemas.openxmlformats.org/officeDocument/2006/relationships" ref="N3150" r:id="rId3533"/>
    <hyperlink xmlns:r="http://schemas.openxmlformats.org/officeDocument/2006/relationships" ref="M3151" r:id="rId3534"/>
    <hyperlink xmlns:r="http://schemas.openxmlformats.org/officeDocument/2006/relationships" ref="N3152" r:id="rId3535"/>
    <hyperlink xmlns:r="http://schemas.openxmlformats.org/officeDocument/2006/relationships" ref="N3153" r:id="rId3536"/>
    <hyperlink xmlns:r="http://schemas.openxmlformats.org/officeDocument/2006/relationships" ref="M3154" r:id="rId3537"/>
    <hyperlink xmlns:r="http://schemas.openxmlformats.org/officeDocument/2006/relationships" ref="N3155" r:id="rId3538"/>
    <hyperlink xmlns:r="http://schemas.openxmlformats.org/officeDocument/2006/relationships" ref="M3156" r:id="rId3539"/>
    <hyperlink xmlns:r="http://schemas.openxmlformats.org/officeDocument/2006/relationships" ref="M3157" r:id="rId3540"/>
    <hyperlink xmlns:r="http://schemas.openxmlformats.org/officeDocument/2006/relationships" ref="N3158" r:id="rId3541"/>
    <hyperlink xmlns:r="http://schemas.openxmlformats.org/officeDocument/2006/relationships" ref="M3159" r:id="rId3542"/>
    <hyperlink xmlns:r="http://schemas.openxmlformats.org/officeDocument/2006/relationships" ref="N3160" r:id="rId3543"/>
    <hyperlink xmlns:r="http://schemas.openxmlformats.org/officeDocument/2006/relationships" ref="M3161" r:id="rId3544"/>
    <hyperlink xmlns:r="http://schemas.openxmlformats.org/officeDocument/2006/relationships" ref="N3162" r:id="rId3545"/>
    <hyperlink xmlns:r="http://schemas.openxmlformats.org/officeDocument/2006/relationships" ref="N3163" r:id="rId3546"/>
    <hyperlink xmlns:r="http://schemas.openxmlformats.org/officeDocument/2006/relationships" ref="N3164" r:id="rId3547"/>
    <hyperlink xmlns:r="http://schemas.openxmlformats.org/officeDocument/2006/relationships" ref="N3165" r:id="rId3548"/>
    <hyperlink xmlns:r="http://schemas.openxmlformats.org/officeDocument/2006/relationships" ref="N3166" r:id="rId3549"/>
    <hyperlink xmlns:r="http://schemas.openxmlformats.org/officeDocument/2006/relationships" ref="M3167" r:id="rId3550"/>
    <hyperlink xmlns:r="http://schemas.openxmlformats.org/officeDocument/2006/relationships" ref="M3168" r:id="rId3551"/>
    <hyperlink xmlns:r="http://schemas.openxmlformats.org/officeDocument/2006/relationships" ref="M3169" r:id="rId3552"/>
    <hyperlink xmlns:r="http://schemas.openxmlformats.org/officeDocument/2006/relationships" ref="M3170" r:id="rId3553"/>
    <hyperlink xmlns:r="http://schemas.openxmlformats.org/officeDocument/2006/relationships" ref="M3171" r:id="rId3554"/>
    <hyperlink xmlns:r="http://schemas.openxmlformats.org/officeDocument/2006/relationships" ref="N3172" r:id="rId3555"/>
    <hyperlink xmlns:r="http://schemas.openxmlformats.org/officeDocument/2006/relationships" ref="N3173" r:id="rId3556"/>
    <hyperlink xmlns:r="http://schemas.openxmlformats.org/officeDocument/2006/relationships" ref="N3174" r:id="rId3557"/>
    <hyperlink xmlns:r="http://schemas.openxmlformats.org/officeDocument/2006/relationships" ref="N3175" r:id="rId3558"/>
    <hyperlink xmlns:r="http://schemas.openxmlformats.org/officeDocument/2006/relationships" ref="N3176" r:id="rId3559"/>
    <hyperlink xmlns:r="http://schemas.openxmlformats.org/officeDocument/2006/relationships" ref="N3177" r:id="rId3560"/>
    <hyperlink xmlns:r="http://schemas.openxmlformats.org/officeDocument/2006/relationships" ref="N3178" r:id="rId3561"/>
    <hyperlink xmlns:r="http://schemas.openxmlformats.org/officeDocument/2006/relationships" ref="N3179" r:id="rId3562"/>
    <hyperlink xmlns:r="http://schemas.openxmlformats.org/officeDocument/2006/relationships" ref="N3180" r:id="rId3563"/>
    <hyperlink xmlns:r="http://schemas.openxmlformats.org/officeDocument/2006/relationships" ref="M3181" r:id="rId3564"/>
    <hyperlink xmlns:r="http://schemas.openxmlformats.org/officeDocument/2006/relationships" ref="M3182" r:id="rId3565"/>
    <hyperlink xmlns:r="http://schemas.openxmlformats.org/officeDocument/2006/relationships" ref="M3183" r:id="rId3566"/>
    <hyperlink xmlns:r="http://schemas.openxmlformats.org/officeDocument/2006/relationships" ref="M3184" r:id="rId3567"/>
    <hyperlink xmlns:r="http://schemas.openxmlformats.org/officeDocument/2006/relationships" ref="M3185" r:id="rId3568"/>
    <hyperlink xmlns:r="http://schemas.openxmlformats.org/officeDocument/2006/relationships" ref="M3186" r:id="rId3569"/>
    <hyperlink xmlns:r="http://schemas.openxmlformats.org/officeDocument/2006/relationships" ref="M3187" r:id="rId3570"/>
    <hyperlink xmlns:r="http://schemas.openxmlformats.org/officeDocument/2006/relationships" ref="M3188" r:id="rId3571"/>
    <hyperlink xmlns:r="http://schemas.openxmlformats.org/officeDocument/2006/relationships" ref="M3189" r:id="rId3572"/>
    <hyperlink xmlns:r="http://schemas.openxmlformats.org/officeDocument/2006/relationships" ref="M3190" r:id="rId3573"/>
    <hyperlink xmlns:r="http://schemas.openxmlformats.org/officeDocument/2006/relationships" ref="M3191" r:id="rId3574"/>
    <hyperlink xmlns:r="http://schemas.openxmlformats.org/officeDocument/2006/relationships" ref="M3192" r:id="rId3575"/>
    <hyperlink xmlns:r="http://schemas.openxmlformats.org/officeDocument/2006/relationships" ref="M3193" r:id="rId3576"/>
    <hyperlink xmlns:r="http://schemas.openxmlformats.org/officeDocument/2006/relationships" ref="M3194" r:id="rId3577"/>
    <hyperlink xmlns:r="http://schemas.openxmlformats.org/officeDocument/2006/relationships" ref="M3195" r:id="rId3578"/>
    <hyperlink xmlns:r="http://schemas.openxmlformats.org/officeDocument/2006/relationships" ref="M3196" r:id="rId3579"/>
    <hyperlink xmlns:r="http://schemas.openxmlformats.org/officeDocument/2006/relationships" ref="M3197" r:id="rId3580"/>
    <hyperlink xmlns:r="http://schemas.openxmlformats.org/officeDocument/2006/relationships" ref="N3197" r:id="rId3581"/>
    <hyperlink xmlns:r="http://schemas.openxmlformats.org/officeDocument/2006/relationships" ref="M3198" r:id="rId3582"/>
    <hyperlink xmlns:r="http://schemas.openxmlformats.org/officeDocument/2006/relationships" ref="N3199" r:id="rId3583"/>
    <hyperlink xmlns:r="http://schemas.openxmlformats.org/officeDocument/2006/relationships" ref="N3200" r:id="rId3584"/>
    <hyperlink xmlns:r="http://schemas.openxmlformats.org/officeDocument/2006/relationships" ref="N3201" r:id="rId3585"/>
    <hyperlink xmlns:r="http://schemas.openxmlformats.org/officeDocument/2006/relationships" ref="N3202" r:id="rId3586"/>
    <hyperlink xmlns:r="http://schemas.openxmlformats.org/officeDocument/2006/relationships" ref="N3203" r:id="rId3587"/>
    <hyperlink xmlns:r="http://schemas.openxmlformats.org/officeDocument/2006/relationships" ref="N3204" r:id="rId3588"/>
    <hyperlink xmlns:r="http://schemas.openxmlformats.org/officeDocument/2006/relationships" ref="N3205" r:id="rId3589"/>
    <hyperlink xmlns:r="http://schemas.openxmlformats.org/officeDocument/2006/relationships" ref="N3206" r:id="rId3590"/>
    <hyperlink xmlns:r="http://schemas.openxmlformats.org/officeDocument/2006/relationships" ref="N3207" r:id="rId3591"/>
    <hyperlink xmlns:r="http://schemas.openxmlformats.org/officeDocument/2006/relationships" ref="N3208" r:id="rId3592"/>
    <hyperlink xmlns:r="http://schemas.openxmlformats.org/officeDocument/2006/relationships" ref="N3209" r:id="rId3593"/>
    <hyperlink xmlns:r="http://schemas.openxmlformats.org/officeDocument/2006/relationships" ref="N3210" r:id="rId3594"/>
    <hyperlink xmlns:r="http://schemas.openxmlformats.org/officeDocument/2006/relationships" ref="N3211" r:id="rId3595"/>
    <hyperlink xmlns:r="http://schemas.openxmlformats.org/officeDocument/2006/relationships" ref="N3212" r:id="rId3596"/>
    <hyperlink xmlns:r="http://schemas.openxmlformats.org/officeDocument/2006/relationships" ref="N3213" r:id="rId3597"/>
    <hyperlink xmlns:r="http://schemas.openxmlformats.org/officeDocument/2006/relationships" ref="N3214" r:id="rId3598"/>
    <hyperlink xmlns:r="http://schemas.openxmlformats.org/officeDocument/2006/relationships" ref="N3215" r:id="rId3599"/>
    <hyperlink xmlns:r="http://schemas.openxmlformats.org/officeDocument/2006/relationships" ref="N3216" r:id="rId3600"/>
    <hyperlink xmlns:r="http://schemas.openxmlformats.org/officeDocument/2006/relationships" ref="N3217" r:id="rId3601"/>
    <hyperlink xmlns:r="http://schemas.openxmlformats.org/officeDocument/2006/relationships" ref="N3218" r:id="rId3602"/>
    <hyperlink xmlns:r="http://schemas.openxmlformats.org/officeDocument/2006/relationships" ref="N3219" r:id="rId3603"/>
    <hyperlink xmlns:r="http://schemas.openxmlformats.org/officeDocument/2006/relationships" ref="N3220" r:id="rId3604"/>
    <hyperlink xmlns:r="http://schemas.openxmlformats.org/officeDocument/2006/relationships" ref="N3221" r:id="rId3605"/>
    <hyperlink xmlns:r="http://schemas.openxmlformats.org/officeDocument/2006/relationships" ref="N3222" r:id="rId3606"/>
    <hyperlink xmlns:r="http://schemas.openxmlformats.org/officeDocument/2006/relationships" ref="N3223" r:id="rId3607"/>
    <hyperlink xmlns:r="http://schemas.openxmlformats.org/officeDocument/2006/relationships" ref="N3224" r:id="rId3608"/>
    <hyperlink xmlns:r="http://schemas.openxmlformats.org/officeDocument/2006/relationships" ref="N3225" r:id="rId3609"/>
    <hyperlink xmlns:r="http://schemas.openxmlformats.org/officeDocument/2006/relationships" ref="N3226" r:id="rId3610"/>
    <hyperlink xmlns:r="http://schemas.openxmlformats.org/officeDocument/2006/relationships" ref="M3227" r:id="rId3611"/>
    <hyperlink xmlns:r="http://schemas.openxmlformats.org/officeDocument/2006/relationships" ref="M3228" r:id="rId3612"/>
    <hyperlink xmlns:r="http://schemas.openxmlformats.org/officeDocument/2006/relationships" ref="M3229" r:id="rId3613"/>
    <hyperlink xmlns:r="http://schemas.openxmlformats.org/officeDocument/2006/relationships" ref="N3229" r:id="rId3614"/>
    <hyperlink xmlns:r="http://schemas.openxmlformats.org/officeDocument/2006/relationships" ref="M3230" r:id="rId3615"/>
    <hyperlink xmlns:r="http://schemas.openxmlformats.org/officeDocument/2006/relationships" ref="N3230" r:id="rId3616"/>
    <hyperlink xmlns:r="http://schemas.openxmlformats.org/officeDocument/2006/relationships" ref="M3231" r:id="rId3617"/>
    <hyperlink xmlns:r="http://schemas.openxmlformats.org/officeDocument/2006/relationships" ref="N3231" r:id="rId3618"/>
    <hyperlink xmlns:r="http://schemas.openxmlformats.org/officeDocument/2006/relationships" ref="M3232" r:id="rId3619"/>
    <hyperlink xmlns:r="http://schemas.openxmlformats.org/officeDocument/2006/relationships" ref="M3233" r:id="rId3620"/>
    <hyperlink xmlns:r="http://schemas.openxmlformats.org/officeDocument/2006/relationships" ref="M3234" r:id="rId3621"/>
    <hyperlink xmlns:r="http://schemas.openxmlformats.org/officeDocument/2006/relationships" ref="M3235" r:id="rId3622"/>
    <hyperlink xmlns:r="http://schemas.openxmlformats.org/officeDocument/2006/relationships" ref="M3236" r:id="rId3623"/>
    <hyperlink xmlns:r="http://schemas.openxmlformats.org/officeDocument/2006/relationships" ref="N3236" r:id="rId3624"/>
    <hyperlink xmlns:r="http://schemas.openxmlformats.org/officeDocument/2006/relationships" ref="N3237" r:id="rId3625"/>
    <hyperlink xmlns:r="http://schemas.openxmlformats.org/officeDocument/2006/relationships" ref="N3238" r:id="rId3626"/>
    <hyperlink xmlns:r="http://schemas.openxmlformats.org/officeDocument/2006/relationships" ref="M3239" r:id="rId3627"/>
    <hyperlink xmlns:r="http://schemas.openxmlformats.org/officeDocument/2006/relationships" ref="N3239" r:id="rId3628"/>
    <hyperlink xmlns:r="http://schemas.openxmlformats.org/officeDocument/2006/relationships" ref="N3240" r:id="rId3629"/>
    <hyperlink xmlns:r="http://schemas.openxmlformats.org/officeDocument/2006/relationships" ref="N3241" r:id="rId3630"/>
    <hyperlink xmlns:r="http://schemas.openxmlformats.org/officeDocument/2006/relationships" ref="M3242" r:id="rId3631"/>
    <hyperlink xmlns:r="http://schemas.openxmlformats.org/officeDocument/2006/relationships" ref="N3242" r:id="rId3632"/>
    <hyperlink xmlns:r="http://schemas.openxmlformats.org/officeDocument/2006/relationships" ref="N3243" r:id="rId3633"/>
    <hyperlink xmlns:r="http://schemas.openxmlformats.org/officeDocument/2006/relationships" ref="M3244" r:id="rId3634"/>
    <hyperlink xmlns:r="http://schemas.openxmlformats.org/officeDocument/2006/relationships" ref="N3244" r:id="rId3635"/>
    <hyperlink xmlns:r="http://schemas.openxmlformats.org/officeDocument/2006/relationships" ref="N3245" r:id="rId3636"/>
    <hyperlink xmlns:r="http://schemas.openxmlformats.org/officeDocument/2006/relationships" ref="N3246" r:id="rId3637"/>
    <hyperlink xmlns:r="http://schemas.openxmlformats.org/officeDocument/2006/relationships" ref="M3247" r:id="rId3638"/>
    <hyperlink xmlns:r="http://schemas.openxmlformats.org/officeDocument/2006/relationships" ref="N3247" r:id="rId3639"/>
    <hyperlink xmlns:r="http://schemas.openxmlformats.org/officeDocument/2006/relationships" ref="N3248" r:id="rId3640"/>
    <hyperlink xmlns:r="http://schemas.openxmlformats.org/officeDocument/2006/relationships" ref="N3249" r:id="rId3641"/>
    <hyperlink xmlns:r="http://schemas.openxmlformats.org/officeDocument/2006/relationships" ref="N3250" r:id="rId3642"/>
    <hyperlink xmlns:r="http://schemas.openxmlformats.org/officeDocument/2006/relationships" ref="N3251" r:id="rId3643"/>
    <hyperlink xmlns:r="http://schemas.openxmlformats.org/officeDocument/2006/relationships" ref="M3252" r:id="rId3644"/>
    <hyperlink xmlns:r="http://schemas.openxmlformats.org/officeDocument/2006/relationships" ref="N3252" r:id="rId3645"/>
    <hyperlink xmlns:r="http://schemas.openxmlformats.org/officeDocument/2006/relationships" ref="N3253" r:id="rId3646"/>
    <hyperlink xmlns:r="http://schemas.openxmlformats.org/officeDocument/2006/relationships" ref="N3254" r:id="rId3647"/>
    <hyperlink xmlns:r="http://schemas.openxmlformats.org/officeDocument/2006/relationships" ref="N3255" r:id="rId3648"/>
    <hyperlink xmlns:r="http://schemas.openxmlformats.org/officeDocument/2006/relationships" ref="M3256" r:id="rId3649"/>
    <hyperlink xmlns:r="http://schemas.openxmlformats.org/officeDocument/2006/relationships" ref="N3256" r:id="rId3650"/>
    <hyperlink xmlns:r="http://schemas.openxmlformats.org/officeDocument/2006/relationships" ref="N3257" r:id="rId3651"/>
    <hyperlink xmlns:r="http://schemas.openxmlformats.org/officeDocument/2006/relationships" ref="N3258" r:id="rId3652"/>
    <hyperlink xmlns:r="http://schemas.openxmlformats.org/officeDocument/2006/relationships" ref="N3259" r:id="rId3653"/>
    <hyperlink xmlns:r="http://schemas.openxmlformats.org/officeDocument/2006/relationships" ref="M3260" r:id="rId3654"/>
    <hyperlink xmlns:r="http://schemas.openxmlformats.org/officeDocument/2006/relationships" ref="N3260" r:id="rId3655"/>
    <hyperlink xmlns:r="http://schemas.openxmlformats.org/officeDocument/2006/relationships" ref="N3261" r:id="rId3656"/>
    <hyperlink xmlns:r="http://schemas.openxmlformats.org/officeDocument/2006/relationships" ref="N3262" r:id="rId3657"/>
    <hyperlink xmlns:r="http://schemas.openxmlformats.org/officeDocument/2006/relationships" ref="N3263" r:id="rId3658"/>
    <hyperlink xmlns:r="http://schemas.openxmlformats.org/officeDocument/2006/relationships" ref="M3264" r:id="rId3659"/>
    <hyperlink xmlns:r="http://schemas.openxmlformats.org/officeDocument/2006/relationships" ref="N3264" r:id="rId3660"/>
    <hyperlink xmlns:r="http://schemas.openxmlformats.org/officeDocument/2006/relationships" ref="N3265" r:id="rId3661"/>
    <hyperlink xmlns:r="http://schemas.openxmlformats.org/officeDocument/2006/relationships" ref="M3266" r:id="rId3662"/>
    <hyperlink xmlns:r="http://schemas.openxmlformats.org/officeDocument/2006/relationships" ref="N3266" r:id="rId3663"/>
    <hyperlink xmlns:r="http://schemas.openxmlformats.org/officeDocument/2006/relationships" ref="N3267" r:id="rId3664"/>
    <hyperlink xmlns:r="http://schemas.openxmlformats.org/officeDocument/2006/relationships" ref="N3268" r:id="rId3665"/>
    <hyperlink xmlns:r="http://schemas.openxmlformats.org/officeDocument/2006/relationships" ref="M3269" r:id="rId3666"/>
    <hyperlink xmlns:r="http://schemas.openxmlformats.org/officeDocument/2006/relationships" ref="N3269" r:id="rId3667"/>
    <hyperlink xmlns:r="http://schemas.openxmlformats.org/officeDocument/2006/relationships" ref="M3270" r:id="rId3668"/>
    <hyperlink xmlns:r="http://schemas.openxmlformats.org/officeDocument/2006/relationships" ref="N3270" r:id="rId3669"/>
    <hyperlink xmlns:r="http://schemas.openxmlformats.org/officeDocument/2006/relationships" ref="N3271" r:id="rId3670"/>
    <hyperlink xmlns:r="http://schemas.openxmlformats.org/officeDocument/2006/relationships" ref="N3272" r:id="rId3671"/>
    <hyperlink xmlns:r="http://schemas.openxmlformats.org/officeDocument/2006/relationships" ref="N3273" r:id="rId3672"/>
    <hyperlink xmlns:r="http://schemas.openxmlformats.org/officeDocument/2006/relationships" ref="M3274" r:id="rId3673"/>
    <hyperlink xmlns:r="http://schemas.openxmlformats.org/officeDocument/2006/relationships" ref="N3274" r:id="rId3674"/>
    <hyperlink xmlns:r="http://schemas.openxmlformats.org/officeDocument/2006/relationships" ref="N3275" r:id="rId3675"/>
    <hyperlink xmlns:r="http://schemas.openxmlformats.org/officeDocument/2006/relationships" ref="M3276" r:id="rId3676"/>
    <hyperlink xmlns:r="http://schemas.openxmlformats.org/officeDocument/2006/relationships" ref="N3276" r:id="rId3677"/>
    <hyperlink xmlns:r="http://schemas.openxmlformats.org/officeDocument/2006/relationships" ref="N3277" r:id="rId3678"/>
    <hyperlink xmlns:r="http://schemas.openxmlformats.org/officeDocument/2006/relationships" ref="N3278" r:id="rId3679"/>
    <hyperlink xmlns:r="http://schemas.openxmlformats.org/officeDocument/2006/relationships" ref="N3279" r:id="rId3680"/>
    <hyperlink xmlns:r="http://schemas.openxmlformats.org/officeDocument/2006/relationships" ref="M3280" r:id="rId3681"/>
    <hyperlink xmlns:r="http://schemas.openxmlformats.org/officeDocument/2006/relationships" ref="N3280" r:id="rId3682"/>
    <hyperlink xmlns:r="http://schemas.openxmlformats.org/officeDocument/2006/relationships" ref="N3281" r:id="rId3683"/>
    <hyperlink xmlns:r="http://schemas.openxmlformats.org/officeDocument/2006/relationships" ref="N3282" r:id="rId3684"/>
    <hyperlink xmlns:r="http://schemas.openxmlformats.org/officeDocument/2006/relationships" ref="N3283" r:id="rId3685"/>
    <hyperlink xmlns:r="http://schemas.openxmlformats.org/officeDocument/2006/relationships" ref="N3284" r:id="rId3686"/>
    <hyperlink xmlns:r="http://schemas.openxmlformats.org/officeDocument/2006/relationships" ref="M3285" r:id="rId3687"/>
    <hyperlink xmlns:r="http://schemas.openxmlformats.org/officeDocument/2006/relationships" ref="N3285" r:id="rId3688"/>
    <hyperlink xmlns:r="http://schemas.openxmlformats.org/officeDocument/2006/relationships" ref="N3286" r:id="rId3689"/>
    <hyperlink xmlns:r="http://schemas.openxmlformats.org/officeDocument/2006/relationships" ref="N3287" r:id="rId3690"/>
    <hyperlink xmlns:r="http://schemas.openxmlformats.org/officeDocument/2006/relationships" ref="M3288" r:id="rId3691"/>
    <hyperlink xmlns:r="http://schemas.openxmlformats.org/officeDocument/2006/relationships" ref="N3288" r:id="rId3692"/>
    <hyperlink xmlns:r="http://schemas.openxmlformats.org/officeDocument/2006/relationships" ref="N3289" r:id="rId3693"/>
    <hyperlink xmlns:r="http://schemas.openxmlformats.org/officeDocument/2006/relationships" ref="N3290" r:id="rId3694"/>
    <hyperlink xmlns:r="http://schemas.openxmlformats.org/officeDocument/2006/relationships" ref="N3291" r:id="rId3695"/>
    <hyperlink xmlns:r="http://schemas.openxmlformats.org/officeDocument/2006/relationships" ref="N3292" r:id="rId3696"/>
    <hyperlink xmlns:r="http://schemas.openxmlformats.org/officeDocument/2006/relationships" ref="N3293" r:id="rId3697"/>
    <hyperlink xmlns:r="http://schemas.openxmlformats.org/officeDocument/2006/relationships" ref="N3294" r:id="rId3698"/>
    <hyperlink xmlns:r="http://schemas.openxmlformats.org/officeDocument/2006/relationships" ref="N3295" r:id="rId3699"/>
    <hyperlink xmlns:r="http://schemas.openxmlformats.org/officeDocument/2006/relationships" ref="N3296" r:id="rId3700"/>
    <hyperlink xmlns:r="http://schemas.openxmlformats.org/officeDocument/2006/relationships" ref="N3297" r:id="rId3701"/>
    <hyperlink xmlns:r="http://schemas.openxmlformats.org/officeDocument/2006/relationships" ref="N3298" r:id="rId3702"/>
    <hyperlink xmlns:r="http://schemas.openxmlformats.org/officeDocument/2006/relationships" ref="N3299" r:id="rId3703"/>
    <hyperlink xmlns:r="http://schemas.openxmlformats.org/officeDocument/2006/relationships" ref="N3300" r:id="rId3704"/>
    <hyperlink xmlns:r="http://schemas.openxmlformats.org/officeDocument/2006/relationships" ref="N3301" r:id="rId3705"/>
    <hyperlink xmlns:r="http://schemas.openxmlformats.org/officeDocument/2006/relationships" ref="N3302" r:id="rId3706"/>
    <hyperlink xmlns:r="http://schemas.openxmlformats.org/officeDocument/2006/relationships" ref="N3303" r:id="rId3707"/>
    <hyperlink xmlns:r="http://schemas.openxmlformats.org/officeDocument/2006/relationships" ref="N3304" r:id="rId3708"/>
    <hyperlink xmlns:r="http://schemas.openxmlformats.org/officeDocument/2006/relationships" ref="N3305" r:id="rId3709"/>
    <hyperlink xmlns:r="http://schemas.openxmlformats.org/officeDocument/2006/relationships" ref="N3306" r:id="rId3710"/>
    <hyperlink xmlns:r="http://schemas.openxmlformats.org/officeDocument/2006/relationships" ref="N3307" r:id="rId3711"/>
    <hyperlink xmlns:r="http://schemas.openxmlformats.org/officeDocument/2006/relationships" ref="N3308" r:id="rId3712"/>
    <hyperlink xmlns:r="http://schemas.openxmlformats.org/officeDocument/2006/relationships" ref="N3309" r:id="rId3713"/>
    <hyperlink xmlns:r="http://schemas.openxmlformats.org/officeDocument/2006/relationships" ref="N3310" r:id="rId3714"/>
    <hyperlink xmlns:r="http://schemas.openxmlformats.org/officeDocument/2006/relationships" ref="N3311" r:id="rId3715"/>
    <hyperlink xmlns:r="http://schemas.openxmlformats.org/officeDocument/2006/relationships" ref="N3312" r:id="rId3716"/>
    <hyperlink xmlns:r="http://schemas.openxmlformats.org/officeDocument/2006/relationships" ref="N3313" r:id="rId3717"/>
    <hyperlink xmlns:r="http://schemas.openxmlformats.org/officeDocument/2006/relationships" ref="N3314" r:id="rId3718"/>
    <hyperlink xmlns:r="http://schemas.openxmlformats.org/officeDocument/2006/relationships" ref="N3315" r:id="rId3719"/>
    <hyperlink xmlns:r="http://schemas.openxmlformats.org/officeDocument/2006/relationships" ref="N3316" r:id="rId3720"/>
    <hyperlink xmlns:r="http://schemas.openxmlformats.org/officeDocument/2006/relationships" ref="N3317" r:id="rId3721"/>
    <hyperlink xmlns:r="http://schemas.openxmlformats.org/officeDocument/2006/relationships" ref="N3318" r:id="rId3722"/>
    <hyperlink xmlns:r="http://schemas.openxmlformats.org/officeDocument/2006/relationships" ref="N3319" r:id="rId3723"/>
    <hyperlink xmlns:r="http://schemas.openxmlformats.org/officeDocument/2006/relationships" ref="N3320" r:id="rId3724"/>
    <hyperlink xmlns:r="http://schemas.openxmlformats.org/officeDocument/2006/relationships" ref="N3321" r:id="rId3725"/>
    <hyperlink xmlns:r="http://schemas.openxmlformats.org/officeDocument/2006/relationships" ref="N3322" r:id="rId3726"/>
    <hyperlink xmlns:r="http://schemas.openxmlformats.org/officeDocument/2006/relationships" ref="M3323" r:id="rId3727"/>
    <hyperlink xmlns:r="http://schemas.openxmlformats.org/officeDocument/2006/relationships" ref="M3324" r:id="rId3728"/>
    <hyperlink xmlns:r="http://schemas.openxmlformats.org/officeDocument/2006/relationships" ref="M3325" r:id="rId3729"/>
    <hyperlink xmlns:r="http://schemas.openxmlformats.org/officeDocument/2006/relationships" ref="M3326" r:id="rId3730"/>
    <hyperlink xmlns:r="http://schemas.openxmlformats.org/officeDocument/2006/relationships" ref="M3327" r:id="rId3731"/>
    <hyperlink xmlns:r="http://schemas.openxmlformats.org/officeDocument/2006/relationships" ref="M3328" r:id="rId3732"/>
    <hyperlink xmlns:r="http://schemas.openxmlformats.org/officeDocument/2006/relationships" ref="M3329" r:id="rId3733"/>
    <hyperlink xmlns:r="http://schemas.openxmlformats.org/officeDocument/2006/relationships" ref="M3330" r:id="rId3734"/>
    <hyperlink xmlns:r="http://schemas.openxmlformats.org/officeDocument/2006/relationships" ref="M3331" r:id="rId3735"/>
    <hyperlink xmlns:r="http://schemas.openxmlformats.org/officeDocument/2006/relationships" ref="M3332" r:id="rId3736"/>
    <hyperlink xmlns:r="http://schemas.openxmlformats.org/officeDocument/2006/relationships" ref="M3333" r:id="rId3737"/>
    <hyperlink xmlns:r="http://schemas.openxmlformats.org/officeDocument/2006/relationships" ref="M3334" r:id="rId3738"/>
    <hyperlink xmlns:r="http://schemas.openxmlformats.org/officeDocument/2006/relationships" ref="M3335" r:id="rId3739"/>
    <hyperlink xmlns:r="http://schemas.openxmlformats.org/officeDocument/2006/relationships" ref="N3336" r:id="rId3740"/>
    <hyperlink xmlns:r="http://schemas.openxmlformats.org/officeDocument/2006/relationships" ref="M3337" r:id="rId3741"/>
    <hyperlink xmlns:r="http://schemas.openxmlformats.org/officeDocument/2006/relationships" ref="M3338" r:id="rId3742"/>
    <hyperlink xmlns:r="http://schemas.openxmlformats.org/officeDocument/2006/relationships" ref="N3338" r:id="rId3743"/>
    <hyperlink xmlns:r="http://schemas.openxmlformats.org/officeDocument/2006/relationships" ref="M3339" r:id="rId3744"/>
    <hyperlink xmlns:r="http://schemas.openxmlformats.org/officeDocument/2006/relationships" ref="M3340" r:id="rId3745"/>
    <hyperlink xmlns:r="http://schemas.openxmlformats.org/officeDocument/2006/relationships" ref="M3341" r:id="rId3746"/>
    <hyperlink xmlns:r="http://schemas.openxmlformats.org/officeDocument/2006/relationships" ref="M3342" r:id="rId3747"/>
    <hyperlink xmlns:r="http://schemas.openxmlformats.org/officeDocument/2006/relationships" ref="M3343" r:id="rId3748"/>
    <hyperlink xmlns:r="http://schemas.openxmlformats.org/officeDocument/2006/relationships" ref="M3344" r:id="rId3749"/>
    <hyperlink xmlns:r="http://schemas.openxmlformats.org/officeDocument/2006/relationships" ref="M3345" r:id="rId3750"/>
    <hyperlink xmlns:r="http://schemas.openxmlformats.org/officeDocument/2006/relationships" ref="M3346" r:id="rId3751"/>
    <hyperlink xmlns:r="http://schemas.openxmlformats.org/officeDocument/2006/relationships" ref="M3347" r:id="rId3752"/>
    <hyperlink xmlns:r="http://schemas.openxmlformats.org/officeDocument/2006/relationships" ref="N3348" r:id="rId3753"/>
    <hyperlink xmlns:r="http://schemas.openxmlformats.org/officeDocument/2006/relationships" ref="N3349" r:id="rId3754"/>
    <hyperlink xmlns:r="http://schemas.openxmlformats.org/officeDocument/2006/relationships" ref="N3350" r:id="rId3755"/>
    <hyperlink xmlns:r="http://schemas.openxmlformats.org/officeDocument/2006/relationships" ref="N3351" r:id="rId3756"/>
    <hyperlink xmlns:r="http://schemas.openxmlformats.org/officeDocument/2006/relationships" ref="N3352" r:id="rId3757"/>
    <hyperlink xmlns:r="http://schemas.openxmlformats.org/officeDocument/2006/relationships" ref="N3353" r:id="rId3758"/>
    <hyperlink xmlns:r="http://schemas.openxmlformats.org/officeDocument/2006/relationships" ref="N3354" r:id="rId3759"/>
    <hyperlink xmlns:r="http://schemas.openxmlformats.org/officeDocument/2006/relationships" ref="N3355" r:id="rId3760"/>
    <hyperlink xmlns:r="http://schemas.openxmlformats.org/officeDocument/2006/relationships" ref="N3356" r:id="rId3761"/>
    <hyperlink xmlns:r="http://schemas.openxmlformats.org/officeDocument/2006/relationships" ref="N3357" r:id="rId3762"/>
    <hyperlink xmlns:r="http://schemas.openxmlformats.org/officeDocument/2006/relationships" ref="N3358" r:id="rId3763"/>
    <hyperlink xmlns:r="http://schemas.openxmlformats.org/officeDocument/2006/relationships" ref="N3359" r:id="rId3764"/>
    <hyperlink xmlns:r="http://schemas.openxmlformats.org/officeDocument/2006/relationships" ref="N3360" r:id="rId3765"/>
    <hyperlink xmlns:r="http://schemas.openxmlformats.org/officeDocument/2006/relationships" ref="N3361" r:id="rId3766"/>
    <hyperlink xmlns:r="http://schemas.openxmlformats.org/officeDocument/2006/relationships" ref="N3362" r:id="rId3767"/>
    <hyperlink xmlns:r="http://schemas.openxmlformats.org/officeDocument/2006/relationships" ref="N3363" r:id="rId3768"/>
    <hyperlink xmlns:r="http://schemas.openxmlformats.org/officeDocument/2006/relationships" ref="N3364" r:id="rId3769"/>
    <hyperlink xmlns:r="http://schemas.openxmlformats.org/officeDocument/2006/relationships" ref="M3365" r:id="rId3770"/>
    <hyperlink xmlns:r="http://schemas.openxmlformats.org/officeDocument/2006/relationships" ref="N3365" r:id="rId3771"/>
    <hyperlink xmlns:r="http://schemas.openxmlformats.org/officeDocument/2006/relationships" ref="N3366" r:id="rId3772"/>
    <hyperlink xmlns:r="http://schemas.openxmlformats.org/officeDocument/2006/relationships" ref="N3367" r:id="rId3773"/>
    <hyperlink xmlns:r="http://schemas.openxmlformats.org/officeDocument/2006/relationships" ref="N3368" r:id="rId3774"/>
    <hyperlink xmlns:r="http://schemas.openxmlformats.org/officeDocument/2006/relationships" ref="N3369" r:id="rId3775"/>
    <hyperlink xmlns:r="http://schemas.openxmlformats.org/officeDocument/2006/relationships" ref="N3370" r:id="rId3776"/>
    <hyperlink xmlns:r="http://schemas.openxmlformats.org/officeDocument/2006/relationships" ref="N3371" r:id="rId3777"/>
    <hyperlink xmlns:r="http://schemas.openxmlformats.org/officeDocument/2006/relationships" ref="M3372" r:id="rId3778"/>
    <hyperlink xmlns:r="http://schemas.openxmlformats.org/officeDocument/2006/relationships" ref="N3372" r:id="rId3779"/>
    <hyperlink xmlns:r="http://schemas.openxmlformats.org/officeDocument/2006/relationships" ref="N3373" r:id="rId3780"/>
    <hyperlink xmlns:r="http://schemas.openxmlformats.org/officeDocument/2006/relationships" ref="N3374" r:id="rId3781"/>
    <hyperlink xmlns:r="http://schemas.openxmlformats.org/officeDocument/2006/relationships" ref="N3375" r:id="rId3782"/>
    <hyperlink xmlns:r="http://schemas.openxmlformats.org/officeDocument/2006/relationships" ref="M3376" r:id="rId3783"/>
    <hyperlink xmlns:r="http://schemas.openxmlformats.org/officeDocument/2006/relationships" ref="N3376" r:id="rId3784"/>
    <hyperlink xmlns:r="http://schemas.openxmlformats.org/officeDocument/2006/relationships" ref="N3377" r:id="rId3785"/>
    <hyperlink xmlns:r="http://schemas.openxmlformats.org/officeDocument/2006/relationships" ref="N3378" r:id="rId3786"/>
    <hyperlink xmlns:r="http://schemas.openxmlformats.org/officeDocument/2006/relationships" ref="N3379" r:id="rId3787"/>
    <hyperlink xmlns:r="http://schemas.openxmlformats.org/officeDocument/2006/relationships" ref="N3380" r:id="rId3788"/>
    <hyperlink xmlns:r="http://schemas.openxmlformats.org/officeDocument/2006/relationships" ref="N3381" r:id="rId3789"/>
    <hyperlink xmlns:r="http://schemas.openxmlformats.org/officeDocument/2006/relationships" ref="M3382" r:id="rId3790"/>
    <hyperlink xmlns:r="http://schemas.openxmlformats.org/officeDocument/2006/relationships" ref="N3382" r:id="rId3791"/>
    <hyperlink xmlns:r="http://schemas.openxmlformats.org/officeDocument/2006/relationships" ref="N3383" r:id="rId3792"/>
    <hyperlink xmlns:r="http://schemas.openxmlformats.org/officeDocument/2006/relationships" ref="N3384" r:id="rId3793"/>
    <hyperlink xmlns:r="http://schemas.openxmlformats.org/officeDocument/2006/relationships" ref="M3385" r:id="rId3794"/>
    <hyperlink xmlns:r="http://schemas.openxmlformats.org/officeDocument/2006/relationships" ref="N3385" r:id="rId3795"/>
    <hyperlink xmlns:r="http://schemas.openxmlformats.org/officeDocument/2006/relationships" ref="N3386" r:id="rId3796"/>
    <hyperlink xmlns:r="http://schemas.openxmlformats.org/officeDocument/2006/relationships" ref="N3387" r:id="rId3797"/>
    <hyperlink xmlns:r="http://schemas.openxmlformats.org/officeDocument/2006/relationships" ref="N3388" r:id="rId3798"/>
    <hyperlink xmlns:r="http://schemas.openxmlformats.org/officeDocument/2006/relationships" ref="N3389" r:id="rId3799"/>
    <hyperlink xmlns:r="http://schemas.openxmlformats.org/officeDocument/2006/relationships" ref="N3390" r:id="rId3800"/>
    <hyperlink xmlns:r="http://schemas.openxmlformats.org/officeDocument/2006/relationships" ref="N3391" r:id="rId3801"/>
    <hyperlink xmlns:r="http://schemas.openxmlformats.org/officeDocument/2006/relationships" ref="M3392" r:id="rId3802"/>
    <hyperlink xmlns:r="http://schemas.openxmlformats.org/officeDocument/2006/relationships" ref="N3392" r:id="rId3803"/>
    <hyperlink xmlns:r="http://schemas.openxmlformats.org/officeDocument/2006/relationships" ref="N3393" r:id="rId3804"/>
    <hyperlink xmlns:r="http://schemas.openxmlformats.org/officeDocument/2006/relationships" ref="M3394" r:id="rId3805"/>
    <hyperlink xmlns:r="http://schemas.openxmlformats.org/officeDocument/2006/relationships" ref="N3394" r:id="rId3806"/>
    <hyperlink xmlns:r="http://schemas.openxmlformats.org/officeDocument/2006/relationships" ref="M3395" r:id="rId3807"/>
    <hyperlink xmlns:r="http://schemas.openxmlformats.org/officeDocument/2006/relationships" ref="N3395" r:id="rId3808"/>
    <hyperlink xmlns:r="http://schemas.openxmlformats.org/officeDocument/2006/relationships" ref="N3396" r:id="rId3809"/>
    <hyperlink xmlns:r="http://schemas.openxmlformats.org/officeDocument/2006/relationships" ref="N3397" r:id="rId3810"/>
    <hyperlink xmlns:r="http://schemas.openxmlformats.org/officeDocument/2006/relationships" ref="N3398" r:id="rId3811"/>
    <hyperlink xmlns:r="http://schemas.openxmlformats.org/officeDocument/2006/relationships" ref="N3399" r:id="rId3812"/>
    <hyperlink xmlns:r="http://schemas.openxmlformats.org/officeDocument/2006/relationships" ref="N3400" r:id="rId3813"/>
    <hyperlink xmlns:r="http://schemas.openxmlformats.org/officeDocument/2006/relationships" ref="M3401" r:id="rId3814"/>
    <hyperlink xmlns:r="http://schemas.openxmlformats.org/officeDocument/2006/relationships" ref="N3401" r:id="rId3815"/>
    <hyperlink xmlns:r="http://schemas.openxmlformats.org/officeDocument/2006/relationships" ref="M3402" r:id="rId3816"/>
    <hyperlink xmlns:r="http://schemas.openxmlformats.org/officeDocument/2006/relationships" ref="N3402" r:id="rId3817"/>
    <hyperlink xmlns:r="http://schemas.openxmlformats.org/officeDocument/2006/relationships" ref="M3403" r:id="rId3818"/>
    <hyperlink xmlns:r="http://schemas.openxmlformats.org/officeDocument/2006/relationships" ref="N3403" r:id="rId3819"/>
    <hyperlink xmlns:r="http://schemas.openxmlformats.org/officeDocument/2006/relationships" ref="M3404" r:id="rId3820"/>
    <hyperlink xmlns:r="http://schemas.openxmlformats.org/officeDocument/2006/relationships" ref="N3404" r:id="rId3821"/>
    <hyperlink xmlns:r="http://schemas.openxmlformats.org/officeDocument/2006/relationships" ref="N3405" r:id="rId3822"/>
    <hyperlink xmlns:r="http://schemas.openxmlformats.org/officeDocument/2006/relationships" ref="M3406" r:id="rId3823"/>
    <hyperlink xmlns:r="http://schemas.openxmlformats.org/officeDocument/2006/relationships" ref="N3406" r:id="rId3824"/>
    <hyperlink xmlns:r="http://schemas.openxmlformats.org/officeDocument/2006/relationships" ref="N3407" r:id="rId3825"/>
    <hyperlink xmlns:r="http://schemas.openxmlformats.org/officeDocument/2006/relationships" ref="M3408" r:id="rId3826"/>
    <hyperlink xmlns:r="http://schemas.openxmlformats.org/officeDocument/2006/relationships" ref="N3408" r:id="rId3827"/>
    <hyperlink xmlns:r="http://schemas.openxmlformats.org/officeDocument/2006/relationships" ref="N3409" r:id="rId3828"/>
    <hyperlink xmlns:r="http://schemas.openxmlformats.org/officeDocument/2006/relationships" ref="N3410" r:id="rId3829"/>
    <hyperlink xmlns:r="http://schemas.openxmlformats.org/officeDocument/2006/relationships" ref="N3411" r:id="rId3830"/>
    <hyperlink xmlns:r="http://schemas.openxmlformats.org/officeDocument/2006/relationships" ref="M3412" r:id="rId3831"/>
    <hyperlink xmlns:r="http://schemas.openxmlformats.org/officeDocument/2006/relationships" ref="N3412" r:id="rId3832"/>
    <hyperlink xmlns:r="http://schemas.openxmlformats.org/officeDocument/2006/relationships" ref="N3413" r:id="rId3833"/>
    <hyperlink xmlns:r="http://schemas.openxmlformats.org/officeDocument/2006/relationships" ref="N3414" r:id="rId3834"/>
    <hyperlink xmlns:r="http://schemas.openxmlformats.org/officeDocument/2006/relationships" ref="N3415" r:id="rId3835"/>
    <hyperlink xmlns:r="http://schemas.openxmlformats.org/officeDocument/2006/relationships" ref="N3416" r:id="rId3836"/>
    <hyperlink xmlns:r="http://schemas.openxmlformats.org/officeDocument/2006/relationships" ref="N3417" r:id="rId3837"/>
    <hyperlink xmlns:r="http://schemas.openxmlformats.org/officeDocument/2006/relationships" ref="N3418" r:id="rId3838"/>
    <hyperlink xmlns:r="http://schemas.openxmlformats.org/officeDocument/2006/relationships" ref="N3419" r:id="rId3839"/>
    <hyperlink xmlns:r="http://schemas.openxmlformats.org/officeDocument/2006/relationships" ref="N3420" r:id="rId3840"/>
    <hyperlink xmlns:r="http://schemas.openxmlformats.org/officeDocument/2006/relationships" ref="N3421" r:id="rId3841"/>
    <hyperlink xmlns:r="http://schemas.openxmlformats.org/officeDocument/2006/relationships" ref="M3422" r:id="rId3842"/>
    <hyperlink xmlns:r="http://schemas.openxmlformats.org/officeDocument/2006/relationships" ref="N3422" r:id="rId3843"/>
    <hyperlink xmlns:r="http://schemas.openxmlformats.org/officeDocument/2006/relationships" ref="N3423" r:id="rId3844"/>
    <hyperlink xmlns:r="http://schemas.openxmlformats.org/officeDocument/2006/relationships" ref="N3424" r:id="rId3845"/>
    <hyperlink xmlns:r="http://schemas.openxmlformats.org/officeDocument/2006/relationships" ref="N3425" r:id="rId3846"/>
    <hyperlink xmlns:r="http://schemas.openxmlformats.org/officeDocument/2006/relationships" ref="N3426" r:id="rId3847"/>
    <hyperlink xmlns:r="http://schemas.openxmlformats.org/officeDocument/2006/relationships" ref="N3427" r:id="rId3848"/>
    <hyperlink xmlns:r="http://schemas.openxmlformats.org/officeDocument/2006/relationships" ref="M3428" r:id="rId3849"/>
    <hyperlink xmlns:r="http://schemas.openxmlformats.org/officeDocument/2006/relationships" ref="N3428" r:id="rId3850"/>
    <hyperlink xmlns:r="http://schemas.openxmlformats.org/officeDocument/2006/relationships" ref="M3429" r:id="rId3851"/>
    <hyperlink xmlns:r="http://schemas.openxmlformats.org/officeDocument/2006/relationships" ref="N3429" r:id="rId3852"/>
    <hyperlink xmlns:r="http://schemas.openxmlformats.org/officeDocument/2006/relationships" ref="N3430" r:id="rId3853"/>
    <hyperlink xmlns:r="http://schemas.openxmlformats.org/officeDocument/2006/relationships" ref="M3431" r:id="rId3854"/>
    <hyperlink xmlns:r="http://schemas.openxmlformats.org/officeDocument/2006/relationships" ref="N3431" r:id="rId3855"/>
    <hyperlink xmlns:r="http://schemas.openxmlformats.org/officeDocument/2006/relationships" ref="M3432" r:id="rId3856"/>
    <hyperlink xmlns:r="http://schemas.openxmlformats.org/officeDocument/2006/relationships" ref="N3432" r:id="rId3857"/>
    <hyperlink xmlns:r="http://schemas.openxmlformats.org/officeDocument/2006/relationships" ref="N3433" r:id="rId3858"/>
    <hyperlink xmlns:r="http://schemas.openxmlformats.org/officeDocument/2006/relationships" ref="N3434" r:id="rId3859"/>
    <hyperlink xmlns:r="http://schemas.openxmlformats.org/officeDocument/2006/relationships" ref="N3435" r:id="rId3860"/>
    <hyperlink xmlns:r="http://schemas.openxmlformats.org/officeDocument/2006/relationships" ref="N3436" r:id="rId3861"/>
    <hyperlink xmlns:r="http://schemas.openxmlformats.org/officeDocument/2006/relationships" ref="N3437" r:id="rId3862"/>
    <hyperlink xmlns:r="http://schemas.openxmlformats.org/officeDocument/2006/relationships" ref="N3438" r:id="rId3863"/>
    <hyperlink xmlns:r="http://schemas.openxmlformats.org/officeDocument/2006/relationships" ref="N3439" r:id="rId3864"/>
    <hyperlink xmlns:r="http://schemas.openxmlformats.org/officeDocument/2006/relationships" ref="M3440" r:id="rId3865"/>
    <hyperlink xmlns:r="http://schemas.openxmlformats.org/officeDocument/2006/relationships" ref="N3440" r:id="rId3866"/>
    <hyperlink xmlns:r="http://schemas.openxmlformats.org/officeDocument/2006/relationships" ref="M3441" r:id="rId3867"/>
    <hyperlink xmlns:r="http://schemas.openxmlformats.org/officeDocument/2006/relationships" ref="N3441" r:id="rId3868"/>
    <hyperlink xmlns:r="http://schemas.openxmlformats.org/officeDocument/2006/relationships" ref="M3442" r:id="rId3869"/>
    <hyperlink xmlns:r="http://schemas.openxmlformats.org/officeDocument/2006/relationships" ref="N3442" r:id="rId3870"/>
    <hyperlink xmlns:r="http://schemas.openxmlformats.org/officeDocument/2006/relationships" ref="M3443" r:id="rId3871"/>
    <hyperlink xmlns:r="http://schemas.openxmlformats.org/officeDocument/2006/relationships" ref="N3443" r:id="rId3872"/>
    <hyperlink xmlns:r="http://schemas.openxmlformats.org/officeDocument/2006/relationships" ref="M3444" r:id="rId3873"/>
    <hyperlink xmlns:r="http://schemas.openxmlformats.org/officeDocument/2006/relationships" ref="N3444" r:id="rId3874"/>
    <hyperlink xmlns:r="http://schemas.openxmlformats.org/officeDocument/2006/relationships" ref="M3445" r:id="rId3875"/>
    <hyperlink xmlns:r="http://schemas.openxmlformats.org/officeDocument/2006/relationships" ref="N3445" r:id="rId3876"/>
    <hyperlink xmlns:r="http://schemas.openxmlformats.org/officeDocument/2006/relationships" ref="M3446" r:id="rId3877"/>
    <hyperlink xmlns:r="http://schemas.openxmlformats.org/officeDocument/2006/relationships" ref="N3446" r:id="rId3878"/>
    <hyperlink xmlns:r="http://schemas.openxmlformats.org/officeDocument/2006/relationships" ref="M3447" r:id="rId3879"/>
    <hyperlink xmlns:r="http://schemas.openxmlformats.org/officeDocument/2006/relationships" ref="N3447" r:id="rId3880"/>
    <hyperlink xmlns:r="http://schemas.openxmlformats.org/officeDocument/2006/relationships" ref="N3448" r:id="rId3881"/>
    <hyperlink xmlns:r="http://schemas.openxmlformats.org/officeDocument/2006/relationships" ref="N3449" r:id="rId3882"/>
    <hyperlink xmlns:r="http://schemas.openxmlformats.org/officeDocument/2006/relationships" ref="N3450" r:id="rId3883"/>
    <hyperlink xmlns:r="http://schemas.openxmlformats.org/officeDocument/2006/relationships" ref="N3451" r:id="rId3884"/>
    <hyperlink xmlns:r="http://schemas.openxmlformats.org/officeDocument/2006/relationships" ref="N3452" r:id="rId3885"/>
    <hyperlink xmlns:r="http://schemas.openxmlformats.org/officeDocument/2006/relationships" ref="N3453" r:id="rId3886"/>
    <hyperlink xmlns:r="http://schemas.openxmlformats.org/officeDocument/2006/relationships" ref="N3454" r:id="rId3887"/>
    <hyperlink xmlns:r="http://schemas.openxmlformats.org/officeDocument/2006/relationships" ref="N3455" r:id="rId3888"/>
    <hyperlink xmlns:r="http://schemas.openxmlformats.org/officeDocument/2006/relationships" ref="N3456" r:id="rId3889"/>
    <hyperlink xmlns:r="http://schemas.openxmlformats.org/officeDocument/2006/relationships" ref="N3457" r:id="rId3890"/>
    <hyperlink xmlns:r="http://schemas.openxmlformats.org/officeDocument/2006/relationships" ref="N3458" r:id="rId3891"/>
    <hyperlink xmlns:r="http://schemas.openxmlformats.org/officeDocument/2006/relationships" ref="N3459" r:id="rId3892"/>
    <hyperlink xmlns:r="http://schemas.openxmlformats.org/officeDocument/2006/relationships" ref="N3460" r:id="rId3893"/>
    <hyperlink xmlns:r="http://schemas.openxmlformats.org/officeDocument/2006/relationships" ref="N3461" r:id="rId3894"/>
    <hyperlink xmlns:r="http://schemas.openxmlformats.org/officeDocument/2006/relationships" ref="N3462" r:id="rId3895"/>
    <hyperlink xmlns:r="http://schemas.openxmlformats.org/officeDocument/2006/relationships" ref="N3463" r:id="rId3896"/>
    <hyperlink xmlns:r="http://schemas.openxmlformats.org/officeDocument/2006/relationships" ref="N3464" r:id="rId3897"/>
    <hyperlink xmlns:r="http://schemas.openxmlformats.org/officeDocument/2006/relationships" ref="N3465" r:id="rId3898"/>
    <hyperlink xmlns:r="http://schemas.openxmlformats.org/officeDocument/2006/relationships" ref="N3466" r:id="rId3899"/>
    <hyperlink xmlns:r="http://schemas.openxmlformats.org/officeDocument/2006/relationships" ref="N3467" r:id="rId3900"/>
    <hyperlink xmlns:r="http://schemas.openxmlformats.org/officeDocument/2006/relationships" ref="N3468" r:id="rId3901"/>
    <hyperlink xmlns:r="http://schemas.openxmlformats.org/officeDocument/2006/relationships" ref="N3469" r:id="rId3902"/>
    <hyperlink xmlns:r="http://schemas.openxmlformats.org/officeDocument/2006/relationships" ref="N3470" r:id="rId3903"/>
    <hyperlink xmlns:r="http://schemas.openxmlformats.org/officeDocument/2006/relationships" ref="N3471" r:id="rId3904"/>
    <hyperlink xmlns:r="http://schemas.openxmlformats.org/officeDocument/2006/relationships" ref="N3472" r:id="rId3905"/>
    <hyperlink xmlns:r="http://schemas.openxmlformats.org/officeDocument/2006/relationships" ref="N3473" r:id="rId3906"/>
    <hyperlink xmlns:r="http://schemas.openxmlformats.org/officeDocument/2006/relationships" ref="N3474" r:id="rId3907"/>
    <hyperlink xmlns:r="http://schemas.openxmlformats.org/officeDocument/2006/relationships" ref="M3475" r:id="rId3908"/>
    <hyperlink xmlns:r="http://schemas.openxmlformats.org/officeDocument/2006/relationships" ref="N3475" r:id="rId3909"/>
    <hyperlink xmlns:r="http://schemas.openxmlformats.org/officeDocument/2006/relationships" ref="M3476" r:id="rId3910"/>
    <hyperlink xmlns:r="http://schemas.openxmlformats.org/officeDocument/2006/relationships" ref="N3476" r:id="rId3911"/>
    <hyperlink xmlns:r="http://schemas.openxmlformats.org/officeDocument/2006/relationships" ref="M3477" r:id="rId3912"/>
    <hyperlink xmlns:r="http://schemas.openxmlformats.org/officeDocument/2006/relationships" ref="N3477" r:id="rId3913"/>
    <hyperlink xmlns:r="http://schemas.openxmlformats.org/officeDocument/2006/relationships" ref="N3478" r:id="rId3914"/>
    <hyperlink xmlns:r="http://schemas.openxmlformats.org/officeDocument/2006/relationships" ref="N3479" r:id="rId3915"/>
    <hyperlink xmlns:r="http://schemas.openxmlformats.org/officeDocument/2006/relationships" ref="M3480" r:id="rId3916"/>
    <hyperlink xmlns:r="http://schemas.openxmlformats.org/officeDocument/2006/relationships" ref="N3480" r:id="rId3917"/>
    <hyperlink xmlns:r="http://schemas.openxmlformats.org/officeDocument/2006/relationships" ref="M3481" r:id="rId3918"/>
    <hyperlink xmlns:r="http://schemas.openxmlformats.org/officeDocument/2006/relationships" ref="N3481" r:id="rId3919"/>
    <hyperlink xmlns:r="http://schemas.openxmlformats.org/officeDocument/2006/relationships" ref="N3482" r:id="rId3920"/>
    <hyperlink xmlns:r="http://schemas.openxmlformats.org/officeDocument/2006/relationships" ref="N3483" r:id="rId3921"/>
    <hyperlink xmlns:r="http://schemas.openxmlformats.org/officeDocument/2006/relationships" ref="N3484" r:id="rId3922"/>
    <hyperlink xmlns:r="http://schemas.openxmlformats.org/officeDocument/2006/relationships" ref="N3485" r:id="rId3923"/>
    <hyperlink xmlns:r="http://schemas.openxmlformats.org/officeDocument/2006/relationships" ref="M3486" r:id="rId3924"/>
    <hyperlink xmlns:r="http://schemas.openxmlformats.org/officeDocument/2006/relationships" ref="N3486" r:id="rId3925"/>
    <hyperlink xmlns:r="http://schemas.openxmlformats.org/officeDocument/2006/relationships" ref="M3487" r:id="rId3926"/>
    <hyperlink xmlns:r="http://schemas.openxmlformats.org/officeDocument/2006/relationships" ref="N3487" r:id="rId3927"/>
    <hyperlink xmlns:r="http://schemas.openxmlformats.org/officeDocument/2006/relationships" ref="M3488" r:id="rId3928"/>
    <hyperlink xmlns:r="http://schemas.openxmlformats.org/officeDocument/2006/relationships" ref="N3488" r:id="rId3929"/>
    <hyperlink xmlns:r="http://schemas.openxmlformats.org/officeDocument/2006/relationships" ref="N3489" r:id="rId3930"/>
    <hyperlink xmlns:r="http://schemas.openxmlformats.org/officeDocument/2006/relationships" ref="N3490" r:id="rId3931"/>
    <hyperlink xmlns:r="http://schemas.openxmlformats.org/officeDocument/2006/relationships" ref="M3491" r:id="rId3932"/>
    <hyperlink xmlns:r="http://schemas.openxmlformats.org/officeDocument/2006/relationships" ref="N3491" r:id="rId3933"/>
    <hyperlink xmlns:r="http://schemas.openxmlformats.org/officeDocument/2006/relationships" ref="N3492" r:id="rId3934"/>
    <hyperlink xmlns:r="http://schemas.openxmlformats.org/officeDocument/2006/relationships" ref="N3493" r:id="rId3935"/>
    <hyperlink xmlns:r="http://schemas.openxmlformats.org/officeDocument/2006/relationships" ref="M3494" r:id="rId3936"/>
    <hyperlink xmlns:r="http://schemas.openxmlformats.org/officeDocument/2006/relationships" ref="N3494" r:id="rId3937"/>
    <hyperlink xmlns:r="http://schemas.openxmlformats.org/officeDocument/2006/relationships" ref="M3495" r:id="rId3938"/>
    <hyperlink xmlns:r="http://schemas.openxmlformats.org/officeDocument/2006/relationships" ref="N3495" r:id="rId3939"/>
    <hyperlink xmlns:r="http://schemas.openxmlformats.org/officeDocument/2006/relationships" ref="N3496" r:id="rId3940"/>
    <hyperlink xmlns:r="http://schemas.openxmlformats.org/officeDocument/2006/relationships" ref="N3497" r:id="rId3941"/>
    <hyperlink xmlns:r="http://schemas.openxmlformats.org/officeDocument/2006/relationships" ref="N3498" r:id="rId3942"/>
    <hyperlink xmlns:r="http://schemas.openxmlformats.org/officeDocument/2006/relationships" ref="N3499" r:id="rId3943"/>
    <hyperlink xmlns:r="http://schemas.openxmlformats.org/officeDocument/2006/relationships" ref="M3500" r:id="rId3944"/>
    <hyperlink xmlns:r="http://schemas.openxmlformats.org/officeDocument/2006/relationships" ref="N3500" r:id="rId3945"/>
    <hyperlink xmlns:r="http://schemas.openxmlformats.org/officeDocument/2006/relationships" ref="N3501" r:id="rId3946"/>
    <hyperlink xmlns:r="http://schemas.openxmlformats.org/officeDocument/2006/relationships" ref="N3502" r:id="rId3947"/>
    <hyperlink xmlns:r="http://schemas.openxmlformats.org/officeDocument/2006/relationships" ref="M3503" r:id="rId3948"/>
    <hyperlink xmlns:r="http://schemas.openxmlformats.org/officeDocument/2006/relationships" ref="N3503" r:id="rId3949"/>
    <hyperlink xmlns:r="http://schemas.openxmlformats.org/officeDocument/2006/relationships" ref="N3504" r:id="rId3950"/>
    <hyperlink xmlns:r="http://schemas.openxmlformats.org/officeDocument/2006/relationships" ref="N3505" r:id="rId3951"/>
    <hyperlink xmlns:r="http://schemas.openxmlformats.org/officeDocument/2006/relationships" ref="M3506" r:id="rId3952"/>
    <hyperlink xmlns:r="http://schemas.openxmlformats.org/officeDocument/2006/relationships" ref="N3506" r:id="rId3953"/>
    <hyperlink xmlns:r="http://schemas.openxmlformats.org/officeDocument/2006/relationships" ref="M3507" r:id="rId3954"/>
    <hyperlink xmlns:r="http://schemas.openxmlformats.org/officeDocument/2006/relationships" ref="N3507" r:id="rId3955"/>
    <hyperlink xmlns:r="http://schemas.openxmlformats.org/officeDocument/2006/relationships" ref="N3508" r:id="rId3956"/>
    <hyperlink xmlns:r="http://schemas.openxmlformats.org/officeDocument/2006/relationships" ref="N3509" r:id="rId3957"/>
    <hyperlink xmlns:r="http://schemas.openxmlformats.org/officeDocument/2006/relationships" ref="M3510" r:id="rId3958"/>
    <hyperlink xmlns:r="http://schemas.openxmlformats.org/officeDocument/2006/relationships" ref="N3510" r:id="rId3959"/>
    <hyperlink xmlns:r="http://schemas.openxmlformats.org/officeDocument/2006/relationships" ref="N3511" r:id="rId3960"/>
    <hyperlink xmlns:r="http://schemas.openxmlformats.org/officeDocument/2006/relationships" ref="N3512" r:id="rId3961"/>
    <hyperlink xmlns:r="http://schemas.openxmlformats.org/officeDocument/2006/relationships" ref="M3513" r:id="rId3962"/>
    <hyperlink xmlns:r="http://schemas.openxmlformats.org/officeDocument/2006/relationships" ref="N3513" r:id="rId3963"/>
    <hyperlink xmlns:r="http://schemas.openxmlformats.org/officeDocument/2006/relationships" ref="N3514" r:id="rId3964"/>
    <hyperlink xmlns:r="http://schemas.openxmlformats.org/officeDocument/2006/relationships" ref="M3515" r:id="rId3965"/>
    <hyperlink xmlns:r="http://schemas.openxmlformats.org/officeDocument/2006/relationships" ref="N3515" r:id="rId3966"/>
    <hyperlink xmlns:r="http://schemas.openxmlformats.org/officeDocument/2006/relationships" ref="M3516" r:id="rId3967"/>
    <hyperlink xmlns:r="http://schemas.openxmlformats.org/officeDocument/2006/relationships" ref="N3516" r:id="rId3968"/>
    <hyperlink xmlns:r="http://schemas.openxmlformats.org/officeDocument/2006/relationships" ref="N3517" r:id="rId3969"/>
    <hyperlink xmlns:r="http://schemas.openxmlformats.org/officeDocument/2006/relationships" ref="N3518" r:id="rId3970"/>
    <hyperlink xmlns:r="http://schemas.openxmlformats.org/officeDocument/2006/relationships" ref="N3519" r:id="rId3971"/>
    <hyperlink xmlns:r="http://schemas.openxmlformats.org/officeDocument/2006/relationships" ref="N3520" r:id="rId3972"/>
    <hyperlink xmlns:r="http://schemas.openxmlformats.org/officeDocument/2006/relationships" ref="N3521" r:id="rId3973"/>
    <hyperlink xmlns:r="http://schemas.openxmlformats.org/officeDocument/2006/relationships" ref="M3522" r:id="rId3974"/>
    <hyperlink xmlns:r="http://schemas.openxmlformats.org/officeDocument/2006/relationships" ref="N3522" r:id="rId3975"/>
    <hyperlink xmlns:r="http://schemas.openxmlformats.org/officeDocument/2006/relationships" ref="M3523" r:id="rId3976"/>
    <hyperlink xmlns:r="http://schemas.openxmlformats.org/officeDocument/2006/relationships" ref="N3523" r:id="rId3977"/>
    <hyperlink xmlns:r="http://schemas.openxmlformats.org/officeDocument/2006/relationships" ref="M3524" r:id="rId3978"/>
    <hyperlink xmlns:r="http://schemas.openxmlformats.org/officeDocument/2006/relationships" ref="N3524" r:id="rId3979"/>
    <hyperlink xmlns:r="http://schemas.openxmlformats.org/officeDocument/2006/relationships" ref="M3525" r:id="rId3980"/>
    <hyperlink xmlns:r="http://schemas.openxmlformats.org/officeDocument/2006/relationships" ref="N3525" r:id="rId3981"/>
    <hyperlink xmlns:r="http://schemas.openxmlformats.org/officeDocument/2006/relationships" ref="M3526" r:id="rId3982"/>
    <hyperlink xmlns:r="http://schemas.openxmlformats.org/officeDocument/2006/relationships" ref="N3526" r:id="rId3983"/>
    <hyperlink xmlns:r="http://schemas.openxmlformats.org/officeDocument/2006/relationships" ref="N3527" r:id="rId3984"/>
    <hyperlink xmlns:r="http://schemas.openxmlformats.org/officeDocument/2006/relationships" ref="N3528" r:id="rId3985"/>
    <hyperlink xmlns:r="http://schemas.openxmlformats.org/officeDocument/2006/relationships" ref="N3529" r:id="rId3986"/>
    <hyperlink xmlns:r="http://schemas.openxmlformats.org/officeDocument/2006/relationships" ref="N3530" r:id="rId3987"/>
    <hyperlink xmlns:r="http://schemas.openxmlformats.org/officeDocument/2006/relationships" ref="M3531" r:id="rId3988"/>
    <hyperlink xmlns:r="http://schemas.openxmlformats.org/officeDocument/2006/relationships" ref="N3531" r:id="rId3989"/>
    <hyperlink xmlns:r="http://schemas.openxmlformats.org/officeDocument/2006/relationships" ref="N3532" r:id="rId3990"/>
    <hyperlink xmlns:r="http://schemas.openxmlformats.org/officeDocument/2006/relationships" ref="N3533" r:id="rId3991"/>
    <hyperlink xmlns:r="http://schemas.openxmlformats.org/officeDocument/2006/relationships" ref="M3534" r:id="rId3992"/>
    <hyperlink xmlns:r="http://schemas.openxmlformats.org/officeDocument/2006/relationships" ref="N3534" r:id="rId3993"/>
    <hyperlink xmlns:r="http://schemas.openxmlformats.org/officeDocument/2006/relationships" ref="M3535" r:id="rId3994"/>
    <hyperlink xmlns:r="http://schemas.openxmlformats.org/officeDocument/2006/relationships" ref="N3535" r:id="rId3995"/>
    <hyperlink xmlns:r="http://schemas.openxmlformats.org/officeDocument/2006/relationships" ref="N3536" r:id="rId3996"/>
    <hyperlink xmlns:r="http://schemas.openxmlformats.org/officeDocument/2006/relationships" ref="N3537" r:id="rId3997"/>
    <hyperlink xmlns:r="http://schemas.openxmlformats.org/officeDocument/2006/relationships" ref="N3538" r:id="rId3998"/>
    <hyperlink xmlns:r="http://schemas.openxmlformats.org/officeDocument/2006/relationships" ref="M3539" r:id="rId3999"/>
    <hyperlink xmlns:r="http://schemas.openxmlformats.org/officeDocument/2006/relationships" ref="N3539" r:id="rId4000"/>
    <hyperlink xmlns:r="http://schemas.openxmlformats.org/officeDocument/2006/relationships" ref="N3540" r:id="rId4001"/>
    <hyperlink xmlns:r="http://schemas.openxmlformats.org/officeDocument/2006/relationships" ref="N3541" r:id="rId4002"/>
    <hyperlink xmlns:r="http://schemas.openxmlformats.org/officeDocument/2006/relationships" ref="N3542" r:id="rId4003"/>
    <hyperlink xmlns:r="http://schemas.openxmlformats.org/officeDocument/2006/relationships" ref="M3543" r:id="rId4004"/>
    <hyperlink xmlns:r="http://schemas.openxmlformats.org/officeDocument/2006/relationships" ref="N3543" r:id="rId4005"/>
    <hyperlink xmlns:r="http://schemas.openxmlformats.org/officeDocument/2006/relationships" ref="N3544" r:id="rId4006"/>
    <hyperlink xmlns:r="http://schemas.openxmlformats.org/officeDocument/2006/relationships" ref="N3545" r:id="rId4007"/>
    <hyperlink xmlns:r="http://schemas.openxmlformats.org/officeDocument/2006/relationships" ref="N3546" r:id="rId4008"/>
    <hyperlink xmlns:r="http://schemas.openxmlformats.org/officeDocument/2006/relationships" ref="M3547" r:id="rId4009"/>
    <hyperlink xmlns:r="http://schemas.openxmlformats.org/officeDocument/2006/relationships" ref="N3547" r:id="rId4010"/>
    <hyperlink xmlns:r="http://schemas.openxmlformats.org/officeDocument/2006/relationships" ref="N3548" r:id="rId4011"/>
    <hyperlink xmlns:r="http://schemas.openxmlformats.org/officeDocument/2006/relationships" ref="N3549" r:id="rId4012"/>
    <hyperlink xmlns:r="http://schemas.openxmlformats.org/officeDocument/2006/relationships" ref="N3550" r:id="rId4013"/>
    <hyperlink xmlns:r="http://schemas.openxmlformats.org/officeDocument/2006/relationships" ref="M3551" r:id="rId4014"/>
    <hyperlink xmlns:r="http://schemas.openxmlformats.org/officeDocument/2006/relationships" ref="N3551" r:id="rId4015"/>
    <hyperlink xmlns:r="http://schemas.openxmlformats.org/officeDocument/2006/relationships" ref="N3552" r:id="rId4016"/>
    <hyperlink xmlns:r="http://schemas.openxmlformats.org/officeDocument/2006/relationships" ref="N3553" r:id="rId4017"/>
    <hyperlink xmlns:r="http://schemas.openxmlformats.org/officeDocument/2006/relationships" ref="N3554" r:id="rId4018"/>
    <hyperlink xmlns:r="http://schemas.openxmlformats.org/officeDocument/2006/relationships" ref="N3555" r:id="rId4019"/>
    <hyperlink xmlns:r="http://schemas.openxmlformats.org/officeDocument/2006/relationships" ref="N3556" r:id="rId4020"/>
    <hyperlink xmlns:r="http://schemas.openxmlformats.org/officeDocument/2006/relationships" ref="N3557" r:id="rId4021"/>
    <hyperlink xmlns:r="http://schemas.openxmlformats.org/officeDocument/2006/relationships" ref="N3558" r:id="rId4022"/>
    <hyperlink xmlns:r="http://schemas.openxmlformats.org/officeDocument/2006/relationships" ref="M3559" r:id="rId4023"/>
    <hyperlink xmlns:r="http://schemas.openxmlformats.org/officeDocument/2006/relationships" ref="N3559" r:id="rId4024"/>
    <hyperlink xmlns:r="http://schemas.openxmlformats.org/officeDocument/2006/relationships" ref="N3560" r:id="rId4025"/>
    <hyperlink xmlns:r="http://schemas.openxmlformats.org/officeDocument/2006/relationships" ref="M3561" r:id="rId4026"/>
    <hyperlink xmlns:r="http://schemas.openxmlformats.org/officeDocument/2006/relationships" ref="N3561" r:id="rId4027"/>
    <hyperlink xmlns:r="http://schemas.openxmlformats.org/officeDocument/2006/relationships" ref="N3562" r:id="rId4028"/>
    <hyperlink xmlns:r="http://schemas.openxmlformats.org/officeDocument/2006/relationships" ref="N3563" r:id="rId4029"/>
    <hyperlink xmlns:r="http://schemas.openxmlformats.org/officeDocument/2006/relationships" ref="N3564" r:id="rId4030"/>
    <hyperlink xmlns:r="http://schemas.openxmlformats.org/officeDocument/2006/relationships" ref="N3565" r:id="rId4031"/>
    <hyperlink xmlns:r="http://schemas.openxmlformats.org/officeDocument/2006/relationships" ref="N3566" r:id="rId4032"/>
    <hyperlink xmlns:r="http://schemas.openxmlformats.org/officeDocument/2006/relationships" ref="M3567" r:id="rId4033"/>
    <hyperlink xmlns:r="http://schemas.openxmlformats.org/officeDocument/2006/relationships" ref="N3567" r:id="rId4034"/>
    <hyperlink xmlns:r="http://schemas.openxmlformats.org/officeDocument/2006/relationships" ref="N3568" r:id="rId4035"/>
    <hyperlink xmlns:r="http://schemas.openxmlformats.org/officeDocument/2006/relationships" ref="N3569" r:id="rId4036"/>
    <hyperlink xmlns:r="http://schemas.openxmlformats.org/officeDocument/2006/relationships" ref="M3570" r:id="rId4037"/>
    <hyperlink xmlns:r="http://schemas.openxmlformats.org/officeDocument/2006/relationships" ref="N3570" r:id="rId4038"/>
    <hyperlink xmlns:r="http://schemas.openxmlformats.org/officeDocument/2006/relationships" ref="M3571" r:id="rId4039"/>
    <hyperlink xmlns:r="http://schemas.openxmlformats.org/officeDocument/2006/relationships" ref="N3571" r:id="rId4040"/>
    <hyperlink xmlns:r="http://schemas.openxmlformats.org/officeDocument/2006/relationships" ref="N3572" r:id="rId4041"/>
    <hyperlink xmlns:r="http://schemas.openxmlformats.org/officeDocument/2006/relationships" ref="N3573" r:id="rId4042"/>
    <hyperlink xmlns:r="http://schemas.openxmlformats.org/officeDocument/2006/relationships" ref="N3574" r:id="rId4043"/>
    <hyperlink xmlns:r="http://schemas.openxmlformats.org/officeDocument/2006/relationships" ref="N3575" r:id="rId4044"/>
    <hyperlink xmlns:r="http://schemas.openxmlformats.org/officeDocument/2006/relationships" ref="N3576" r:id="rId4045"/>
    <hyperlink xmlns:r="http://schemas.openxmlformats.org/officeDocument/2006/relationships" ref="M3577" r:id="rId4046"/>
    <hyperlink xmlns:r="http://schemas.openxmlformats.org/officeDocument/2006/relationships" ref="N3577" r:id="rId4047"/>
    <hyperlink xmlns:r="http://schemas.openxmlformats.org/officeDocument/2006/relationships" ref="M3578" r:id="rId4048"/>
    <hyperlink xmlns:r="http://schemas.openxmlformats.org/officeDocument/2006/relationships" ref="N3578" r:id="rId4049"/>
    <hyperlink xmlns:r="http://schemas.openxmlformats.org/officeDocument/2006/relationships" ref="M3579" r:id="rId4050"/>
    <hyperlink xmlns:r="http://schemas.openxmlformats.org/officeDocument/2006/relationships" ref="M3580" r:id="rId4051"/>
    <hyperlink xmlns:r="http://schemas.openxmlformats.org/officeDocument/2006/relationships" ref="N3580" r:id="rId4052"/>
    <hyperlink xmlns:r="http://schemas.openxmlformats.org/officeDocument/2006/relationships" ref="N3581" r:id="rId4053"/>
    <hyperlink xmlns:r="http://schemas.openxmlformats.org/officeDocument/2006/relationships" ref="M3582" r:id="rId4054"/>
    <hyperlink xmlns:r="http://schemas.openxmlformats.org/officeDocument/2006/relationships" ref="M3583" r:id="rId4055"/>
    <hyperlink xmlns:r="http://schemas.openxmlformats.org/officeDocument/2006/relationships" ref="M3584" r:id="rId4056"/>
    <hyperlink xmlns:r="http://schemas.openxmlformats.org/officeDocument/2006/relationships" ref="M3585" r:id="rId4057"/>
    <hyperlink xmlns:r="http://schemas.openxmlformats.org/officeDocument/2006/relationships" ref="M3586" r:id="rId4058"/>
    <hyperlink xmlns:r="http://schemas.openxmlformats.org/officeDocument/2006/relationships" ref="M3587" r:id="rId4059"/>
    <hyperlink xmlns:r="http://schemas.openxmlformats.org/officeDocument/2006/relationships" ref="M3588" r:id="rId4060"/>
    <hyperlink xmlns:r="http://schemas.openxmlformats.org/officeDocument/2006/relationships" ref="M3589" r:id="rId4061"/>
    <hyperlink xmlns:r="http://schemas.openxmlformats.org/officeDocument/2006/relationships" ref="M3590" r:id="rId4062"/>
    <hyperlink xmlns:r="http://schemas.openxmlformats.org/officeDocument/2006/relationships" ref="M3591" r:id="rId4063"/>
    <hyperlink xmlns:r="http://schemas.openxmlformats.org/officeDocument/2006/relationships" ref="N3591" r:id="rId4064"/>
    <hyperlink xmlns:r="http://schemas.openxmlformats.org/officeDocument/2006/relationships" ref="M3592" r:id="rId4065"/>
    <hyperlink xmlns:r="http://schemas.openxmlformats.org/officeDocument/2006/relationships" ref="M3593" r:id="rId4066"/>
    <hyperlink xmlns:r="http://schemas.openxmlformats.org/officeDocument/2006/relationships" ref="M3594" r:id="rId4067"/>
    <hyperlink xmlns:r="http://schemas.openxmlformats.org/officeDocument/2006/relationships" ref="M3595" r:id="rId4068"/>
    <hyperlink xmlns:r="http://schemas.openxmlformats.org/officeDocument/2006/relationships" ref="M3596" r:id="rId4069"/>
    <hyperlink xmlns:r="http://schemas.openxmlformats.org/officeDocument/2006/relationships" ref="M3597" r:id="rId4070"/>
    <hyperlink xmlns:r="http://schemas.openxmlformats.org/officeDocument/2006/relationships" ref="M3598" r:id="rId4071"/>
    <hyperlink xmlns:r="http://schemas.openxmlformats.org/officeDocument/2006/relationships" ref="N3598" r:id="rId4072"/>
    <hyperlink xmlns:r="http://schemas.openxmlformats.org/officeDocument/2006/relationships" ref="M3599" r:id="rId4073"/>
    <hyperlink xmlns:r="http://schemas.openxmlformats.org/officeDocument/2006/relationships" ref="M3600" r:id="rId4074"/>
    <hyperlink xmlns:r="http://schemas.openxmlformats.org/officeDocument/2006/relationships" ref="M3601" r:id="rId4075"/>
    <hyperlink xmlns:r="http://schemas.openxmlformats.org/officeDocument/2006/relationships" ref="M3602" r:id="rId4076"/>
    <hyperlink xmlns:r="http://schemas.openxmlformats.org/officeDocument/2006/relationships" ref="M3603" r:id="rId4077"/>
    <hyperlink xmlns:r="http://schemas.openxmlformats.org/officeDocument/2006/relationships" ref="N3603" r:id="rId4078"/>
    <hyperlink xmlns:r="http://schemas.openxmlformats.org/officeDocument/2006/relationships" ref="N3604" r:id="rId4079"/>
    <hyperlink xmlns:r="http://schemas.openxmlformats.org/officeDocument/2006/relationships" ref="M3605" r:id="rId4080"/>
    <hyperlink xmlns:r="http://schemas.openxmlformats.org/officeDocument/2006/relationships" ref="M3606" r:id="rId4081"/>
    <hyperlink xmlns:r="http://schemas.openxmlformats.org/officeDocument/2006/relationships" ref="M3607" r:id="rId4082"/>
    <hyperlink xmlns:r="http://schemas.openxmlformats.org/officeDocument/2006/relationships" ref="M3608" r:id="rId4083"/>
    <hyperlink xmlns:r="http://schemas.openxmlformats.org/officeDocument/2006/relationships" ref="N3608" r:id="rId4084"/>
    <hyperlink xmlns:r="http://schemas.openxmlformats.org/officeDocument/2006/relationships" ref="N3609" r:id="rId4085"/>
    <hyperlink xmlns:r="http://schemas.openxmlformats.org/officeDocument/2006/relationships" ref="N3610" r:id="rId4086"/>
    <hyperlink xmlns:r="http://schemas.openxmlformats.org/officeDocument/2006/relationships" ref="N3611" r:id="rId4087"/>
    <hyperlink xmlns:r="http://schemas.openxmlformats.org/officeDocument/2006/relationships" ref="N3612" r:id="rId4088"/>
    <hyperlink xmlns:r="http://schemas.openxmlformats.org/officeDocument/2006/relationships" ref="N3613" r:id="rId4089"/>
    <hyperlink xmlns:r="http://schemas.openxmlformats.org/officeDocument/2006/relationships" ref="N3614" r:id="rId4090"/>
    <hyperlink xmlns:r="http://schemas.openxmlformats.org/officeDocument/2006/relationships" ref="N3615" r:id="rId4091"/>
    <hyperlink xmlns:r="http://schemas.openxmlformats.org/officeDocument/2006/relationships" ref="N3616" r:id="rId4092"/>
    <hyperlink xmlns:r="http://schemas.openxmlformats.org/officeDocument/2006/relationships" ref="M3617" r:id="rId4093"/>
    <hyperlink xmlns:r="http://schemas.openxmlformats.org/officeDocument/2006/relationships" ref="N3617" r:id="rId4094"/>
    <hyperlink xmlns:r="http://schemas.openxmlformats.org/officeDocument/2006/relationships" ref="N3618" r:id="rId4095"/>
    <hyperlink xmlns:r="http://schemas.openxmlformats.org/officeDocument/2006/relationships" ref="M3619" r:id="rId4096"/>
    <hyperlink xmlns:r="http://schemas.openxmlformats.org/officeDocument/2006/relationships" ref="N3619" r:id="rId4097"/>
    <hyperlink xmlns:r="http://schemas.openxmlformats.org/officeDocument/2006/relationships" ref="N3620" r:id="rId4098"/>
    <hyperlink xmlns:r="http://schemas.openxmlformats.org/officeDocument/2006/relationships" ref="N3621" r:id="rId4099"/>
    <hyperlink xmlns:r="http://schemas.openxmlformats.org/officeDocument/2006/relationships" ref="N3622" r:id="rId4100"/>
    <hyperlink xmlns:r="http://schemas.openxmlformats.org/officeDocument/2006/relationships" ref="N3623" r:id="rId4101"/>
    <hyperlink xmlns:r="http://schemas.openxmlformats.org/officeDocument/2006/relationships" ref="N3624" r:id="rId4102"/>
    <hyperlink xmlns:r="http://schemas.openxmlformats.org/officeDocument/2006/relationships" ref="N3625" r:id="rId4103"/>
    <hyperlink xmlns:r="http://schemas.openxmlformats.org/officeDocument/2006/relationships" ref="N3626" r:id="rId4104"/>
    <hyperlink xmlns:r="http://schemas.openxmlformats.org/officeDocument/2006/relationships" ref="N3627" r:id="rId4105"/>
    <hyperlink xmlns:r="http://schemas.openxmlformats.org/officeDocument/2006/relationships" ref="N3628" r:id="rId4106"/>
    <hyperlink xmlns:r="http://schemas.openxmlformats.org/officeDocument/2006/relationships" ref="N3629" r:id="rId4107"/>
    <hyperlink xmlns:r="http://schemas.openxmlformats.org/officeDocument/2006/relationships" ref="N3630" r:id="rId4108"/>
    <hyperlink xmlns:r="http://schemas.openxmlformats.org/officeDocument/2006/relationships" ref="M3631" r:id="rId4109"/>
    <hyperlink xmlns:r="http://schemas.openxmlformats.org/officeDocument/2006/relationships" ref="N3631" r:id="rId4110"/>
    <hyperlink xmlns:r="http://schemas.openxmlformats.org/officeDocument/2006/relationships" ref="N3632" r:id="rId4111"/>
    <hyperlink xmlns:r="http://schemas.openxmlformats.org/officeDocument/2006/relationships" ref="N3633" r:id="rId4112"/>
    <hyperlink xmlns:r="http://schemas.openxmlformats.org/officeDocument/2006/relationships" ref="N3634" r:id="rId4113"/>
    <hyperlink xmlns:r="http://schemas.openxmlformats.org/officeDocument/2006/relationships" ref="N3635" r:id="rId4114"/>
    <hyperlink xmlns:r="http://schemas.openxmlformats.org/officeDocument/2006/relationships" ref="N3636" r:id="rId4115"/>
    <hyperlink xmlns:r="http://schemas.openxmlformats.org/officeDocument/2006/relationships" ref="N3637" r:id="rId4116"/>
    <hyperlink xmlns:r="http://schemas.openxmlformats.org/officeDocument/2006/relationships" ref="M3638" r:id="rId4117"/>
    <hyperlink xmlns:r="http://schemas.openxmlformats.org/officeDocument/2006/relationships" ref="N3638" r:id="rId4118"/>
    <hyperlink xmlns:r="http://schemas.openxmlformats.org/officeDocument/2006/relationships" ref="N3639" r:id="rId4119"/>
    <hyperlink xmlns:r="http://schemas.openxmlformats.org/officeDocument/2006/relationships" ref="N3640" r:id="rId4120"/>
    <hyperlink xmlns:r="http://schemas.openxmlformats.org/officeDocument/2006/relationships" ref="N3641" r:id="rId4121"/>
    <hyperlink xmlns:r="http://schemas.openxmlformats.org/officeDocument/2006/relationships" ref="N3642" r:id="rId4122"/>
    <hyperlink xmlns:r="http://schemas.openxmlformats.org/officeDocument/2006/relationships" ref="M3643" r:id="rId4123"/>
    <hyperlink xmlns:r="http://schemas.openxmlformats.org/officeDocument/2006/relationships" ref="N3643" r:id="rId4124"/>
    <hyperlink xmlns:r="http://schemas.openxmlformats.org/officeDocument/2006/relationships" ref="M3644" r:id="rId4125"/>
    <hyperlink xmlns:r="http://schemas.openxmlformats.org/officeDocument/2006/relationships" ref="N3644" r:id="rId4126"/>
    <hyperlink xmlns:r="http://schemas.openxmlformats.org/officeDocument/2006/relationships" ref="N3645" r:id="rId4127"/>
    <hyperlink xmlns:r="http://schemas.openxmlformats.org/officeDocument/2006/relationships" ref="N3646" r:id="rId4128"/>
    <hyperlink xmlns:r="http://schemas.openxmlformats.org/officeDocument/2006/relationships" ref="N3647" r:id="rId4129"/>
    <hyperlink xmlns:r="http://schemas.openxmlformats.org/officeDocument/2006/relationships" ref="N3648" r:id="rId4130"/>
    <hyperlink xmlns:r="http://schemas.openxmlformats.org/officeDocument/2006/relationships" ref="N3649" r:id="rId4131"/>
    <hyperlink xmlns:r="http://schemas.openxmlformats.org/officeDocument/2006/relationships" ref="N3650" r:id="rId4132"/>
    <hyperlink xmlns:r="http://schemas.openxmlformats.org/officeDocument/2006/relationships" ref="N3651" r:id="rId4133"/>
    <hyperlink xmlns:r="http://schemas.openxmlformats.org/officeDocument/2006/relationships" ref="N3652" r:id="rId4134"/>
    <hyperlink xmlns:r="http://schemas.openxmlformats.org/officeDocument/2006/relationships" ref="N3653" r:id="rId413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0" customWidth="1" min="5" max="5"/>
    <col width="12" customWidth="1" min="6" max="6"/>
    <col width="34" customWidth="1" min="7" max="7"/>
    <col width="17" customWidth="1" min="8" max="8"/>
    <col width="16" customWidth="1" min="9" max="9"/>
    <col width="16" customWidth="1" min="10" max="10"/>
    <col width="16" customWidth="1" min="11" max="11"/>
    <col width="24" customWidth="1" min="12" max="12"/>
    <col width="60" customWidth="1" min="13" max="13"/>
    <col width="50" customWidth="1" min="14" max="14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Game</t>
        </is>
      </c>
      <c r="F1" s="1" t="inlineStr">
        <is>
          <t>Category</t>
        </is>
      </c>
      <c r="G1" s="1" t="inlineStr">
        <is>
          <t>Set</t>
        </is>
      </c>
      <c r="H1" s="1" t="inlineStr">
        <is>
          <t>PriceCharting Price</t>
        </is>
      </c>
      <c r="I1" s="1" t="inlineStr">
        <is>
          <t>TCGplayer Market</t>
        </is>
      </c>
      <c r="J1" s="1" t="inlineStr">
        <is>
          <t>TCGplayer Median</t>
        </is>
      </c>
      <c r="K1" s="1" t="inlineStr">
        <is>
          <t>TCGplayer Lowest</t>
        </is>
      </c>
      <c r="L1" s="1" t="inlineStr">
        <is>
          <t>Sources</t>
        </is>
      </c>
      <c r="M1" s="1" t="inlineStr">
        <is>
          <t>PriceCharting Link</t>
        </is>
      </c>
      <c r="N1" s="1" t="inlineStr">
        <is>
          <t>TCGplayer Link</t>
        </is>
      </c>
    </row>
    <row r="2">
      <c r="A2" s="2" t="inlineStr">
        <is>
          <t>Japanese Premium Booster Sealed Storage Box Set</t>
        </is>
      </c>
      <c r="B2" s="3">
        <f>IF(H2&lt;&gt;"",H2,IF(I2&lt;&gt;"",I2,IF(J2&lt;&gt;"",J2,K2)))</f>
        <v>352.9</v>
      </c>
      <c r="C2" s="3">
        <f>MEDIAN(H2:K2)</f>
        <v>352.9</v>
      </c>
      <c r="D2" s="3">
        <f>ROUND(C2*(1-Settings!$B$2),2)</f>
        <v>247.03</v>
      </c>
      <c r="E2" s="2" t="inlineStr">
        <is>
          <t>One Piece</t>
        </is>
      </c>
      <c r="F2" s="2" t="inlineStr">
        <is>
          <t>Accessory</t>
        </is>
      </c>
      <c r="G2" s="2" t="inlineStr">
        <is>
          <t>Japanese Premium Booster</t>
        </is>
      </c>
      <c r="H2" s="3" t="n">
        <v>352.9</v>
      </c>
      <c r="I2" s="3" t="n"/>
      <c r="J2" s="3" t="n"/>
      <c r="K2" s="3" t="n"/>
      <c r="L2" s="2" t="inlineStr">
        <is>
          <t>PriceCharting</t>
        </is>
      </c>
      <c r="M2" s="4" t="inlineStr">
        <is>
          <t>https://www.pricecharting.com/game/one-piece-japanese-premium-booster/sealed-storage-box-set</t>
        </is>
      </c>
    </row>
    <row r="3">
      <c r="A3" s="2" t="inlineStr">
        <is>
          <t>Official 9 Pocket Binder Vol.1 (Sealed Promotional Bundle)</t>
        </is>
      </c>
      <c r="B3" s="3">
        <f>IF(H3&lt;&gt;"",H3,IF(I3&lt;&gt;"",I3,IF(J3&lt;&gt;"",J3,K3)))</f>
        <v>80.0</v>
      </c>
      <c r="C3" s="3">
        <f>MEDIAN(H3:K3)</f>
        <v>70.005</v>
      </c>
      <c r="D3" s="3">
        <f>ROUND(C3*(1-Settings!$B$2),2)</f>
        <v>49.0</v>
      </c>
      <c r="E3" s="2" t="inlineStr">
        <is>
          <t>One Piece</t>
        </is>
      </c>
      <c r="F3" s="2" t="inlineStr">
        <is>
          <t>Accessory</t>
        </is>
      </c>
      <c r="G3" s="2" t="inlineStr">
        <is>
          <t>One Piece Promotion Cards</t>
        </is>
      </c>
      <c r="H3" s="3" t="n"/>
      <c r="I3" s="3" t="n">
        <v>80</v>
      </c>
      <c r="J3" s="3" t="n"/>
      <c r="K3" s="3" t="n">
        <v>60.01</v>
      </c>
      <c r="L3" s="2" t="inlineStr">
        <is>
          <t>TCGplayer</t>
        </is>
      </c>
      <c r="N3" s="4" t="inlineStr">
        <is>
          <t>https://www.tcgplayer.com/product/717458</t>
        </is>
      </c>
    </row>
    <row r="4">
      <c r="A4" s="2" t="inlineStr">
        <is>
          <t>Seven Warlords of the Sea Binder Set (Bundle)</t>
        </is>
      </c>
      <c r="B4" s="3">
        <f>IF(H4&lt;&gt;"",H4,IF(I4&lt;&gt;"",I4,IF(J4&lt;&gt;"",J4,K4)))</f>
        <v>354.2</v>
      </c>
      <c r="C4" s="3">
        <f>MEDIAN(H4:K4)</f>
        <v>347.095</v>
      </c>
      <c r="D4" s="3">
        <f>ROUND(C4*(1-Settings!$B$2),2)</f>
        <v>242.97</v>
      </c>
      <c r="E4" s="2" t="inlineStr">
        <is>
          <t>One Piece</t>
        </is>
      </c>
      <c r="F4" s="2" t="inlineStr">
        <is>
          <t>Accessory</t>
        </is>
      </c>
      <c r="G4" s="2" t="inlineStr">
        <is>
          <t>One Piece Promotion Cards</t>
        </is>
      </c>
      <c r="H4" s="3" t="n"/>
      <c r="I4" s="3" t="n">
        <v>354.2</v>
      </c>
      <c r="J4" s="3" t="n"/>
      <c r="K4" s="3" t="n">
        <v>339.99</v>
      </c>
      <c r="L4" s="2" t="inlineStr">
        <is>
          <t>TCGplayer</t>
        </is>
      </c>
      <c r="N4" s="4" t="inlineStr">
        <is>
          <t>https://www.tcgplayer.com/product/700808</t>
        </is>
      </c>
    </row>
    <row r="5">
      <c r="A5" s="2" t="inlineStr">
        <is>
          <t>Promo Sealed Anniversary Storage Box</t>
        </is>
      </c>
      <c r="B5" s="3">
        <f>IF(H5&lt;&gt;"",H5,IF(I5&lt;&gt;"",I5,IF(J5&lt;&gt;"",J5,K5)))</f>
        <v>114.5</v>
      </c>
      <c r="C5" s="3">
        <f>MEDIAN(H5:K5)</f>
        <v>114.5</v>
      </c>
      <c r="D5" s="3">
        <f>ROUND(C5*(1-Settings!$B$2),2)</f>
        <v>80.15</v>
      </c>
      <c r="E5" s="2" t="inlineStr">
        <is>
          <t>One Piece</t>
        </is>
      </c>
      <c r="F5" s="2" t="inlineStr">
        <is>
          <t>Accessory</t>
        </is>
      </c>
      <c r="G5" s="2" t="inlineStr">
        <is>
          <t>Promo</t>
        </is>
      </c>
      <c r="H5" s="3" t="n">
        <v>114.5</v>
      </c>
      <c r="I5" s="3" t="n"/>
      <c r="J5" s="3" t="n"/>
      <c r="K5" s="3" t="n"/>
      <c r="L5" s="2" t="inlineStr">
        <is>
          <t>PriceCharting</t>
        </is>
      </c>
      <c r="M5" s="4" t="inlineStr">
        <is>
          <t>https://www.pricecharting.com/game/one-piece-promo/sealed-anniversary-storage-box</t>
        </is>
      </c>
    </row>
    <row r="6">
      <c r="A6" s="2" t="inlineStr">
        <is>
          <t>Seven Warlords Of The Sea Binder Set Sealed Binder Set</t>
        </is>
      </c>
      <c r="B6" s="3">
        <f>IF(H6&lt;&gt;"",H6,IF(I6&lt;&gt;"",I6,IF(J6&lt;&gt;"",J6,K6)))</f>
        <v>197.04</v>
      </c>
      <c r="C6" s="3">
        <f>MEDIAN(H6:K6)</f>
        <v>197.04</v>
      </c>
      <c r="D6" s="3">
        <f>ROUND(C6*(1-Settings!$B$2),2)</f>
        <v>137.93</v>
      </c>
      <c r="E6" s="2" t="inlineStr">
        <is>
          <t>One Piece</t>
        </is>
      </c>
      <c r="F6" s="2" t="inlineStr">
        <is>
          <t>Accessory</t>
        </is>
      </c>
      <c r="G6" s="2" t="inlineStr">
        <is>
          <t>Seven Warlords Of The Sea Binder Set</t>
        </is>
      </c>
      <c r="H6" s="3" t="n">
        <v>197.04</v>
      </c>
      <c r="I6" s="3" t="n"/>
      <c r="J6" s="3" t="n"/>
      <c r="K6" s="3" t="n"/>
      <c r="L6" s="2" t="inlineStr">
        <is>
          <t>PriceCharting</t>
        </is>
      </c>
      <c r="M6" s="4" t="inlineStr">
        <is>
          <t>https://www.pricecharting.com/game/one-piece-seven-warlords-of-the-sea-binder-set/sealed-binder-set</t>
        </is>
      </c>
    </row>
    <row r="7">
      <c r="A7" s="2" t="inlineStr">
        <is>
          <t>500 Years in the Future - Booster Box Case</t>
        </is>
      </c>
      <c r="B7" s="3">
        <f>IF(H7&lt;&gt;"",H7,IF(I7&lt;&gt;"",I7,IF(J7&lt;&gt;"",J7,K7)))</f>
        <v>3493.4</v>
      </c>
      <c r="C7" s="3">
        <f>MEDIAN(H7:K7)</f>
        <v>3695.2</v>
      </c>
      <c r="D7" s="3">
        <f>ROUND(C7*(1-Settings!$B$2),2)</f>
        <v>2586.64</v>
      </c>
      <c r="E7" s="2" t="inlineStr">
        <is>
          <t>One Piece</t>
        </is>
      </c>
      <c r="F7" s="2" t="inlineStr">
        <is>
          <t>Case/Display</t>
        </is>
      </c>
      <c r="G7" s="2" t="inlineStr">
        <is>
          <t>500 Years in the Future</t>
        </is>
      </c>
      <c r="H7" s="3" t="n"/>
      <c r="I7" s="3" t="n">
        <v>3493.4</v>
      </c>
      <c r="J7" s="3" t="n"/>
      <c r="K7" s="3" t="n">
        <v>3897</v>
      </c>
      <c r="L7" s="2" t="inlineStr">
        <is>
          <t>TCGplayer</t>
        </is>
      </c>
      <c r="N7" s="4" t="inlineStr">
        <is>
          <t>https://www.tcgplayer.com/product/532107</t>
        </is>
      </c>
    </row>
    <row r="8">
      <c r="A8" s="2" t="inlineStr">
        <is>
          <t>Double Pack Set Volume 4 Display</t>
        </is>
      </c>
      <c r="B8" s="3">
        <f>IF(H8&lt;&gt;"",H8,IF(I8&lt;&gt;"",I8,IF(J8&lt;&gt;"",J8,K8)))</f>
        <v>376.06</v>
      </c>
      <c r="C8" s="3">
        <f>MEDIAN(H8:K8)</f>
        <v>428.03</v>
      </c>
      <c r="D8" s="3">
        <f>ROUND(C8*(1-Settings!$B$2),2)</f>
        <v>299.62</v>
      </c>
      <c r="E8" s="2" t="inlineStr">
        <is>
          <t>One Piece</t>
        </is>
      </c>
      <c r="F8" s="2" t="inlineStr">
        <is>
          <t>Case/Display</t>
        </is>
      </c>
      <c r="G8" s="2" t="inlineStr">
        <is>
          <t>500 Years in the Future</t>
        </is>
      </c>
      <c r="H8" s="3" t="n"/>
      <c r="I8" s="3" t="n">
        <v>376.06</v>
      </c>
      <c r="J8" s="3" t="n"/>
      <c r="K8" s="3" t="n">
        <v>480</v>
      </c>
      <c r="L8" s="2" t="inlineStr">
        <is>
          <t>TCGplayer</t>
        </is>
      </c>
      <c r="N8" s="4" t="inlineStr">
        <is>
          <t>https://www.tcgplayer.com/product/549495</t>
        </is>
      </c>
    </row>
    <row r="9">
      <c r="A9" s="2" t="inlineStr">
        <is>
          <t>A Fist of Divine Speed Booster Box Case</t>
        </is>
      </c>
      <c r="B9" s="3">
        <f>IF(H9&lt;&gt;"",H9,IF(I9&lt;&gt;"",I9,IF(J9&lt;&gt;"",J9,K9)))</f>
        <v>6010.77</v>
      </c>
      <c r="C9" s="3">
        <f>MEDIAN(H9:K9)</f>
        <v>3893.38</v>
      </c>
      <c r="D9" s="3">
        <f>ROUND(C9*(1-Settings!$B$2),2)</f>
        <v>2725.37</v>
      </c>
      <c r="E9" s="2" t="inlineStr">
        <is>
          <t>One Piece</t>
        </is>
      </c>
      <c r="F9" s="2" t="inlineStr">
        <is>
          <t>Case/Display</t>
        </is>
      </c>
      <c r="G9" s="2" t="inlineStr">
        <is>
          <t>A Fist of Divine Speed</t>
        </is>
      </c>
      <c r="H9" s="3" t="n"/>
      <c r="I9" s="3" t="n">
        <v>6010.77</v>
      </c>
      <c r="J9" s="3" t="n"/>
      <c r="K9" s="3" t="n">
        <v>1775.99</v>
      </c>
      <c r="L9" s="2" t="inlineStr">
        <is>
          <t>TCGplayer</t>
        </is>
      </c>
      <c r="N9" s="4" t="inlineStr">
        <is>
          <t>https://www.tcgplayer.com/product/620181</t>
        </is>
      </c>
    </row>
    <row r="10">
      <c r="A10" s="2" t="inlineStr">
        <is>
          <t>Double Pack Set Volume 7 Display</t>
        </is>
      </c>
      <c r="B10" s="3">
        <f>IF(H10&lt;&gt;"",H10,IF(I10&lt;&gt;"",I10,IF(J10&lt;&gt;"",J10,K10)))</f>
        <v>646.2</v>
      </c>
      <c r="C10" s="3">
        <f>MEDIAN(H10:K10)</f>
        <v>736.1</v>
      </c>
      <c r="D10" s="3">
        <f>ROUND(C10*(1-Settings!$B$2),2)</f>
        <v>515.27</v>
      </c>
      <c r="E10" s="2" t="inlineStr">
        <is>
          <t>One Piece</t>
        </is>
      </c>
      <c r="F10" s="2" t="inlineStr">
        <is>
          <t>Case/Display</t>
        </is>
      </c>
      <c r="G10" s="2" t="inlineStr">
        <is>
          <t>A Fist of Divine Speed</t>
        </is>
      </c>
      <c r="H10" s="3" t="n"/>
      <c r="I10" s="3" t="n">
        <v>646.2</v>
      </c>
      <c r="J10" s="3" t="n"/>
      <c r="K10" s="3" t="n">
        <v>826</v>
      </c>
      <c r="L10" s="2" t="inlineStr">
        <is>
          <t>TCGplayer</t>
        </is>
      </c>
      <c r="N10" s="4" t="inlineStr">
        <is>
          <t>https://www.tcgplayer.com/product/606562</t>
        </is>
      </c>
    </row>
    <row r="11">
      <c r="A11" s="2" t="inlineStr">
        <is>
          <t>Adventure on Kami's Island Booster Box Case</t>
        </is>
      </c>
      <c r="B11" s="3">
        <f>IF(H11&lt;&gt;"",H11,IF(I11&lt;&gt;"",I11,IF(J11&lt;&gt;"",J11,K11)))</f>
        <v>2935.17</v>
      </c>
      <c r="C11" s="3">
        <f>MEDIAN(H11:K11)</f>
        <v>2950.075</v>
      </c>
      <c r="D11" s="3">
        <f>ROUND(C11*(1-Settings!$B$2),2)</f>
        <v>2065.05</v>
      </c>
      <c r="E11" s="2" t="inlineStr">
        <is>
          <t>One Piece</t>
        </is>
      </c>
      <c r="F11" s="2" t="inlineStr">
        <is>
          <t>Case/Display</t>
        </is>
      </c>
      <c r="G11" s="2" t="inlineStr">
        <is>
          <t>Adventure on Kami's Island</t>
        </is>
      </c>
      <c r="H11" s="3" t="n"/>
      <c r="I11" s="3" t="n">
        <v>2935.17</v>
      </c>
      <c r="J11" s="3" t="n"/>
      <c r="K11" s="3" t="n">
        <v>2964.98</v>
      </c>
      <c r="L11" s="2" t="inlineStr">
        <is>
          <t>TCGplayer</t>
        </is>
      </c>
      <c r="N11" s="4" t="inlineStr">
        <is>
          <t>https://www.tcgplayer.com/product/682058</t>
        </is>
      </c>
    </row>
    <row r="12">
      <c r="A12" s="2" t="inlineStr">
        <is>
          <t>Double Pack Set Vol. 10 Display</t>
        </is>
      </c>
      <c r="B12" s="3">
        <f>IF(H12&lt;&gt;"",H12,IF(I12&lt;&gt;"",I12,IF(J12&lt;&gt;"",J12,K12)))</f>
        <v>254.76</v>
      </c>
      <c r="C12" s="3">
        <f>MEDIAN(H12:K12)</f>
        <v>288.63</v>
      </c>
      <c r="D12" s="3">
        <f>ROUND(C12*(1-Settings!$B$2),2)</f>
        <v>202.04</v>
      </c>
      <c r="E12" s="2" t="inlineStr">
        <is>
          <t>One Piece</t>
        </is>
      </c>
      <c r="F12" s="2" t="inlineStr">
        <is>
          <t>Case/Display</t>
        </is>
      </c>
      <c r="G12" s="2" t="inlineStr">
        <is>
          <t>Adventure on Kami's Island</t>
        </is>
      </c>
      <c r="H12" s="3" t="n"/>
      <c r="I12" s="3" t="n">
        <v>254.76</v>
      </c>
      <c r="J12" s="3" t="n"/>
      <c r="K12" s="3" t="n">
        <v>322.5</v>
      </c>
      <c r="L12" s="2" t="inlineStr">
        <is>
          <t>TCGplayer</t>
        </is>
      </c>
      <c r="N12" s="4" t="inlineStr">
        <is>
          <t>https://www.tcgplayer.com/product/682790</t>
        </is>
      </c>
    </row>
    <row r="13">
      <c r="A13" s="2" t="inlineStr">
        <is>
          <t>Awakening of the New Era - Booster Box Case</t>
        </is>
      </c>
      <c r="B13" s="3">
        <f>IF(H13&lt;&gt;"",H13,IF(I13&lt;&gt;"",I13,IF(J13&lt;&gt;"",J13,K13)))</f>
        <v>12088.24</v>
      </c>
      <c r="C13" s="3">
        <f>MEDIAN(H13:K13)</f>
        <v>13394.115</v>
      </c>
      <c r="D13" s="3">
        <f>ROUND(C13*(1-Settings!$B$2),2)</f>
        <v>9375.88</v>
      </c>
      <c r="E13" s="2" t="inlineStr">
        <is>
          <t>One Piece</t>
        </is>
      </c>
      <c r="F13" s="2" t="inlineStr">
        <is>
          <t>Case/Display</t>
        </is>
      </c>
      <c r="G13" s="2" t="inlineStr">
        <is>
          <t>Awakening of the New Era</t>
        </is>
      </c>
      <c r="H13" s="3" t="n"/>
      <c r="I13" s="3" t="n">
        <v>12088.24</v>
      </c>
      <c r="J13" s="3" t="n"/>
      <c r="K13" s="3" t="n">
        <v>14699.99</v>
      </c>
      <c r="L13" s="2" t="inlineStr">
        <is>
          <t>TCGplayer</t>
        </is>
      </c>
      <c r="N13" s="4" t="inlineStr">
        <is>
          <t>https://www.tcgplayer.com/product/498735</t>
        </is>
      </c>
    </row>
    <row r="14">
      <c r="A14" s="2" t="inlineStr">
        <is>
          <t>Double Pack Set Volume 2 Display</t>
        </is>
      </c>
      <c r="B14" s="3">
        <f>IF(H14&lt;&gt;"",H14,IF(I14&lt;&gt;"",I14,IF(J14&lt;&gt;"",J14,K14)))</f>
        <v>1512.59</v>
      </c>
      <c r="C14" s="3">
        <f>MEDIAN(H14:K14)</f>
        <v>1868.745</v>
      </c>
      <c r="D14" s="3">
        <f>ROUND(C14*(1-Settings!$B$2),2)</f>
        <v>1308.12</v>
      </c>
      <c r="E14" s="2" t="inlineStr">
        <is>
          <t>One Piece</t>
        </is>
      </c>
      <c r="F14" s="2" t="inlineStr">
        <is>
          <t>Case/Display</t>
        </is>
      </c>
      <c r="G14" s="2" t="inlineStr">
        <is>
          <t>Awakening of the New Era</t>
        </is>
      </c>
      <c r="H14" s="3" t="n"/>
      <c r="I14" s="3" t="n">
        <v>1512.59</v>
      </c>
      <c r="J14" s="3" t="n"/>
      <c r="K14" s="3" t="n">
        <v>2224.9</v>
      </c>
      <c r="L14" s="2" t="inlineStr">
        <is>
          <t>TCGplayer</t>
        </is>
      </c>
      <c r="N14" s="4" t="inlineStr">
        <is>
          <t>https://www.tcgplayer.com/product/527062</t>
        </is>
      </c>
    </row>
    <row r="15">
      <c r="A15" s="2" t="inlineStr">
        <is>
          <t>Double Pack Set Volume 2 Display Case</t>
        </is>
      </c>
      <c r="B15" s="3">
        <f>IF(H15&lt;&gt;"",H15,IF(I15&lt;&gt;"",I15,IF(J15&lt;&gt;"",J15,K15)))</f>
        <v>15000.0</v>
      </c>
      <c r="C15" s="3">
        <f>MEDIAN(H15:K15)</f>
        <v>15000.0</v>
      </c>
      <c r="D15" s="3">
        <f>ROUND(C15*(1-Settings!$B$2),2)</f>
        <v>10500.0</v>
      </c>
      <c r="E15" s="2" t="inlineStr">
        <is>
          <t>One Piece</t>
        </is>
      </c>
      <c r="F15" s="2" t="inlineStr">
        <is>
          <t>Case/Display</t>
        </is>
      </c>
      <c r="G15" s="2" t="inlineStr">
        <is>
          <t>Awakening of the New Era</t>
        </is>
      </c>
      <c r="H15" s="3" t="n"/>
      <c r="I15" s="3" t="n"/>
      <c r="J15" s="3" t="n"/>
      <c r="K15" s="3" t="n">
        <v>15000</v>
      </c>
      <c r="L15" s="2" t="inlineStr">
        <is>
          <t>TCGplayer</t>
        </is>
      </c>
      <c r="N15" s="4" t="inlineStr">
        <is>
          <t>https://www.tcgplayer.com/product/527063</t>
        </is>
      </c>
    </row>
    <row r="16">
      <c r="A16" s="2" t="inlineStr">
        <is>
          <t>Carrying On His Will Booster Box Case</t>
        </is>
      </c>
      <c r="B16" s="3">
        <f>IF(H16&lt;&gt;"",H16,IF(I16&lt;&gt;"",I16,IF(J16&lt;&gt;"",J16,K16)))</f>
        <v>6024.67</v>
      </c>
      <c r="C16" s="3">
        <f>MEDIAN(H16:K16)</f>
        <v>4112.33</v>
      </c>
      <c r="D16" s="3">
        <f>ROUND(C16*(1-Settings!$B$2),2)</f>
        <v>2878.63</v>
      </c>
      <c r="E16" s="2" t="inlineStr">
        <is>
          <t>One Piece</t>
        </is>
      </c>
      <c r="F16" s="2" t="inlineStr">
        <is>
          <t>Case/Display</t>
        </is>
      </c>
      <c r="G16" s="2" t="inlineStr">
        <is>
          <t>Carrying On His Will</t>
        </is>
      </c>
      <c r="H16" s="3" t="n"/>
      <c r="I16" s="3" t="n">
        <v>6024.67</v>
      </c>
      <c r="J16" s="3" t="n"/>
      <c r="K16" s="3" t="n">
        <v>2199.99</v>
      </c>
      <c r="L16" s="2" t="inlineStr">
        <is>
          <t>TCGplayer</t>
        </is>
      </c>
      <c r="N16" s="4" t="inlineStr">
        <is>
          <t>https://www.tcgplayer.com/product/628353</t>
        </is>
      </c>
    </row>
    <row r="17">
      <c r="A17" s="2" t="inlineStr">
        <is>
          <t>Double Pack Set Volume 6 Display</t>
        </is>
      </c>
      <c r="B17" s="3">
        <f>IF(H17&lt;&gt;"",H17,IF(I17&lt;&gt;"",I17,IF(J17&lt;&gt;"",J17,K17)))</f>
        <v>775.49</v>
      </c>
      <c r="C17" s="3">
        <f>MEDIAN(H17:K17)</f>
        <v>787.24</v>
      </c>
      <c r="D17" s="3">
        <f>ROUND(C17*(1-Settings!$B$2),2)</f>
        <v>551.07</v>
      </c>
      <c r="E17" s="2" t="inlineStr">
        <is>
          <t>One Piece</t>
        </is>
      </c>
      <c r="F17" s="2" t="inlineStr">
        <is>
          <t>Case/Display</t>
        </is>
      </c>
      <c r="G17" s="2" t="inlineStr">
        <is>
          <t>Emperors in the New World</t>
        </is>
      </c>
      <c r="H17" s="3" t="n"/>
      <c r="I17" s="3" t="n">
        <v>775.49</v>
      </c>
      <c r="J17" s="3" t="n"/>
      <c r="K17" s="3" t="n">
        <v>798.99</v>
      </c>
      <c r="L17" s="2" t="inlineStr">
        <is>
          <t>TCGplayer</t>
        </is>
      </c>
      <c r="N17" s="4" t="inlineStr">
        <is>
          <t>https://www.tcgplayer.com/product/563843</t>
        </is>
      </c>
    </row>
    <row r="18">
      <c r="A18" s="2" t="inlineStr">
        <is>
          <t>Emperors in the New World - Booster Box Case</t>
        </is>
      </c>
      <c r="B18" s="3">
        <f>IF(H18&lt;&gt;"",H18,IF(I18&lt;&gt;"",I18,IF(J18&lt;&gt;"",J18,K18)))</f>
        <v>7558.56</v>
      </c>
      <c r="C18" s="3">
        <f>MEDIAN(H18:K18)</f>
        <v>6279.280000000001</v>
      </c>
      <c r="D18" s="3">
        <f>ROUND(C18*(1-Settings!$B$2),2)</f>
        <v>4395.5</v>
      </c>
      <c r="E18" s="2" t="inlineStr">
        <is>
          <t>One Piece</t>
        </is>
      </c>
      <c r="F18" s="2" t="inlineStr">
        <is>
          <t>Case/Display</t>
        </is>
      </c>
      <c r="G18" s="2" t="inlineStr">
        <is>
          <t>Emperors in the New World</t>
        </is>
      </c>
      <c r="H18" s="3" t="n"/>
      <c r="I18" s="3" t="n">
        <v>7558.56</v>
      </c>
      <c r="J18" s="3" t="n"/>
      <c r="K18" s="3" t="n">
        <v>5000</v>
      </c>
      <c r="L18" s="2" t="inlineStr">
        <is>
          <t>TCGplayer</t>
        </is>
      </c>
      <c r="N18" s="4" t="inlineStr">
        <is>
          <t>https://www.tcgplayer.com/product/563835</t>
        </is>
      </c>
    </row>
    <row r="19">
      <c r="A19" s="2" t="inlineStr">
        <is>
          <t>Extra Booster: Anime 25th Collection Box Case</t>
        </is>
      </c>
      <c r="B19" s="3">
        <f>IF(H19&lt;&gt;"",H19,IF(I19&lt;&gt;"",I19,IF(J19&lt;&gt;"",J19,K19)))</f>
        <v>7666.28</v>
      </c>
      <c r="C19" s="3">
        <f>MEDIAN(H19:K19)</f>
        <v>8033.135</v>
      </c>
      <c r="D19" s="3">
        <f>ROUND(C19*(1-Settings!$B$2),2)</f>
        <v>5623.19</v>
      </c>
      <c r="E19" s="2" t="inlineStr">
        <is>
          <t>One Piece</t>
        </is>
      </c>
      <c r="F19" s="2" t="inlineStr">
        <is>
          <t>Case/Display</t>
        </is>
      </c>
      <c r="G19" s="2" t="inlineStr">
        <is>
          <t>Extra Booster: Anime 25th Collection</t>
        </is>
      </c>
      <c r="H19" s="3" t="n"/>
      <c r="I19" s="3" t="n">
        <v>7666.28</v>
      </c>
      <c r="J19" s="3" t="n"/>
      <c r="K19" s="3" t="n">
        <v>8399.99</v>
      </c>
      <c r="L19" s="2" t="inlineStr">
        <is>
          <t>TCGplayer</t>
        </is>
      </c>
      <c r="N19" s="4" t="inlineStr">
        <is>
          <t>https://www.tcgplayer.com/product/594070</t>
        </is>
      </c>
    </row>
    <row r="20">
      <c r="A20" s="2" t="inlineStr">
        <is>
          <t>Memorial Collection - Booster Box Case</t>
        </is>
      </c>
      <c r="B20" s="3">
        <f>IF(H20&lt;&gt;"",H20,IF(I20&lt;&gt;"",I20,IF(J20&lt;&gt;"",J20,K20)))</f>
        <v>12997.0</v>
      </c>
      <c r="C20" s="3">
        <f>MEDIAN(H20:K20)</f>
        <v>12997.0</v>
      </c>
      <c r="D20" s="3">
        <f>ROUND(C20*(1-Settings!$B$2),2)</f>
        <v>9097.9</v>
      </c>
      <c r="E20" s="2" t="inlineStr">
        <is>
          <t>One Piece</t>
        </is>
      </c>
      <c r="F20" s="2" t="inlineStr">
        <is>
          <t>Case/Display</t>
        </is>
      </c>
      <c r="G20" s="2" t="inlineStr">
        <is>
          <t>Extra Booster: Memorial Collection</t>
        </is>
      </c>
      <c r="H20" s="3" t="n"/>
      <c r="I20" s="3" t="n"/>
      <c r="J20" s="3" t="n"/>
      <c r="K20" s="3" t="n">
        <v>12997</v>
      </c>
      <c r="L20" s="2" t="inlineStr">
        <is>
          <t>TCGplayer</t>
        </is>
      </c>
      <c r="N20" s="4" t="inlineStr">
        <is>
          <t>https://www.tcgplayer.com/product/521162</t>
        </is>
      </c>
    </row>
    <row r="21">
      <c r="A21" s="2" t="inlineStr">
        <is>
          <t>Extra Booster: One Piece Heroines Edition Vol.2 - Booster Box Case</t>
        </is>
      </c>
      <c r="B21" s="3">
        <f>IF(H21&lt;&gt;"",H21,IF(I21&lt;&gt;"",I21,IF(J21&lt;&gt;"",J21,K21)))</f>
        <v>3550.0</v>
      </c>
      <c r="C21" s="3">
        <f>MEDIAN(H21:K21)</f>
        <v>3505.625</v>
      </c>
      <c r="D21" s="3">
        <f>ROUND(C21*(1-Settings!$B$2),2)</f>
        <v>2453.94</v>
      </c>
      <c r="E21" s="2" t="inlineStr">
        <is>
          <t>One Piece</t>
        </is>
      </c>
      <c r="F21" s="2" t="inlineStr">
        <is>
          <t>Case/Display</t>
        </is>
      </c>
      <c r="G21" s="2" t="inlineStr">
        <is>
          <t>Extra Booster: One Piece Heroine's Edition Vol. 2</t>
        </is>
      </c>
      <c r="H21" s="3" t="n"/>
      <c r="I21" s="3" t="n">
        <v>3550</v>
      </c>
      <c r="J21" s="3" t="n"/>
      <c r="K21" s="3" t="n">
        <v>3461.25</v>
      </c>
      <c r="L21" s="2" t="inlineStr">
        <is>
          <t>TCGplayer</t>
        </is>
      </c>
      <c r="N21" s="4" t="inlineStr">
        <is>
          <t>https://www.tcgplayer.com/product/711386</t>
        </is>
      </c>
    </row>
    <row r="22">
      <c r="A22" s="2" t="inlineStr">
        <is>
          <t>Extra Booster: One Piece Heroines Edition Box Case</t>
        </is>
      </c>
      <c r="B22" s="3">
        <f>IF(H22&lt;&gt;"",H22,IF(I22&lt;&gt;"",I22,IF(J22&lt;&gt;"",J22,K22)))</f>
        <v>3581.52</v>
      </c>
      <c r="C22" s="3">
        <f>MEDIAN(H22:K22)</f>
        <v>3630.76</v>
      </c>
      <c r="D22" s="3">
        <f>ROUND(C22*(1-Settings!$B$2),2)</f>
        <v>2541.53</v>
      </c>
      <c r="E22" s="2" t="inlineStr">
        <is>
          <t>One Piece</t>
        </is>
      </c>
      <c r="F22" s="2" t="inlineStr">
        <is>
          <t>Case/Display</t>
        </is>
      </c>
      <c r="G22" s="2" t="inlineStr">
        <is>
          <t>Extra Booster: One Piece Heroines Edition</t>
        </is>
      </c>
      <c r="H22" s="3" t="n"/>
      <c r="I22" s="3" t="n">
        <v>3581.52</v>
      </c>
      <c r="J22" s="3" t="n"/>
      <c r="K22" s="3" t="n">
        <v>3680</v>
      </c>
      <c r="L22" s="2" t="inlineStr">
        <is>
          <t>TCGplayer</t>
        </is>
      </c>
      <c r="N22" s="4" t="inlineStr">
        <is>
          <t>https://www.tcgplayer.com/product/666892</t>
        </is>
      </c>
    </row>
    <row r="23">
      <c r="A23" s="2" t="inlineStr">
        <is>
          <t>Double Pack Set Volume 1 Display</t>
        </is>
      </c>
      <c r="B23" s="3">
        <f>IF(H23&lt;&gt;"",H23,IF(I23&lt;&gt;"",I23,IF(J23&lt;&gt;"",J23,K23)))</f>
        <v>874.85</v>
      </c>
      <c r="C23" s="3">
        <f>MEDIAN(H23:K23)</f>
        <v>887.425</v>
      </c>
      <c r="D23" s="3">
        <f>ROUND(C23*(1-Settings!$B$2),2)</f>
        <v>621.2</v>
      </c>
      <c r="E23" s="2" t="inlineStr">
        <is>
          <t>One Piece</t>
        </is>
      </c>
      <c r="F23" s="2" t="inlineStr">
        <is>
          <t>Case/Display</t>
        </is>
      </c>
      <c r="G23" s="2" t="inlineStr">
        <is>
          <t>Kingdoms of Intrigue</t>
        </is>
      </c>
      <c r="H23" s="3" t="n"/>
      <c r="I23" s="3" t="n">
        <v>874.85</v>
      </c>
      <c r="J23" s="3" t="n"/>
      <c r="K23" s="3" t="n">
        <v>900</v>
      </c>
      <c r="L23" s="2" t="inlineStr">
        <is>
          <t>TCGplayer</t>
        </is>
      </c>
      <c r="N23" s="4" t="inlineStr">
        <is>
          <t>https://www.tcgplayer.com/product/514029</t>
        </is>
      </c>
    </row>
    <row r="24">
      <c r="A24" s="2" t="inlineStr">
        <is>
          <t>Kingdoms of Intrigue - Booster Box Case</t>
        </is>
      </c>
      <c r="B24" s="3">
        <f>IF(H24&lt;&gt;"",H24,IF(I24&lt;&gt;"",I24,IF(J24&lt;&gt;"",J24,K24)))</f>
        <v>5995.0</v>
      </c>
      <c r="C24" s="3">
        <f>MEDIAN(H24:K24)</f>
        <v>5995.0</v>
      </c>
      <c r="D24" s="3">
        <f>ROUND(C24*(1-Settings!$B$2),2)</f>
        <v>4196.5</v>
      </c>
      <c r="E24" s="2" t="inlineStr">
        <is>
          <t>One Piece</t>
        </is>
      </c>
      <c r="F24" s="2" t="inlineStr">
        <is>
          <t>Case/Display</t>
        </is>
      </c>
      <c r="G24" s="2" t="inlineStr">
        <is>
          <t>Kingdoms of Intrigue</t>
        </is>
      </c>
      <c r="H24" s="3" t="n"/>
      <c r="I24" s="3" t="n"/>
      <c r="J24" s="3" t="n"/>
      <c r="K24" s="3" t="n">
        <v>5995</v>
      </c>
      <c r="L24" s="2" t="inlineStr">
        <is>
          <t>TCGplayer</t>
        </is>
      </c>
      <c r="N24" s="4" t="inlineStr">
        <is>
          <t>https://www.tcgplayer.com/product/485834</t>
        </is>
      </c>
    </row>
    <row r="25">
      <c r="A25" s="2" t="inlineStr">
        <is>
          <t>Learn Together Deck Set Display</t>
        </is>
      </c>
      <c r="B25" s="3">
        <f>IF(H25&lt;&gt;"",H25,IF(I25&lt;&gt;"",I25,IF(J25&lt;&gt;"",J25,K25)))</f>
        <v>266.09</v>
      </c>
      <c r="C25" s="3">
        <f>MEDIAN(H25:K25)</f>
        <v>293.04499999999996</v>
      </c>
      <c r="D25" s="3">
        <f>ROUND(C25*(1-Settings!$B$2),2)</f>
        <v>205.13</v>
      </c>
      <c r="E25" s="2" t="inlineStr">
        <is>
          <t>One Piece</t>
        </is>
      </c>
      <c r="F25" s="2" t="inlineStr">
        <is>
          <t>Case/Display</t>
        </is>
      </c>
      <c r="G25" s="2" t="inlineStr">
        <is>
          <t>Learn Together Deck Set</t>
        </is>
      </c>
      <c r="H25" s="3" t="n"/>
      <c r="I25" s="3" t="n">
        <v>266.09</v>
      </c>
      <c r="J25" s="3" t="n"/>
      <c r="K25" s="3" t="n">
        <v>320</v>
      </c>
      <c r="L25" s="2" t="inlineStr">
        <is>
          <t>TCGplayer</t>
        </is>
      </c>
      <c r="N25" s="4" t="inlineStr">
        <is>
          <t>https://www.tcgplayer.com/product/628479</t>
        </is>
      </c>
    </row>
    <row r="26">
      <c r="A26" s="2" t="inlineStr">
        <is>
          <t>Double Pack Set Vol. 8 Display</t>
        </is>
      </c>
      <c r="B26" s="3">
        <f>IF(H26&lt;&gt;"",H26,IF(I26&lt;&gt;"",I26,IF(J26&lt;&gt;"",J26,K26)))</f>
        <v>303.32</v>
      </c>
      <c r="C26" s="3">
        <f>MEDIAN(H26:K26)</f>
        <v>324.15999999999997</v>
      </c>
      <c r="D26" s="3">
        <f>ROUND(C26*(1-Settings!$B$2),2)</f>
        <v>226.91</v>
      </c>
      <c r="E26" s="2" t="inlineStr">
        <is>
          <t>One Piece</t>
        </is>
      </c>
      <c r="F26" s="2" t="inlineStr">
        <is>
          <t>Case/Display</t>
        </is>
      </c>
      <c r="G26" s="2" t="inlineStr">
        <is>
          <t>Legacy of the Master</t>
        </is>
      </c>
      <c r="H26" s="3" t="n"/>
      <c r="I26" s="3" t="n">
        <v>303.32</v>
      </c>
      <c r="J26" s="3" t="n"/>
      <c r="K26" s="3" t="n">
        <v>345</v>
      </c>
      <c r="L26" s="2" t="inlineStr">
        <is>
          <t>TCGplayer</t>
        </is>
      </c>
      <c r="N26" s="4" t="inlineStr">
        <is>
          <t>https://www.tcgplayer.com/product/628349</t>
        </is>
      </c>
    </row>
    <row r="27">
      <c r="A27" s="2" t="inlineStr">
        <is>
          <t>Legacy of the Master Booster Box Case</t>
        </is>
      </c>
      <c r="B27" s="3">
        <f>IF(H27&lt;&gt;"",H27,IF(I27&lt;&gt;"",I27,IF(J27&lt;&gt;"",J27,K27)))</f>
        <v>2804.35</v>
      </c>
      <c r="C27" s="3">
        <f>MEDIAN(H27:K27)</f>
        <v>3102.17</v>
      </c>
      <c r="D27" s="3">
        <f>ROUND(C27*(1-Settings!$B$2),2)</f>
        <v>2171.52</v>
      </c>
      <c r="E27" s="2" t="inlineStr">
        <is>
          <t>One Piece</t>
        </is>
      </c>
      <c r="F27" s="2" t="inlineStr">
        <is>
          <t>Case/Display</t>
        </is>
      </c>
      <c r="G27" s="2" t="inlineStr">
        <is>
          <t>Legacy of the Master</t>
        </is>
      </c>
      <c r="H27" s="3" t="n"/>
      <c r="I27" s="3" t="n">
        <v>2804.35</v>
      </c>
      <c r="J27" s="3" t="n"/>
      <c r="K27" s="3" t="n">
        <v>3399.99</v>
      </c>
      <c r="L27" s="2" t="inlineStr">
        <is>
          <t>TCGplayer</t>
        </is>
      </c>
      <c r="N27" s="4" t="inlineStr">
        <is>
          <t>https://www.tcgplayer.com/product/628347</t>
        </is>
      </c>
    </row>
    <row r="28">
      <c r="A28" s="2" t="inlineStr">
        <is>
          <t>Devil Fruits Collection Vol. 2 Case</t>
        </is>
      </c>
      <c r="B28" s="3">
        <f>IF(H28&lt;&gt;"",H28,IF(I28&lt;&gt;"",I28,IF(J28&lt;&gt;"",J28,K28)))</f>
        <v>4399.0</v>
      </c>
      <c r="C28" s="3">
        <f>MEDIAN(H28:K28)</f>
        <v>4399.0</v>
      </c>
      <c r="D28" s="3">
        <f>ROUND(C28*(1-Settings!$B$2),2)</f>
        <v>3079.3</v>
      </c>
      <c r="E28" s="2" t="inlineStr">
        <is>
          <t>One Piece</t>
        </is>
      </c>
      <c r="F28" s="2" t="inlineStr">
        <is>
          <t>Case/Display</t>
        </is>
      </c>
      <c r="G28" s="2" t="inlineStr">
        <is>
          <t>One Piece Collection Sets</t>
        </is>
      </c>
      <c r="H28" s="3" t="n"/>
      <c r="I28" s="3" t="n"/>
      <c r="J28" s="3" t="n"/>
      <c r="K28" s="3" t="n">
        <v>4399</v>
      </c>
      <c r="L28" s="2" t="inlineStr">
        <is>
          <t>TCGplayer</t>
        </is>
      </c>
      <c r="N28" s="4" t="inlineStr">
        <is>
          <t>https://www.tcgplayer.com/product/593447</t>
        </is>
      </c>
    </row>
    <row r="29">
      <c r="A29" s="2" t="inlineStr">
        <is>
          <t>Gift Collection 2023 Display</t>
        </is>
      </c>
      <c r="B29" s="3">
        <f>IF(H29&lt;&gt;"",H29,IF(I29&lt;&gt;"",I29,IF(J29&lt;&gt;"",J29,K29)))</f>
        <v>2180.71</v>
      </c>
      <c r="C29" s="3">
        <f>MEDIAN(H29:K29)</f>
        <v>2490.355</v>
      </c>
      <c r="D29" s="3">
        <f>ROUND(C29*(1-Settings!$B$2),2)</f>
        <v>1743.25</v>
      </c>
      <c r="E29" s="2" t="inlineStr">
        <is>
          <t>One Piece</t>
        </is>
      </c>
      <c r="F29" s="2" t="inlineStr">
        <is>
          <t>Case/Display</t>
        </is>
      </c>
      <c r="G29" s="2" t="inlineStr">
        <is>
          <t>One Piece Promotion Cards</t>
        </is>
      </c>
      <c r="H29" s="3" t="n"/>
      <c r="I29" s="3" t="n">
        <v>2180.71</v>
      </c>
      <c r="J29" s="3" t="n"/>
      <c r="K29" s="3" t="n">
        <v>2800</v>
      </c>
      <c r="L29" s="2" t="inlineStr">
        <is>
          <t>TCGplayer</t>
        </is>
      </c>
      <c r="N29" s="4" t="inlineStr">
        <is>
          <t>https://www.tcgplayer.com/product/493744</t>
        </is>
      </c>
    </row>
    <row r="30">
      <c r="A30" s="2" t="inlineStr">
        <is>
          <t>One Piece Card Game Illustration Box Vol. 5 Case</t>
        </is>
      </c>
      <c r="B30" s="3">
        <f>IF(H30&lt;&gt;"",H30,IF(I30&lt;&gt;"",I30,IF(J30&lt;&gt;"",J30,K30)))</f>
        <v>686.85</v>
      </c>
      <c r="C30" s="3">
        <f>MEDIAN(H30:K30)</f>
        <v>818.415</v>
      </c>
      <c r="D30" s="3">
        <f>ROUND(C30*(1-Settings!$B$2),2)</f>
        <v>572.89</v>
      </c>
      <c r="E30" s="2" t="inlineStr">
        <is>
          <t>One Piece</t>
        </is>
      </c>
      <c r="F30" s="2" t="inlineStr">
        <is>
          <t>Case/Display</t>
        </is>
      </c>
      <c r="G30" s="2" t="inlineStr">
        <is>
          <t>One Piece Promotion Cards</t>
        </is>
      </c>
      <c r="H30" s="3" t="n"/>
      <c r="I30" s="3" t="n">
        <v>686.85</v>
      </c>
      <c r="J30" s="3" t="n"/>
      <c r="K30" s="3" t="n">
        <v>949.98</v>
      </c>
      <c r="L30" s="2" t="inlineStr">
        <is>
          <t>TCGplayer</t>
        </is>
      </c>
      <c r="N30" s="4" t="inlineStr">
        <is>
          <t>https://www.tcgplayer.com/product/672601</t>
        </is>
      </c>
    </row>
    <row r="31">
      <c r="A31" s="2" t="inlineStr">
        <is>
          <t>One Piece Card Game Illustration Box Vol. 6 Case</t>
        </is>
      </c>
      <c r="B31" s="3">
        <f>IF(H31&lt;&gt;"",H31,IF(I31&lt;&gt;"",I31,IF(J31&lt;&gt;"",J31,K31)))</f>
        <v>654.42</v>
      </c>
      <c r="C31" s="3">
        <f>MEDIAN(H31:K31)</f>
        <v>654.7</v>
      </c>
      <c r="D31" s="3">
        <f>ROUND(C31*(1-Settings!$B$2),2)</f>
        <v>458.29</v>
      </c>
      <c r="E31" s="2" t="inlineStr">
        <is>
          <t>One Piece</t>
        </is>
      </c>
      <c r="F31" s="2" t="inlineStr">
        <is>
          <t>Case/Display</t>
        </is>
      </c>
      <c r="G31" s="2" t="inlineStr">
        <is>
          <t>One Piece Promotion Cards</t>
        </is>
      </c>
      <c r="H31" s="3" t="n"/>
      <c r="I31" s="3" t="n">
        <v>654.42</v>
      </c>
      <c r="J31" s="3" t="n"/>
      <c r="K31" s="3" t="n">
        <v>654.98</v>
      </c>
      <c r="L31" s="2" t="inlineStr">
        <is>
          <t>TCGplayer</t>
        </is>
      </c>
      <c r="N31" s="4" t="inlineStr">
        <is>
          <t>https://www.tcgplayer.com/product/672604</t>
        </is>
      </c>
    </row>
    <row r="32">
      <c r="A32" s="2" t="inlineStr">
        <is>
          <t>One Piece Card Game Illustration Box Vol. 7 Case</t>
        </is>
      </c>
      <c r="B32" s="3">
        <f>IF(H32&lt;&gt;"",H32,IF(I32&lt;&gt;"",I32,IF(J32&lt;&gt;"",J32,K32)))</f>
        <v>251.85</v>
      </c>
      <c r="C32" s="3">
        <f>MEDIAN(H32:K32)</f>
        <v>263.425</v>
      </c>
      <c r="D32" s="3">
        <f>ROUND(C32*(1-Settings!$B$2),2)</f>
        <v>184.4</v>
      </c>
      <c r="E32" s="2" t="inlineStr">
        <is>
          <t>One Piece</t>
        </is>
      </c>
      <c r="F32" s="2" t="inlineStr">
        <is>
          <t>Case/Display</t>
        </is>
      </c>
      <c r="G32" s="2" t="inlineStr">
        <is>
          <t>One Piece Promotion Cards</t>
        </is>
      </c>
      <c r="H32" s="3" t="n"/>
      <c r="I32" s="3" t="n">
        <v>251.85</v>
      </c>
      <c r="J32" s="3" t="n"/>
      <c r="K32" s="3" t="n">
        <v>275</v>
      </c>
      <c r="L32" s="2" t="inlineStr">
        <is>
          <t>TCGplayer</t>
        </is>
      </c>
      <c r="N32" s="4" t="inlineStr">
        <is>
          <t>https://www.tcgplayer.com/product/711511</t>
        </is>
      </c>
    </row>
    <row r="33">
      <c r="A33" s="2" t="inlineStr">
        <is>
          <t>One Piece Card Game Illustration Box Vol. 8 Case</t>
        </is>
      </c>
      <c r="B33" s="3">
        <f>IF(H33&lt;&gt;"",H33,IF(I33&lt;&gt;"",I33,IF(J33&lt;&gt;"",J33,K33)))</f>
        <v>255.74</v>
      </c>
      <c r="C33" s="3">
        <f>MEDIAN(H33:K33)</f>
        <v>290.37</v>
      </c>
      <c r="D33" s="3">
        <f>ROUND(C33*(1-Settings!$B$2),2)</f>
        <v>203.26</v>
      </c>
      <c r="E33" s="2" t="inlineStr">
        <is>
          <t>One Piece</t>
        </is>
      </c>
      <c r="F33" s="2" t="inlineStr">
        <is>
          <t>Case/Display</t>
        </is>
      </c>
      <c r="G33" s="2" t="inlineStr">
        <is>
          <t>One Piece Promotion Cards</t>
        </is>
      </c>
      <c r="H33" s="3" t="n"/>
      <c r="I33" s="3" t="n">
        <v>255.74</v>
      </c>
      <c r="J33" s="3" t="n"/>
      <c r="K33" s="3" t="n">
        <v>325</v>
      </c>
      <c r="L33" s="2" t="inlineStr">
        <is>
          <t>TCGplayer</t>
        </is>
      </c>
      <c r="N33" s="4" t="inlineStr">
        <is>
          <t>https://www.tcgplayer.com/product/711512</t>
        </is>
      </c>
    </row>
    <row r="34">
      <c r="A34" s="2" t="inlineStr">
        <is>
          <t>One Piece Tin Pack Set Vol. 1 Display</t>
        </is>
      </c>
      <c r="B34" s="3">
        <f>IF(H34&lt;&gt;"",H34,IF(I34&lt;&gt;"",I34,IF(J34&lt;&gt;"",J34,K34)))</f>
        <v>468.49</v>
      </c>
      <c r="C34" s="3">
        <f>MEDIAN(H34:K34)</f>
        <v>626.745</v>
      </c>
      <c r="D34" s="3">
        <f>ROUND(C34*(1-Settings!$B$2),2)</f>
        <v>438.72</v>
      </c>
      <c r="E34" s="2" t="inlineStr">
        <is>
          <t>One Piece</t>
        </is>
      </c>
      <c r="F34" s="2" t="inlineStr">
        <is>
          <t>Case/Display</t>
        </is>
      </c>
      <c r="G34" s="2" t="inlineStr">
        <is>
          <t>One Piece Promotion Cards</t>
        </is>
      </c>
      <c r="H34" s="3" t="n"/>
      <c r="I34" s="3" t="n">
        <v>468.49</v>
      </c>
      <c r="J34" s="3" t="n"/>
      <c r="K34" s="3" t="n">
        <v>785</v>
      </c>
      <c r="L34" s="2" t="inlineStr">
        <is>
          <t>TCGplayer</t>
        </is>
      </c>
      <c r="N34" s="4" t="inlineStr">
        <is>
          <t>https://www.tcgplayer.com/product/620280</t>
        </is>
      </c>
    </row>
    <row r="35">
      <c r="A35" s="2" t="inlineStr">
        <is>
          <t>One Piece Tin Pack Set Vol. 1 Display Case</t>
        </is>
      </c>
      <c r="B35" s="3">
        <f>IF(H35&lt;&gt;"",H35,IF(I35&lt;&gt;"",I35,IF(J35&lt;&gt;"",J35,K35)))</f>
        <v>5000.69</v>
      </c>
      <c r="C35" s="3">
        <f>MEDIAN(H35:K35)</f>
        <v>5000.69</v>
      </c>
      <c r="D35" s="3">
        <f>ROUND(C35*(1-Settings!$B$2),2)</f>
        <v>3500.48</v>
      </c>
      <c r="E35" s="2" t="inlineStr">
        <is>
          <t>One Piece</t>
        </is>
      </c>
      <c r="F35" s="2" t="inlineStr">
        <is>
          <t>Case/Display</t>
        </is>
      </c>
      <c r="G35" s="2" t="inlineStr">
        <is>
          <t>One Piece Promotion Cards</t>
        </is>
      </c>
      <c r="H35" s="3" t="n"/>
      <c r="I35" s="3" t="n"/>
      <c r="J35" s="3" t="n"/>
      <c r="K35" s="3" t="n">
        <v>5000.69</v>
      </c>
      <c r="L35" s="2" t="inlineStr">
        <is>
          <t>TCGplayer</t>
        </is>
      </c>
      <c r="N35" s="4" t="inlineStr">
        <is>
          <t>https://www.tcgplayer.com/product/620281</t>
        </is>
      </c>
    </row>
    <row r="36">
      <c r="A36" s="2" t="inlineStr">
        <is>
          <t>One Piece Tin Pack Set Vol. 2 Display</t>
        </is>
      </c>
      <c r="B36" s="3">
        <f>IF(H36&lt;&gt;"",H36,IF(I36&lt;&gt;"",I36,IF(J36&lt;&gt;"",J36,K36)))</f>
        <v>536.12</v>
      </c>
      <c r="C36" s="3">
        <f>MEDIAN(H36:K36)</f>
        <v>285.56</v>
      </c>
      <c r="D36" s="3">
        <f>ROUND(C36*(1-Settings!$B$2),2)</f>
        <v>199.89</v>
      </c>
      <c r="E36" s="2" t="inlineStr">
        <is>
          <t>One Piece</t>
        </is>
      </c>
      <c r="F36" s="2" t="inlineStr">
        <is>
          <t>Case/Display</t>
        </is>
      </c>
      <c r="G36" s="2" t="inlineStr">
        <is>
          <t>One Piece Promotion Cards</t>
        </is>
      </c>
      <c r="H36" s="3" t="n"/>
      <c r="I36" s="3" t="n">
        <v>536.12</v>
      </c>
      <c r="J36" s="3" t="n"/>
      <c r="K36" s="3" t="n">
        <v>35</v>
      </c>
      <c r="L36" s="2" t="inlineStr">
        <is>
          <t>TCGplayer</t>
        </is>
      </c>
      <c r="N36" s="4" t="inlineStr">
        <is>
          <t>https://www.tcgplayer.com/product/657218</t>
        </is>
      </c>
    </row>
    <row r="37">
      <c r="A37" s="2" t="inlineStr">
        <is>
          <t>One Piece Tin Pack Set Vol. 2 Display Case</t>
        </is>
      </c>
      <c r="B37" s="3">
        <f>IF(H37&lt;&gt;"",H37,IF(I37&lt;&gt;"",I37,IF(J37&lt;&gt;"",J37,K37)))</f>
        <v>2638.3</v>
      </c>
      <c r="C37" s="3">
        <f>MEDIAN(H37:K37)</f>
        <v>3069.15</v>
      </c>
      <c r="D37" s="3">
        <f>ROUND(C37*(1-Settings!$B$2),2)</f>
        <v>2148.41</v>
      </c>
      <c r="E37" s="2" t="inlineStr">
        <is>
          <t>One Piece</t>
        </is>
      </c>
      <c r="F37" s="2" t="inlineStr">
        <is>
          <t>Case/Display</t>
        </is>
      </c>
      <c r="G37" s="2" t="inlineStr">
        <is>
          <t>One Piece Promotion Cards</t>
        </is>
      </c>
      <c r="H37" s="3" t="n"/>
      <c r="I37" s="3" t="n">
        <v>2638.3</v>
      </c>
      <c r="J37" s="3" t="n"/>
      <c r="K37" s="3" t="n">
        <v>3500</v>
      </c>
      <c r="L37" s="2" t="inlineStr">
        <is>
          <t>TCGplayer</t>
        </is>
      </c>
      <c r="N37" s="4" t="inlineStr">
        <is>
          <t>https://www.tcgplayer.com/product/657219</t>
        </is>
      </c>
    </row>
    <row r="38">
      <c r="A38" s="2" t="inlineStr">
        <is>
          <t>Treasure Booster Set Display Case</t>
        </is>
      </c>
      <c r="B38" s="3">
        <f>IF(H38&lt;&gt;"",H38,IF(I38&lt;&gt;"",I38,IF(J38&lt;&gt;"",J38,K38)))</f>
        <v>2473.99</v>
      </c>
      <c r="C38" s="3">
        <f>MEDIAN(H38:K38)</f>
        <v>2473.99</v>
      </c>
      <c r="D38" s="3">
        <f>ROUND(C38*(1-Settings!$B$2),2)</f>
        <v>1731.79</v>
      </c>
      <c r="E38" s="2" t="inlineStr">
        <is>
          <t>One Piece</t>
        </is>
      </c>
      <c r="F38" s="2" t="inlineStr">
        <is>
          <t>Case/Display</t>
        </is>
      </c>
      <c r="G38" s="2" t="inlineStr">
        <is>
          <t>One Piece Promotion Cards</t>
        </is>
      </c>
      <c r="H38" s="3" t="n"/>
      <c r="I38" s="3" t="n"/>
      <c r="J38" s="3" t="n"/>
      <c r="K38" s="3" t="n">
        <v>2473.99</v>
      </c>
      <c r="L38" s="2" t="inlineStr">
        <is>
          <t>TCGplayer</t>
        </is>
      </c>
      <c r="N38" s="4" t="inlineStr">
        <is>
          <t>https://www.tcgplayer.com/product/646249</t>
        </is>
      </c>
    </row>
    <row r="39">
      <c r="A39" s="2" t="inlineStr">
        <is>
          <t>Paramount War - Booster Box Case</t>
        </is>
      </c>
      <c r="B39" s="3">
        <f>IF(H39&lt;&gt;"",H39,IF(I39&lt;&gt;"",I39,IF(J39&lt;&gt;"",J39,K39)))</f>
        <v>6500.0</v>
      </c>
      <c r="C39" s="3">
        <f>MEDIAN(H39:K39)</f>
        <v>6500.0</v>
      </c>
      <c r="D39" s="3">
        <f>ROUND(C39*(1-Settings!$B$2),2)</f>
        <v>4550.0</v>
      </c>
      <c r="E39" s="2" t="inlineStr">
        <is>
          <t>One Piece</t>
        </is>
      </c>
      <c r="F39" s="2" t="inlineStr">
        <is>
          <t>Case/Display</t>
        </is>
      </c>
      <c r="G39" s="2" t="inlineStr">
        <is>
          <t>Paramount War</t>
        </is>
      </c>
      <c r="H39" s="3" t="n"/>
      <c r="I39" s="3" t="n"/>
      <c r="J39" s="3" t="n"/>
      <c r="K39" s="3" t="n">
        <v>6500</v>
      </c>
      <c r="L39" s="2" t="inlineStr">
        <is>
          <t>TCGplayer</t>
        </is>
      </c>
      <c r="N39" s="4" t="inlineStr">
        <is>
          <t>https://www.tcgplayer.com/product/455867</t>
        </is>
      </c>
    </row>
    <row r="40">
      <c r="A40" s="2" t="inlineStr">
        <is>
          <t>Pillars of Strength - Booster Box Case</t>
        </is>
      </c>
      <c r="B40" s="3">
        <f>IF(H40&lt;&gt;"",H40,IF(I40&lt;&gt;"",I40,IF(J40&lt;&gt;"",J40,K40)))</f>
        <v>8450.0</v>
      </c>
      <c r="C40" s="3">
        <f>MEDIAN(H40:K40)</f>
        <v>8450.0</v>
      </c>
      <c r="D40" s="3">
        <f>ROUND(C40*(1-Settings!$B$2),2)</f>
        <v>5915.0</v>
      </c>
      <c r="E40" s="2" t="inlineStr">
        <is>
          <t>One Piece</t>
        </is>
      </c>
      <c r="F40" s="2" t="inlineStr">
        <is>
          <t>Case/Display</t>
        </is>
      </c>
      <c r="G40" s="2" t="inlineStr">
        <is>
          <t>Pillars of Strength</t>
        </is>
      </c>
      <c r="H40" s="3" t="n"/>
      <c r="I40" s="3" t="n"/>
      <c r="J40" s="3" t="n"/>
      <c r="K40" s="3" t="n">
        <v>8450</v>
      </c>
      <c r="L40" s="2" t="inlineStr">
        <is>
          <t>TCGplayer</t>
        </is>
      </c>
      <c r="N40" s="4" t="inlineStr">
        <is>
          <t>https://www.tcgplayer.com/product/477177</t>
        </is>
      </c>
    </row>
    <row r="41">
      <c r="A41" s="2" t="inlineStr">
        <is>
          <t>Premium Booster Display [PRB01]</t>
        </is>
      </c>
      <c r="B41" s="3">
        <f>IF(H41&lt;&gt;"",H41,IF(I41&lt;&gt;"",I41,IF(J41&lt;&gt;"",J41,K41)))</f>
        <v>900.0</v>
      </c>
      <c r="C41" s="3">
        <f>MEDIAN(H41:K41)</f>
        <v>900.0</v>
      </c>
      <c r="D41" s="3">
        <f>ROUND(C41*(1-Settings!$B$2),2)</f>
        <v>630.0</v>
      </c>
      <c r="E41" s="2" t="inlineStr">
        <is>
          <t>One Piece</t>
        </is>
      </c>
      <c r="F41" s="2" t="inlineStr">
        <is>
          <t>Case/Display</t>
        </is>
      </c>
      <c r="G41" s="2" t="inlineStr">
        <is>
          <t>Premium Booster</t>
        </is>
      </c>
      <c r="H41" s="3" t="n">
        <v>900</v>
      </c>
      <c r="I41" s="3" t="n"/>
      <c r="J41" s="3" t="n"/>
      <c r="K41" s="3" t="n"/>
      <c r="L41" s="2" t="inlineStr">
        <is>
          <t>PriceCharting</t>
        </is>
      </c>
      <c r="M41" s="4" t="inlineStr">
        <is>
          <t>https://www.pricecharting.com/game/one-piece-premium-booster/premium-booster-display-prb01</t>
        </is>
      </c>
    </row>
    <row r="42">
      <c r="A42" s="2" t="inlineStr">
        <is>
          <t>Premium Booster - Booster Box Case</t>
        </is>
      </c>
      <c r="B42" s="3">
        <f>IF(H42&lt;&gt;"",H42,IF(I42&lt;&gt;"",I42,IF(J42&lt;&gt;"",J42,K42)))</f>
        <v>9048.5</v>
      </c>
      <c r="C42" s="3">
        <f>MEDIAN(H42:K42)</f>
        <v>6024.245</v>
      </c>
      <c r="D42" s="3">
        <f>ROUND(C42*(1-Settings!$B$2),2)</f>
        <v>4216.97</v>
      </c>
      <c r="E42" s="2" t="inlineStr">
        <is>
          <t>One Piece</t>
        </is>
      </c>
      <c r="F42" s="2" t="inlineStr">
        <is>
          <t>Case/Display</t>
        </is>
      </c>
      <c r="G42" s="2" t="inlineStr">
        <is>
          <t>Premium Booster -The Best-</t>
        </is>
      </c>
      <c r="H42" s="3" t="n"/>
      <c r="I42" s="3" t="n">
        <v>9048.5</v>
      </c>
      <c r="J42" s="3" t="n"/>
      <c r="K42" s="3" t="n">
        <v>2999.99</v>
      </c>
      <c r="L42" s="2" t="inlineStr">
        <is>
          <t>TCGplayer</t>
        </is>
      </c>
      <c r="N42" s="4" t="inlineStr">
        <is>
          <t>https://www.tcgplayer.com/product/545400</t>
        </is>
      </c>
    </row>
    <row r="43">
      <c r="A43" s="2" t="inlineStr">
        <is>
          <t>Premium Booster Vol. 2 - Booster Box Case</t>
        </is>
      </c>
      <c r="B43" s="3">
        <f>IF(H43&lt;&gt;"",H43,IF(I43&lt;&gt;"",I43,IF(J43&lt;&gt;"",J43,K43)))</f>
        <v>3554.45</v>
      </c>
      <c r="C43" s="3">
        <f>MEDIAN(H43:K43)</f>
        <v>3027.225</v>
      </c>
      <c r="D43" s="3">
        <f>ROUND(C43*(1-Settings!$B$2),2)</f>
        <v>2119.06</v>
      </c>
      <c r="E43" s="2" t="inlineStr">
        <is>
          <t>One Piece</t>
        </is>
      </c>
      <c r="F43" s="2" t="inlineStr">
        <is>
          <t>Case/Display</t>
        </is>
      </c>
      <c r="G43" s="2" t="inlineStr">
        <is>
          <t>Premium Booster -The Best- Vol. 2</t>
        </is>
      </c>
      <c r="H43" s="3" t="n"/>
      <c r="I43" s="3" t="n">
        <v>3554.45</v>
      </c>
      <c r="J43" s="3" t="n"/>
      <c r="K43" s="3" t="n">
        <v>2500</v>
      </c>
      <c r="L43" s="2" t="inlineStr">
        <is>
          <t>TCGplayer</t>
        </is>
      </c>
      <c r="N43" s="4" t="inlineStr">
        <is>
          <t>https://www.tcgplayer.com/product/628453</t>
        </is>
      </c>
    </row>
    <row r="44">
      <c r="A44" s="2" t="inlineStr">
        <is>
          <t>Romance Dawn - Booster Box Case (Wave 1 - Blue)</t>
        </is>
      </c>
      <c r="B44" s="3">
        <f>IF(H44&lt;&gt;"",H44,IF(I44&lt;&gt;"",I44,IF(J44&lt;&gt;"",J44,K44)))</f>
        <v>75000.0</v>
      </c>
      <c r="C44" s="3">
        <f>MEDIAN(H44:K44)</f>
        <v>75000.0</v>
      </c>
      <c r="D44" s="3">
        <f>ROUND(C44*(1-Settings!$B$2),2)</f>
        <v>52500.0</v>
      </c>
      <c r="E44" s="2" t="inlineStr">
        <is>
          <t>One Piece</t>
        </is>
      </c>
      <c r="F44" s="2" t="inlineStr">
        <is>
          <t>Case/Display</t>
        </is>
      </c>
      <c r="G44" s="2" t="inlineStr">
        <is>
          <t>Romance Dawn</t>
        </is>
      </c>
      <c r="H44" s="3" t="n"/>
      <c r="I44" s="3" t="n"/>
      <c r="J44" s="3" t="n"/>
      <c r="K44" s="3" t="n">
        <v>75000</v>
      </c>
      <c r="L44" s="2" t="inlineStr">
        <is>
          <t>TCGplayer</t>
        </is>
      </c>
      <c r="N44" s="4" t="inlineStr">
        <is>
          <t>https://www.tcgplayer.com/product/650853</t>
        </is>
      </c>
    </row>
    <row r="45">
      <c r="A45" s="2" t="inlineStr">
        <is>
          <t>Romance Dawn - Booster Box Case (Wave 2 - White)</t>
        </is>
      </c>
      <c r="B45" s="3">
        <f>IF(H45&lt;&gt;"",H45,IF(I45&lt;&gt;"",I45,IF(J45&lt;&gt;"",J45,K45)))</f>
        <v>26997.0</v>
      </c>
      <c r="C45" s="3">
        <f>MEDIAN(H45:K45)</f>
        <v>26997.0</v>
      </c>
      <c r="D45" s="3">
        <f>ROUND(C45*(1-Settings!$B$2),2)</f>
        <v>18897.9</v>
      </c>
      <c r="E45" s="2" t="inlineStr">
        <is>
          <t>One Piece</t>
        </is>
      </c>
      <c r="F45" s="2" t="inlineStr">
        <is>
          <t>Case/Display</t>
        </is>
      </c>
      <c r="G45" s="2" t="inlineStr">
        <is>
          <t>Romance Dawn</t>
        </is>
      </c>
      <c r="H45" s="3" t="n"/>
      <c r="I45" s="3" t="n"/>
      <c r="J45" s="3" t="n"/>
      <c r="K45" s="3" t="n">
        <v>26997</v>
      </c>
      <c r="L45" s="2" t="inlineStr">
        <is>
          <t>TCGplayer</t>
        </is>
      </c>
      <c r="N45" s="4" t="inlineStr">
        <is>
          <t>https://www.tcgplayer.com/product/450087</t>
        </is>
      </c>
    </row>
    <row r="46">
      <c r="A46" s="2" t="inlineStr">
        <is>
          <t>Royal Blood Booster Box Case</t>
        </is>
      </c>
      <c r="B46" s="3">
        <f>IF(H46&lt;&gt;"",H46,IF(I46&lt;&gt;"",I46,IF(J46&lt;&gt;"",J46,K46)))</f>
        <v>2408.65</v>
      </c>
      <c r="C46" s="3">
        <f>MEDIAN(H46:K46)</f>
        <v>2433.825</v>
      </c>
      <c r="D46" s="3">
        <f>ROUND(C46*(1-Settings!$B$2),2)</f>
        <v>1703.68</v>
      </c>
      <c r="E46" s="2" t="inlineStr">
        <is>
          <t>One Piece</t>
        </is>
      </c>
      <c r="F46" s="2" t="inlineStr">
        <is>
          <t>Case/Display</t>
        </is>
      </c>
      <c r="G46" s="2" t="inlineStr">
        <is>
          <t>Royal Blood</t>
        </is>
      </c>
      <c r="H46" s="3" t="n"/>
      <c r="I46" s="3" t="n">
        <v>2408.65</v>
      </c>
      <c r="J46" s="3" t="n"/>
      <c r="K46" s="3" t="n">
        <v>2459</v>
      </c>
      <c r="L46" s="2" t="inlineStr">
        <is>
          <t>TCGplayer</t>
        </is>
      </c>
      <c r="N46" s="4" t="inlineStr">
        <is>
          <t>https://www.tcgplayer.com/product/586673</t>
        </is>
      </c>
    </row>
    <row r="47">
      <c r="A47" s="2" t="inlineStr">
        <is>
          <t>Set Sail Deck Set Display</t>
        </is>
      </c>
      <c r="B47" s="3">
        <f>IF(H47&lt;&gt;"",H47,IF(I47&lt;&gt;"",I47,IF(J47&lt;&gt;"",J47,K47)))</f>
        <v>165.9</v>
      </c>
      <c r="C47" s="3">
        <f>MEDIAN(H47:K47)</f>
        <v>156.95</v>
      </c>
      <c r="D47" s="3">
        <f>ROUND(C47*(1-Settings!$B$2),2)</f>
        <v>109.87</v>
      </c>
      <c r="E47" s="2" t="inlineStr">
        <is>
          <t>One Piece</t>
        </is>
      </c>
      <c r="F47" s="2" t="inlineStr">
        <is>
          <t>Case/Display</t>
        </is>
      </c>
      <c r="G47" s="2" t="inlineStr">
        <is>
          <t>Set Sail Deck Set</t>
        </is>
      </c>
      <c r="H47" s="3" t="n"/>
      <c r="I47" s="3" t="n">
        <v>165.9</v>
      </c>
      <c r="J47" s="3" t="n"/>
      <c r="K47" s="3" t="n">
        <v>148</v>
      </c>
      <c r="L47" s="2" t="inlineStr">
        <is>
          <t>TCGplayer</t>
        </is>
      </c>
      <c r="N47" s="4" t="inlineStr">
        <is>
          <t>https://www.tcgplayer.com/product/694894</t>
        </is>
      </c>
    </row>
    <row r="48">
      <c r="A48" s="2" t="inlineStr">
        <is>
          <t>Starter Deck 11: Uta Display</t>
        </is>
      </c>
      <c r="B48" s="3">
        <f>IF(H48&lt;&gt;"",H48,IF(I48&lt;&gt;"",I48,IF(J48&lt;&gt;"",J48,K48)))</f>
        <v>103.46</v>
      </c>
      <c r="C48" s="3">
        <f>MEDIAN(H48:K48)</f>
        <v>111.305</v>
      </c>
      <c r="D48" s="3">
        <f>ROUND(C48*(1-Settings!$B$2),2)</f>
        <v>77.91</v>
      </c>
      <c r="E48" s="2" t="inlineStr">
        <is>
          <t>One Piece</t>
        </is>
      </c>
      <c r="F48" s="2" t="inlineStr">
        <is>
          <t>Case/Display</t>
        </is>
      </c>
      <c r="G48" s="2" t="inlineStr">
        <is>
          <t>Starter Deck 11: Uta</t>
        </is>
      </c>
      <c r="H48" s="3" t="n"/>
      <c r="I48" s="3" t="n">
        <v>103.46</v>
      </c>
      <c r="J48" s="3" t="n"/>
      <c r="K48" s="3" t="n">
        <v>119.15</v>
      </c>
      <c r="L48" s="2" t="inlineStr">
        <is>
          <t>TCGplayer</t>
        </is>
      </c>
      <c r="N48" s="4" t="inlineStr">
        <is>
          <t>https://www.tcgplayer.com/product/515296</t>
        </is>
      </c>
    </row>
    <row r="49">
      <c r="A49" s="2" t="inlineStr">
        <is>
          <t>Starter Deck 12: Zoro and Sanji Display</t>
        </is>
      </c>
      <c r="B49" s="3">
        <f>IF(H49&lt;&gt;"",H49,IF(I49&lt;&gt;"",I49,IF(J49&lt;&gt;"",J49,K49)))</f>
        <v>225.5</v>
      </c>
      <c r="C49" s="3">
        <f>MEDIAN(H49:K49)</f>
        <v>287.745</v>
      </c>
      <c r="D49" s="3">
        <f>ROUND(C49*(1-Settings!$B$2),2)</f>
        <v>201.42</v>
      </c>
      <c r="E49" s="2" t="inlineStr">
        <is>
          <t>One Piece</t>
        </is>
      </c>
      <c r="F49" s="2" t="inlineStr">
        <is>
          <t>Case/Display</t>
        </is>
      </c>
      <c r="G49" s="2" t="inlineStr">
        <is>
          <t>Starter Deck 12: Zoro and Sanji</t>
        </is>
      </c>
      <c r="H49" s="3" t="n"/>
      <c r="I49" s="3" t="n">
        <v>225.5</v>
      </c>
      <c r="J49" s="3" t="n"/>
      <c r="K49" s="3" t="n">
        <v>349.99</v>
      </c>
      <c r="L49" s="2" t="inlineStr">
        <is>
          <t>TCGplayer</t>
        </is>
      </c>
      <c r="N49" s="4" t="inlineStr">
        <is>
          <t>https://www.tcgplayer.com/product/536586</t>
        </is>
      </c>
    </row>
    <row r="50">
      <c r="A50" s="2" t="inlineStr">
        <is>
          <t>Starter Deck 14: 3D2Y Display</t>
        </is>
      </c>
      <c r="B50" s="3">
        <f>IF(H50&lt;&gt;"",H50,IF(I50&lt;&gt;"",I50,IF(J50&lt;&gt;"",J50,K50)))</f>
        <v>128.67</v>
      </c>
      <c r="C50" s="3">
        <f>MEDIAN(H50:K50)</f>
        <v>133.32999999999998</v>
      </c>
      <c r="D50" s="3">
        <f>ROUND(C50*(1-Settings!$B$2),2)</f>
        <v>93.33</v>
      </c>
      <c r="E50" s="2" t="inlineStr">
        <is>
          <t>One Piece</t>
        </is>
      </c>
      <c r="F50" s="2" t="inlineStr">
        <is>
          <t>Case/Display</t>
        </is>
      </c>
      <c r="G50" s="2" t="inlineStr">
        <is>
          <t>Starter Deck 14: 3D2Y</t>
        </is>
      </c>
      <c r="H50" s="3" t="n"/>
      <c r="I50" s="3" t="n">
        <v>128.67</v>
      </c>
      <c r="J50" s="3" t="n"/>
      <c r="K50" s="3" t="n">
        <v>137.99</v>
      </c>
      <c r="L50" s="2" t="inlineStr">
        <is>
          <t>TCGplayer</t>
        </is>
      </c>
      <c r="N50" s="4" t="inlineStr">
        <is>
          <t>https://www.tcgplayer.com/product/545028</t>
        </is>
      </c>
    </row>
    <row r="51">
      <c r="A51" s="2" t="inlineStr">
        <is>
          <t>Starter Deck 15: RED Edward.Newgate Display</t>
        </is>
      </c>
      <c r="B51" s="3">
        <f>IF(H51&lt;&gt;"",H51,IF(I51&lt;&gt;"",I51,IF(J51&lt;&gt;"",J51,K51)))</f>
        <v>380.0</v>
      </c>
      <c r="C51" s="3">
        <f>MEDIAN(H51:K51)</f>
        <v>440.0</v>
      </c>
      <c r="D51" s="3">
        <f>ROUND(C51*(1-Settings!$B$2),2)</f>
        <v>308.0</v>
      </c>
      <c r="E51" s="2" t="inlineStr">
        <is>
          <t>One Piece</t>
        </is>
      </c>
      <c r="F51" s="2" t="inlineStr">
        <is>
          <t>Case/Display</t>
        </is>
      </c>
      <c r="G51" s="2" t="inlineStr">
        <is>
          <t>Starter Deck 15: RED Edward.Newgate</t>
        </is>
      </c>
      <c r="H51" s="3" t="n"/>
      <c r="I51" s="3" t="n">
        <v>380</v>
      </c>
      <c r="J51" s="3" t="n"/>
      <c r="K51" s="3" t="n">
        <v>500</v>
      </c>
      <c r="L51" s="2" t="inlineStr">
        <is>
          <t>TCGplayer</t>
        </is>
      </c>
      <c r="N51" s="4" t="inlineStr">
        <is>
          <t>https://www.tcgplayer.com/product/545034</t>
        </is>
      </c>
    </row>
    <row r="52">
      <c r="A52" s="2" t="inlineStr">
        <is>
          <t>Starter Deck 16: GREEN Uta Display</t>
        </is>
      </c>
      <c r="B52" s="3">
        <f>IF(H52&lt;&gt;"",H52,IF(I52&lt;&gt;"",I52,IF(J52&lt;&gt;"",J52,K52)))</f>
        <v>380.0</v>
      </c>
      <c r="C52" s="3">
        <f>MEDIAN(H52:K52)</f>
        <v>380.0</v>
      </c>
      <c r="D52" s="3">
        <f>ROUND(C52*(1-Settings!$B$2),2)</f>
        <v>266.0</v>
      </c>
      <c r="E52" s="2" t="inlineStr">
        <is>
          <t>One Piece</t>
        </is>
      </c>
      <c r="F52" s="2" t="inlineStr">
        <is>
          <t>Case/Display</t>
        </is>
      </c>
      <c r="G52" s="2" t="inlineStr">
        <is>
          <t>Starter Deck 16: GREEN Uta</t>
        </is>
      </c>
      <c r="H52" s="3" t="n"/>
      <c r="I52" s="3" t="n">
        <v>380</v>
      </c>
      <c r="J52" s="3" t="n"/>
      <c r="K52" s="3" t="n"/>
      <c r="L52" s="2" t="inlineStr">
        <is>
          <t>TCGplayer</t>
        </is>
      </c>
      <c r="N52" s="4" t="inlineStr">
        <is>
          <t>https://www.tcgplayer.com/product/545037</t>
        </is>
      </c>
    </row>
    <row r="53">
      <c r="A53" s="2" t="inlineStr">
        <is>
          <t>Starter Deck 17: BLUE Donquixote Doflamingo Display</t>
        </is>
      </c>
      <c r="B53" s="3">
        <f>IF(H53&lt;&gt;"",H53,IF(I53&lt;&gt;"",I53,IF(J53&lt;&gt;"",J53,K53)))</f>
        <v>999.95</v>
      </c>
      <c r="C53" s="3">
        <f>MEDIAN(H53:K53)</f>
        <v>999.95</v>
      </c>
      <c r="D53" s="3">
        <f>ROUND(C53*(1-Settings!$B$2),2)</f>
        <v>699.97</v>
      </c>
      <c r="E53" s="2" t="inlineStr">
        <is>
          <t>One Piece</t>
        </is>
      </c>
      <c r="F53" s="2" t="inlineStr">
        <is>
          <t>Case/Display</t>
        </is>
      </c>
      <c r="G53" s="2" t="inlineStr">
        <is>
          <t>Starter Deck 17: BLUE Donquixote Doflamingo</t>
        </is>
      </c>
      <c r="H53" s="3" t="n"/>
      <c r="I53" s="3" t="n"/>
      <c r="J53" s="3" t="n"/>
      <c r="K53" s="3" t="n">
        <v>999.95</v>
      </c>
      <c r="L53" s="2" t="inlineStr">
        <is>
          <t>TCGplayer</t>
        </is>
      </c>
      <c r="N53" s="4" t="inlineStr">
        <is>
          <t>https://www.tcgplayer.com/product/545040</t>
        </is>
      </c>
    </row>
    <row r="54">
      <c r="A54" s="2" t="inlineStr">
        <is>
          <t>Starter Deck 18: PURPLE Monkey.D.Luffy Display</t>
        </is>
      </c>
      <c r="B54" s="3">
        <f>IF(H54&lt;&gt;"",H54,IF(I54&lt;&gt;"",I54,IF(J54&lt;&gt;"",J54,K54)))</f>
        <v>2499.99</v>
      </c>
      <c r="C54" s="3">
        <f>MEDIAN(H54:K54)</f>
        <v>2499.99</v>
      </c>
      <c r="D54" s="3">
        <f>ROUND(C54*(1-Settings!$B$2),2)</f>
        <v>1749.99</v>
      </c>
      <c r="E54" s="2" t="inlineStr">
        <is>
          <t>One Piece</t>
        </is>
      </c>
      <c r="F54" s="2" t="inlineStr">
        <is>
          <t>Case/Display</t>
        </is>
      </c>
      <c r="G54" s="2" t="inlineStr">
        <is>
          <t>Starter Deck 18: PURPLE Monkey.D.Luffy</t>
        </is>
      </c>
      <c r="H54" s="3" t="n"/>
      <c r="I54" s="3" t="n"/>
      <c r="J54" s="3" t="n"/>
      <c r="K54" s="3" t="n">
        <v>2499.99</v>
      </c>
      <c r="L54" s="2" t="inlineStr">
        <is>
          <t>TCGplayer</t>
        </is>
      </c>
      <c r="N54" s="4" t="inlineStr">
        <is>
          <t>https://www.tcgplayer.com/product/545043</t>
        </is>
      </c>
    </row>
    <row r="55">
      <c r="A55" s="2" t="inlineStr">
        <is>
          <t>Starter Deck 19: BLACK Smoker Display</t>
        </is>
      </c>
      <c r="B55" s="3">
        <f>IF(H55&lt;&gt;"",H55,IF(I55&lt;&gt;"",I55,IF(J55&lt;&gt;"",J55,K55)))</f>
        <v>499.99</v>
      </c>
      <c r="C55" s="3">
        <f>MEDIAN(H55:K55)</f>
        <v>499.99</v>
      </c>
      <c r="D55" s="3">
        <f>ROUND(C55*(1-Settings!$B$2),2)</f>
        <v>349.99</v>
      </c>
      <c r="E55" s="2" t="inlineStr">
        <is>
          <t>One Piece</t>
        </is>
      </c>
      <c r="F55" s="2" t="inlineStr">
        <is>
          <t>Case/Display</t>
        </is>
      </c>
      <c r="G55" s="2" t="inlineStr">
        <is>
          <t>Starter Deck 19: BLACK Smoker</t>
        </is>
      </c>
      <c r="H55" s="3" t="n"/>
      <c r="I55" s="3" t="n"/>
      <c r="J55" s="3" t="n"/>
      <c r="K55" s="3" t="n">
        <v>499.99</v>
      </c>
      <c r="L55" s="2" t="inlineStr">
        <is>
          <t>TCGplayer</t>
        </is>
      </c>
      <c r="N55" s="4" t="inlineStr">
        <is>
          <t>https://www.tcgplayer.com/product/545046</t>
        </is>
      </c>
    </row>
    <row r="56">
      <c r="A56" s="2" t="inlineStr">
        <is>
          <t>Starter Deck 1: Straw Hat Crew Display</t>
        </is>
      </c>
      <c r="B56" s="3">
        <f>IF(H56&lt;&gt;"",H56,IF(I56&lt;&gt;"",I56,IF(J56&lt;&gt;"",J56,K56)))</f>
        <v>595.0</v>
      </c>
      <c r="C56" s="3">
        <f>MEDIAN(H56:K56)</f>
        <v>595.0</v>
      </c>
      <c r="D56" s="3">
        <f>ROUND(C56*(1-Settings!$B$2),2)</f>
        <v>416.5</v>
      </c>
      <c r="E56" s="2" t="inlineStr">
        <is>
          <t>One Piece</t>
        </is>
      </c>
      <c r="F56" s="2" t="inlineStr">
        <is>
          <t>Case/Display</t>
        </is>
      </c>
      <c r="G56" s="2" t="inlineStr">
        <is>
          <t>Starter Deck 1: Straw Hat Crew</t>
        </is>
      </c>
      <c r="H56" s="3" t="n"/>
      <c r="I56" s="3" t="n"/>
      <c r="J56" s="3" t="n"/>
      <c r="K56" s="3" t="n">
        <v>595</v>
      </c>
      <c r="L56" s="2" t="inlineStr">
        <is>
          <t>TCGplayer</t>
        </is>
      </c>
      <c r="N56" s="4" t="inlineStr">
        <is>
          <t>https://www.tcgplayer.com/product/288222</t>
        </is>
      </c>
    </row>
    <row r="57">
      <c r="A57" s="2" t="inlineStr">
        <is>
          <t>Starter Deck 22: Ace &amp; Newgate Display</t>
        </is>
      </c>
      <c r="B57" s="3">
        <f>IF(H57&lt;&gt;"",H57,IF(I57&lt;&gt;"",I57,IF(J57&lt;&gt;"",J57,K57)))</f>
        <v>85.26</v>
      </c>
      <c r="C57" s="3">
        <f>MEDIAN(H57:K57)</f>
        <v>92.63</v>
      </c>
      <c r="D57" s="3">
        <f>ROUND(C57*(1-Settings!$B$2),2)</f>
        <v>64.84</v>
      </c>
      <c r="E57" s="2" t="inlineStr">
        <is>
          <t>One Piece</t>
        </is>
      </c>
      <c r="F57" s="2" t="inlineStr">
        <is>
          <t>Case/Display</t>
        </is>
      </c>
      <c r="G57" s="2" t="inlineStr">
        <is>
          <t>Starter Deck 22: Ace &amp; Newgate</t>
        </is>
      </c>
      <c r="H57" s="3" t="n"/>
      <c r="I57" s="3" t="n">
        <v>85.26000000000001</v>
      </c>
      <c r="J57" s="3" t="n"/>
      <c r="K57" s="3" t="n">
        <v>100</v>
      </c>
      <c r="L57" s="2" t="inlineStr">
        <is>
          <t>TCGplayer</t>
        </is>
      </c>
      <c r="N57" s="4" t="inlineStr">
        <is>
          <t>https://www.tcgplayer.com/product/628449</t>
        </is>
      </c>
    </row>
    <row r="58">
      <c r="A58" s="2" t="inlineStr">
        <is>
          <t>Starter Deck 23: RED Shanks Display</t>
        </is>
      </c>
      <c r="B58" s="3">
        <f>IF(H58&lt;&gt;"",H58,IF(I58&lt;&gt;"",I58,IF(J58&lt;&gt;"",J58,K58)))</f>
        <v>223.85</v>
      </c>
      <c r="C58" s="3">
        <f>MEDIAN(H58:K58)</f>
        <v>299.8</v>
      </c>
      <c r="D58" s="3">
        <f>ROUND(C58*(1-Settings!$B$2),2)</f>
        <v>209.86</v>
      </c>
      <c r="E58" s="2" t="inlineStr">
        <is>
          <t>One Piece</t>
        </is>
      </c>
      <c r="F58" s="2" t="inlineStr">
        <is>
          <t>Case/Display</t>
        </is>
      </c>
      <c r="G58" s="2" t="inlineStr">
        <is>
          <t>Starter Deck 23: RED Shanks</t>
        </is>
      </c>
      <c r="H58" s="3" t="n"/>
      <c r="I58" s="3" t="n">
        <v>223.85</v>
      </c>
      <c r="J58" s="3" t="n"/>
      <c r="K58" s="3" t="n">
        <v>375.75</v>
      </c>
      <c r="L58" s="2" t="inlineStr">
        <is>
          <t>TCGplayer</t>
        </is>
      </c>
      <c r="N58" s="4" t="inlineStr">
        <is>
          <t>https://www.tcgplayer.com/product/627670</t>
        </is>
      </c>
    </row>
    <row r="59">
      <c r="A59" s="2" t="inlineStr">
        <is>
          <t>Starter Deck 24: GREEN Jewelry Bonney Display</t>
        </is>
      </c>
      <c r="B59" s="3">
        <f>IF(H59&lt;&gt;"",H59,IF(I59&lt;&gt;"",I59,IF(J59&lt;&gt;"",J59,K59)))</f>
        <v>201.04</v>
      </c>
      <c r="C59" s="3">
        <f>MEDIAN(H59:K59)</f>
        <v>245.79000000000002</v>
      </c>
      <c r="D59" s="3">
        <f>ROUND(C59*(1-Settings!$B$2),2)</f>
        <v>172.05</v>
      </c>
      <c r="E59" s="2" t="inlineStr">
        <is>
          <t>One Piece</t>
        </is>
      </c>
      <c r="F59" s="2" t="inlineStr">
        <is>
          <t>Case/Display</t>
        </is>
      </c>
      <c r="G59" s="2" t="inlineStr">
        <is>
          <t>Starter Deck 24: GREEN Jewelry Bonney</t>
        </is>
      </c>
      <c r="H59" s="3" t="n"/>
      <c r="I59" s="3" t="n">
        <v>201.04</v>
      </c>
      <c r="J59" s="3" t="n"/>
      <c r="K59" s="3" t="n">
        <v>290.54</v>
      </c>
      <c r="L59" s="2" t="inlineStr">
        <is>
          <t>TCGplayer</t>
        </is>
      </c>
      <c r="N59" s="4" t="inlineStr">
        <is>
          <t>https://www.tcgplayer.com/product/627671</t>
        </is>
      </c>
    </row>
    <row r="60">
      <c r="A60" s="2" t="inlineStr">
        <is>
          <t>Starter Deck 25: BLUE Buggy Display</t>
        </is>
      </c>
      <c r="B60" s="3">
        <f>IF(H60&lt;&gt;"",H60,IF(I60&lt;&gt;"",I60,IF(J60&lt;&gt;"",J60,K60)))</f>
        <v>200.12</v>
      </c>
      <c r="C60" s="3">
        <f>MEDIAN(H60:K60)</f>
        <v>224.805</v>
      </c>
      <c r="D60" s="3">
        <f>ROUND(C60*(1-Settings!$B$2),2)</f>
        <v>157.36</v>
      </c>
      <c r="E60" s="2" t="inlineStr">
        <is>
          <t>One Piece</t>
        </is>
      </c>
      <c r="F60" s="2" t="inlineStr">
        <is>
          <t>Case/Display</t>
        </is>
      </c>
      <c r="G60" s="2" t="inlineStr">
        <is>
          <t>Starter Deck 25: BLUE Buggy</t>
        </is>
      </c>
      <c r="H60" s="3" t="n"/>
      <c r="I60" s="3" t="n">
        <v>200.12</v>
      </c>
      <c r="J60" s="3" t="n"/>
      <c r="K60" s="3" t="n">
        <v>249.49</v>
      </c>
      <c r="L60" s="2" t="inlineStr">
        <is>
          <t>TCGplayer</t>
        </is>
      </c>
      <c r="N60" s="4" t="inlineStr">
        <is>
          <t>https://www.tcgplayer.com/product/627675</t>
        </is>
      </c>
    </row>
    <row r="61">
      <c r="A61" s="2" t="inlineStr">
        <is>
          <t>Starter Deck 26: PURPLE/BLACK Monkey.D.Luffy Display</t>
        </is>
      </c>
      <c r="B61" s="3">
        <f>IF(H61&lt;&gt;"",H61,IF(I61&lt;&gt;"",I61,IF(J61&lt;&gt;"",J61,K61)))</f>
        <v>237.91</v>
      </c>
      <c r="C61" s="3">
        <f>MEDIAN(H61:K61)</f>
        <v>275.45</v>
      </c>
      <c r="D61" s="3">
        <f>ROUND(C61*(1-Settings!$B$2),2)</f>
        <v>192.82</v>
      </c>
      <c r="E61" s="2" t="inlineStr">
        <is>
          <t>One Piece</t>
        </is>
      </c>
      <c r="F61" s="2" t="inlineStr">
        <is>
          <t>Case/Display</t>
        </is>
      </c>
      <c r="G61" s="2" t="inlineStr">
        <is>
          <t>Starter Deck 26: PURPLE/BLACK Monkey.D.Luffy</t>
        </is>
      </c>
      <c r="H61" s="3" t="n"/>
      <c r="I61" s="3" t="n">
        <v>237.91</v>
      </c>
      <c r="J61" s="3" t="n"/>
      <c r="K61" s="3" t="n">
        <v>312.99</v>
      </c>
      <c r="L61" s="2" t="inlineStr">
        <is>
          <t>TCGplayer</t>
        </is>
      </c>
      <c r="N61" s="4" t="inlineStr">
        <is>
          <t>https://www.tcgplayer.com/product/627676</t>
        </is>
      </c>
    </row>
    <row r="62">
      <c r="A62" s="2" t="inlineStr">
        <is>
          <t>Starter Deck 27: BLACK Marshall.D.Teach Display</t>
        </is>
      </c>
      <c r="B62" s="3">
        <f>IF(H62&lt;&gt;"",H62,IF(I62&lt;&gt;"",I62,IF(J62&lt;&gt;"",J62,K62)))</f>
        <v>189.8</v>
      </c>
      <c r="C62" s="3">
        <f>MEDIAN(H62:K62)</f>
        <v>219.875</v>
      </c>
      <c r="D62" s="3">
        <f>ROUND(C62*(1-Settings!$B$2),2)</f>
        <v>153.91</v>
      </c>
      <c r="E62" s="2" t="inlineStr">
        <is>
          <t>One Piece</t>
        </is>
      </c>
      <c r="F62" s="2" t="inlineStr">
        <is>
          <t>Case/Display</t>
        </is>
      </c>
      <c r="G62" s="2" t="inlineStr">
        <is>
          <t>Starter Deck 27: BLACK Marshall.D.Teach</t>
        </is>
      </c>
      <c r="H62" s="3" t="n"/>
      <c r="I62" s="3" t="n">
        <v>189.8</v>
      </c>
      <c r="J62" s="3" t="n"/>
      <c r="K62" s="3" t="n">
        <v>249.95</v>
      </c>
      <c r="L62" s="2" t="inlineStr">
        <is>
          <t>TCGplayer</t>
        </is>
      </c>
      <c r="N62" s="4" t="inlineStr">
        <is>
          <t>https://www.tcgplayer.com/product/627679</t>
        </is>
      </c>
    </row>
    <row r="63">
      <c r="A63" s="2" t="inlineStr">
        <is>
          <t>Starter Deck 28: GREEN/YELLOW Yamato Display</t>
        </is>
      </c>
      <c r="B63" s="3">
        <f>IF(H63&lt;&gt;"",H63,IF(I63&lt;&gt;"",I63,IF(J63&lt;&gt;"",J63,K63)))</f>
        <v>178.43</v>
      </c>
      <c r="C63" s="3">
        <f>MEDIAN(H63:K63)</f>
        <v>236.21</v>
      </c>
      <c r="D63" s="3">
        <f>ROUND(C63*(1-Settings!$B$2),2)</f>
        <v>165.35</v>
      </c>
      <c r="E63" s="2" t="inlineStr">
        <is>
          <t>One Piece</t>
        </is>
      </c>
      <c r="F63" s="2" t="inlineStr">
        <is>
          <t>Case/Display</t>
        </is>
      </c>
      <c r="G63" s="2" t="inlineStr">
        <is>
          <t>Starter Deck 28: GREEN/YELLOW Yamato</t>
        </is>
      </c>
      <c r="H63" s="3" t="n"/>
      <c r="I63" s="3" t="n">
        <v>178.43</v>
      </c>
      <c r="J63" s="3" t="n"/>
      <c r="K63" s="3" t="n">
        <v>293.99</v>
      </c>
      <c r="L63" s="2" t="inlineStr">
        <is>
          <t>TCGplayer</t>
        </is>
      </c>
      <c r="N63" s="4" t="inlineStr">
        <is>
          <t>https://www.tcgplayer.com/product/627680</t>
        </is>
      </c>
    </row>
    <row r="64">
      <c r="A64" s="2" t="inlineStr">
        <is>
          <t>Starter Deck 29: Egghead Display</t>
        </is>
      </c>
      <c r="B64" s="3">
        <f>IF(H64&lt;&gt;"",H64,IF(I64&lt;&gt;"",I64,IF(J64&lt;&gt;"",J64,K64)))</f>
        <v>225.15</v>
      </c>
      <c r="C64" s="3">
        <f>MEDIAN(H64:K64)</f>
        <v>215.07</v>
      </c>
      <c r="D64" s="3">
        <f>ROUND(C64*(1-Settings!$B$2),2)</f>
        <v>150.55</v>
      </c>
      <c r="E64" s="2" t="inlineStr">
        <is>
          <t>One Piece</t>
        </is>
      </c>
      <c r="F64" s="2" t="inlineStr">
        <is>
          <t>Case/Display</t>
        </is>
      </c>
      <c r="G64" s="2" t="inlineStr">
        <is>
          <t>Starter Deck 29: Egghead</t>
        </is>
      </c>
      <c r="H64" s="3" t="n"/>
      <c r="I64" s="3" t="n">
        <v>225.15</v>
      </c>
      <c r="J64" s="3" t="n"/>
      <c r="K64" s="3" t="n">
        <v>204.99</v>
      </c>
      <c r="L64" s="2" t="inlineStr">
        <is>
          <t>TCGplayer</t>
        </is>
      </c>
      <c r="N64" s="4" t="inlineStr">
        <is>
          <t>https://www.tcgplayer.com/product/671480</t>
        </is>
      </c>
    </row>
    <row r="65">
      <c r="A65" s="2" t="inlineStr">
        <is>
          <t>Starter Deck 31: RED Monkey.D.Luffy Display</t>
        </is>
      </c>
      <c r="B65" s="3">
        <f>IF(H65&lt;&gt;"",H65,IF(I65&lt;&gt;"",I65,IF(J65&lt;&gt;"",J65,K65)))</f>
        <v>180.08</v>
      </c>
      <c r="C65" s="3">
        <f>MEDIAN(H65:K65)</f>
        <v>167.53500000000003</v>
      </c>
      <c r="D65" s="3">
        <f>ROUND(C65*(1-Settings!$B$2),2)</f>
        <v>117.27</v>
      </c>
      <c r="E65" s="2" t="inlineStr">
        <is>
          <t>One Piece</t>
        </is>
      </c>
      <c r="F65" s="2" t="inlineStr">
        <is>
          <t>Case/Display</t>
        </is>
      </c>
      <c r="G65" s="2" t="inlineStr">
        <is>
          <t>Starter Deck 31: RED Monkey.D.Luffy</t>
        </is>
      </c>
      <c r="H65" s="3" t="n"/>
      <c r="I65" s="3" t="n">
        <v>180.08</v>
      </c>
      <c r="J65" s="3" t="n"/>
      <c r="K65" s="3" t="n">
        <v>154.99</v>
      </c>
      <c r="L65" s="2" t="inlineStr">
        <is>
          <t>TCGplayer</t>
        </is>
      </c>
      <c r="N65" s="4" t="inlineStr">
        <is>
          <t>https://www.tcgplayer.com/product/704886</t>
        </is>
      </c>
    </row>
    <row r="66">
      <c r="A66" s="2" t="inlineStr">
        <is>
          <t>Starter Deck 32: GREEN Roronoa Zoro Display</t>
        </is>
      </c>
      <c r="B66" s="3">
        <f>IF(H66&lt;&gt;"",H66,IF(I66&lt;&gt;"",I66,IF(J66&lt;&gt;"",J66,K66)))</f>
        <v>177.25</v>
      </c>
      <c r="C66" s="3">
        <f>MEDIAN(H66:K66)</f>
        <v>163.625</v>
      </c>
      <c r="D66" s="3">
        <f>ROUND(C66*(1-Settings!$B$2),2)</f>
        <v>114.54</v>
      </c>
      <c r="E66" s="2" t="inlineStr">
        <is>
          <t>One Piece</t>
        </is>
      </c>
      <c r="F66" s="2" t="inlineStr">
        <is>
          <t>Case/Display</t>
        </is>
      </c>
      <c r="G66" s="2" t="inlineStr">
        <is>
          <t>Starter Deck 32: GREEN Roronoa Zoro</t>
        </is>
      </c>
      <c r="H66" s="3" t="n"/>
      <c r="I66" s="3" t="n">
        <v>177.25</v>
      </c>
      <c r="J66" s="3" t="n"/>
      <c r="K66" s="3" t="n">
        <v>150</v>
      </c>
      <c r="L66" s="2" t="inlineStr">
        <is>
          <t>TCGplayer</t>
        </is>
      </c>
      <c r="N66" s="4" t="inlineStr">
        <is>
          <t>https://www.tcgplayer.com/product/704888</t>
        </is>
      </c>
    </row>
    <row r="67">
      <c r="A67" s="2" t="inlineStr">
        <is>
          <t>Starter Deck 33: BLUE Kuzan Display</t>
        </is>
      </c>
      <c r="B67" s="3">
        <f>IF(H67&lt;&gt;"",H67,IF(I67&lt;&gt;"",I67,IF(J67&lt;&gt;"",J67,K67)))</f>
        <v>80.09</v>
      </c>
      <c r="C67" s="3">
        <f>MEDIAN(H67:K67)</f>
        <v>80.09</v>
      </c>
      <c r="D67" s="3">
        <f>ROUND(C67*(1-Settings!$B$2),2)</f>
        <v>56.06</v>
      </c>
      <c r="E67" s="2" t="inlineStr">
        <is>
          <t>One Piece</t>
        </is>
      </c>
      <c r="F67" s="2" t="inlineStr">
        <is>
          <t>Case/Display</t>
        </is>
      </c>
      <c r="G67" s="2" t="inlineStr">
        <is>
          <t>Starter Deck 33: BLUE Kuzan</t>
        </is>
      </c>
      <c r="H67" s="3" t="n"/>
      <c r="I67" s="3" t="n">
        <v>80.09</v>
      </c>
      <c r="J67" s="3" t="n"/>
      <c r="K67" s="3" t="n">
        <v>80.09</v>
      </c>
      <c r="L67" s="2" t="inlineStr">
        <is>
          <t>TCGplayer</t>
        </is>
      </c>
      <c r="N67" s="4" t="inlineStr">
        <is>
          <t>https://www.tcgplayer.com/product/704891</t>
        </is>
      </c>
    </row>
    <row r="68">
      <c r="A68" s="2" t="inlineStr">
        <is>
          <t>Starter Deck 34: PURPLE Charlotte Katakuri Display</t>
        </is>
      </c>
      <c r="B68" s="3">
        <f>IF(H68&lt;&gt;"",H68,IF(I68&lt;&gt;"",I68,IF(J68&lt;&gt;"",J68,K68)))</f>
        <v>114.69</v>
      </c>
      <c r="C68" s="3">
        <f>MEDIAN(H68:K68)</f>
        <v>111.32499999999999</v>
      </c>
      <c r="D68" s="3">
        <f>ROUND(C68*(1-Settings!$B$2),2)</f>
        <v>77.93</v>
      </c>
      <c r="E68" s="2" t="inlineStr">
        <is>
          <t>One Piece</t>
        </is>
      </c>
      <c r="F68" s="2" t="inlineStr">
        <is>
          <t>Case/Display</t>
        </is>
      </c>
      <c r="G68" s="2" t="inlineStr">
        <is>
          <t>Starter Deck 34: PURPLE Charlotte Katakuri</t>
        </is>
      </c>
      <c r="H68" s="3" t="n"/>
      <c r="I68" s="3" t="n">
        <v>114.69</v>
      </c>
      <c r="J68" s="3" t="n"/>
      <c r="K68" s="3" t="n">
        <v>107.96</v>
      </c>
      <c r="L68" s="2" t="inlineStr">
        <is>
          <t>TCGplayer</t>
        </is>
      </c>
      <c r="N68" s="4" t="inlineStr">
        <is>
          <t>https://www.tcgplayer.com/product/704892</t>
        </is>
      </c>
    </row>
    <row r="69">
      <c r="A69" s="2" t="inlineStr">
        <is>
          <t>Starter Deck 35: RED/BLACK Sabo Display</t>
        </is>
      </c>
      <c r="B69" s="3">
        <f>IF(H69&lt;&gt;"",H69,IF(I69&lt;&gt;"",I69,IF(J69&lt;&gt;"",J69,K69)))</f>
        <v>74.19</v>
      </c>
      <c r="C69" s="3">
        <f>MEDIAN(H69:K69)</f>
        <v>72.095</v>
      </c>
      <c r="D69" s="3">
        <f>ROUND(C69*(1-Settings!$B$2),2)</f>
        <v>50.47</v>
      </c>
      <c r="E69" s="2" t="inlineStr">
        <is>
          <t>One Piece</t>
        </is>
      </c>
      <c r="F69" s="2" t="inlineStr">
        <is>
          <t>Case/Display</t>
        </is>
      </c>
      <c r="G69" s="2" t="inlineStr">
        <is>
          <t>Starter Deck 35: RED/BLACK Sabo</t>
        </is>
      </c>
      <c r="H69" s="3" t="n"/>
      <c r="I69" s="3" t="n">
        <v>74.19</v>
      </c>
      <c r="J69" s="3" t="n"/>
      <c r="K69" s="3" t="n">
        <v>70</v>
      </c>
      <c r="L69" s="2" t="inlineStr">
        <is>
          <t>TCGplayer</t>
        </is>
      </c>
      <c r="N69" s="4" t="inlineStr">
        <is>
          <t>https://www.tcgplayer.com/product/704895</t>
        </is>
      </c>
    </row>
    <row r="70">
      <c r="A70" s="2" t="inlineStr">
        <is>
          <t>Starter Deck 36: YELLOW Eustass”Captain”Kid Display</t>
        </is>
      </c>
      <c r="B70" s="3">
        <f>IF(H70&lt;&gt;"",H70,IF(I70&lt;&gt;"",I70,IF(J70&lt;&gt;"",J70,K70)))</f>
        <v>85.19</v>
      </c>
      <c r="C70" s="3">
        <f>MEDIAN(H70:K70)</f>
        <v>80.095</v>
      </c>
      <c r="D70" s="3">
        <f>ROUND(C70*(1-Settings!$B$2),2)</f>
        <v>56.07</v>
      </c>
      <c r="E70" s="2" t="inlineStr">
        <is>
          <t>One Piece</t>
        </is>
      </c>
      <c r="F70" s="2" t="inlineStr">
        <is>
          <t>Case/Display</t>
        </is>
      </c>
      <c r="G70" s="2" t="inlineStr">
        <is>
          <t>Starter Deck 36: YELLOW Eustass"Captain"Kid</t>
        </is>
      </c>
      <c r="H70" s="3" t="n"/>
      <c r="I70" s="3" t="n">
        <v>85.19</v>
      </c>
      <c r="J70" s="3" t="n"/>
      <c r="K70" s="3" t="n">
        <v>75</v>
      </c>
      <c r="L70" s="2" t="inlineStr">
        <is>
          <t>TCGplayer</t>
        </is>
      </c>
      <c r="N70" s="4" t="inlineStr">
        <is>
          <t>https://www.tcgplayer.com/product/704896</t>
        </is>
      </c>
    </row>
    <row r="71">
      <c r="A71" s="2" t="inlineStr">
        <is>
          <t>Starter Deck 4: Animal Kingdom Pirates Display</t>
        </is>
      </c>
      <c r="B71" s="3">
        <f>IF(H71&lt;&gt;"",H71,IF(I71&lt;&gt;"",I71,IF(J71&lt;&gt;"",J71,K71)))</f>
        <v>1002.69</v>
      </c>
      <c r="C71" s="3">
        <f>MEDIAN(H71:K71)</f>
        <v>1002.69</v>
      </c>
      <c r="D71" s="3">
        <f>ROUND(C71*(1-Settings!$B$2),2)</f>
        <v>701.88</v>
      </c>
      <c r="E71" s="2" t="inlineStr">
        <is>
          <t>One Piece</t>
        </is>
      </c>
      <c r="F71" s="2" t="inlineStr">
        <is>
          <t>Case/Display</t>
        </is>
      </c>
      <c r="G71" s="2" t="inlineStr">
        <is>
          <t>Starter Deck 4: Animal Kingdom Pirates</t>
        </is>
      </c>
      <c r="H71" s="3" t="n"/>
      <c r="I71" s="3" t="n"/>
      <c r="J71" s="3" t="n"/>
      <c r="K71" s="3" t="n">
        <v>1002.69</v>
      </c>
      <c r="L71" s="2" t="inlineStr">
        <is>
          <t>TCGplayer</t>
        </is>
      </c>
      <c r="N71" s="4" t="inlineStr">
        <is>
          <t>https://www.tcgplayer.com/product/288223</t>
        </is>
      </c>
    </row>
    <row r="72">
      <c r="A72" s="2" t="inlineStr">
        <is>
          <t>Starter Deck 5: Film Edition Display</t>
        </is>
      </c>
      <c r="B72" s="3">
        <f>IF(H72&lt;&gt;"",H72,IF(I72&lt;&gt;"",I72,IF(J72&lt;&gt;"",J72,K72)))</f>
        <v>200.0</v>
      </c>
      <c r="C72" s="3">
        <f>MEDIAN(H72:K72)</f>
        <v>200.0</v>
      </c>
      <c r="D72" s="3">
        <f>ROUND(C72*(1-Settings!$B$2),2)</f>
        <v>140.0</v>
      </c>
      <c r="E72" s="2" t="inlineStr">
        <is>
          <t>One Piece</t>
        </is>
      </c>
      <c r="F72" s="2" t="inlineStr">
        <is>
          <t>Case/Display</t>
        </is>
      </c>
      <c r="G72" s="2" t="inlineStr">
        <is>
          <t>Starter Deck 5: Film Edition</t>
        </is>
      </c>
      <c r="H72" s="3" t="n"/>
      <c r="I72" s="3" t="n">
        <v>200</v>
      </c>
      <c r="J72" s="3" t="n"/>
      <c r="K72" s="3" t="n"/>
      <c r="L72" s="2" t="inlineStr">
        <is>
          <t>TCGplayer</t>
        </is>
      </c>
      <c r="N72" s="4" t="inlineStr">
        <is>
          <t>https://www.tcgplayer.com/product/455860</t>
        </is>
      </c>
    </row>
    <row r="73">
      <c r="A73" s="2" t="inlineStr">
        <is>
          <t>Starter Deck 6: Absolute Justice Display</t>
        </is>
      </c>
      <c r="B73" s="3">
        <f>IF(H73&lt;&gt;"",H73,IF(I73&lt;&gt;"",I73,IF(J73&lt;&gt;"",J73,K73)))</f>
        <v>178.34</v>
      </c>
      <c r="C73" s="3">
        <f>MEDIAN(H73:K73)</f>
        <v>178.34</v>
      </c>
      <c r="D73" s="3">
        <f>ROUND(C73*(1-Settings!$B$2),2)</f>
        <v>124.84</v>
      </c>
      <c r="E73" s="2" t="inlineStr">
        <is>
          <t>One Piece</t>
        </is>
      </c>
      <c r="F73" s="2" t="inlineStr">
        <is>
          <t>Case/Display</t>
        </is>
      </c>
      <c r="G73" s="2" t="inlineStr">
        <is>
          <t>Starter Deck 6: Absolute Justice</t>
        </is>
      </c>
      <c r="H73" s="3" t="n"/>
      <c r="I73" s="3" t="n">
        <v>178.34</v>
      </c>
      <c r="J73" s="3" t="n"/>
      <c r="K73" s="3" t="n">
        <v>178.34</v>
      </c>
      <c r="L73" s="2" t="inlineStr">
        <is>
          <t>TCGplayer</t>
        </is>
      </c>
      <c r="N73" s="4" t="inlineStr">
        <is>
          <t>https://www.tcgplayer.com/product/455869</t>
        </is>
      </c>
    </row>
    <row r="74">
      <c r="A74" s="2" t="inlineStr">
        <is>
          <t>Starter Deck 7: Big Mom Pirates Display</t>
        </is>
      </c>
      <c r="B74" s="3">
        <f>IF(H74&lt;&gt;"",H74,IF(I74&lt;&gt;"",I74,IF(J74&lt;&gt;"",J74,K74)))</f>
        <v>360.0</v>
      </c>
      <c r="C74" s="3">
        <f>MEDIAN(H74:K74)</f>
        <v>360.0</v>
      </c>
      <c r="D74" s="3">
        <f>ROUND(C74*(1-Settings!$B$2),2)</f>
        <v>252.0</v>
      </c>
      <c r="E74" s="2" t="inlineStr">
        <is>
          <t>One Piece</t>
        </is>
      </c>
      <c r="F74" s="2" t="inlineStr">
        <is>
          <t>Case/Display</t>
        </is>
      </c>
      <c r="G74" s="2" t="inlineStr">
        <is>
          <t>Starter Deck 7: Big Mom Pirates</t>
        </is>
      </c>
      <c r="H74" s="3" t="n"/>
      <c r="I74" s="3" t="n"/>
      <c r="J74" s="3" t="n"/>
      <c r="K74" s="3" t="n">
        <v>360</v>
      </c>
      <c r="L74" s="2" t="inlineStr">
        <is>
          <t>TCGplayer</t>
        </is>
      </c>
      <c r="N74" s="4" t="inlineStr">
        <is>
          <t>https://www.tcgplayer.com/product/480240</t>
        </is>
      </c>
    </row>
    <row r="75">
      <c r="A75" s="2" t="inlineStr">
        <is>
          <t>Starter Deck 8: Monkey.D.Luffy Display</t>
        </is>
      </c>
      <c r="B75" s="3">
        <f>IF(H75&lt;&gt;"",H75,IF(I75&lt;&gt;"",I75,IF(J75&lt;&gt;"",J75,K75)))</f>
        <v>87.32</v>
      </c>
      <c r="C75" s="3">
        <f>MEDIAN(H75:K75)</f>
        <v>88.655</v>
      </c>
      <c r="D75" s="3">
        <f>ROUND(C75*(1-Settings!$B$2),2)</f>
        <v>62.06</v>
      </c>
      <c r="E75" s="2" t="inlineStr">
        <is>
          <t>One Piece</t>
        </is>
      </c>
      <c r="F75" s="2" t="inlineStr">
        <is>
          <t>Case/Display</t>
        </is>
      </c>
      <c r="G75" s="2" t="inlineStr">
        <is>
          <t>Starter Deck 8: Monkey.D.Luffy</t>
        </is>
      </c>
      <c r="H75" s="3" t="n"/>
      <c r="I75" s="3" t="n">
        <v>87.31999999999999</v>
      </c>
      <c r="J75" s="3" t="n"/>
      <c r="K75" s="3" t="n">
        <v>89.98999999999999</v>
      </c>
      <c r="L75" s="2" t="inlineStr">
        <is>
          <t>TCGplayer</t>
        </is>
      </c>
      <c r="N75" s="4" t="inlineStr">
        <is>
          <t>https://www.tcgplayer.com/product/502976</t>
        </is>
      </c>
    </row>
    <row r="76">
      <c r="A76" s="2" t="inlineStr">
        <is>
          <t>Starter Deck 9: Yamato Display</t>
        </is>
      </c>
      <c r="B76" s="3">
        <f>IF(H76&lt;&gt;"",H76,IF(I76&lt;&gt;"",I76,IF(J76&lt;&gt;"",J76,K76)))</f>
        <v>79.9</v>
      </c>
      <c r="C76" s="3">
        <f>MEDIAN(H76:K76)</f>
        <v>83.95</v>
      </c>
      <c r="D76" s="3">
        <f>ROUND(C76*(1-Settings!$B$2),2)</f>
        <v>58.77</v>
      </c>
      <c r="E76" s="2" t="inlineStr">
        <is>
          <t>One Piece</t>
        </is>
      </c>
      <c r="F76" s="2" t="inlineStr">
        <is>
          <t>Case/Display</t>
        </is>
      </c>
      <c r="G76" s="2" t="inlineStr">
        <is>
          <t>Starter Deck 9: Yamato</t>
        </is>
      </c>
      <c r="H76" s="3" t="n"/>
      <c r="I76" s="3" t="n">
        <v>79.90000000000001</v>
      </c>
      <c r="J76" s="3" t="n"/>
      <c r="K76" s="3" t="n">
        <v>88</v>
      </c>
      <c r="L76" s="2" t="inlineStr">
        <is>
          <t>TCGplayer</t>
        </is>
      </c>
      <c r="N76" s="4" t="inlineStr">
        <is>
          <t>https://www.tcgplayer.com/product/502979</t>
        </is>
      </c>
    </row>
    <row r="77">
      <c r="A77" s="2" t="inlineStr">
        <is>
          <t>Starter Deck 9: Yamato Display Case</t>
        </is>
      </c>
      <c r="B77" s="3">
        <f>IF(H77&lt;&gt;"",H77,IF(I77&lt;&gt;"",I77,IF(J77&lt;&gt;"",J77,K77)))</f>
        <v>5000.0</v>
      </c>
      <c r="C77" s="3">
        <f>MEDIAN(H77:K77)</f>
        <v>5000.0</v>
      </c>
      <c r="D77" s="3">
        <f>ROUND(C77*(1-Settings!$B$2),2)</f>
        <v>3500.0</v>
      </c>
      <c r="E77" s="2" t="inlineStr">
        <is>
          <t>One Piece</t>
        </is>
      </c>
      <c r="F77" s="2" t="inlineStr">
        <is>
          <t>Case/Display</t>
        </is>
      </c>
      <c r="G77" s="2" t="inlineStr">
        <is>
          <t>Starter Deck 9: Yamato</t>
        </is>
      </c>
      <c r="H77" s="3" t="n"/>
      <c r="I77" s="3" t="n"/>
      <c r="J77" s="3" t="n"/>
      <c r="K77" s="3" t="n">
        <v>5000</v>
      </c>
      <c r="L77" s="2" t="inlineStr">
        <is>
          <t>TCGplayer</t>
        </is>
      </c>
      <c r="N77" s="4" t="inlineStr">
        <is>
          <t>https://www.tcgplayer.com/product/502980</t>
        </is>
      </c>
    </row>
    <row r="78">
      <c r="A78" s="2" t="inlineStr">
        <is>
          <t>Starter Deck EX: Gear 5 Display</t>
        </is>
      </c>
      <c r="B78" s="3">
        <f>IF(H78&lt;&gt;"",H78,IF(I78&lt;&gt;"",I78,IF(J78&lt;&gt;"",J78,K78)))</f>
        <v>390.41</v>
      </c>
      <c r="C78" s="3">
        <f>MEDIAN(H78:K78)</f>
        <v>470.20000000000005</v>
      </c>
      <c r="D78" s="3">
        <f>ROUND(C78*(1-Settings!$B$2),2)</f>
        <v>329.14</v>
      </c>
      <c r="E78" s="2" t="inlineStr">
        <is>
          <t>One Piece</t>
        </is>
      </c>
      <c r="F78" s="2" t="inlineStr">
        <is>
          <t>Case/Display</t>
        </is>
      </c>
      <c r="G78" s="2" t="inlineStr">
        <is>
          <t>Starter Deck EX: Gear 5</t>
        </is>
      </c>
      <c r="H78" s="3" t="n"/>
      <c r="I78" s="3" t="n">
        <v>390.41</v>
      </c>
      <c r="J78" s="3" t="n"/>
      <c r="K78" s="3" t="n">
        <v>549.99</v>
      </c>
      <c r="L78" s="2" t="inlineStr">
        <is>
          <t>TCGplayer</t>
        </is>
      </c>
      <c r="N78" s="4" t="inlineStr">
        <is>
          <t>https://www.tcgplayer.com/product/606576</t>
        </is>
      </c>
    </row>
    <row r="79">
      <c r="A79" s="2" t="inlineStr">
        <is>
          <t>Starter Deck EX: Luffy &amp; Ace Display</t>
        </is>
      </c>
      <c r="B79" s="3">
        <f>IF(H79&lt;&gt;"",H79,IF(I79&lt;&gt;"",I79,IF(J79&lt;&gt;"",J79,K79)))</f>
        <v>219.8</v>
      </c>
      <c r="C79" s="3">
        <f>MEDIAN(H79:K79)</f>
        <v>197.385</v>
      </c>
      <c r="D79" s="3">
        <f>ROUND(C79*(1-Settings!$B$2),2)</f>
        <v>138.17</v>
      </c>
      <c r="E79" s="2" t="inlineStr">
        <is>
          <t>One Piece</t>
        </is>
      </c>
      <c r="F79" s="2" t="inlineStr">
        <is>
          <t>Case/Display</t>
        </is>
      </c>
      <c r="G79" s="2" t="inlineStr">
        <is>
          <t>Starter Deck EX: Luffy &amp; Ace</t>
        </is>
      </c>
      <c r="H79" s="3" t="n"/>
      <c r="I79" s="3" t="n">
        <v>219.8</v>
      </c>
      <c r="J79" s="3" t="n"/>
      <c r="K79" s="3" t="n">
        <v>174.97</v>
      </c>
      <c r="L79" s="2" t="inlineStr">
        <is>
          <t>TCGplayer</t>
        </is>
      </c>
      <c r="N79" s="4" t="inlineStr">
        <is>
          <t>https://www.tcgplayer.com/product/692139</t>
        </is>
      </c>
    </row>
    <row r="80">
      <c r="A80" s="2" t="inlineStr">
        <is>
          <t>Double Pack Set Vol. 9 Display</t>
        </is>
      </c>
      <c r="B80" s="3">
        <f>IF(H80&lt;&gt;"",H80,IF(I80&lt;&gt;"",I80,IF(J80&lt;&gt;"",J80,K80)))</f>
        <v>265.37</v>
      </c>
      <c r="C80" s="3">
        <f>MEDIAN(H80:K80)</f>
        <v>270.685</v>
      </c>
      <c r="D80" s="3">
        <f>ROUND(C80*(1-Settings!$B$2),2)</f>
        <v>189.48</v>
      </c>
      <c r="E80" s="2" t="inlineStr">
        <is>
          <t>One Piece</t>
        </is>
      </c>
      <c r="F80" s="2" t="inlineStr">
        <is>
          <t>Case/Display</t>
        </is>
      </c>
      <c r="G80" s="2" t="inlineStr">
        <is>
          <t>The Azure Sea's Seven</t>
        </is>
      </c>
      <c r="H80" s="3" t="n"/>
      <c r="I80" s="3" t="n">
        <v>265.37</v>
      </c>
      <c r="J80" s="3" t="n"/>
      <c r="K80" s="3" t="n">
        <v>276</v>
      </c>
      <c r="L80" s="2" t="inlineStr">
        <is>
          <t>TCGplayer</t>
        </is>
      </c>
      <c r="N80" s="4" t="inlineStr">
        <is>
          <t>https://www.tcgplayer.com/product/666579</t>
        </is>
      </c>
    </row>
    <row r="81">
      <c r="A81" s="2" t="inlineStr">
        <is>
          <t>The Azure Sea's Seven Booster Box Case</t>
        </is>
      </c>
      <c r="B81" s="3">
        <f>IF(H81&lt;&gt;"",H81,IF(I81&lt;&gt;"",I81,IF(J81&lt;&gt;"",J81,K81)))</f>
        <v>2885.36</v>
      </c>
      <c r="C81" s="3">
        <f>MEDIAN(H81:K81)</f>
        <v>2642.675</v>
      </c>
      <c r="D81" s="3">
        <f>ROUND(C81*(1-Settings!$B$2),2)</f>
        <v>1849.87</v>
      </c>
      <c r="E81" s="2" t="inlineStr">
        <is>
          <t>One Piece</t>
        </is>
      </c>
      <c r="F81" s="2" t="inlineStr">
        <is>
          <t>Case/Display</t>
        </is>
      </c>
      <c r="G81" s="2" t="inlineStr">
        <is>
          <t>The Azure Sea's Seven</t>
        </is>
      </c>
      <c r="H81" s="3" t="n"/>
      <c r="I81" s="3" t="n">
        <v>2885.36</v>
      </c>
      <c r="J81" s="3" t="n"/>
      <c r="K81" s="3" t="n">
        <v>2399.99</v>
      </c>
      <c r="L81" s="2" t="inlineStr">
        <is>
          <t>TCGplayer</t>
        </is>
      </c>
      <c r="N81" s="4" t="inlineStr">
        <is>
          <t>https://www.tcgplayer.com/product/665599</t>
        </is>
      </c>
    </row>
    <row r="82">
      <c r="A82" s="2" t="inlineStr">
        <is>
          <t>Double Pack Set Vol. 13 Display</t>
        </is>
      </c>
      <c r="B82" s="3">
        <f>IF(H82&lt;&gt;"",H82,IF(I82&lt;&gt;"",I82,IF(J82&lt;&gt;"",J82,K82)))</f>
        <v>497.0</v>
      </c>
      <c r="C82" s="3">
        <f>MEDIAN(H82:K82)</f>
        <v>497.0</v>
      </c>
      <c r="D82" s="3">
        <f>ROUND(C82*(1-Settings!$B$2),2)</f>
        <v>347.9</v>
      </c>
      <c r="E82" s="2" t="inlineStr">
        <is>
          <t>One Piece</t>
        </is>
      </c>
      <c r="F82" s="2" t="inlineStr">
        <is>
          <t>Case/Display</t>
        </is>
      </c>
      <c r="G82" s="2" t="inlineStr">
        <is>
          <t>The Dominance of God</t>
        </is>
      </c>
      <c r="H82" s="3" t="n"/>
      <c r="I82" s="3" t="n"/>
      <c r="J82" s="3" t="n"/>
      <c r="K82" s="3" t="n">
        <v>497</v>
      </c>
      <c r="L82" s="2" t="inlineStr">
        <is>
          <t>TCGplayer</t>
        </is>
      </c>
      <c r="N82" s="4" t="inlineStr">
        <is>
          <t>https://www.tcgplayer.com/product/712909</t>
        </is>
      </c>
    </row>
    <row r="83">
      <c r="A83" s="2" t="inlineStr">
        <is>
          <t>The Dominance of God Booster Box Case</t>
        </is>
      </c>
      <c r="B83" s="3">
        <f>IF(H83&lt;&gt;"",H83,IF(I83&lt;&gt;"",I83,IF(J83&lt;&gt;"",J83,K83)))</f>
        <v>4499.5</v>
      </c>
      <c r="C83" s="3">
        <f>MEDIAN(H83:K83)</f>
        <v>4499.235000000001</v>
      </c>
      <c r="D83" s="3">
        <f>ROUND(C83*(1-Settings!$B$2),2)</f>
        <v>3149.46</v>
      </c>
      <c r="E83" s="2" t="inlineStr">
        <is>
          <t>One Piece</t>
        </is>
      </c>
      <c r="F83" s="2" t="inlineStr">
        <is>
          <t>Case/Display</t>
        </is>
      </c>
      <c r="G83" s="2" t="inlineStr">
        <is>
          <t>The Dominance of God</t>
        </is>
      </c>
      <c r="H83" s="3" t="n"/>
      <c r="I83" s="3" t="n">
        <v>4499.5</v>
      </c>
      <c r="J83" s="3" t="n"/>
      <c r="K83" s="3" t="n">
        <v>4498.97</v>
      </c>
      <c r="L83" s="2" t="inlineStr">
        <is>
          <t>TCGplayer</t>
        </is>
      </c>
      <c r="N83" s="4" t="inlineStr">
        <is>
          <t>https://www.tcgplayer.com/product/712902</t>
        </is>
      </c>
    </row>
    <row r="84">
      <c r="A84" s="2" t="inlineStr">
        <is>
          <t>Double Pack Set Vol. 11 Display</t>
        </is>
      </c>
      <c r="B84" s="3">
        <f>IF(H84&lt;&gt;"",H84,IF(I84&lt;&gt;"",I84,IF(J84&lt;&gt;"",J84,K84)))</f>
        <v>253.49</v>
      </c>
      <c r="C84" s="3">
        <f>MEDIAN(H84:K84)</f>
        <v>255.445</v>
      </c>
      <c r="D84" s="3">
        <f>ROUND(C84*(1-Settings!$B$2),2)</f>
        <v>178.81</v>
      </c>
      <c r="E84" s="2" t="inlineStr">
        <is>
          <t>One Piece</t>
        </is>
      </c>
      <c r="F84" s="2" t="inlineStr">
        <is>
          <t>Case/Display</t>
        </is>
      </c>
      <c r="G84" s="2" t="inlineStr">
        <is>
          <t>The Time of Battle</t>
        </is>
      </c>
      <c r="H84" s="3" t="n"/>
      <c r="I84" s="3" t="n">
        <v>253.49</v>
      </c>
      <c r="J84" s="3" t="n"/>
      <c r="K84" s="3" t="n">
        <v>257.4</v>
      </c>
      <c r="L84" s="2" t="inlineStr">
        <is>
          <t>TCGplayer</t>
        </is>
      </c>
      <c r="N84" s="4" t="inlineStr">
        <is>
          <t>https://www.tcgplayer.com/product/693365</t>
        </is>
      </c>
    </row>
    <row r="85">
      <c r="A85" s="2" t="inlineStr">
        <is>
          <t>The Time of Battle Booster Box Case</t>
        </is>
      </c>
      <c r="B85" s="3">
        <f>IF(H85&lt;&gt;"",H85,IF(I85&lt;&gt;"",I85,IF(J85&lt;&gt;"",J85,K85)))</f>
        <v>2441.71</v>
      </c>
      <c r="C85" s="3">
        <f>MEDIAN(H85:K85)</f>
        <v>2569.7799999999997</v>
      </c>
      <c r="D85" s="3">
        <f>ROUND(C85*(1-Settings!$B$2),2)</f>
        <v>1798.85</v>
      </c>
      <c r="E85" s="2" t="inlineStr">
        <is>
          <t>One Piece</t>
        </is>
      </c>
      <c r="F85" s="2" t="inlineStr">
        <is>
          <t>Case/Display</t>
        </is>
      </c>
      <c r="G85" s="2" t="inlineStr">
        <is>
          <t>The Time of Battle</t>
        </is>
      </c>
      <c r="H85" s="3" t="n"/>
      <c r="I85" s="3" t="n">
        <v>2441.71</v>
      </c>
      <c r="J85" s="3" t="n"/>
      <c r="K85" s="3" t="n">
        <v>2697.85</v>
      </c>
      <c r="L85" s="2" t="inlineStr">
        <is>
          <t>TCGplayer</t>
        </is>
      </c>
      <c r="N85" s="4" t="inlineStr">
        <is>
          <t>https://www.tcgplayer.com/product/689338</t>
        </is>
      </c>
    </row>
    <row r="86">
      <c r="A86" s="2" t="inlineStr">
        <is>
          <t>Double Pack Set Vol. 12 Display</t>
        </is>
      </c>
      <c r="B86" s="3">
        <f>IF(H86&lt;&gt;"",H86,IF(I86&lt;&gt;"",I86,IF(J86&lt;&gt;"",J86,K86)))</f>
        <v>373.03</v>
      </c>
      <c r="C86" s="3">
        <f>MEDIAN(H86:K86)</f>
        <v>371.02</v>
      </c>
      <c r="D86" s="3">
        <f>ROUND(C86*(1-Settings!$B$2),2)</f>
        <v>259.71</v>
      </c>
      <c r="E86" s="2" t="inlineStr">
        <is>
          <t>One Piece</t>
        </is>
      </c>
      <c r="F86" s="2" t="inlineStr">
        <is>
          <t>Case/Display</t>
        </is>
      </c>
      <c r="G86" s="2" t="inlineStr">
        <is>
          <t>The World's Strongest Warriors</t>
        </is>
      </c>
      <c r="H86" s="3" t="n"/>
      <c r="I86" s="3" t="n">
        <v>373.03</v>
      </c>
      <c r="J86" s="3" t="n"/>
      <c r="K86" s="3" t="n">
        <v>369.01</v>
      </c>
      <c r="L86" s="2" t="inlineStr">
        <is>
          <t>TCGplayer</t>
        </is>
      </c>
      <c r="N86" s="4" t="inlineStr">
        <is>
          <t>https://www.tcgplayer.com/product/704878</t>
        </is>
      </c>
    </row>
    <row r="87">
      <c r="A87" s="2" t="inlineStr">
        <is>
          <t>The World's Strongest Warriors Booster Box Case</t>
        </is>
      </c>
      <c r="B87" s="3">
        <f>IF(H87&lt;&gt;"",H87,IF(I87&lt;&gt;"",I87,IF(J87&lt;&gt;"",J87,K87)))</f>
        <v>3894.54</v>
      </c>
      <c r="C87" s="3">
        <f>MEDIAN(H87:K87)</f>
        <v>2822.265</v>
      </c>
      <c r="D87" s="3">
        <f>ROUND(C87*(1-Settings!$B$2),2)</f>
        <v>1975.59</v>
      </c>
      <c r="E87" s="2" t="inlineStr">
        <is>
          <t>One Piece</t>
        </is>
      </c>
      <c r="F87" s="2" t="inlineStr">
        <is>
          <t>Case/Display</t>
        </is>
      </c>
      <c r="G87" s="2" t="inlineStr">
        <is>
          <t>The World's Strongest Warriors</t>
        </is>
      </c>
      <c r="H87" s="3" t="n"/>
      <c r="I87" s="3" t="n">
        <v>3894.54</v>
      </c>
      <c r="J87" s="3" t="n"/>
      <c r="K87" s="3" t="n">
        <v>1749.99</v>
      </c>
      <c r="L87" s="2" t="inlineStr">
        <is>
          <t>TCGplayer</t>
        </is>
      </c>
      <c r="N87" s="4" t="inlineStr">
        <is>
          <t>https://www.tcgplayer.com/product/704754</t>
        </is>
      </c>
    </row>
    <row r="88">
      <c r="A88" s="2" t="inlineStr">
        <is>
          <t>Double Pack Set Volume 5 Display</t>
        </is>
      </c>
      <c r="B88" s="3">
        <f>IF(H88&lt;&gt;"",H88,IF(I88&lt;&gt;"",I88,IF(J88&lt;&gt;"",J88,K88)))</f>
        <v>272.91</v>
      </c>
      <c r="C88" s="3">
        <f>MEDIAN(H88:K88)</f>
        <v>331.45500000000004</v>
      </c>
      <c r="D88" s="3">
        <f>ROUND(C88*(1-Settings!$B$2),2)</f>
        <v>232.02</v>
      </c>
      <c r="E88" s="2" t="inlineStr">
        <is>
          <t>One Piece</t>
        </is>
      </c>
      <c r="F88" s="2" t="inlineStr">
        <is>
          <t>Case/Display</t>
        </is>
      </c>
      <c r="G88" s="2" t="inlineStr">
        <is>
          <t>Two Legends</t>
        </is>
      </c>
      <c r="H88" s="3" t="n"/>
      <c r="I88" s="3" t="n">
        <v>272.91</v>
      </c>
      <c r="J88" s="3" t="n"/>
      <c r="K88" s="3" t="n">
        <v>390</v>
      </c>
      <c r="L88" s="2" t="inlineStr">
        <is>
          <t>TCGplayer</t>
        </is>
      </c>
      <c r="N88" s="4" t="inlineStr">
        <is>
          <t>https://www.tcgplayer.com/product/561690</t>
        </is>
      </c>
    </row>
    <row r="89">
      <c r="A89" s="2" t="inlineStr">
        <is>
          <t>Two Legends - Booster Box Case</t>
        </is>
      </c>
      <c r="B89" s="3">
        <f>IF(H89&lt;&gt;"",H89,IF(I89&lt;&gt;"",I89,IF(J89&lt;&gt;"",J89,K89)))</f>
        <v>2696.29</v>
      </c>
      <c r="C89" s="3">
        <f>MEDIAN(H89:K89)</f>
        <v>2766.5950000000003</v>
      </c>
      <c r="D89" s="3">
        <f>ROUND(C89*(1-Settings!$B$2),2)</f>
        <v>1936.62</v>
      </c>
      <c r="E89" s="2" t="inlineStr">
        <is>
          <t>One Piece</t>
        </is>
      </c>
      <c r="F89" s="2" t="inlineStr">
        <is>
          <t>Case/Display</t>
        </is>
      </c>
      <c r="G89" s="2" t="inlineStr">
        <is>
          <t>Two Legends</t>
        </is>
      </c>
      <c r="H89" s="3" t="n"/>
      <c r="I89" s="3" t="n">
        <v>2696.29</v>
      </c>
      <c r="J89" s="3" t="n"/>
      <c r="K89" s="3" t="n">
        <v>2836.9</v>
      </c>
      <c r="L89" s="2" t="inlineStr">
        <is>
          <t>TCGplayer</t>
        </is>
      </c>
      <c r="N89" s="4" t="inlineStr">
        <is>
          <t>https://www.tcgplayer.com/product/542505</t>
        </is>
      </c>
    </row>
    <row r="90">
      <c r="A90" s="2" t="inlineStr">
        <is>
          <t>Ultra Deck: The Three Brothers Display</t>
        </is>
      </c>
      <c r="B90" s="3">
        <f>IF(H90&lt;&gt;"",H90,IF(I90&lt;&gt;"",I90,IF(J90&lt;&gt;"",J90,K90)))</f>
        <v>469.85</v>
      </c>
      <c r="C90" s="3">
        <f>MEDIAN(H90:K90)</f>
        <v>474.425</v>
      </c>
      <c r="D90" s="3">
        <f>ROUND(C90*(1-Settings!$B$2),2)</f>
        <v>332.1</v>
      </c>
      <c r="E90" s="2" t="inlineStr">
        <is>
          <t>One Piece</t>
        </is>
      </c>
      <c r="F90" s="2" t="inlineStr">
        <is>
          <t>Case/Display</t>
        </is>
      </c>
      <c r="G90" s="2" t="inlineStr">
        <is>
          <t>Ultra Deck: The Three Brothers</t>
        </is>
      </c>
      <c r="H90" s="3" t="n"/>
      <c r="I90" s="3" t="n">
        <v>469.85</v>
      </c>
      <c r="J90" s="3" t="n"/>
      <c r="K90" s="3" t="n">
        <v>479</v>
      </c>
      <c r="L90" s="2" t="inlineStr">
        <is>
          <t>TCGplayer</t>
        </is>
      </c>
      <c r="N90" s="4" t="inlineStr">
        <is>
          <t>https://www.tcgplayer.com/product/543596</t>
        </is>
      </c>
    </row>
    <row r="91">
      <c r="A91" s="2" t="inlineStr">
        <is>
          <t>Ultra Deck: The Three Captains Display</t>
        </is>
      </c>
      <c r="B91" s="3">
        <f>IF(H91&lt;&gt;"",H91,IF(I91&lt;&gt;"",I91,IF(J91&lt;&gt;"",J91,K91)))</f>
        <v>599.97</v>
      </c>
      <c r="C91" s="3">
        <f>MEDIAN(H91:K91)</f>
        <v>599.97</v>
      </c>
      <c r="D91" s="3">
        <f>ROUND(C91*(1-Settings!$B$2),2)</f>
        <v>419.98</v>
      </c>
      <c r="E91" s="2" t="inlineStr">
        <is>
          <t>One Piece</t>
        </is>
      </c>
      <c r="F91" s="2" t="inlineStr">
        <is>
          <t>Case/Display</t>
        </is>
      </c>
      <c r="G91" s="2" t="inlineStr">
        <is>
          <t>Ultra Deck: The Three Captains</t>
        </is>
      </c>
      <c r="H91" s="3" t="n"/>
      <c r="I91" s="3" t="n">
        <v>599.97</v>
      </c>
      <c r="J91" s="3" t="n"/>
      <c r="K91" s="3" t="n"/>
      <c r="L91" s="2" t="inlineStr">
        <is>
          <t>TCGplayer</t>
        </is>
      </c>
      <c r="N91" s="4" t="inlineStr">
        <is>
          <t>https://www.tcgplayer.com/product/502983</t>
        </is>
      </c>
    </row>
    <row r="92">
      <c r="A92" s="2" t="inlineStr">
        <is>
          <t>Double Pack Set Volume 3 Display</t>
        </is>
      </c>
      <c r="B92" s="3">
        <f>IF(H92&lt;&gt;"",H92,IF(I92&lt;&gt;"",I92,IF(J92&lt;&gt;"",J92,K92)))</f>
        <v>474.83</v>
      </c>
      <c r="C92" s="3">
        <f>MEDIAN(H92:K92)</f>
        <v>572.26</v>
      </c>
      <c r="D92" s="3">
        <f>ROUND(C92*(1-Settings!$B$2),2)</f>
        <v>400.58</v>
      </c>
      <c r="E92" s="2" t="inlineStr">
        <is>
          <t>One Piece</t>
        </is>
      </c>
      <c r="F92" s="2" t="inlineStr">
        <is>
          <t>Case/Display</t>
        </is>
      </c>
      <c r="G92" s="2" t="inlineStr">
        <is>
          <t>Wings of the Captain</t>
        </is>
      </c>
      <c r="H92" s="3" t="n"/>
      <c r="I92" s="3" t="n">
        <v>474.83</v>
      </c>
      <c r="J92" s="3" t="n"/>
      <c r="K92" s="3" t="n">
        <v>669.6900000000001</v>
      </c>
      <c r="L92" s="2" t="inlineStr">
        <is>
          <t>TCGplayer</t>
        </is>
      </c>
      <c r="N92" s="4" t="inlineStr">
        <is>
          <t>https://www.tcgplayer.com/product/541543</t>
        </is>
      </c>
    </row>
    <row r="93">
      <c r="A93" s="2" t="inlineStr">
        <is>
          <t>Double Pack Set Volume 3 Display Case</t>
        </is>
      </c>
      <c r="B93" s="3">
        <f>IF(H93&lt;&gt;"",H93,IF(I93&lt;&gt;"",I93,IF(J93&lt;&gt;"",J93,K93)))</f>
        <v>3000.0</v>
      </c>
      <c r="C93" s="3">
        <f>MEDIAN(H93:K93)</f>
        <v>3000.0</v>
      </c>
      <c r="D93" s="3">
        <f>ROUND(C93*(1-Settings!$B$2),2)</f>
        <v>2100.0</v>
      </c>
      <c r="E93" s="2" t="inlineStr">
        <is>
          <t>One Piece</t>
        </is>
      </c>
      <c r="F93" s="2" t="inlineStr">
        <is>
          <t>Case/Display</t>
        </is>
      </c>
      <c r="G93" s="2" t="inlineStr">
        <is>
          <t>Wings of the Captain</t>
        </is>
      </c>
      <c r="H93" s="3" t="n"/>
      <c r="I93" s="3" t="n"/>
      <c r="J93" s="3" t="n"/>
      <c r="K93" s="3" t="n">
        <v>3000</v>
      </c>
      <c r="L93" s="2" t="inlineStr">
        <is>
          <t>TCGplayer</t>
        </is>
      </c>
      <c r="N93" s="4" t="inlineStr">
        <is>
          <t>https://www.tcgplayer.com/product/541544</t>
        </is>
      </c>
    </row>
    <row r="94">
      <c r="A94" s="2" t="inlineStr">
        <is>
          <t>Wings of the Captain - Booster Box Case</t>
        </is>
      </c>
      <c r="B94" s="3">
        <f>IF(H94&lt;&gt;"",H94,IF(I94&lt;&gt;"",I94,IF(J94&lt;&gt;"",J94,K94)))</f>
        <v>4240.0</v>
      </c>
      <c r="C94" s="3">
        <f>MEDIAN(H94:K94)</f>
        <v>4319.995</v>
      </c>
      <c r="D94" s="3">
        <f>ROUND(C94*(1-Settings!$B$2),2)</f>
        <v>3024.0</v>
      </c>
      <c r="E94" s="2" t="inlineStr">
        <is>
          <t>One Piece</t>
        </is>
      </c>
      <c r="F94" s="2" t="inlineStr">
        <is>
          <t>Case/Display</t>
        </is>
      </c>
      <c r="G94" s="2" t="inlineStr">
        <is>
          <t>Wings of the Captain</t>
        </is>
      </c>
      <c r="H94" s="3" t="n"/>
      <c r="I94" s="3" t="n">
        <v>4240</v>
      </c>
      <c r="J94" s="3" t="n"/>
      <c r="K94" s="3" t="n">
        <v>4399.99</v>
      </c>
      <c r="L94" s="2" t="inlineStr">
        <is>
          <t>TCGplayer</t>
        </is>
      </c>
      <c r="N94" s="4" t="inlineStr">
        <is>
          <t>https://www.tcgplayer.com/product/515081</t>
        </is>
      </c>
    </row>
    <row r="95">
      <c r="A95" s="2" t="inlineStr">
        <is>
          <t>Japanese Promo Family Deck Set</t>
        </is>
      </c>
      <c r="B95" s="3">
        <f>IF(H95&lt;&gt;"",H95,IF(I95&lt;&gt;"",I95,IF(J95&lt;&gt;"",J95,K95)))</f>
        <v>103.4</v>
      </c>
      <c r="C95" s="3">
        <f>MEDIAN(H95:K95)</f>
        <v>103.4</v>
      </c>
      <c r="D95" s="3">
        <f>ROUND(C95*(1-Settings!$B$2),2)</f>
        <v>72.38</v>
      </c>
      <c r="E95" s="2" t="inlineStr">
        <is>
          <t>One Piece</t>
        </is>
      </c>
      <c r="F95" s="2" t="inlineStr">
        <is>
          <t>Deck</t>
        </is>
      </c>
      <c r="G95" s="2" t="inlineStr">
        <is>
          <t>Japanese Promo</t>
        </is>
      </c>
      <c r="H95" s="3" t="n">
        <v>103.4</v>
      </c>
      <c r="I95" s="3" t="n"/>
      <c r="J95" s="3" t="n"/>
      <c r="K95" s="3" t="n"/>
      <c r="L95" s="2" t="inlineStr">
        <is>
          <t>PriceCharting</t>
        </is>
      </c>
      <c r="M95" s="4" t="inlineStr">
        <is>
          <t>https://www.pricecharting.com/game/one-piece-japanese-promo/family-deck-set</t>
        </is>
      </c>
    </row>
    <row r="96">
      <c r="A96" s="2" t="inlineStr">
        <is>
          <t>Japanese Starter Deck 1 Straw Hat Crew Sealed Deck</t>
        </is>
      </c>
      <c r="B96" s="3">
        <f>IF(H96&lt;&gt;"",H96,IF(I96&lt;&gt;"",I96,IF(J96&lt;&gt;"",J96,K96)))</f>
        <v>47.71</v>
      </c>
      <c r="C96" s="3">
        <f>MEDIAN(H96:K96)</f>
        <v>47.71</v>
      </c>
      <c r="D96" s="3">
        <f>ROUND(C96*(1-Settings!$B$2),2)</f>
        <v>33.4</v>
      </c>
      <c r="E96" s="2" t="inlineStr">
        <is>
          <t>One Piece</t>
        </is>
      </c>
      <c r="F96" s="2" t="inlineStr">
        <is>
          <t>Deck</t>
        </is>
      </c>
      <c r="G96" s="2" t="inlineStr">
        <is>
          <t>Japanese Starter Deck 1 Straw Hat Crew</t>
        </is>
      </c>
      <c r="H96" s="3" t="n">
        <v>47.71</v>
      </c>
      <c r="I96" s="3" t="n"/>
      <c r="J96" s="3" t="n"/>
      <c r="K96" s="3" t="n"/>
      <c r="L96" s="2" t="inlineStr">
        <is>
          <t>PriceCharting</t>
        </is>
      </c>
      <c r="M96" s="4" t="inlineStr">
        <is>
          <t>https://www.pricecharting.com/game/one-piece-japanese-starter-deck-1-straw-hat-crew/sealed-deck</t>
        </is>
      </c>
    </row>
    <row r="97">
      <c r="A97" s="2" t="inlineStr">
        <is>
          <t>Japanese Starter Deck 11 Uta Sealed Deck</t>
        </is>
      </c>
      <c r="B97" s="3">
        <f>IF(H97&lt;&gt;"",H97,IF(I97&lt;&gt;"",I97,IF(J97&lt;&gt;"",J97,K97)))</f>
        <v>15.99</v>
      </c>
      <c r="C97" s="3">
        <f>MEDIAN(H97:K97)</f>
        <v>15.99</v>
      </c>
      <c r="D97" s="3">
        <f>ROUND(C97*(1-Settings!$B$2),2)</f>
        <v>11.19</v>
      </c>
      <c r="E97" s="2" t="inlineStr">
        <is>
          <t>One Piece</t>
        </is>
      </c>
      <c r="F97" s="2" t="inlineStr">
        <is>
          <t>Deck</t>
        </is>
      </c>
      <c r="G97" s="2" t="inlineStr">
        <is>
          <t>Japanese Starter Deck 11 Uta</t>
        </is>
      </c>
      <c r="H97" s="3" t="n">
        <v>15.99</v>
      </c>
      <c r="I97" s="3" t="n"/>
      <c r="J97" s="3" t="n"/>
      <c r="K97" s="3" t="n"/>
      <c r="L97" s="2" t="inlineStr">
        <is>
          <t>PriceCharting</t>
        </is>
      </c>
      <c r="M97" s="4" t="inlineStr">
        <is>
          <t>https://www.pricecharting.com/game/one-piece-japanese-starter-deck-11-uta/sealed-deck</t>
        </is>
      </c>
    </row>
    <row r="98">
      <c r="A98" s="2" t="inlineStr">
        <is>
          <t>Japanese Starter Deck 12 Sealed Deck</t>
        </is>
      </c>
      <c r="B98" s="3">
        <f>IF(H98&lt;&gt;"",H98,IF(I98&lt;&gt;"",I98,IF(J98&lt;&gt;"",J98,K98)))</f>
        <v>42.18</v>
      </c>
      <c r="C98" s="3">
        <f>MEDIAN(H98:K98)</f>
        <v>42.18</v>
      </c>
      <c r="D98" s="3">
        <f>ROUND(C98*(1-Settings!$B$2),2)</f>
        <v>29.53</v>
      </c>
      <c r="E98" s="2" t="inlineStr">
        <is>
          <t>One Piece</t>
        </is>
      </c>
      <c r="F98" s="2" t="inlineStr">
        <is>
          <t>Deck</t>
        </is>
      </c>
      <c r="G98" s="2" t="inlineStr">
        <is>
          <t>Japanese Starter Deck 12</t>
        </is>
      </c>
      <c r="H98" s="3" t="n">
        <v>42.18</v>
      </c>
      <c r="I98" s="3" t="n"/>
      <c r="J98" s="3" t="n"/>
      <c r="K98" s="3" t="n"/>
      <c r="L98" s="2" t="inlineStr">
        <is>
          <t>PriceCharting</t>
        </is>
      </c>
      <c r="M98" s="4" t="inlineStr">
        <is>
          <t>https://www.pricecharting.com/game/one-piece-japanese-starter-deck-12/sealed-deck</t>
        </is>
      </c>
    </row>
    <row r="99">
      <c r="A99" s="2" t="inlineStr">
        <is>
          <t>Japanese Starter Deck 14 3d2y Sealed Deck</t>
        </is>
      </c>
      <c r="B99" s="3">
        <f>IF(H99&lt;&gt;"",H99,IF(I99&lt;&gt;"",I99,IF(J99&lt;&gt;"",J99,K99)))</f>
        <v>18.33</v>
      </c>
      <c r="C99" s="3">
        <f>MEDIAN(H99:K99)</f>
        <v>18.33</v>
      </c>
      <c r="D99" s="3">
        <f>ROUND(C99*(1-Settings!$B$2),2)</f>
        <v>12.83</v>
      </c>
      <c r="E99" s="2" t="inlineStr">
        <is>
          <t>One Piece</t>
        </is>
      </c>
      <c r="F99" s="2" t="inlineStr">
        <is>
          <t>Deck</t>
        </is>
      </c>
      <c r="G99" s="2" t="inlineStr">
        <is>
          <t>Japanese Starter Deck 14 3d2y</t>
        </is>
      </c>
      <c r="H99" s="3" t="n">
        <v>18.33</v>
      </c>
      <c r="I99" s="3" t="n"/>
      <c r="J99" s="3" t="n"/>
      <c r="K99" s="3" t="n"/>
      <c r="L99" s="2" t="inlineStr">
        <is>
          <t>PriceCharting</t>
        </is>
      </c>
      <c r="M99" s="4" t="inlineStr">
        <is>
          <t>https://www.pricecharting.com/game/one-piece-japanese-starter-deck-14-3d2y/sealed-deck</t>
        </is>
      </c>
    </row>
    <row r="100">
      <c r="A100" s="2" t="inlineStr">
        <is>
          <t>Japanese Starter Deck 15 Edward Newgate Sealed Deck</t>
        </is>
      </c>
      <c r="B100" s="3">
        <f>IF(H100&lt;&gt;"",H100,IF(I100&lt;&gt;"",I100,IF(J100&lt;&gt;"",J100,K100)))</f>
        <v>9.0</v>
      </c>
      <c r="C100" s="3">
        <f>MEDIAN(H100:K100)</f>
        <v>9.0</v>
      </c>
      <c r="D100" s="3">
        <f>ROUND(C100*(1-Settings!$B$2),2)</f>
        <v>6.3</v>
      </c>
      <c r="E100" s="2" t="inlineStr">
        <is>
          <t>One Piece</t>
        </is>
      </c>
      <c r="F100" s="2" t="inlineStr">
        <is>
          <t>Deck</t>
        </is>
      </c>
      <c r="G100" s="2" t="inlineStr">
        <is>
          <t>Japanese Starter Deck 15 Edward Newgate</t>
        </is>
      </c>
      <c r="H100" s="3" t="n">
        <v>9</v>
      </c>
      <c r="I100" s="3" t="n"/>
      <c r="J100" s="3" t="n"/>
      <c r="K100" s="3" t="n"/>
      <c r="L100" s="2" t="inlineStr">
        <is>
          <t>PriceCharting</t>
        </is>
      </c>
      <c r="M100" s="4" t="inlineStr">
        <is>
          <t>https://www.pricecharting.com/game/one-piece-japanese-starter-deck-15-edward-newgate/sealed-deck</t>
        </is>
      </c>
    </row>
    <row r="101">
      <c r="A101" s="2" t="inlineStr">
        <is>
          <t>Japanese Starter Deck 18 Monkeydluffy Sealed Deck</t>
        </is>
      </c>
      <c r="B101" s="3">
        <f>IF(H101&lt;&gt;"",H101,IF(I101&lt;&gt;"",I101,IF(J101&lt;&gt;"",J101,K101)))</f>
        <v>121.94</v>
      </c>
      <c r="C101" s="3">
        <f>MEDIAN(H101:K101)</f>
        <v>121.94</v>
      </c>
      <c r="D101" s="3">
        <f>ROUND(C101*(1-Settings!$B$2),2)</f>
        <v>85.36</v>
      </c>
      <c r="E101" s="2" t="inlineStr">
        <is>
          <t>One Piece</t>
        </is>
      </c>
      <c r="F101" s="2" t="inlineStr">
        <is>
          <t>Deck</t>
        </is>
      </c>
      <c r="G101" s="2" t="inlineStr">
        <is>
          <t>Japanese Starter Deck 18 Monkeydluffy</t>
        </is>
      </c>
      <c r="H101" s="3" t="n">
        <v>121.94</v>
      </c>
      <c r="I101" s="3" t="n"/>
      <c r="J101" s="3" t="n"/>
      <c r="K101" s="3" t="n"/>
      <c r="L101" s="2" t="inlineStr">
        <is>
          <t>PriceCharting</t>
        </is>
      </c>
      <c r="M101" s="4" t="inlineStr">
        <is>
          <t>https://www.pricecharting.com/game/one-piece-japanese-starter-deck-18-monkeydluffy/sealed-deck</t>
        </is>
      </c>
    </row>
    <row r="102">
      <c r="A102" s="2" t="inlineStr">
        <is>
          <t>Japanese Starter Deck 2 Worst Generation Sealed Deck</t>
        </is>
      </c>
      <c r="B102" s="3">
        <f>IF(H102&lt;&gt;"",H102,IF(I102&lt;&gt;"",I102,IF(J102&lt;&gt;"",J102,K102)))</f>
        <v>19.49</v>
      </c>
      <c r="C102" s="3">
        <f>MEDIAN(H102:K102)</f>
        <v>19.49</v>
      </c>
      <c r="D102" s="3">
        <f>ROUND(C102*(1-Settings!$B$2),2)</f>
        <v>13.64</v>
      </c>
      <c r="E102" s="2" t="inlineStr">
        <is>
          <t>One Piece</t>
        </is>
      </c>
      <c r="F102" s="2" t="inlineStr">
        <is>
          <t>Deck</t>
        </is>
      </c>
      <c r="G102" s="2" t="inlineStr">
        <is>
          <t>Japanese Starter Deck 2 Worst Generation</t>
        </is>
      </c>
      <c r="H102" s="3" t="n">
        <v>19.49</v>
      </c>
      <c r="I102" s="3" t="n"/>
      <c r="J102" s="3" t="n"/>
      <c r="K102" s="3" t="n"/>
      <c r="L102" s="2" t="inlineStr">
        <is>
          <t>PriceCharting</t>
        </is>
      </c>
      <c r="M102" s="4" t="inlineStr">
        <is>
          <t>https://www.pricecharting.com/game/one-piece-japanese-starter-deck-2-worst-generation/sealed-deck</t>
        </is>
      </c>
    </row>
    <row r="103">
      <c r="A103" s="2" t="inlineStr">
        <is>
          <t>Japanese Starter Deck 25 Blue Buggy Sealed Deck</t>
        </is>
      </c>
      <c r="B103" s="3">
        <f>IF(H103&lt;&gt;"",H103,IF(I103&lt;&gt;"",I103,IF(J103&lt;&gt;"",J103,K103)))</f>
        <v>8.46</v>
      </c>
      <c r="C103" s="3">
        <f>MEDIAN(H103:K103)</f>
        <v>8.46</v>
      </c>
      <c r="D103" s="3">
        <f>ROUND(C103*(1-Settings!$B$2),2)</f>
        <v>5.92</v>
      </c>
      <c r="E103" s="2" t="inlineStr">
        <is>
          <t>One Piece</t>
        </is>
      </c>
      <c r="F103" s="2" t="inlineStr">
        <is>
          <t>Deck</t>
        </is>
      </c>
      <c r="G103" s="2" t="inlineStr">
        <is>
          <t>Japanese Starter Deck 25 Blue Buggy</t>
        </is>
      </c>
      <c r="H103" s="3" t="n">
        <v>8.460000000000001</v>
      </c>
      <c r="I103" s="3" t="n"/>
      <c r="J103" s="3" t="n"/>
      <c r="K103" s="3" t="n"/>
      <c r="L103" s="2" t="inlineStr">
        <is>
          <t>PriceCharting</t>
        </is>
      </c>
      <c r="M103" s="4" t="inlineStr">
        <is>
          <t>https://www.pricecharting.com/game/one-piece-japanese-starter-deck-25-blue-buggy/sealed-deck</t>
        </is>
      </c>
    </row>
    <row r="104">
      <c r="A104" s="2" t="inlineStr">
        <is>
          <t>Japanese Starter Deck 28 Yellow Yamato Sealed Deck</t>
        </is>
      </c>
      <c r="B104" s="3">
        <f>IF(H104&lt;&gt;"",H104,IF(I104&lt;&gt;"",I104,IF(J104&lt;&gt;"",J104,K104)))</f>
        <v>14.0</v>
      </c>
      <c r="C104" s="3">
        <f>MEDIAN(H104:K104)</f>
        <v>14.0</v>
      </c>
      <c r="D104" s="3">
        <f>ROUND(C104*(1-Settings!$B$2),2)</f>
        <v>9.8</v>
      </c>
      <c r="E104" s="2" t="inlineStr">
        <is>
          <t>One Piece</t>
        </is>
      </c>
      <c r="F104" s="2" t="inlineStr">
        <is>
          <t>Deck</t>
        </is>
      </c>
      <c r="G104" s="2" t="inlineStr">
        <is>
          <t>Japanese Starter Deck 28 Yellow Yamato</t>
        </is>
      </c>
      <c r="H104" s="3" t="n">
        <v>14</v>
      </c>
      <c r="I104" s="3" t="n"/>
      <c r="J104" s="3" t="n"/>
      <c r="K104" s="3" t="n"/>
      <c r="L104" s="2" t="inlineStr">
        <is>
          <t>PriceCharting</t>
        </is>
      </c>
      <c r="M104" s="4" t="inlineStr">
        <is>
          <t>https://www.pricecharting.com/game/one-piece-japanese-starter-deck-28-yellow-yamato/sealed-deck</t>
        </is>
      </c>
    </row>
    <row r="105">
      <c r="A105" s="2" t="inlineStr">
        <is>
          <t>Japanese Starter Deck 29 Egghead Arc Sealed Deck</t>
        </is>
      </c>
      <c r="B105" s="3">
        <f>IF(H105&lt;&gt;"",H105,IF(I105&lt;&gt;"",I105,IF(J105&lt;&gt;"",J105,K105)))</f>
        <v>39.99</v>
      </c>
      <c r="C105" s="3">
        <f>MEDIAN(H105:K105)</f>
        <v>39.99</v>
      </c>
      <c r="D105" s="3">
        <f>ROUND(C105*(1-Settings!$B$2),2)</f>
        <v>27.99</v>
      </c>
      <c r="E105" s="2" t="inlineStr">
        <is>
          <t>One Piece</t>
        </is>
      </c>
      <c r="F105" s="2" t="inlineStr">
        <is>
          <t>Deck</t>
        </is>
      </c>
      <c r="G105" s="2" t="inlineStr">
        <is>
          <t>Japanese Starter Deck 29 Egghead Arc</t>
        </is>
      </c>
      <c r="H105" s="3" t="n">
        <v>39.99</v>
      </c>
      <c r="I105" s="3" t="n"/>
      <c r="J105" s="3" t="n"/>
      <c r="K105" s="3" t="n"/>
      <c r="L105" s="2" t="inlineStr">
        <is>
          <t>PriceCharting</t>
        </is>
      </c>
      <c r="M105" s="4" t="inlineStr">
        <is>
          <t>https://www.pricecharting.com/game/one-piece-japanese-starter-deck-29-egghead-arc/sealed-deck</t>
        </is>
      </c>
    </row>
    <row r="106">
      <c r="A106" s="2" t="inlineStr">
        <is>
          <t>Japanese Starter Deck 3 The Seven Warlords Of The Sea Sealed Deck</t>
        </is>
      </c>
      <c r="B106" s="3">
        <f>IF(H106&lt;&gt;"",H106,IF(I106&lt;&gt;"",I106,IF(J106&lt;&gt;"",J106,K106)))</f>
        <v>17.74</v>
      </c>
      <c r="C106" s="3">
        <f>MEDIAN(H106:K106)</f>
        <v>17.74</v>
      </c>
      <c r="D106" s="3">
        <f>ROUND(C106*(1-Settings!$B$2),2)</f>
        <v>12.42</v>
      </c>
      <c r="E106" s="2" t="inlineStr">
        <is>
          <t>One Piece</t>
        </is>
      </c>
      <c r="F106" s="2" t="inlineStr">
        <is>
          <t>Deck</t>
        </is>
      </c>
      <c r="G106" s="2" t="inlineStr">
        <is>
          <t>Japanese Starter Deck 3 The Seven Warlords Of The Sea</t>
        </is>
      </c>
      <c r="H106" s="3" t="n">
        <v>17.74</v>
      </c>
      <c r="I106" s="3" t="n"/>
      <c r="J106" s="3" t="n"/>
      <c r="K106" s="3" t="n"/>
      <c r="L106" s="2" t="inlineStr">
        <is>
          <t>PriceCharting</t>
        </is>
      </c>
      <c r="M106" s="4" t="inlineStr">
        <is>
          <t>https://www.pricecharting.com/game/one-piece-japanese-starter-deck-3-the-seven-warlords-of-the-sea/sealed-deck</t>
        </is>
      </c>
    </row>
    <row r="107">
      <c r="A107" s="2" t="inlineStr">
        <is>
          <t>Japanese Starter Deck 6 Absolute Justice Sealed Deck</t>
        </is>
      </c>
      <c r="B107" s="3">
        <f>IF(H107&lt;&gt;"",H107,IF(I107&lt;&gt;"",I107,IF(J107&lt;&gt;"",J107,K107)))</f>
        <v>16.18</v>
      </c>
      <c r="C107" s="3">
        <f>MEDIAN(H107:K107)</f>
        <v>16.18</v>
      </c>
      <c r="D107" s="3">
        <f>ROUND(C107*(1-Settings!$B$2),2)</f>
        <v>11.33</v>
      </c>
      <c r="E107" s="2" t="inlineStr">
        <is>
          <t>One Piece</t>
        </is>
      </c>
      <c r="F107" s="2" t="inlineStr">
        <is>
          <t>Deck</t>
        </is>
      </c>
      <c r="G107" s="2" t="inlineStr">
        <is>
          <t>Japanese Starter Deck 6 Absolute Justice</t>
        </is>
      </c>
      <c r="H107" s="3" t="n">
        <v>16.18</v>
      </c>
      <c r="I107" s="3" t="n"/>
      <c r="J107" s="3" t="n"/>
      <c r="K107" s="3" t="n"/>
      <c r="L107" s="2" t="inlineStr">
        <is>
          <t>PriceCharting</t>
        </is>
      </c>
      <c r="M107" s="4" t="inlineStr">
        <is>
          <t>https://www.pricecharting.com/game/one-piece-japanese-starter-deck-6-absolute-justice/sealed-deck</t>
        </is>
      </c>
    </row>
    <row r="108">
      <c r="A108" s="2" t="inlineStr">
        <is>
          <t>Japanese Starter Deck 7 Big Mom Pirates Sealed Deck</t>
        </is>
      </c>
      <c r="B108" s="3">
        <f>IF(H108&lt;&gt;"",H108,IF(I108&lt;&gt;"",I108,IF(J108&lt;&gt;"",J108,K108)))</f>
        <v>15.99</v>
      </c>
      <c r="C108" s="3">
        <f>MEDIAN(H108:K108)</f>
        <v>15.99</v>
      </c>
      <c r="D108" s="3">
        <f>ROUND(C108*(1-Settings!$B$2),2)</f>
        <v>11.19</v>
      </c>
      <c r="E108" s="2" t="inlineStr">
        <is>
          <t>One Piece</t>
        </is>
      </c>
      <c r="F108" s="2" t="inlineStr">
        <is>
          <t>Deck</t>
        </is>
      </c>
      <c r="G108" s="2" t="inlineStr">
        <is>
          <t>Japanese Starter Deck 7 Big Mom Pirates</t>
        </is>
      </c>
      <c r="H108" s="3" t="n">
        <v>15.99</v>
      </c>
      <c r="I108" s="3" t="n"/>
      <c r="J108" s="3" t="n"/>
      <c r="K108" s="3" t="n"/>
      <c r="L108" s="2" t="inlineStr">
        <is>
          <t>PriceCharting</t>
        </is>
      </c>
      <c r="M108" s="4" t="inlineStr">
        <is>
          <t>https://www.pricecharting.com/game/one-piece-japanese-starter-deck-7-big-mom-pirates/sealed-deck</t>
        </is>
      </c>
    </row>
    <row r="109">
      <c r="A109" s="2" t="inlineStr">
        <is>
          <t>Japanese Starter Deck 8 Monkeydluffy Sealed Deck</t>
        </is>
      </c>
      <c r="B109" s="3">
        <f>IF(H109&lt;&gt;"",H109,IF(I109&lt;&gt;"",I109,IF(J109&lt;&gt;"",J109,K109)))</f>
        <v>14.99</v>
      </c>
      <c r="C109" s="3">
        <f>MEDIAN(H109:K109)</f>
        <v>14.99</v>
      </c>
      <c r="D109" s="3">
        <f>ROUND(C109*(1-Settings!$B$2),2)</f>
        <v>10.49</v>
      </c>
      <c r="E109" s="2" t="inlineStr">
        <is>
          <t>One Piece</t>
        </is>
      </c>
      <c r="F109" s="2" t="inlineStr">
        <is>
          <t>Deck</t>
        </is>
      </c>
      <c r="G109" s="2" t="inlineStr">
        <is>
          <t>Japanese Starter Deck 8 Monkeydluffy</t>
        </is>
      </c>
      <c r="H109" s="3" t="n">
        <v>14.99</v>
      </c>
      <c r="I109" s="3" t="n"/>
      <c r="J109" s="3" t="n"/>
      <c r="K109" s="3" t="n"/>
      <c r="L109" s="2" t="inlineStr">
        <is>
          <t>PriceCharting</t>
        </is>
      </c>
      <c r="M109" s="4" t="inlineStr">
        <is>
          <t>https://www.pricecharting.com/game/one-piece-japanese-starter-deck-8-monkeydluffy/sealed-deck</t>
        </is>
      </c>
    </row>
    <row r="110">
      <c r="A110" s="2" t="inlineStr">
        <is>
          <t>Japanese Starter Deck 9 Yamato Sealed Deck</t>
        </is>
      </c>
      <c r="B110" s="3">
        <f>IF(H110&lt;&gt;"",H110,IF(I110&lt;&gt;"",I110,IF(J110&lt;&gt;"",J110,K110)))</f>
        <v>18.04</v>
      </c>
      <c r="C110" s="3">
        <f>MEDIAN(H110:K110)</f>
        <v>18.04</v>
      </c>
      <c r="D110" s="3">
        <f>ROUND(C110*(1-Settings!$B$2),2)</f>
        <v>12.63</v>
      </c>
      <c r="E110" s="2" t="inlineStr">
        <is>
          <t>One Piece</t>
        </is>
      </c>
      <c r="F110" s="2" t="inlineStr">
        <is>
          <t>Deck</t>
        </is>
      </c>
      <c r="G110" s="2" t="inlineStr">
        <is>
          <t>Japanese Starter Deck 9 Yamato</t>
        </is>
      </c>
      <c r="H110" s="3" t="n">
        <v>18.04</v>
      </c>
      <c r="I110" s="3" t="n"/>
      <c r="J110" s="3" t="n"/>
      <c r="K110" s="3" t="n"/>
      <c r="L110" s="2" t="inlineStr">
        <is>
          <t>PriceCharting</t>
        </is>
      </c>
      <c r="M110" s="4" t="inlineStr">
        <is>
          <t>https://www.pricecharting.com/game/one-piece-japanese-starter-deck-9-yamato/sealed-deck</t>
        </is>
      </c>
    </row>
    <row r="111">
      <c r="A111" s="2" t="inlineStr">
        <is>
          <t>Japanese Ultra Deck The Three Brothers Sealed Deck</t>
        </is>
      </c>
      <c r="B111" s="3">
        <f>IF(H111&lt;&gt;"",H111,IF(I111&lt;&gt;"",I111,IF(J111&lt;&gt;"",J111,K111)))</f>
        <v>37.38</v>
      </c>
      <c r="C111" s="3">
        <f>MEDIAN(H111:K111)</f>
        <v>37.38</v>
      </c>
      <c r="D111" s="3">
        <f>ROUND(C111*(1-Settings!$B$2),2)</f>
        <v>26.17</v>
      </c>
      <c r="E111" s="2" t="inlineStr">
        <is>
          <t>One Piece</t>
        </is>
      </c>
      <c r="F111" s="2" t="inlineStr">
        <is>
          <t>Deck</t>
        </is>
      </c>
      <c r="G111" s="2" t="inlineStr">
        <is>
          <t>Japanese Ultra Deck The Three Brothers</t>
        </is>
      </c>
      <c r="H111" s="3" t="n">
        <v>37.38</v>
      </c>
      <c r="I111" s="3" t="n"/>
      <c r="J111" s="3" t="n"/>
      <c r="K111" s="3" t="n"/>
      <c r="L111" s="2" t="inlineStr">
        <is>
          <t>PriceCharting</t>
        </is>
      </c>
      <c r="M111" s="4" t="inlineStr">
        <is>
          <t>https://www.pricecharting.com/game/one-piece-japanese-ultra-deck-the-three-brothers/sealed-deck</t>
        </is>
      </c>
    </row>
    <row r="112">
      <c r="A112" s="2" t="inlineStr">
        <is>
          <t>Japanese Ultra Deck The Three Captains Sealed Deck</t>
        </is>
      </c>
      <c r="B112" s="3">
        <f>IF(H112&lt;&gt;"",H112,IF(I112&lt;&gt;"",I112,IF(J112&lt;&gt;"",J112,K112)))</f>
        <v>91.18</v>
      </c>
      <c r="C112" s="3">
        <f>MEDIAN(H112:K112)</f>
        <v>91.18</v>
      </c>
      <c r="D112" s="3">
        <f>ROUND(C112*(1-Settings!$B$2),2)</f>
        <v>63.83</v>
      </c>
      <c r="E112" s="2" t="inlineStr">
        <is>
          <t>One Piece</t>
        </is>
      </c>
      <c r="F112" s="2" t="inlineStr">
        <is>
          <t>Deck</t>
        </is>
      </c>
      <c r="G112" s="2" t="inlineStr">
        <is>
          <t>Japanese Ultra Deck The Three Captains</t>
        </is>
      </c>
      <c r="H112" s="3" t="n">
        <v>91.18000000000001</v>
      </c>
      <c r="I112" s="3" t="n"/>
      <c r="J112" s="3" t="n"/>
      <c r="K112" s="3" t="n"/>
      <c r="L112" s="2" t="inlineStr">
        <is>
          <t>PriceCharting</t>
        </is>
      </c>
      <c r="M112" s="4" t="inlineStr">
        <is>
          <t>https://www.pricecharting.com/game/one-piece-japanese-ultra-deck-the-three-captains/sealed-deck</t>
        </is>
      </c>
    </row>
    <row r="113">
      <c r="A113" s="2" t="inlineStr">
        <is>
          <t>Learn Together Deck Set</t>
        </is>
      </c>
      <c r="B113" s="3">
        <f>IF(H113&lt;&gt;"",H113,IF(I113&lt;&gt;"",I113,IF(J113&lt;&gt;"",J113,K113)))</f>
        <v>59.02</v>
      </c>
      <c r="C113" s="3">
        <f>MEDIAN(H113:K113)</f>
        <v>59.455</v>
      </c>
      <c r="D113" s="3">
        <f>ROUND(C113*(1-Settings!$B$2),2)</f>
        <v>41.62</v>
      </c>
      <c r="E113" s="2" t="inlineStr">
        <is>
          <t>One Piece</t>
        </is>
      </c>
      <c r="F113" s="2" t="inlineStr">
        <is>
          <t>Deck</t>
        </is>
      </c>
      <c r="G113" s="2" t="inlineStr">
        <is>
          <t>Learn Together Deck Set</t>
        </is>
      </c>
      <c r="H113" s="3" t="n"/>
      <c r="I113" s="3" t="n">
        <v>59.02</v>
      </c>
      <c r="J113" s="3" t="n"/>
      <c r="K113" s="3" t="n">
        <v>59.89</v>
      </c>
      <c r="L113" s="2" t="inlineStr">
        <is>
          <t>TCGplayer</t>
        </is>
      </c>
      <c r="N113" s="4" t="inlineStr">
        <is>
          <t>https://www.tcgplayer.com/product/628478</t>
        </is>
      </c>
    </row>
    <row r="114">
      <c r="A114" s="2" t="inlineStr">
        <is>
          <t>Learn Together Deck Set Sealed Learn Together Deck Set</t>
        </is>
      </c>
      <c r="B114" s="3">
        <f>IF(H114&lt;&gt;"",H114,IF(I114&lt;&gt;"",I114,IF(J114&lt;&gt;"",J114,K114)))</f>
        <v>57.52</v>
      </c>
      <c r="C114" s="3">
        <f>MEDIAN(H114:K114)</f>
        <v>57.52</v>
      </c>
      <c r="D114" s="3">
        <f>ROUND(C114*(1-Settings!$B$2),2)</f>
        <v>40.26</v>
      </c>
      <c r="E114" s="2" t="inlineStr">
        <is>
          <t>One Piece</t>
        </is>
      </c>
      <c r="F114" s="2" t="inlineStr">
        <is>
          <t>Deck</t>
        </is>
      </c>
      <c r="G114" s="2" t="inlineStr">
        <is>
          <t>Learn Together Deck Set</t>
        </is>
      </c>
      <c r="H114" s="3" t="n">
        <v>57.52</v>
      </c>
      <c r="I114" s="3" t="n"/>
      <c r="J114" s="3" t="n"/>
      <c r="K114" s="3" t="n"/>
      <c r="L114" s="2" t="inlineStr">
        <is>
          <t>PriceCharting</t>
        </is>
      </c>
      <c r="M114" s="4" t="inlineStr">
        <is>
          <t>https://www.pricecharting.com/game/one-piece-learn-together-deck-set/sealed-learn-together-deck-set</t>
        </is>
      </c>
    </row>
    <row r="115">
      <c r="A115" s="2" t="inlineStr">
        <is>
          <t>Beginners Deck Party [ST-23] - [ST-28] Participation Pack</t>
        </is>
      </c>
      <c r="B115" s="3">
        <f>IF(H115&lt;&gt;"",H115,IF(I115&lt;&gt;"",I115,IF(J115&lt;&gt;"",J115,K115)))</f>
        <v>5.2</v>
      </c>
      <c r="C115" s="3">
        <f>MEDIAN(H115:K115)</f>
        <v>7.595000000000001</v>
      </c>
      <c r="D115" s="3">
        <f>ROUND(C115*(1-Settings!$B$2),2)</f>
        <v>5.32</v>
      </c>
      <c r="E115" s="2" t="inlineStr">
        <is>
          <t>One Piece</t>
        </is>
      </c>
      <c r="F115" s="2" t="inlineStr">
        <is>
          <t>Deck</t>
        </is>
      </c>
      <c r="G115" s="2" t="inlineStr">
        <is>
          <t>One Piece Promotion Cards</t>
        </is>
      </c>
      <c r="H115" s="3" t="n"/>
      <c r="I115" s="3" t="n">
        <v>5.2</v>
      </c>
      <c r="J115" s="3" t="n"/>
      <c r="K115" s="3" t="n">
        <v>9.99</v>
      </c>
      <c r="L115" s="2" t="inlineStr">
        <is>
          <t>TCGplayer</t>
        </is>
      </c>
      <c r="N115" s="4" t="inlineStr">
        <is>
          <t>https://www.tcgplayer.com/product/636531</t>
        </is>
      </c>
    </row>
    <row r="116">
      <c r="A116" s="2" t="inlineStr">
        <is>
          <t>Beginners Deck Party [ST-23] - [ST-28] Winner Pack</t>
        </is>
      </c>
      <c r="B116" s="3">
        <f>IF(H116&lt;&gt;"",H116,IF(I116&lt;&gt;"",I116,IF(J116&lt;&gt;"",J116,K116)))</f>
        <v>148.73</v>
      </c>
      <c r="C116" s="3">
        <f>MEDIAN(H116:K116)</f>
        <v>224.365</v>
      </c>
      <c r="D116" s="3">
        <f>ROUND(C116*(1-Settings!$B$2),2)</f>
        <v>157.06</v>
      </c>
      <c r="E116" s="2" t="inlineStr">
        <is>
          <t>One Piece</t>
        </is>
      </c>
      <c r="F116" s="2" t="inlineStr">
        <is>
          <t>Deck</t>
        </is>
      </c>
      <c r="G116" s="2" t="inlineStr">
        <is>
          <t>One Piece Promotion Cards</t>
        </is>
      </c>
      <c r="H116" s="3" t="n"/>
      <c r="I116" s="3" t="n">
        <v>148.73</v>
      </c>
      <c r="J116" s="3" t="n"/>
      <c r="K116" s="3" t="n">
        <v>300</v>
      </c>
      <c r="L116" s="2" t="inlineStr">
        <is>
          <t>TCGplayer</t>
        </is>
      </c>
      <c r="N116" s="4" t="inlineStr">
        <is>
          <t>https://www.tcgplayer.com/product/636532</t>
        </is>
      </c>
    </row>
    <row r="117">
      <c r="A117" s="2" t="inlineStr">
        <is>
          <t>Uta Deck Battle Participation Pack (8 Cards)</t>
        </is>
      </c>
      <c r="B117" s="3">
        <f>IF(H117&lt;&gt;"",H117,IF(I117&lt;&gt;"",I117,IF(J117&lt;&gt;"",J117,K117)))</f>
        <v>14.55</v>
      </c>
      <c r="C117" s="3">
        <f>MEDIAN(H117:K117)</f>
        <v>12.275</v>
      </c>
      <c r="D117" s="3">
        <f>ROUND(C117*(1-Settings!$B$2),2)</f>
        <v>8.59</v>
      </c>
      <c r="E117" s="2" t="inlineStr">
        <is>
          <t>One Piece</t>
        </is>
      </c>
      <c r="F117" s="2" t="inlineStr">
        <is>
          <t>Deck</t>
        </is>
      </c>
      <c r="G117" s="2" t="inlineStr">
        <is>
          <t>One Piece Promotion Cards</t>
        </is>
      </c>
      <c r="H117" s="3" t="n"/>
      <c r="I117" s="3" t="n">
        <v>14.55</v>
      </c>
      <c r="J117" s="3" t="n"/>
      <c r="K117" s="3" t="n">
        <v>10</v>
      </c>
      <c r="L117" s="2" t="inlineStr">
        <is>
          <t>TCGplayer</t>
        </is>
      </c>
      <c r="N117" s="4" t="inlineStr">
        <is>
          <t>https://www.tcgplayer.com/product/546889</t>
        </is>
      </c>
    </row>
    <row r="118">
      <c r="A118" s="2" t="inlineStr">
        <is>
          <t>Set Sail Deck Set</t>
        </is>
      </c>
      <c r="B118" s="3">
        <f>IF(H118&lt;&gt;"",H118,IF(I118&lt;&gt;"",I118,IF(J118&lt;&gt;"",J118,K118)))</f>
        <v>25.58</v>
      </c>
      <c r="C118" s="3">
        <f>MEDIAN(H118:K118)</f>
        <v>17.79</v>
      </c>
      <c r="D118" s="3">
        <f>ROUND(C118*(1-Settings!$B$2),2)</f>
        <v>12.45</v>
      </c>
      <c r="E118" s="2" t="inlineStr">
        <is>
          <t>One Piece</t>
        </is>
      </c>
      <c r="F118" s="2" t="inlineStr">
        <is>
          <t>Deck</t>
        </is>
      </c>
      <c r="G118" s="2" t="inlineStr">
        <is>
          <t>Set Sail Deck Set</t>
        </is>
      </c>
      <c r="H118" s="3" t="n"/>
      <c r="I118" s="3" t="n">
        <v>25.58</v>
      </c>
      <c r="J118" s="3" t="n"/>
      <c r="K118" s="3" t="n">
        <v>10</v>
      </c>
      <c r="L118" s="2" t="inlineStr">
        <is>
          <t>TCGplayer</t>
        </is>
      </c>
      <c r="N118" s="4" t="inlineStr">
        <is>
          <t>https://www.tcgplayer.com/product/694893</t>
        </is>
      </c>
    </row>
    <row r="119">
      <c r="A119" s="2" t="inlineStr">
        <is>
          <t>Starter Deck 1 Straw Hat Crew Sealed Deck</t>
        </is>
      </c>
      <c r="B119" s="3">
        <f>IF(H119&lt;&gt;"",H119,IF(I119&lt;&gt;"",I119,IF(J119&lt;&gt;"",J119,K119)))</f>
        <v>196.35</v>
      </c>
      <c r="C119" s="3">
        <f>MEDIAN(H119:K119)</f>
        <v>196.35</v>
      </c>
      <c r="D119" s="3">
        <f>ROUND(C119*(1-Settings!$B$2),2)</f>
        <v>137.45</v>
      </c>
      <c r="E119" s="2" t="inlineStr">
        <is>
          <t>One Piece</t>
        </is>
      </c>
      <c r="F119" s="2" t="inlineStr">
        <is>
          <t>Deck</t>
        </is>
      </c>
      <c r="G119" s="2" t="inlineStr">
        <is>
          <t>Starter Deck 1 Straw Hat Crew</t>
        </is>
      </c>
      <c r="H119" s="3" t="n">
        <v>196.35</v>
      </c>
      <c r="I119" s="3" t="n"/>
      <c r="J119" s="3" t="n"/>
      <c r="K119" s="3" t="n"/>
      <c r="L119" s="2" t="inlineStr">
        <is>
          <t>PriceCharting</t>
        </is>
      </c>
      <c r="M119" s="4" t="inlineStr">
        <is>
          <t>https://www.pricecharting.com/game/one-piece-starter-deck-1-straw-hat-crew/sealed-deck</t>
        </is>
      </c>
    </row>
    <row r="120">
      <c r="A120" s="2" t="inlineStr">
        <is>
          <t>Starter Deck 1 Straw Hat Crew Super Pre-Release Starter Deck 1</t>
        </is>
      </c>
      <c r="B120" s="3">
        <f>IF(H120&lt;&gt;"",H120,IF(I120&lt;&gt;"",I120,IF(J120&lt;&gt;"",J120,K120)))</f>
        <v>79.73</v>
      </c>
      <c r="C120" s="3">
        <f>MEDIAN(H120:K120)</f>
        <v>79.73</v>
      </c>
      <c r="D120" s="3">
        <f>ROUND(C120*(1-Settings!$B$2),2)</f>
        <v>55.81</v>
      </c>
      <c r="E120" s="2" t="inlineStr">
        <is>
          <t>One Piece</t>
        </is>
      </c>
      <c r="F120" s="2" t="inlineStr">
        <is>
          <t>Deck</t>
        </is>
      </c>
      <c r="G120" s="2" t="inlineStr">
        <is>
          <t>Starter Deck 1 Straw Hat Crew</t>
        </is>
      </c>
      <c r="H120" s="3" t="n">
        <v>79.73</v>
      </c>
      <c r="I120" s="3" t="n"/>
      <c r="J120" s="3" t="n"/>
      <c r="K120" s="3" t="n"/>
      <c r="L120" s="2" t="inlineStr">
        <is>
          <t>PriceCharting</t>
        </is>
      </c>
      <c r="M120" s="4" t="inlineStr">
        <is>
          <t>https://www.pricecharting.com/game/one-piece-starter-deck-1-straw-hat-crew/super-pre-release-starter-deck-1</t>
        </is>
      </c>
    </row>
    <row r="121">
      <c r="A121" s="2" t="inlineStr">
        <is>
          <t>Starter Deck 11 Uta Sealed Deck</t>
        </is>
      </c>
      <c r="B121" s="3">
        <f>IF(H121&lt;&gt;"",H121,IF(I121&lt;&gt;"",I121,IF(J121&lt;&gt;"",J121,K121)))</f>
        <v>6.25</v>
      </c>
      <c r="C121" s="3">
        <f>MEDIAN(H121:K121)</f>
        <v>6.25</v>
      </c>
      <c r="D121" s="3">
        <f>ROUND(C121*(1-Settings!$B$2),2)</f>
        <v>4.38</v>
      </c>
      <c r="E121" s="2" t="inlineStr">
        <is>
          <t>One Piece</t>
        </is>
      </c>
      <c r="F121" s="2" t="inlineStr">
        <is>
          <t>Deck</t>
        </is>
      </c>
      <c r="G121" s="2" t="inlineStr">
        <is>
          <t>Starter Deck 11 Uta</t>
        </is>
      </c>
      <c r="H121" s="3" t="n">
        <v>6.25</v>
      </c>
      <c r="I121" s="3" t="n"/>
      <c r="J121" s="3" t="n"/>
      <c r="K121" s="3" t="n"/>
      <c r="L121" s="2" t="inlineStr">
        <is>
          <t>PriceCharting</t>
        </is>
      </c>
      <c r="M121" s="4" t="inlineStr">
        <is>
          <t>https://www.pricecharting.com/game/one-piece-starter-deck-11-uta/sealed-deck</t>
        </is>
      </c>
    </row>
    <row r="122">
      <c r="A122" s="2" t="inlineStr">
        <is>
          <t>Starter Deck 11: Uta</t>
        </is>
      </c>
      <c r="B122" s="3">
        <f>IF(H122&lt;&gt;"",H122,IF(I122&lt;&gt;"",I122,IF(J122&lt;&gt;"",J122,K122)))</f>
        <v>19.85</v>
      </c>
      <c r="C122" s="3">
        <f>MEDIAN(H122:K122)</f>
        <v>15.425</v>
      </c>
      <c r="D122" s="3">
        <f>ROUND(C122*(1-Settings!$B$2),2)</f>
        <v>10.8</v>
      </c>
      <c r="E122" s="2" t="inlineStr">
        <is>
          <t>One Piece</t>
        </is>
      </c>
      <c r="F122" s="2" t="inlineStr">
        <is>
          <t>Deck</t>
        </is>
      </c>
      <c r="G122" s="2" t="inlineStr">
        <is>
          <t>Starter Deck 11: Uta</t>
        </is>
      </c>
      <c r="H122" s="3" t="n"/>
      <c r="I122" s="3" t="n">
        <v>19.85</v>
      </c>
      <c r="J122" s="3" t="n"/>
      <c r="K122" s="3" t="n">
        <v>11</v>
      </c>
      <c r="L122" s="2" t="inlineStr">
        <is>
          <t>TCGplayer</t>
        </is>
      </c>
      <c r="N122" s="4" t="inlineStr">
        <is>
          <t>https://www.tcgplayer.com/product/515294</t>
        </is>
      </c>
    </row>
    <row r="123">
      <c r="A123" s="2" t="inlineStr">
        <is>
          <t>Starter Deck 12 Sealed Deck</t>
        </is>
      </c>
      <c r="B123" s="3">
        <f>IF(H123&lt;&gt;"",H123,IF(I123&lt;&gt;"",I123,IF(J123&lt;&gt;"",J123,K123)))</f>
        <v>30.0</v>
      </c>
      <c r="C123" s="3">
        <f>MEDIAN(H123:K123)</f>
        <v>30.0</v>
      </c>
      <c r="D123" s="3">
        <f>ROUND(C123*(1-Settings!$B$2),2)</f>
        <v>21.0</v>
      </c>
      <c r="E123" s="2" t="inlineStr">
        <is>
          <t>One Piece</t>
        </is>
      </c>
      <c r="F123" s="2" t="inlineStr">
        <is>
          <t>Deck</t>
        </is>
      </c>
      <c r="G123" s="2" t="inlineStr">
        <is>
          <t>Starter Deck 12</t>
        </is>
      </c>
      <c r="H123" s="3" t="n">
        <v>30</v>
      </c>
      <c r="I123" s="3" t="n"/>
      <c r="J123" s="3" t="n"/>
      <c r="K123" s="3" t="n"/>
      <c r="L123" s="2" t="inlineStr">
        <is>
          <t>PriceCharting</t>
        </is>
      </c>
      <c r="M123" s="4" t="inlineStr">
        <is>
          <t>https://www.pricecharting.com/game/one-piece-starter-deck-12/sealed-deck</t>
        </is>
      </c>
    </row>
    <row r="124">
      <c r="A124" s="2" t="inlineStr">
        <is>
          <t>Starter Deck 12: Zoro and Sanji</t>
        </is>
      </c>
      <c r="B124" s="3">
        <f>IF(H124&lt;&gt;"",H124,IF(I124&lt;&gt;"",I124,IF(J124&lt;&gt;"",J124,K124)))</f>
        <v>46.69</v>
      </c>
      <c r="C124" s="3">
        <f>MEDIAN(H124:K124)</f>
        <v>42.345</v>
      </c>
      <c r="D124" s="3">
        <f>ROUND(C124*(1-Settings!$B$2),2)</f>
        <v>29.64</v>
      </c>
      <c r="E124" s="2" t="inlineStr">
        <is>
          <t>One Piece</t>
        </is>
      </c>
      <c r="F124" s="2" t="inlineStr">
        <is>
          <t>Deck</t>
        </is>
      </c>
      <c r="G124" s="2" t="inlineStr">
        <is>
          <t>Starter Deck 12: Zoro and Sanji</t>
        </is>
      </c>
      <c r="H124" s="3" t="n"/>
      <c r="I124" s="3" t="n">
        <v>46.69</v>
      </c>
      <c r="J124" s="3" t="n"/>
      <c r="K124" s="3" t="n">
        <v>38</v>
      </c>
      <c r="L124" s="2" t="inlineStr">
        <is>
          <t>TCGplayer</t>
        </is>
      </c>
      <c r="N124" s="4" t="inlineStr">
        <is>
          <t>https://www.tcgplayer.com/product/536585</t>
        </is>
      </c>
    </row>
    <row r="125">
      <c r="A125" s="2" t="inlineStr">
        <is>
          <t>Starter Deck 14 3d2y Sealed Deck</t>
        </is>
      </c>
      <c r="B125" s="3">
        <f>IF(H125&lt;&gt;"",H125,IF(I125&lt;&gt;"",I125,IF(J125&lt;&gt;"",J125,K125)))</f>
        <v>15.5</v>
      </c>
      <c r="C125" s="3">
        <f>MEDIAN(H125:K125)</f>
        <v>15.5</v>
      </c>
      <c r="D125" s="3">
        <f>ROUND(C125*(1-Settings!$B$2),2)</f>
        <v>10.85</v>
      </c>
      <c r="E125" s="2" t="inlineStr">
        <is>
          <t>One Piece</t>
        </is>
      </c>
      <c r="F125" s="2" t="inlineStr">
        <is>
          <t>Deck</t>
        </is>
      </c>
      <c r="G125" s="2" t="inlineStr">
        <is>
          <t>Starter Deck 14 3d2y</t>
        </is>
      </c>
      <c r="H125" s="3" t="n">
        <v>15.5</v>
      </c>
      <c r="I125" s="3" t="n"/>
      <c r="J125" s="3" t="n"/>
      <c r="K125" s="3" t="n"/>
      <c r="L125" s="2" t="inlineStr">
        <is>
          <t>PriceCharting</t>
        </is>
      </c>
      <c r="M125" s="4" t="inlineStr">
        <is>
          <t>https://www.pricecharting.com/game/one-piece-starter-deck-14-3d2y/sealed-deck</t>
        </is>
      </c>
    </row>
    <row r="126">
      <c r="A126" s="2" t="inlineStr">
        <is>
          <t>Starter Deck 14: 3D2Y</t>
        </is>
      </c>
      <c r="B126" s="3">
        <f>IF(H126&lt;&gt;"",H126,IF(I126&lt;&gt;"",I126,IF(J126&lt;&gt;"",J126,K126)))</f>
        <v>23.13</v>
      </c>
      <c r="C126" s="3">
        <f>MEDIAN(H126:K126)</f>
        <v>21.564999999999998</v>
      </c>
      <c r="D126" s="3">
        <f>ROUND(C126*(1-Settings!$B$2),2)</f>
        <v>15.1</v>
      </c>
      <c r="E126" s="2" t="inlineStr">
        <is>
          <t>One Piece</t>
        </is>
      </c>
      <c r="F126" s="2" t="inlineStr">
        <is>
          <t>Deck</t>
        </is>
      </c>
      <c r="G126" s="2" t="inlineStr">
        <is>
          <t>Starter Deck 14: 3D2Y</t>
        </is>
      </c>
      <c r="H126" s="3" t="n"/>
      <c r="I126" s="3" t="n">
        <v>23.13</v>
      </c>
      <c r="J126" s="3" t="n"/>
      <c r="K126" s="3" t="n">
        <v>20</v>
      </c>
      <c r="L126" s="2" t="inlineStr">
        <is>
          <t>TCGplayer</t>
        </is>
      </c>
      <c r="N126" s="4" t="inlineStr">
        <is>
          <t>https://www.tcgplayer.com/product/545026</t>
        </is>
      </c>
    </row>
    <row r="127">
      <c r="A127" s="2" t="inlineStr">
        <is>
          <t>Starter Deck 15 Edward Newgate Sealed Deck</t>
        </is>
      </c>
      <c r="B127" s="3">
        <f>IF(H127&lt;&gt;"",H127,IF(I127&lt;&gt;"",I127,IF(J127&lt;&gt;"",J127,K127)))</f>
        <v>50.48</v>
      </c>
      <c r="C127" s="3">
        <f>MEDIAN(H127:K127)</f>
        <v>50.48</v>
      </c>
      <c r="D127" s="3">
        <f>ROUND(C127*(1-Settings!$B$2),2)</f>
        <v>35.34</v>
      </c>
      <c r="E127" s="2" t="inlineStr">
        <is>
          <t>One Piece</t>
        </is>
      </c>
      <c r="F127" s="2" t="inlineStr">
        <is>
          <t>Deck</t>
        </is>
      </c>
      <c r="G127" s="2" t="inlineStr">
        <is>
          <t>Starter Deck 15 Edward Newgate</t>
        </is>
      </c>
      <c r="H127" s="3" t="n">
        <v>50.48</v>
      </c>
      <c r="I127" s="3" t="n"/>
      <c r="J127" s="3" t="n"/>
      <c r="K127" s="3" t="n"/>
      <c r="L127" s="2" t="inlineStr">
        <is>
          <t>PriceCharting</t>
        </is>
      </c>
      <c r="M127" s="4" t="inlineStr">
        <is>
          <t>https://www.pricecharting.com/game/one-piece-starter-deck-15-edward-newgate/sealed-deck</t>
        </is>
      </c>
    </row>
    <row r="128">
      <c r="A128" s="2" t="inlineStr">
        <is>
          <t>Starter Deck 15: RED Edward.Newgate</t>
        </is>
      </c>
      <c r="B128" s="3">
        <f>IF(H128&lt;&gt;"",H128,IF(I128&lt;&gt;"",I128,IF(J128&lt;&gt;"",J128,K128)))</f>
        <v>58.96</v>
      </c>
      <c r="C128" s="3">
        <f>MEDIAN(H128:K128)</f>
        <v>38.230000000000004</v>
      </c>
      <c r="D128" s="3">
        <f>ROUND(C128*(1-Settings!$B$2),2)</f>
        <v>26.76</v>
      </c>
      <c r="E128" s="2" t="inlineStr">
        <is>
          <t>One Piece</t>
        </is>
      </c>
      <c r="F128" s="2" t="inlineStr">
        <is>
          <t>Deck</t>
        </is>
      </c>
      <c r="G128" s="2" t="inlineStr">
        <is>
          <t>Starter Deck 15: RED Edward.Newgate</t>
        </is>
      </c>
      <c r="H128" s="3" t="n"/>
      <c r="I128" s="3" t="n">
        <v>58.96</v>
      </c>
      <c r="J128" s="3" t="n"/>
      <c r="K128" s="3" t="n">
        <v>17.5</v>
      </c>
      <c r="L128" s="2" t="inlineStr">
        <is>
          <t>TCGplayer</t>
        </is>
      </c>
      <c r="N128" s="4" t="inlineStr">
        <is>
          <t>https://www.tcgplayer.com/product/545033</t>
        </is>
      </c>
    </row>
    <row r="129">
      <c r="A129" s="2" t="inlineStr">
        <is>
          <t>Starter Decks 15-20 [Set of 6]</t>
        </is>
      </c>
      <c r="B129" s="3">
        <f>IF(H129&lt;&gt;"",H129,IF(I129&lt;&gt;"",I129,IF(J129&lt;&gt;"",J129,K129)))</f>
        <v>335.99</v>
      </c>
      <c r="C129" s="3">
        <f>MEDIAN(H129:K129)</f>
        <v>267.995</v>
      </c>
      <c r="D129" s="3">
        <f>ROUND(C129*(1-Settings!$B$2),2)</f>
        <v>187.6</v>
      </c>
      <c r="E129" s="2" t="inlineStr">
        <is>
          <t>One Piece</t>
        </is>
      </c>
      <c r="F129" s="2" t="inlineStr">
        <is>
          <t>Deck</t>
        </is>
      </c>
      <c r="G129" s="2" t="inlineStr">
        <is>
          <t>Starter Deck 15: RED Edward.Newgate</t>
        </is>
      </c>
      <c r="H129" s="3" t="n"/>
      <c r="I129" s="3" t="n">
        <v>335.99</v>
      </c>
      <c r="J129" s="3" t="n"/>
      <c r="K129" s="3" t="n">
        <v>200</v>
      </c>
      <c r="L129" s="2" t="inlineStr">
        <is>
          <t>TCGplayer</t>
        </is>
      </c>
      <c r="N129" s="4" t="inlineStr">
        <is>
          <t>https://www.tcgplayer.com/product/594381</t>
        </is>
      </c>
    </row>
    <row r="130">
      <c r="A130" s="2" t="inlineStr">
        <is>
          <t>Starter Deck 16 Uta Sealed Deck</t>
        </is>
      </c>
      <c r="B130" s="3">
        <f>IF(H130&lt;&gt;"",H130,IF(I130&lt;&gt;"",I130,IF(J130&lt;&gt;"",J130,K130)))</f>
        <v>22.5</v>
      </c>
      <c r="C130" s="3">
        <f>MEDIAN(H130:K130)</f>
        <v>22.5</v>
      </c>
      <c r="D130" s="3">
        <f>ROUND(C130*(1-Settings!$B$2),2)</f>
        <v>15.75</v>
      </c>
      <c r="E130" s="2" t="inlineStr">
        <is>
          <t>One Piece</t>
        </is>
      </c>
      <c r="F130" s="2" t="inlineStr">
        <is>
          <t>Deck</t>
        </is>
      </c>
      <c r="G130" s="2" t="inlineStr">
        <is>
          <t>Starter Deck 16 Uta</t>
        </is>
      </c>
      <c r="H130" s="3" t="n">
        <v>22.5</v>
      </c>
      <c r="I130" s="3" t="n"/>
      <c r="J130" s="3" t="n"/>
      <c r="K130" s="3" t="n"/>
      <c r="L130" s="2" t="inlineStr">
        <is>
          <t>PriceCharting</t>
        </is>
      </c>
      <c r="M130" s="4" t="inlineStr">
        <is>
          <t>https://www.pricecharting.com/game/one-piece-starter-deck-16-uta/sealed-deck</t>
        </is>
      </c>
    </row>
    <row r="131">
      <c r="A131" s="2" t="inlineStr">
        <is>
          <t>Starter Deck 16: GREEN Uta</t>
        </is>
      </c>
      <c r="B131" s="3">
        <f>IF(H131&lt;&gt;"",H131,IF(I131&lt;&gt;"",I131,IF(J131&lt;&gt;"",J131,K131)))</f>
        <v>55.72</v>
      </c>
      <c r="C131" s="3">
        <f>MEDIAN(H131:K131)</f>
        <v>40.355</v>
      </c>
      <c r="D131" s="3">
        <f>ROUND(C131*(1-Settings!$B$2),2)</f>
        <v>28.25</v>
      </c>
      <c r="E131" s="2" t="inlineStr">
        <is>
          <t>One Piece</t>
        </is>
      </c>
      <c r="F131" s="2" t="inlineStr">
        <is>
          <t>Deck</t>
        </is>
      </c>
      <c r="G131" s="2" t="inlineStr">
        <is>
          <t>Starter Deck 16: GREEN Uta</t>
        </is>
      </c>
      <c r="H131" s="3" t="n"/>
      <c r="I131" s="3" t="n">
        <v>55.72</v>
      </c>
      <c r="J131" s="3" t="n"/>
      <c r="K131" s="3" t="n">
        <v>24.99</v>
      </c>
      <c r="L131" s="2" t="inlineStr">
        <is>
          <t>TCGplayer</t>
        </is>
      </c>
      <c r="N131" s="4" t="inlineStr">
        <is>
          <t>https://www.tcgplayer.com/product/545036</t>
        </is>
      </c>
    </row>
    <row r="132">
      <c r="A132" s="2" t="inlineStr">
        <is>
          <t>Starter Deck 17 Donquixote Donflamingo Sealed Deck</t>
        </is>
      </c>
      <c r="B132" s="3">
        <f>IF(H132&lt;&gt;"",H132,IF(I132&lt;&gt;"",I132,IF(J132&lt;&gt;"",J132,K132)))</f>
        <v>32.0</v>
      </c>
      <c r="C132" s="3">
        <f>MEDIAN(H132:K132)</f>
        <v>32.0</v>
      </c>
      <c r="D132" s="3">
        <f>ROUND(C132*(1-Settings!$B$2),2)</f>
        <v>22.4</v>
      </c>
      <c r="E132" s="2" t="inlineStr">
        <is>
          <t>One Piece</t>
        </is>
      </c>
      <c r="F132" s="2" t="inlineStr">
        <is>
          <t>Deck</t>
        </is>
      </c>
      <c r="G132" s="2" t="inlineStr">
        <is>
          <t>Starter Deck 17 Donquixote Donflamingo</t>
        </is>
      </c>
      <c r="H132" s="3" t="n">
        <v>32</v>
      </c>
      <c r="I132" s="3" t="n"/>
      <c r="J132" s="3" t="n"/>
      <c r="K132" s="3" t="n"/>
      <c r="L132" s="2" t="inlineStr">
        <is>
          <t>PriceCharting</t>
        </is>
      </c>
      <c r="M132" s="4" t="inlineStr">
        <is>
          <t>https://www.pricecharting.com/game/one-piece-starter-deck-17-donquixote-donflamingo/sealed-deck</t>
        </is>
      </c>
    </row>
    <row r="133">
      <c r="A133" s="2" t="inlineStr">
        <is>
          <t>Starter Deck 17: BLUE Donquixote Doflamingo</t>
        </is>
      </c>
      <c r="B133" s="3">
        <f>IF(H133&lt;&gt;"",H133,IF(I133&lt;&gt;"",I133,IF(J133&lt;&gt;"",J133,K133)))</f>
        <v>81.07</v>
      </c>
      <c r="C133" s="3">
        <f>MEDIAN(H133:K133)</f>
        <v>55.535</v>
      </c>
      <c r="D133" s="3">
        <f>ROUND(C133*(1-Settings!$B$2),2)</f>
        <v>38.87</v>
      </c>
      <c r="E133" s="2" t="inlineStr">
        <is>
          <t>One Piece</t>
        </is>
      </c>
      <c r="F133" s="2" t="inlineStr">
        <is>
          <t>Deck</t>
        </is>
      </c>
      <c r="G133" s="2" t="inlineStr">
        <is>
          <t>Starter Deck 17: BLUE Donquixote Doflamingo</t>
        </is>
      </c>
      <c r="H133" s="3" t="n"/>
      <c r="I133" s="3" t="n">
        <v>81.06999999999999</v>
      </c>
      <c r="J133" s="3" t="n"/>
      <c r="K133" s="3" t="n">
        <v>30</v>
      </c>
      <c r="L133" s="2" t="inlineStr">
        <is>
          <t>TCGplayer</t>
        </is>
      </c>
      <c r="N133" s="4" t="inlineStr">
        <is>
          <t>https://www.tcgplayer.com/product/545039</t>
        </is>
      </c>
    </row>
    <row r="134">
      <c r="A134" s="2" t="inlineStr">
        <is>
          <t>Starter Deck 18 Monkeydluffy Sealed Deck</t>
        </is>
      </c>
      <c r="B134" s="3">
        <f>IF(H134&lt;&gt;"",H134,IF(I134&lt;&gt;"",I134,IF(J134&lt;&gt;"",J134,K134)))</f>
        <v>64.99</v>
      </c>
      <c r="C134" s="3">
        <f>MEDIAN(H134:K134)</f>
        <v>64.99</v>
      </c>
      <c r="D134" s="3">
        <f>ROUND(C134*(1-Settings!$B$2),2)</f>
        <v>45.49</v>
      </c>
      <c r="E134" s="2" t="inlineStr">
        <is>
          <t>One Piece</t>
        </is>
      </c>
      <c r="F134" s="2" t="inlineStr">
        <is>
          <t>Deck</t>
        </is>
      </c>
      <c r="G134" s="2" t="inlineStr">
        <is>
          <t>Starter Deck 18 Monkeydluffy</t>
        </is>
      </c>
      <c r="H134" s="3" t="n">
        <v>64.98999999999999</v>
      </c>
      <c r="I134" s="3" t="n"/>
      <c r="J134" s="3" t="n"/>
      <c r="K134" s="3" t="n"/>
      <c r="L134" s="2" t="inlineStr">
        <is>
          <t>PriceCharting</t>
        </is>
      </c>
      <c r="M134" s="4" t="inlineStr">
        <is>
          <t>https://www.pricecharting.com/game/one-piece-starter-deck-18-monkeydluffy/sealed-deck</t>
        </is>
      </c>
    </row>
    <row r="135">
      <c r="A135" s="2" t="inlineStr">
        <is>
          <t>Starter Deck 18: PURPLE Monkey.D.Luffy</t>
        </is>
      </c>
      <c r="B135" s="3">
        <f>IF(H135&lt;&gt;"",H135,IF(I135&lt;&gt;"",I135,IF(J135&lt;&gt;"",J135,K135)))</f>
        <v>161.2</v>
      </c>
      <c r="C135" s="3">
        <f>MEDIAN(H135:K135)</f>
        <v>108.1</v>
      </c>
      <c r="D135" s="3">
        <f>ROUND(C135*(1-Settings!$B$2),2)</f>
        <v>75.67</v>
      </c>
      <c r="E135" s="2" t="inlineStr">
        <is>
          <t>One Piece</t>
        </is>
      </c>
      <c r="F135" s="2" t="inlineStr">
        <is>
          <t>Deck</t>
        </is>
      </c>
      <c r="G135" s="2" t="inlineStr">
        <is>
          <t>Starter Deck 18: PURPLE Monkey.D.Luffy</t>
        </is>
      </c>
      <c r="H135" s="3" t="n"/>
      <c r="I135" s="3" t="n">
        <v>161.2</v>
      </c>
      <c r="J135" s="3" t="n"/>
      <c r="K135" s="3" t="n">
        <v>55</v>
      </c>
      <c r="L135" s="2" t="inlineStr">
        <is>
          <t>TCGplayer</t>
        </is>
      </c>
      <c r="N135" s="4" t="inlineStr">
        <is>
          <t>https://www.tcgplayer.com/product/545042</t>
        </is>
      </c>
    </row>
    <row r="136">
      <c r="A136" s="2" t="inlineStr">
        <is>
          <t>Starter Deck 19 Smoker Sealed Deck</t>
        </is>
      </c>
      <c r="B136" s="3">
        <f>IF(H136&lt;&gt;"",H136,IF(I136&lt;&gt;"",I136,IF(J136&lt;&gt;"",J136,K136)))</f>
        <v>33.2</v>
      </c>
      <c r="C136" s="3">
        <f>MEDIAN(H136:K136)</f>
        <v>33.2</v>
      </c>
      <c r="D136" s="3">
        <f>ROUND(C136*(1-Settings!$B$2),2)</f>
        <v>23.24</v>
      </c>
      <c r="E136" s="2" t="inlineStr">
        <is>
          <t>One Piece</t>
        </is>
      </c>
      <c r="F136" s="2" t="inlineStr">
        <is>
          <t>Deck</t>
        </is>
      </c>
      <c r="G136" s="2" t="inlineStr">
        <is>
          <t>Starter Deck 19 Smoker</t>
        </is>
      </c>
      <c r="H136" s="3" t="n">
        <v>33.2</v>
      </c>
      <c r="I136" s="3" t="n"/>
      <c r="J136" s="3" t="n"/>
      <c r="K136" s="3" t="n"/>
      <c r="L136" s="2" t="inlineStr">
        <is>
          <t>PriceCharting</t>
        </is>
      </c>
      <c r="M136" s="4" t="inlineStr">
        <is>
          <t>https://www.pricecharting.com/game/one-piece-starter-deck-19-smoker/sealed-deck</t>
        </is>
      </c>
    </row>
    <row r="137">
      <c r="A137" s="2" t="inlineStr">
        <is>
          <t>Starter Deck 19: BLACK Smoker</t>
        </is>
      </c>
      <c r="B137" s="3">
        <f>IF(H137&lt;&gt;"",H137,IF(I137&lt;&gt;"",I137,IF(J137&lt;&gt;"",J137,K137)))</f>
        <v>55.51</v>
      </c>
      <c r="C137" s="3">
        <f>MEDIAN(H137:K137)</f>
        <v>32.004999999999995</v>
      </c>
      <c r="D137" s="3">
        <f>ROUND(C137*(1-Settings!$B$2),2)</f>
        <v>22.4</v>
      </c>
      <c r="E137" s="2" t="inlineStr">
        <is>
          <t>One Piece</t>
        </is>
      </c>
      <c r="F137" s="2" t="inlineStr">
        <is>
          <t>Deck</t>
        </is>
      </c>
      <c r="G137" s="2" t="inlineStr">
        <is>
          <t>Starter Deck 19: BLACK Smoker</t>
        </is>
      </c>
      <c r="H137" s="3" t="n"/>
      <c r="I137" s="3" t="n">
        <v>55.51</v>
      </c>
      <c r="J137" s="3" t="n"/>
      <c r="K137" s="3" t="n">
        <v>8.5</v>
      </c>
      <c r="L137" s="2" t="inlineStr">
        <is>
          <t>TCGplayer</t>
        </is>
      </c>
      <c r="N137" s="4" t="inlineStr">
        <is>
          <t>https://www.tcgplayer.com/product/545045</t>
        </is>
      </c>
    </row>
    <row r="138">
      <c r="A138" s="2" t="inlineStr">
        <is>
          <t>Starter Deck 1: Straw Hat Crew</t>
        </is>
      </c>
      <c r="B138" s="3">
        <f>IF(H138&lt;&gt;"",H138,IF(I138&lt;&gt;"",I138,IF(J138&lt;&gt;"",J138,K138)))</f>
        <v>55.29</v>
      </c>
      <c r="C138" s="3">
        <f>MEDIAN(H138:K138)</f>
        <v>52.644999999999996</v>
      </c>
      <c r="D138" s="3">
        <f>ROUND(C138*(1-Settings!$B$2),2)</f>
        <v>36.85</v>
      </c>
      <c r="E138" s="2" t="inlineStr">
        <is>
          <t>One Piece</t>
        </is>
      </c>
      <c r="F138" s="2" t="inlineStr">
        <is>
          <t>Deck</t>
        </is>
      </c>
      <c r="G138" s="2" t="inlineStr">
        <is>
          <t>Starter Deck 1: Straw Hat Crew</t>
        </is>
      </c>
      <c r="H138" s="3" t="n"/>
      <c r="I138" s="3" t="n">
        <v>55.29</v>
      </c>
      <c r="J138" s="3" t="n"/>
      <c r="K138" s="3" t="n">
        <v>50</v>
      </c>
      <c r="L138" s="2" t="inlineStr">
        <is>
          <t>TCGplayer</t>
        </is>
      </c>
      <c r="N138" s="4" t="inlineStr">
        <is>
          <t>https://www.tcgplayer.com/product/288221</t>
        </is>
      </c>
    </row>
    <row r="139">
      <c r="A139" s="2" t="inlineStr">
        <is>
          <t>Starter Decks 1-4 [Set of 4]</t>
        </is>
      </c>
      <c r="B139" s="3">
        <f>IF(H139&lt;&gt;"",H139,IF(I139&lt;&gt;"",I139,IF(J139&lt;&gt;"",J139,K139)))</f>
        <v>138.43</v>
      </c>
      <c r="C139" s="3">
        <f>MEDIAN(H139:K139)</f>
        <v>152.215</v>
      </c>
      <c r="D139" s="3">
        <f>ROUND(C139*(1-Settings!$B$2),2)</f>
        <v>106.55</v>
      </c>
      <c r="E139" s="2" t="inlineStr">
        <is>
          <t>One Piece</t>
        </is>
      </c>
      <c r="F139" s="2" t="inlineStr">
        <is>
          <t>Deck</t>
        </is>
      </c>
      <c r="G139" s="2" t="inlineStr">
        <is>
          <t>Starter Deck 1: Straw Hat Crew</t>
        </is>
      </c>
      <c r="H139" s="3" t="n"/>
      <c r="I139" s="3" t="n">
        <v>138.43</v>
      </c>
      <c r="J139" s="3" t="n"/>
      <c r="K139" s="3" t="n">
        <v>166</v>
      </c>
      <c r="L139" s="2" t="inlineStr">
        <is>
          <t>PriceCharting + TCGplayer</t>
        </is>
      </c>
      <c r="M139" s="4" t="inlineStr">
        <is>
          <t>https://www.pricecharting.com/game/one-piece-starter-deck-1-straw-hat-crew/starter-decks-1-4-set-of-4</t>
        </is>
      </c>
      <c r="N139" s="4" t="inlineStr">
        <is>
          <t>https://www.tcgplayer.com/product/288225</t>
        </is>
      </c>
    </row>
    <row r="140">
      <c r="A140" s="2" t="inlineStr">
        <is>
          <t>Starter Deck 2 Worst Generation Sealed Deck</t>
        </is>
      </c>
      <c r="B140" s="3">
        <f>IF(H140&lt;&gt;"",H140,IF(I140&lt;&gt;"",I140,IF(J140&lt;&gt;"",J140,K140)))</f>
        <v>20.99</v>
      </c>
      <c r="C140" s="3">
        <f>MEDIAN(H140:K140)</f>
        <v>20.99</v>
      </c>
      <c r="D140" s="3">
        <f>ROUND(C140*(1-Settings!$B$2),2)</f>
        <v>14.69</v>
      </c>
      <c r="E140" s="2" t="inlineStr">
        <is>
          <t>One Piece</t>
        </is>
      </c>
      <c r="F140" s="2" t="inlineStr">
        <is>
          <t>Deck</t>
        </is>
      </c>
      <c r="G140" s="2" t="inlineStr">
        <is>
          <t>Starter Deck 2 Worst Generation</t>
        </is>
      </c>
      <c r="H140" s="3" t="n">
        <v>20.99</v>
      </c>
      <c r="I140" s="3" t="n"/>
      <c r="J140" s="3" t="n"/>
      <c r="K140" s="3" t="n"/>
      <c r="L140" s="2" t="inlineStr">
        <is>
          <t>PriceCharting</t>
        </is>
      </c>
      <c r="M140" s="4" t="inlineStr">
        <is>
          <t>https://www.pricecharting.com/game/one-piece-starter-deck-2-worst-generation/sealed-deck</t>
        </is>
      </c>
    </row>
    <row r="141">
      <c r="A141" s="2" t="inlineStr">
        <is>
          <t>Starter Deck 2 Worst Generation Super Pre-Release Starter Deck 2</t>
        </is>
      </c>
      <c r="B141" s="3">
        <f>IF(H141&lt;&gt;"",H141,IF(I141&lt;&gt;"",I141,IF(J141&lt;&gt;"",J141,K141)))</f>
        <v>5.0</v>
      </c>
      <c r="C141" s="3">
        <f>MEDIAN(H141:K141)</f>
        <v>5.0</v>
      </c>
      <c r="D141" s="3">
        <f>ROUND(C141*(1-Settings!$B$2),2)</f>
        <v>3.5</v>
      </c>
      <c r="E141" s="2" t="inlineStr">
        <is>
          <t>One Piece</t>
        </is>
      </c>
      <c r="F141" s="2" t="inlineStr">
        <is>
          <t>Deck</t>
        </is>
      </c>
      <c r="G141" s="2" t="inlineStr">
        <is>
          <t>Starter Deck 2 Worst Generation</t>
        </is>
      </c>
      <c r="H141" s="3" t="n">
        <v>5</v>
      </c>
      <c r="I141" s="3" t="n"/>
      <c r="J141" s="3" t="n"/>
      <c r="K141" s="3" t="n"/>
      <c r="L141" s="2" t="inlineStr">
        <is>
          <t>PriceCharting</t>
        </is>
      </c>
      <c r="M141" s="4" t="inlineStr">
        <is>
          <t>https://www.pricecharting.com/game/one-piece-starter-deck-2-worst-generation/super-pre-release-starter-deck-2</t>
        </is>
      </c>
    </row>
    <row r="142">
      <c r="A142" s="2" t="inlineStr">
        <is>
          <t>Starter Deck 20 Charlotte Katakuri Sealed Deck</t>
        </is>
      </c>
      <c r="B142" s="3">
        <f>IF(H142&lt;&gt;"",H142,IF(I142&lt;&gt;"",I142,IF(J142&lt;&gt;"",J142,K142)))</f>
        <v>13.3</v>
      </c>
      <c r="C142" s="3">
        <f>MEDIAN(H142:K142)</f>
        <v>13.3</v>
      </c>
      <c r="D142" s="3">
        <f>ROUND(C142*(1-Settings!$B$2),2)</f>
        <v>9.31</v>
      </c>
      <c r="E142" s="2" t="inlineStr">
        <is>
          <t>One Piece</t>
        </is>
      </c>
      <c r="F142" s="2" t="inlineStr">
        <is>
          <t>Deck</t>
        </is>
      </c>
      <c r="G142" s="2" t="inlineStr">
        <is>
          <t>Starter Deck 20 Charlotte Katakuri</t>
        </is>
      </c>
      <c r="H142" s="3" t="n">
        <v>13.3</v>
      </c>
      <c r="I142" s="3" t="n"/>
      <c r="J142" s="3" t="n"/>
      <c r="K142" s="3" t="n"/>
      <c r="L142" s="2" t="inlineStr">
        <is>
          <t>PriceCharting</t>
        </is>
      </c>
      <c r="M142" s="4" t="inlineStr">
        <is>
          <t>https://www.pricecharting.com/game/one-piece-starter-deck-20-charlotte-katakuri/sealed-deck</t>
        </is>
      </c>
    </row>
    <row r="143">
      <c r="A143" s="2" t="inlineStr">
        <is>
          <t>Starter Deck 20: YELLOW Charlotte Katakuri</t>
        </is>
      </c>
      <c r="B143" s="3">
        <f>IF(H143&lt;&gt;"",H143,IF(I143&lt;&gt;"",I143,IF(J143&lt;&gt;"",J143,K143)))</f>
        <v>53.08</v>
      </c>
      <c r="C143" s="3">
        <f>MEDIAN(H143:K143)</f>
        <v>31.035</v>
      </c>
      <c r="D143" s="3">
        <f>ROUND(C143*(1-Settings!$B$2),2)</f>
        <v>21.72</v>
      </c>
      <c r="E143" s="2" t="inlineStr">
        <is>
          <t>One Piece</t>
        </is>
      </c>
      <c r="F143" s="2" t="inlineStr">
        <is>
          <t>Deck</t>
        </is>
      </c>
      <c r="G143" s="2" t="inlineStr">
        <is>
          <t>Starter Deck 20: YELLOW Charlotte Katakuri</t>
        </is>
      </c>
      <c r="H143" s="3" t="n"/>
      <c r="I143" s="3" t="n">
        <v>53.08</v>
      </c>
      <c r="J143" s="3" t="n"/>
      <c r="K143" s="3" t="n">
        <v>8.99</v>
      </c>
      <c r="L143" s="2" t="inlineStr">
        <is>
          <t>TCGplayer</t>
        </is>
      </c>
      <c r="N143" s="4" t="inlineStr">
        <is>
          <t>https://www.tcgplayer.com/product/545048</t>
        </is>
      </c>
    </row>
    <row r="144">
      <c r="A144" s="2" t="inlineStr">
        <is>
          <t>Starter Deck 21 Gear5 Sealed Deck</t>
        </is>
      </c>
      <c r="B144" s="3">
        <f>IF(H144&lt;&gt;"",H144,IF(I144&lt;&gt;"",I144,IF(J144&lt;&gt;"",J144,K144)))</f>
        <v>59.99</v>
      </c>
      <c r="C144" s="3">
        <f>MEDIAN(H144:K144)</f>
        <v>59.99</v>
      </c>
      <c r="D144" s="3">
        <f>ROUND(C144*(1-Settings!$B$2),2)</f>
        <v>41.99</v>
      </c>
      <c r="E144" s="2" t="inlineStr">
        <is>
          <t>One Piece</t>
        </is>
      </c>
      <c r="F144" s="2" t="inlineStr">
        <is>
          <t>Deck</t>
        </is>
      </c>
      <c r="G144" s="2" t="inlineStr">
        <is>
          <t>Starter Deck 21 Gear5</t>
        </is>
      </c>
      <c r="H144" s="3" t="n">
        <v>59.99</v>
      </c>
      <c r="I144" s="3" t="n"/>
      <c r="J144" s="3" t="n"/>
      <c r="K144" s="3" t="n"/>
      <c r="L144" s="2" t="inlineStr">
        <is>
          <t>PriceCharting</t>
        </is>
      </c>
      <c r="M144" s="4" t="inlineStr">
        <is>
          <t>https://www.pricecharting.com/game/one-piece-starter-deck-21-gear5/sealed-deck</t>
        </is>
      </c>
    </row>
    <row r="145">
      <c r="A145" s="2" t="inlineStr">
        <is>
          <t>Starter Deck 22: Ace &amp; Newgate</t>
        </is>
      </c>
      <c r="B145" s="3">
        <f>IF(H145&lt;&gt;"",H145,IF(I145&lt;&gt;"",I145,IF(J145&lt;&gt;"",J145,K145)))</f>
        <v>22.04</v>
      </c>
      <c r="C145" s="3">
        <f>MEDIAN(H145:K145)</f>
        <v>16.02</v>
      </c>
      <c r="D145" s="3">
        <f>ROUND(C145*(1-Settings!$B$2),2)</f>
        <v>11.21</v>
      </c>
      <c r="E145" s="2" t="inlineStr">
        <is>
          <t>One Piece</t>
        </is>
      </c>
      <c r="F145" s="2" t="inlineStr">
        <is>
          <t>Deck</t>
        </is>
      </c>
      <c r="G145" s="2" t="inlineStr">
        <is>
          <t>Starter Deck 22: Ace &amp; Newgate</t>
        </is>
      </c>
      <c r="H145" s="3" t="n"/>
      <c r="I145" s="3" t="n">
        <v>22.04</v>
      </c>
      <c r="J145" s="3" t="n"/>
      <c r="K145" s="3" t="n">
        <v>10</v>
      </c>
      <c r="L145" s="2" t="inlineStr">
        <is>
          <t>TCGplayer</t>
        </is>
      </c>
      <c r="N145" s="4" t="inlineStr">
        <is>
          <t>https://www.tcgplayer.com/product/628448</t>
        </is>
      </c>
    </row>
    <row r="146">
      <c r="A146" s="2" t="inlineStr">
        <is>
          <t>Starter Deck 23 Red Shanks Sealed Deck</t>
        </is>
      </c>
      <c r="B146" s="3">
        <f>IF(H146&lt;&gt;"",H146,IF(I146&lt;&gt;"",I146,IF(J146&lt;&gt;"",J146,K146)))</f>
        <v>45.0</v>
      </c>
      <c r="C146" s="3">
        <f>MEDIAN(H146:K146)</f>
        <v>45.0</v>
      </c>
      <c r="D146" s="3">
        <f>ROUND(C146*(1-Settings!$B$2),2)</f>
        <v>31.5</v>
      </c>
      <c r="E146" s="2" t="inlineStr">
        <is>
          <t>One Piece</t>
        </is>
      </c>
      <c r="F146" s="2" t="inlineStr">
        <is>
          <t>Deck</t>
        </is>
      </c>
      <c r="G146" s="2" t="inlineStr">
        <is>
          <t>Starter Deck 23 Red Shanks</t>
        </is>
      </c>
      <c r="H146" s="3" t="n">
        <v>45</v>
      </c>
      <c r="I146" s="3" t="n"/>
      <c r="J146" s="3" t="n"/>
      <c r="K146" s="3" t="n"/>
      <c r="L146" s="2" t="inlineStr">
        <is>
          <t>PriceCharting</t>
        </is>
      </c>
      <c r="M146" s="4" t="inlineStr">
        <is>
          <t>https://www.pricecharting.com/game/one-piece-starter-deck-23-red-shanks/sealed-deck</t>
        </is>
      </c>
    </row>
    <row r="147">
      <c r="A147" s="2" t="inlineStr">
        <is>
          <t>Starter Deck 23: RED Shanks</t>
        </is>
      </c>
      <c r="B147" s="3">
        <f>IF(H147&lt;&gt;"",H147,IF(I147&lt;&gt;"",I147,IF(J147&lt;&gt;"",J147,K147)))</f>
        <v>51.72</v>
      </c>
      <c r="C147" s="3">
        <f>MEDIAN(H147:K147)</f>
        <v>43.81</v>
      </c>
      <c r="D147" s="3">
        <f>ROUND(C147*(1-Settings!$B$2),2)</f>
        <v>30.67</v>
      </c>
      <c r="E147" s="2" t="inlineStr">
        <is>
          <t>One Piece</t>
        </is>
      </c>
      <c r="F147" s="2" t="inlineStr">
        <is>
          <t>Deck</t>
        </is>
      </c>
      <c r="G147" s="2" t="inlineStr">
        <is>
          <t>Starter Deck 23: RED Shanks</t>
        </is>
      </c>
      <c r="H147" s="3" t="n"/>
      <c r="I147" s="3" t="n">
        <v>51.72</v>
      </c>
      <c r="J147" s="3" t="n"/>
      <c r="K147" s="3" t="n">
        <v>35.9</v>
      </c>
      <c r="L147" s="2" t="inlineStr">
        <is>
          <t>TCGplayer</t>
        </is>
      </c>
      <c r="N147" s="4" t="inlineStr">
        <is>
          <t>https://www.tcgplayer.com/product/627669</t>
        </is>
      </c>
    </row>
    <row r="148">
      <c r="A148" s="2" t="inlineStr">
        <is>
          <t>Starter Decks 23-28 [Set of 6]</t>
        </is>
      </c>
      <c r="B148" s="3">
        <f>IF(H148&lt;&gt;"",H148,IF(I148&lt;&gt;"",I148,IF(J148&lt;&gt;"",J148,K148)))</f>
        <v>243.09</v>
      </c>
      <c r="C148" s="3">
        <f>MEDIAN(H148:K148)</f>
        <v>243.09</v>
      </c>
      <c r="D148" s="3">
        <f>ROUND(C148*(1-Settings!$B$2),2)</f>
        <v>170.16</v>
      </c>
      <c r="E148" s="2" t="inlineStr">
        <is>
          <t>One Piece</t>
        </is>
      </c>
      <c r="F148" s="2" t="inlineStr">
        <is>
          <t>Deck</t>
        </is>
      </c>
      <c r="G148" s="2" t="inlineStr">
        <is>
          <t>Starter Deck 23: RED Shanks</t>
        </is>
      </c>
      <c r="H148" s="3" t="n"/>
      <c r="I148" s="3" t="n">
        <v>243.09</v>
      </c>
      <c r="J148" s="3" t="n"/>
      <c r="K148" s="3" t="n"/>
      <c r="L148" s="2" t="inlineStr">
        <is>
          <t>TCGplayer</t>
        </is>
      </c>
      <c r="N148" s="4" t="inlineStr">
        <is>
          <t>https://www.tcgplayer.com/product/659940</t>
        </is>
      </c>
    </row>
    <row r="149">
      <c r="A149" s="2" t="inlineStr">
        <is>
          <t>Starter Deck 24 Green Jewelry Bonney Sealed Starter Deck</t>
        </is>
      </c>
      <c r="B149" s="3">
        <f>IF(H149&lt;&gt;"",H149,IF(I149&lt;&gt;"",I149,IF(J149&lt;&gt;"",J149,K149)))</f>
        <v>33.73</v>
      </c>
      <c r="C149" s="3">
        <f>MEDIAN(H149:K149)</f>
        <v>33.73</v>
      </c>
      <c r="D149" s="3">
        <f>ROUND(C149*(1-Settings!$B$2),2)</f>
        <v>23.61</v>
      </c>
      <c r="E149" s="2" t="inlineStr">
        <is>
          <t>One Piece</t>
        </is>
      </c>
      <c r="F149" s="2" t="inlineStr">
        <is>
          <t>Deck</t>
        </is>
      </c>
      <c r="G149" s="2" t="inlineStr">
        <is>
          <t>Starter Deck 24 Green Jewelry Bonney</t>
        </is>
      </c>
      <c r="H149" s="3" t="n">
        <v>33.73</v>
      </c>
      <c r="I149" s="3" t="n"/>
      <c r="J149" s="3" t="n"/>
      <c r="K149" s="3" t="n"/>
      <c r="L149" s="2" t="inlineStr">
        <is>
          <t>PriceCharting</t>
        </is>
      </c>
      <c r="M149" s="4" t="inlineStr">
        <is>
          <t>https://www.pricecharting.com/game/one-piece-starter-deck-24-green-jewelry-bonney/sealed-starter-deck</t>
        </is>
      </c>
    </row>
    <row r="150">
      <c r="A150" s="2" t="inlineStr">
        <is>
          <t>Starter Deck 24: GREEN Jewelry Bonney</t>
        </is>
      </c>
      <c r="B150" s="3">
        <f>IF(H150&lt;&gt;"",H150,IF(I150&lt;&gt;"",I150,IF(J150&lt;&gt;"",J150,K150)))</f>
        <v>38.98</v>
      </c>
      <c r="C150" s="3">
        <f>MEDIAN(H150:K150)</f>
        <v>25.479999999999997</v>
      </c>
      <c r="D150" s="3">
        <f>ROUND(C150*(1-Settings!$B$2),2)</f>
        <v>17.84</v>
      </c>
      <c r="E150" s="2" t="inlineStr">
        <is>
          <t>One Piece</t>
        </is>
      </c>
      <c r="F150" s="2" t="inlineStr">
        <is>
          <t>Deck</t>
        </is>
      </c>
      <c r="G150" s="2" t="inlineStr">
        <is>
          <t>Starter Deck 24: GREEN Jewelry Bonney</t>
        </is>
      </c>
      <c r="H150" s="3" t="n"/>
      <c r="I150" s="3" t="n">
        <v>38.98</v>
      </c>
      <c r="J150" s="3" t="n"/>
      <c r="K150" s="3" t="n">
        <v>11.98</v>
      </c>
      <c r="L150" s="2" t="inlineStr">
        <is>
          <t>TCGplayer</t>
        </is>
      </c>
      <c r="N150" s="4" t="inlineStr">
        <is>
          <t>https://www.tcgplayer.com/product/627672</t>
        </is>
      </c>
    </row>
    <row r="151">
      <c r="A151" s="2" t="inlineStr">
        <is>
          <t>Starter Deck 25 Blue Buggy Sealed Starter Deck</t>
        </is>
      </c>
      <c r="B151" s="3">
        <f>IF(H151&lt;&gt;"",H151,IF(I151&lt;&gt;"",I151,IF(J151&lt;&gt;"",J151,K151)))</f>
        <v>29.49</v>
      </c>
      <c r="C151" s="3">
        <f>MEDIAN(H151:K151)</f>
        <v>29.49</v>
      </c>
      <c r="D151" s="3">
        <f>ROUND(C151*(1-Settings!$B$2),2)</f>
        <v>20.64</v>
      </c>
      <c r="E151" s="2" t="inlineStr">
        <is>
          <t>One Piece</t>
        </is>
      </c>
      <c r="F151" s="2" t="inlineStr">
        <is>
          <t>Deck</t>
        </is>
      </c>
      <c r="G151" s="2" t="inlineStr">
        <is>
          <t>Starter Deck 25 Blue Buggy</t>
        </is>
      </c>
      <c r="H151" s="3" t="n">
        <v>29.49</v>
      </c>
      <c r="I151" s="3" t="n"/>
      <c r="J151" s="3" t="n"/>
      <c r="K151" s="3" t="n"/>
      <c r="L151" s="2" t="inlineStr">
        <is>
          <t>PriceCharting</t>
        </is>
      </c>
      <c r="M151" s="4" t="inlineStr">
        <is>
          <t>https://www.pricecharting.com/game/one-piece-starter-deck-25-blue-buggy/sealed-starter-deck</t>
        </is>
      </c>
    </row>
    <row r="152">
      <c r="A152" s="2" t="inlineStr">
        <is>
          <t>Starter Deck 25: BLUE Buggy</t>
        </is>
      </c>
      <c r="B152" s="3">
        <f>IF(H152&lt;&gt;"",H152,IF(I152&lt;&gt;"",I152,IF(J152&lt;&gt;"",J152,K152)))</f>
        <v>36.02</v>
      </c>
      <c r="C152" s="3">
        <f>MEDIAN(H152:K152)</f>
        <v>23.005000000000003</v>
      </c>
      <c r="D152" s="3">
        <f>ROUND(C152*(1-Settings!$B$2),2)</f>
        <v>16.1</v>
      </c>
      <c r="E152" s="2" t="inlineStr">
        <is>
          <t>One Piece</t>
        </is>
      </c>
      <c r="F152" s="2" t="inlineStr">
        <is>
          <t>Deck</t>
        </is>
      </c>
      <c r="G152" s="2" t="inlineStr">
        <is>
          <t>Starter Deck 25: BLUE Buggy</t>
        </is>
      </c>
      <c r="H152" s="3" t="n"/>
      <c r="I152" s="3" t="n">
        <v>36.02</v>
      </c>
      <c r="J152" s="3" t="n"/>
      <c r="K152" s="3" t="n">
        <v>9.99</v>
      </c>
      <c r="L152" s="2" t="inlineStr">
        <is>
          <t>TCGplayer</t>
        </is>
      </c>
      <c r="N152" s="4" t="inlineStr">
        <is>
          <t>https://www.tcgplayer.com/product/627674</t>
        </is>
      </c>
    </row>
    <row r="153">
      <c r="A153" s="2" t="inlineStr">
        <is>
          <t>Starter Deck 26 Purple Monkeydluffy Sealed Starter Deck</t>
        </is>
      </c>
      <c r="B153" s="3">
        <f>IF(H153&lt;&gt;"",H153,IF(I153&lt;&gt;"",I153,IF(J153&lt;&gt;"",J153,K153)))</f>
        <v>40.0</v>
      </c>
      <c r="C153" s="3">
        <f>MEDIAN(H153:K153)</f>
        <v>40.0</v>
      </c>
      <c r="D153" s="3">
        <f>ROUND(C153*(1-Settings!$B$2),2)</f>
        <v>28.0</v>
      </c>
      <c r="E153" s="2" t="inlineStr">
        <is>
          <t>One Piece</t>
        </is>
      </c>
      <c r="F153" s="2" t="inlineStr">
        <is>
          <t>Deck</t>
        </is>
      </c>
      <c r="G153" s="2" t="inlineStr">
        <is>
          <t>Starter Deck 26 Purple Monkeydluffy</t>
        </is>
      </c>
      <c r="H153" s="3" t="n">
        <v>40</v>
      </c>
      <c r="I153" s="3" t="n"/>
      <c r="J153" s="3" t="n"/>
      <c r="K153" s="3" t="n"/>
      <c r="L153" s="2" t="inlineStr">
        <is>
          <t>PriceCharting</t>
        </is>
      </c>
      <c r="M153" s="4" t="inlineStr">
        <is>
          <t>https://www.pricecharting.com/game/one-piece-starter-deck-26-purple-monkeydluffy/sealed-starter-deck</t>
        </is>
      </c>
    </row>
    <row r="154">
      <c r="A154" s="2" t="inlineStr">
        <is>
          <t>Starter Deck 26: PURPLE/BLACK Monkey.D.Luffy</t>
        </is>
      </c>
      <c r="B154" s="3">
        <f>IF(H154&lt;&gt;"",H154,IF(I154&lt;&gt;"",I154,IF(J154&lt;&gt;"",J154,K154)))</f>
        <v>43.97</v>
      </c>
      <c r="C154" s="3">
        <f>MEDIAN(H154:K154)</f>
        <v>32.985</v>
      </c>
      <c r="D154" s="3">
        <f>ROUND(C154*(1-Settings!$B$2),2)</f>
        <v>23.09</v>
      </c>
      <c r="E154" s="2" t="inlineStr">
        <is>
          <t>One Piece</t>
        </is>
      </c>
      <c r="F154" s="2" t="inlineStr">
        <is>
          <t>Deck</t>
        </is>
      </c>
      <c r="G154" s="2" t="inlineStr">
        <is>
          <t>Starter Deck 26: PURPLE/BLACK Monkey.D.Luffy</t>
        </is>
      </c>
      <c r="H154" s="3" t="n"/>
      <c r="I154" s="3" t="n">
        <v>43.97</v>
      </c>
      <c r="J154" s="3" t="n"/>
      <c r="K154" s="3" t="n">
        <v>22</v>
      </c>
      <c r="L154" s="2" t="inlineStr">
        <is>
          <t>TCGplayer</t>
        </is>
      </c>
      <c r="N154" s="4" t="inlineStr">
        <is>
          <t>https://www.tcgplayer.com/product/627677</t>
        </is>
      </c>
    </row>
    <row r="155">
      <c r="A155" s="2" t="inlineStr">
        <is>
          <t>Starter Deck 27 Black Marshalldteach Sealed Starter Deck</t>
        </is>
      </c>
      <c r="B155" s="3">
        <f>IF(H155&lt;&gt;"",H155,IF(I155&lt;&gt;"",I155,IF(J155&lt;&gt;"",J155,K155)))</f>
        <v>18.19</v>
      </c>
      <c r="C155" s="3">
        <f>MEDIAN(H155:K155)</f>
        <v>18.19</v>
      </c>
      <c r="D155" s="3">
        <f>ROUND(C155*(1-Settings!$B$2),2)</f>
        <v>12.73</v>
      </c>
      <c r="E155" s="2" t="inlineStr">
        <is>
          <t>One Piece</t>
        </is>
      </c>
      <c r="F155" s="2" t="inlineStr">
        <is>
          <t>Deck</t>
        </is>
      </c>
      <c r="G155" s="2" t="inlineStr">
        <is>
          <t>Starter Deck 27 Black Marshalldteach</t>
        </is>
      </c>
      <c r="H155" s="3" t="n">
        <v>18.19</v>
      </c>
      <c r="I155" s="3" t="n"/>
      <c r="J155" s="3" t="n"/>
      <c r="K155" s="3" t="n"/>
      <c r="L155" s="2" t="inlineStr">
        <is>
          <t>PriceCharting</t>
        </is>
      </c>
      <c r="M155" s="4" t="inlineStr">
        <is>
          <t>https://www.pricecharting.com/game/one-piece-starter-deck-27-black-marshalldteach/sealed-starter-deck</t>
        </is>
      </c>
    </row>
    <row r="156">
      <c r="A156" s="2" t="inlineStr">
        <is>
          <t>Starter Deck 27: BLACK Marshall.D.Teach</t>
        </is>
      </c>
      <c r="B156" s="3">
        <f>IF(H156&lt;&gt;"",H156,IF(I156&lt;&gt;"",I156,IF(J156&lt;&gt;"",J156,K156)))</f>
        <v>36.02</v>
      </c>
      <c r="C156" s="3">
        <f>MEDIAN(H156:K156)</f>
        <v>23.01</v>
      </c>
      <c r="D156" s="3">
        <f>ROUND(C156*(1-Settings!$B$2),2)</f>
        <v>16.11</v>
      </c>
      <c r="E156" s="2" t="inlineStr">
        <is>
          <t>One Piece</t>
        </is>
      </c>
      <c r="F156" s="2" t="inlineStr">
        <is>
          <t>Deck</t>
        </is>
      </c>
      <c r="G156" s="2" t="inlineStr">
        <is>
          <t>Starter Deck 27: BLACK Marshall.D.Teach</t>
        </is>
      </c>
      <c r="H156" s="3" t="n"/>
      <c r="I156" s="3" t="n">
        <v>36.02</v>
      </c>
      <c r="J156" s="3" t="n"/>
      <c r="K156" s="3" t="n">
        <v>10</v>
      </c>
      <c r="L156" s="2" t="inlineStr">
        <is>
          <t>TCGplayer</t>
        </is>
      </c>
      <c r="N156" s="4" t="inlineStr">
        <is>
          <t>https://www.tcgplayer.com/product/627678</t>
        </is>
      </c>
    </row>
    <row r="157">
      <c r="A157" s="2" t="inlineStr">
        <is>
          <t>Starter Deck 28 Yellow Yamato Sealed Starter Deck</t>
        </is>
      </c>
      <c r="B157" s="3">
        <f>IF(H157&lt;&gt;"",H157,IF(I157&lt;&gt;"",I157,IF(J157&lt;&gt;"",J157,K157)))</f>
        <v>37.49</v>
      </c>
      <c r="C157" s="3">
        <f>MEDIAN(H157:K157)</f>
        <v>37.49</v>
      </c>
      <c r="D157" s="3">
        <f>ROUND(C157*(1-Settings!$B$2),2)</f>
        <v>26.24</v>
      </c>
      <c r="E157" s="2" t="inlineStr">
        <is>
          <t>One Piece</t>
        </is>
      </c>
      <c r="F157" s="2" t="inlineStr">
        <is>
          <t>Deck</t>
        </is>
      </c>
      <c r="G157" s="2" t="inlineStr">
        <is>
          <t>Starter Deck 28 Yellow Yamato</t>
        </is>
      </c>
      <c r="H157" s="3" t="n">
        <v>37.49</v>
      </c>
      <c r="I157" s="3" t="n"/>
      <c r="J157" s="3" t="n"/>
      <c r="K157" s="3" t="n"/>
      <c r="L157" s="2" t="inlineStr">
        <is>
          <t>PriceCharting</t>
        </is>
      </c>
      <c r="M157" s="4" t="inlineStr">
        <is>
          <t>https://www.pricecharting.com/game/one-piece-starter-deck-28-yellow-yamato/sealed-starter-deck</t>
        </is>
      </c>
    </row>
    <row r="158">
      <c r="A158" s="2" t="inlineStr">
        <is>
          <t>Starter Deck 28: GREEN/YELLOW Yamato</t>
        </is>
      </c>
      <c r="B158" s="3">
        <f>IF(H158&lt;&gt;"",H158,IF(I158&lt;&gt;"",I158,IF(J158&lt;&gt;"",J158,K158)))</f>
        <v>40.34</v>
      </c>
      <c r="C158" s="3">
        <f>MEDIAN(H158:K158)</f>
        <v>27.67</v>
      </c>
      <c r="D158" s="3">
        <f>ROUND(C158*(1-Settings!$B$2),2)</f>
        <v>19.37</v>
      </c>
      <c r="E158" s="2" t="inlineStr">
        <is>
          <t>One Piece</t>
        </is>
      </c>
      <c r="F158" s="2" t="inlineStr">
        <is>
          <t>Deck</t>
        </is>
      </c>
      <c r="G158" s="2" t="inlineStr">
        <is>
          <t>Starter Deck 28: GREEN/YELLOW Yamato</t>
        </is>
      </c>
      <c r="H158" s="3" t="n"/>
      <c r="I158" s="3" t="n">
        <v>40.34</v>
      </c>
      <c r="J158" s="3" t="n"/>
      <c r="K158" s="3" t="n">
        <v>15</v>
      </c>
      <c r="L158" s="2" t="inlineStr">
        <is>
          <t>TCGplayer</t>
        </is>
      </c>
      <c r="N158" s="4" t="inlineStr">
        <is>
          <t>https://www.tcgplayer.com/product/627681</t>
        </is>
      </c>
    </row>
    <row r="159">
      <c r="A159" s="2" t="inlineStr">
        <is>
          <t>Starter Deck 29 Egghead Sealed Deck</t>
        </is>
      </c>
      <c r="B159" s="3">
        <f>IF(H159&lt;&gt;"",H159,IF(I159&lt;&gt;"",I159,IF(J159&lt;&gt;"",J159,K159)))</f>
        <v>35.5</v>
      </c>
      <c r="C159" s="3">
        <f>MEDIAN(H159:K159)</f>
        <v>35.5</v>
      </c>
      <c r="D159" s="3">
        <f>ROUND(C159*(1-Settings!$B$2),2)</f>
        <v>24.85</v>
      </c>
      <c r="E159" s="2" t="inlineStr">
        <is>
          <t>One Piece</t>
        </is>
      </c>
      <c r="F159" s="2" t="inlineStr">
        <is>
          <t>Deck</t>
        </is>
      </c>
      <c r="G159" s="2" t="inlineStr">
        <is>
          <t>Starter Deck 29 Egghead</t>
        </is>
      </c>
      <c r="H159" s="3" t="n">
        <v>35.5</v>
      </c>
      <c r="I159" s="3" t="n"/>
      <c r="J159" s="3" t="n"/>
      <c r="K159" s="3" t="n"/>
      <c r="L159" s="2" t="inlineStr">
        <is>
          <t>PriceCharting</t>
        </is>
      </c>
      <c r="M159" s="4" t="inlineStr">
        <is>
          <t>https://www.pricecharting.com/game/one-piece-starter-deck-29-egghead/sealed-deck</t>
        </is>
      </c>
    </row>
    <row r="160">
      <c r="A160" s="2" t="inlineStr">
        <is>
          <t>Starter Deck 29: Egghead</t>
        </is>
      </c>
      <c r="B160" s="3">
        <f>IF(H160&lt;&gt;"",H160,IF(I160&lt;&gt;"",I160,IF(J160&lt;&gt;"",J160,K160)))</f>
        <v>38.05</v>
      </c>
      <c r="C160" s="3">
        <f>MEDIAN(H160:K160)</f>
        <v>22.145</v>
      </c>
      <c r="D160" s="3">
        <f>ROUND(C160*(1-Settings!$B$2),2)</f>
        <v>15.5</v>
      </c>
      <c r="E160" s="2" t="inlineStr">
        <is>
          <t>One Piece</t>
        </is>
      </c>
      <c r="F160" s="2" t="inlineStr">
        <is>
          <t>Deck</t>
        </is>
      </c>
      <c r="G160" s="2" t="inlineStr">
        <is>
          <t>Starter Deck 29: Egghead</t>
        </is>
      </c>
      <c r="H160" s="3" t="n"/>
      <c r="I160" s="3" t="n">
        <v>38.05</v>
      </c>
      <c r="J160" s="3" t="n"/>
      <c r="K160" s="3" t="n">
        <v>6.24</v>
      </c>
      <c r="L160" s="2" t="inlineStr">
        <is>
          <t>TCGplayer</t>
        </is>
      </c>
      <c r="N160" s="4" t="inlineStr">
        <is>
          <t>https://www.tcgplayer.com/product/671479</t>
        </is>
      </c>
    </row>
    <row r="161">
      <c r="A161" s="2" t="inlineStr">
        <is>
          <t>Starter Deck 29: Egghead Bonus Pack</t>
        </is>
      </c>
      <c r="B161" s="3">
        <f>IF(H161&lt;&gt;"",H161,IF(I161&lt;&gt;"",I161,IF(J161&lt;&gt;"",J161,K161)))</f>
        <v>29.37</v>
      </c>
      <c r="C161" s="3">
        <f>MEDIAN(H161:K161)</f>
        <v>29.685000000000002</v>
      </c>
      <c r="D161" s="3">
        <f>ROUND(C161*(1-Settings!$B$2),2)</f>
        <v>20.78</v>
      </c>
      <c r="E161" s="2" t="inlineStr">
        <is>
          <t>One Piece</t>
        </is>
      </c>
      <c r="F161" s="2" t="inlineStr">
        <is>
          <t>Deck</t>
        </is>
      </c>
      <c r="G161" s="2" t="inlineStr">
        <is>
          <t>Starter Deck 29: Egghead</t>
        </is>
      </c>
      <c r="H161" s="3" t="n"/>
      <c r="I161" s="3" t="n">
        <v>29.37</v>
      </c>
      <c r="J161" s="3" t="n"/>
      <c r="K161" s="3" t="n">
        <v>30</v>
      </c>
      <c r="L161" s="2" t="inlineStr">
        <is>
          <t>TCGplayer</t>
        </is>
      </c>
      <c r="N161" s="4" t="inlineStr">
        <is>
          <t>https://www.tcgplayer.com/product/672894</t>
        </is>
      </c>
    </row>
    <row r="162">
      <c r="A162" s="2" t="inlineStr">
        <is>
          <t>Starter Deck 2: Worst Generation</t>
        </is>
      </c>
      <c r="B162" s="3">
        <f>IF(H162&lt;&gt;"",H162,IF(I162&lt;&gt;"",I162,IF(J162&lt;&gt;"",J162,K162)))</f>
        <v>23.09</v>
      </c>
      <c r="C162" s="3">
        <f>MEDIAN(H162:K162)</f>
        <v>17.545</v>
      </c>
      <c r="D162" s="3">
        <f>ROUND(C162*(1-Settings!$B$2),2)</f>
        <v>12.28</v>
      </c>
      <c r="E162" s="2" t="inlineStr">
        <is>
          <t>One Piece</t>
        </is>
      </c>
      <c r="F162" s="2" t="inlineStr">
        <is>
          <t>Deck</t>
        </is>
      </c>
      <c r="G162" s="2" t="inlineStr">
        <is>
          <t>Starter Deck 2: Worst Generation</t>
        </is>
      </c>
      <c r="H162" s="3" t="n"/>
      <c r="I162" s="3" t="n">
        <v>23.09</v>
      </c>
      <c r="J162" s="3" t="n"/>
      <c r="K162" s="3" t="n">
        <v>12</v>
      </c>
      <c r="L162" s="2" t="inlineStr">
        <is>
          <t>TCGplayer</t>
        </is>
      </c>
      <c r="N162" s="4" t="inlineStr">
        <is>
          <t>https://www.tcgplayer.com/product/288226</t>
        </is>
      </c>
    </row>
    <row r="163">
      <c r="A163" s="2" t="inlineStr">
        <is>
          <t>Starter Deck 3 The Seven Warlords Of The Sea Sealed Deck</t>
        </is>
      </c>
      <c r="B163" s="3">
        <f>IF(H163&lt;&gt;"",H163,IF(I163&lt;&gt;"",I163,IF(J163&lt;&gt;"",J163,K163)))</f>
        <v>27.17</v>
      </c>
      <c r="C163" s="3">
        <f>MEDIAN(H163:K163)</f>
        <v>27.17</v>
      </c>
      <c r="D163" s="3">
        <f>ROUND(C163*(1-Settings!$B$2),2)</f>
        <v>19.02</v>
      </c>
      <c r="E163" s="2" t="inlineStr">
        <is>
          <t>One Piece</t>
        </is>
      </c>
      <c r="F163" s="2" t="inlineStr">
        <is>
          <t>Deck</t>
        </is>
      </c>
      <c r="G163" s="2" t="inlineStr">
        <is>
          <t>Starter Deck 3 The Seven Warlords Of The Sea</t>
        </is>
      </c>
      <c r="H163" s="3" t="n">
        <v>27.17</v>
      </c>
      <c r="I163" s="3" t="n"/>
      <c r="J163" s="3" t="n"/>
      <c r="K163" s="3" t="n"/>
      <c r="L163" s="2" t="inlineStr">
        <is>
          <t>PriceCharting</t>
        </is>
      </c>
      <c r="M163" s="4" t="inlineStr">
        <is>
          <t>https://www.pricecharting.com/game/one-piece-starter-deck-3-the-seven-warlords-of-the-sea/sealed-deck</t>
        </is>
      </c>
    </row>
    <row r="164">
      <c r="A164" s="2" t="inlineStr">
        <is>
          <t>Starter Deck 3 The Seven Warlords Of The Sea Super Pre-Release Starter Deck 3</t>
        </is>
      </c>
      <c r="B164" s="3">
        <f>IF(H164&lt;&gt;"",H164,IF(I164&lt;&gt;"",I164,IF(J164&lt;&gt;"",J164,K164)))</f>
        <v>554.18</v>
      </c>
      <c r="C164" s="3">
        <f>MEDIAN(H164:K164)</f>
        <v>554.18</v>
      </c>
      <c r="D164" s="3">
        <f>ROUND(C164*(1-Settings!$B$2),2)</f>
        <v>387.93</v>
      </c>
      <c r="E164" s="2" t="inlineStr">
        <is>
          <t>One Piece</t>
        </is>
      </c>
      <c r="F164" s="2" t="inlineStr">
        <is>
          <t>Deck</t>
        </is>
      </c>
      <c r="G164" s="2" t="inlineStr">
        <is>
          <t>Starter Deck 3 The Seven Warlords Of The Sea</t>
        </is>
      </c>
      <c r="H164" s="3" t="n">
        <v>554.1799999999999</v>
      </c>
      <c r="I164" s="3" t="n"/>
      <c r="J164" s="3" t="n"/>
      <c r="K164" s="3" t="n"/>
      <c r="L164" s="2" t="inlineStr">
        <is>
          <t>PriceCharting</t>
        </is>
      </c>
      <c r="M164" s="4" t="inlineStr">
        <is>
          <t>https://www.pricecharting.com/game/one-piece-starter-deck-3-the-seven-warlords-of-the-sea/super-pre-release-starter-deck-3</t>
        </is>
      </c>
    </row>
    <row r="165">
      <c r="A165" s="2" t="inlineStr">
        <is>
          <t>Starter Deck 31 Red Monkeydluffy Sealed Deck</t>
        </is>
      </c>
      <c r="B165" s="3">
        <f>IF(H165&lt;&gt;"",H165,IF(I165&lt;&gt;"",I165,IF(J165&lt;&gt;"",J165,K165)))</f>
        <v>16.82</v>
      </c>
      <c r="C165" s="3">
        <f>MEDIAN(H165:K165)</f>
        <v>16.82</v>
      </c>
      <c r="D165" s="3">
        <f>ROUND(C165*(1-Settings!$B$2),2)</f>
        <v>11.77</v>
      </c>
      <c r="E165" s="2" t="inlineStr">
        <is>
          <t>One Piece</t>
        </is>
      </c>
      <c r="F165" s="2" t="inlineStr">
        <is>
          <t>Deck</t>
        </is>
      </c>
      <c r="G165" s="2" t="inlineStr">
        <is>
          <t>Starter Deck 31 Red Monkeydluffy</t>
        </is>
      </c>
      <c r="H165" s="3" t="n">
        <v>16.82</v>
      </c>
      <c r="I165" s="3" t="n"/>
      <c r="J165" s="3" t="n"/>
      <c r="K165" s="3" t="n"/>
      <c r="L165" s="2" t="inlineStr">
        <is>
          <t>PriceCharting</t>
        </is>
      </c>
      <c r="M165" s="4" t="inlineStr">
        <is>
          <t>https://www.pricecharting.com/game/one-piece-starter-deck-31-red-monkeydluffy/sealed-deck</t>
        </is>
      </c>
    </row>
    <row r="166">
      <c r="A166" s="2" t="inlineStr">
        <is>
          <t>Starter Deck 31: RED Monkey.D.Luffy</t>
        </is>
      </c>
      <c r="B166" s="3">
        <f>IF(H166&lt;&gt;"",H166,IF(I166&lt;&gt;"",I166,IF(J166&lt;&gt;"",J166,K166)))</f>
        <v>26.83</v>
      </c>
      <c r="C166" s="3">
        <f>MEDIAN(H166:K166)</f>
        <v>25.909999999999997</v>
      </c>
      <c r="D166" s="3">
        <f>ROUND(C166*(1-Settings!$B$2),2)</f>
        <v>18.14</v>
      </c>
      <c r="E166" s="2" t="inlineStr">
        <is>
          <t>One Piece</t>
        </is>
      </c>
      <c r="F166" s="2" t="inlineStr">
        <is>
          <t>Deck</t>
        </is>
      </c>
      <c r="G166" s="2" t="inlineStr">
        <is>
          <t>Starter Deck 31: RED Monkey.D.Luffy</t>
        </is>
      </c>
      <c r="H166" s="3" t="n"/>
      <c r="I166" s="3" t="n">
        <v>26.83</v>
      </c>
      <c r="J166" s="3" t="n"/>
      <c r="K166" s="3" t="n">
        <v>24.99</v>
      </c>
      <c r="L166" s="2" t="inlineStr">
        <is>
          <t>TCGplayer</t>
        </is>
      </c>
      <c r="N166" s="4" t="inlineStr">
        <is>
          <t>https://www.tcgplayer.com/product/704885</t>
        </is>
      </c>
    </row>
    <row r="167">
      <c r="A167" s="2" t="inlineStr">
        <is>
          <t>Starter Decks 31-36 [Set of 6]</t>
        </is>
      </c>
      <c r="B167" s="3">
        <f>IF(H167&lt;&gt;"",H167,IF(I167&lt;&gt;"",I167,IF(J167&lt;&gt;"",J167,K167)))</f>
        <v>177.94</v>
      </c>
      <c r="C167" s="3">
        <f>MEDIAN(H167:K167)</f>
        <v>177.935</v>
      </c>
      <c r="D167" s="3">
        <f>ROUND(C167*(1-Settings!$B$2),2)</f>
        <v>124.55</v>
      </c>
      <c r="E167" s="2" t="inlineStr">
        <is>
          <t>One Piece</t>
        </is>
      </c>
      <c r="F167" s="2" t="inlineStr">
        <is>
          <t>Deck</t>
        </is>
      </c>
      <c r="G167" s="2" t="inlineStr">
        <is>
          <t>Starter Deck 31: RED Monkey.D.Luffy</t>
        </is>
      </c>
      <c r="H167" s="3" t="n"/>
      <c r="I167" s="3" t="n">
        <v>177.94</v>
      </c>
      <c r="J167" s="3" t="n"/>
      <c r="K167" s="3" t="n">
        <v>177.93</v>
      </c>
      <c r="L167" s="2" t="inlineStr">
        <is>
          <t>TCGplayer</t>
        </is>
      </c>
      <c r="N167" s="4" t="inlineStr">
        <is>
          <t>https://www.tcgplayer.com/product/712853</t>
        </is>
      </c>
    </row>
    <row r="168">
      <c r="A168" s="2" t="inlineStr">
        <is>
          <t>Starter Deck 32: GREEN Roronoa Zoro</t>
        </is>
      </c>
      <c r="B168" s="3">
        <f>IF(H168&lt;&gt;"",H168,IF(I168&lt;&gt;"",I168,IF(J168&lt;&gt;"",J168,K168)))</f>
        <v>28.53</v>
      </c>
      <c r="C168" s="3">
        <f>MEDIAN(H168:K168)</f>
        <v>24.265</v>
      </c>
      <c r="D168" s="3">
        <f>ROUND(C168*(1-Settings!$B$2),2)</f>
        <v>16.99</v>
      </c>
      <c r="E168" s="2" t="inlineStr">
        <is>
          <t>One Piece</t>
        </is>
      </c>
      <c r="F168" s="2" t="inlineStr">
        <is>
          <t>Deck</t>
        </is>
      </c>
      <c r="G168" s="2" t="inlineStr">
        <is>
          <t>Starter Deck 32: GREEN Roronoa Zoro</t>
        </is>
      </c>
      <c r="H168" s="3" t="n"/>
      <c r="I168" s="3" t="n">
        <v>28.53</v>
      </c>
      <c r="J168" s="3" t="n"/>
      <c r="K168" s="3" t="n">
        <v>20</v>
      </c>
      <c r="L168" s="2" t="inlineStr">
        <is>
          <t>TCGplayer</t>
        </is>
      </c>
      <c r="N168" s="4" t="inlineStr">
        <is>
          <t>https://www.tcgplayer.com/product/704889</t>
        </is>
      </c>
    </row>
    <row r="169">
      <c r="A169" s="2" t="inlineStr">
        <is>
          <t>Starter Deck 33: BLUE Kuzan</t>
        </is>
      </c>
      <c r="B169" s="3">
        <f>IF(H169&lt;&gt;"",H169,IF(I169&lt;&gt;"",I169,IF(J169&lt;&gt;"",J169,K169)))</f>
        <v>18.01</v>
      </c>
      <c r="C169" s="3">
        <f>MEDIAN(H169:K169)</f>
        <v>15.005</v>
      </c>
      <c r="D169" s="3">
        <f>ROUND(C169*(1-Settings!$B$2),2)</f>
        <v>10.5</v>
      </c>
      <c r="E169" s="2" t="inlineStr">
        <is>
          <t>One Piece</t>
        </is>
      </c>
      <c r="F169" s="2" t="inlineStr">
        <is>
          <t>Deck</t>
        </is>
      </c>
      <c r="G169" s="2" t="inlineStr">
        <is>
          <t>Starter Deck 33: BLUE Kuzan</t>
        </is>
      </c>
      <c r="H169" s="3" t="n"/>
      <c r="I169" s="3" t="n">
        <v>18.01</v>
      </c>
      <c r="J169" s="3" t="n"/>
      <c r="K169" s="3" t="n">
        <v>12</v>
      </c>
      <c r="L169" s="2" t="inlineStr">
        <is>
          <t>TCGplayer</t>
        </is>
      </c>
      <c r="N169" s="4" t="inlineStr">
        <is>
          <t>https://www.tcgplayer.com/product/704890</t>
        </is>
      </c>
    </row>
    <row r="170">
      <c r="A170" s="2" t="inlineStr">
        <is>
          <t>Starter Deck 34: PURPLE Charlotte Katakuri</t>
        </is>
      </c>
      <c r="B170" s="3">
        <f>IF(H170&lt;&gt;"",H170,IF(I170&lt;&gt;"",I170,IF(J170&lt;&gt;"",J170,K170)))</f>
        <v>22.65</v>
      </c>
      <c r="C170" s="3">
        <f>MEDIAN(H170:K170)</f>
        <v>18.825</v>
      </c>
      <c r="D170" s="3">
        <f>ROUND(C170*(1-Settings!$B$2),2)</f>
        <v>13.18</v>
      </c>
      <c r="E170" s="2" t="inlineStr">
        <is>
          <t>One Piece</t>
        </is>
      </c>
      <c r="F170" s="2" t="inlineStr">
        <is>
          <t>Deck</t>
        </is>
      </c>
      <c r="G170" s="2" t="inlineStr">
        <is>
          <t>Starter Deck 34: PURPLE Charlotte Katakuri</t>
        </is>
      </c>
      <c r="H170" s="3" t="n"/>
      <c r="I170" s="3" t="n">
        <v>22.65</v>
      </c>
      <c r="J170" s="3" t="n"/>
      <c r="K170" s="3" t="n">
        <v>15</v>
      </c>
      <c r="L170" s="2" t="inlineStr">
        <is>
          <t>TCGplayer</t>
        </is>
      </c>
      <c r="N170" s="4" t="inlineStr">
        <is>
          <t>https://www.tcgplayer.com/product/704893</t>
        </is>
      </c>
    </row>
    <row r="171">
      <c r="A171" s="2" t="inlineStr">
        <is>
          <t>Starter Deck 35: RED/BLACK Sabo</t>
        </is>
      </c>
      <c r="B171" s="3">
        <f>IF(H171&lt;&gt;"",H171,IF(I171&lt;&gt;"",I171,IF(J171&lt;&gt;"",J171,K171)))</f>
        <v>17.17</v>
      </c>
      <c r="C171" s="3">
        <f>MEDIAN(H171:K171)</f>
        <v>13.580000000000002</v>
      </c>
      <c r="D171" s="3">
        <f>ROUND(C171*(1-Settings!$B$2),2)</f>
        <v>9.51</v>
      </c>
      <c r="E171" s="2" t="inlineStr">
        <is>
          <t>One Piece</t>
        </is>
      </c>
      <c r="F171" s="2" t="inlineStr">
        <is>
          <t>Deck</t>
        </is>
      </c>
      <c r="G171" s="2" t="inlineStr">
        <is>
          <t>Starter Deck 35: RED/BLACK Sabo</t>
        </is>
      </c>
      <c r="H171" s="3" t="n"/>
      <c r="I171" s="3" t="n">
        <v>17.17</v>
      </c>
      <c r="J171" s="3" t="n"/>
      <c r="K171" s="3" t="n">
        <v>9.99</v>
      </c>
      <c r="L171" s="2" t="inlineStr">
        <is>
          <t>TCGplayer</t>
        </is>
      </c>
      <c r="N171" s="4" t="inlineStr">
        <is>
          <t>https://www.tcgplayer.com/product/704894</t>
        </is>
      </c>
    </row>
    <row r="172">
      <c r="A172" s="2" t="inlineStr">
        <is>
          <t>Starter Deck 36: YELLOW Eustass”Captain”Kid</t>
        </is>
      </c>
      <c r="B172" s="3">
        <f>IF(H172&lt;&gt;"",H172,IF(I172&lt;&gt;"",I172,IF(J172&lt;&gt;"",J172,K172)))</f>
        <v>14.41</v>
      </c>
      <c r="C172" s="3">
        <f>MEDIAN(H172:K172)</f>
        <v>12.205</v>
      </c>
      <c r="D172" s="3">
        <f>ROUND(C172*(1-Settings!$B$2),2)</f>
        <v>8.54</v>
      </c>
      <c r="E172" s="2" t="inlineStr">
        <is>
          <t>One Piece</t>
        </is>
      </c>
      <c r="F172" s="2" t="inlineStr">
        <is>
          <t>Deck</t>
        </is>
      </c>
      <c r="G172" s="2" t="inlineStr">
        <is>
          <t>Starter Deck 36: YELLOW Eustass"Captain"Kid</t>
        </is>
      </c>
      <c r="H172" s="3" t="n"/>
      <c r="I172" s="3" t="n">
        <v>14.41</v>
      </c>
      <c r="J172" s="3" t="n"/>
      <c r="K172" s="3" t="n">
        <v>10</v>
      </c>
      <c r="L172" s="2" t="inlineStr">
        <is>
          <t>TCGplayer</t>
        </is>
      </c>
      <c r="N172" s="4" t="inlineStr">
        <is>
          <t>https://www.tcgplayer.com/product/704897</t>
        </is>
      </c>
    </row>
    <row r="173">
      <c r="A173" s="2" t="inlineStr">
        <is>
          <t>Starter Deck 3: The Seven Warlords of The Sea</t>
        </is>
      </c>
      <c r="B173" s="3">
        <f>IF(H173&lt;&gt;"",H173,IF(I173&lt;&gt;"",I173,IF(J173&lt;&gt;"",J173,K173)))</f>
        <v>19.5</v>
      </c>
      <c r="C173" s="3">
        <f>MEDIAN(H173:K173)</f>
        <v>19.740000000000002</v>
      </c>
      <c r="D173" s="3">
        <f>ROUND(C173*(1-Settings!$B$2),2)</f>
        <v>13.82</v>
      </c>
      <c r="E173" s="2" t="inlineStr">
        <is>
          <t>One Piece</t>
        </is>
      </c>
      <c r="F173" s="2" t="inlineStr">
        <is>
          <t>Deck</t>
        </is>
      </c>
      <c r="G173" s="2" t="inlineStr">
        <is>
          <t>Starter Deck 3: The Seven Warlords of The Sea</t>
        </is>
      </c>
      <c r="H173" s="3" t="n"/>
      <c r="I173" s="3" t="n">
        <v>19.5</v>
      </c>
      <c r="J173" s="3" t="n"/>
      <c r="K173" s="3" t="n">
        <v>19.98</v>
      </c>
      <c r="L173" s="2" t="inlineStr">
        <is>
          <t>TCGplayer</t>
        </is>
      </c>
      <c r="N173" s="4" t="inlineStr">
        <is>
          <t>https://www.tcgplayer.com/product/288227</t>
        </is>
      </c>
    </row>
    <row r="174">
      <c r="A174" s="2" t="inlineStr">
        <is>
          <t>Starter Deck 4 Animal Kingdom Pirates Sealed Deck</t>
        </is>
      </c>
      <c r="B174" s="3">
        <f>IF(H174&lt;&gt;"",H174,IF(I174&lt;&gt;"",I174,IF(J174&lt;&gt;"",J174,K174)))</f>
        <v>262.41</v>
      </c>
      <c r="C174" s="3">
        <f>MEDIAN(H174:K174)</f>
        <v>262.41</v>
      </c>
      <c r="D174" s="3">
        <f>ROUND(C174*(1-Settings!$B$2),2)</f>
        <v>183.69</v>
      </c>
      <c r="E174" s="2" t="inlineStr">
        <is>
          <t>One Piece</t>
        </is>
      </c>
      <c r="F174" s="2" t="inlineStr">
        <is>
          <t>Deck</t>
        </is>
      </c>
      <c r="G174" s="2" t="inlineStr">
        <is>
          <t>Starter Deck 4 Animal Kingdom Pirates</t>
        </is>
      </c>
      <c r="H174" s="3" t="n">
        <v>262.41</v>
      </c>
      <c r="I174" s="3" t="n"/>
      <c r="J174" s="3" t="n"/>
      <c r="K174" s="3" t="n"/>
      <c r="L174" s="2" t="inlineStr">
        <is>
          <t>PriceCharting</t>
        </is>
      </c>
      <c r="M174" s="4" t="inlineStr">
        <is>
          <t>https://www.pricecharting.com/game/one-piece-starter-deck-4-animal-kingdom-pirates/sealed-deck</t>
        </is>
      </c>
    </row>
    <row r="175">
      <c r="A175" s="2" t="inlineStr">
        <is>
          <t>Starter Deck 4 Animal Kingdom Pirates Super Pre-Release Starter Deck 4</t>
        </is>
      </c>
      <c r="B175" s="3">
        <f>IF(H175&lt;&gt;"",H175,IF(I175&lt;&gt;"",I175,IF(J175&lt;&gt;"",J175,K175)))</f>
        <v>16.98</v>
      </c>
      <c r="C175" s="3">
        <f>MEDIAN(H175:K175)</f>
        <v>16.98</v>
      </c>
      <c r="D175" s="3">
        <f>ROUND(C175*(1-Settings!$B$2),2)</f>
        <v>11.89</v>
      </c>
      <c r="E175" s="2" t="inlineStr">
        <is>
          <t>One Piece</t>
        </is>
      </c>
      <c r="F175" s="2" t="inlineStr">
        <is>
          <t>Deck</t>
        </is>
      </c>
      <c r="G175" s="2" t="inlineStr">
        <is>
          <t>Starter Deck 4 Animal Kingdom Pirates</t>
        </is>
      </c>
      <c r="H175" s="3" t="n">
        <v>16.98</v>
      </c>
      <c r="I175" s="3" t="n"/>
      <c r="J175" s="3" t="n"/>
      <c r="K175" s="3" t="n"/>
      <c r="L175" s="2" t="inlineStr">
        <is>
          <t>PriceCharting</t>
        </is>
      </c>
      <c r="M175" s="4" t="inlineStr">
        <is>
          <t>https://www.pricecharting.com/game/one-piece-starter-deck-4-animal-kingdom-pirates/super-pre-release-starter-deck-4</t>
        </is>
      </c>
    </row>
    <row r="176">
      <c r="A176" s="2" t="inlineStr">
        <is>
          <t>Starter Deck 4: Animal Kingdom Pirates</t>
        </is>
      </c>
      <c r="B176" s="3">
        <f>IF(H176&lt;&gt;"",H176,IF(I176&lt;&gt;"",I176,IF(J176&lt;&gt;"",J176,K176)))</f>
        <v>26.9</v>
      </c>
      <c r="C176" s="3">
        <f>MEDIAN(H176:K176)</f>
        <v>19.95</v>
      </c>
      <c r="D176" s="3">
        <f>ROUND(C176*(1-Settings!$B$2),2)</f>
        <v>13.97</v>
      </c>
      <c r="E176" s="2" t="inlineStr">
        <is>
          <t>One Piece</t>
        </is>
      </c>
      <c r="F176" s="2" t="inlineStr">
        <is>
          <t>Deck</t>
        </is>
      </c>
      <c r="G176" s="2" t="inlineStr">
        <is>
          <t>Starter Deck 4: Animal Kingdom Pirates</t>
        </is>
      </c>
      <c r="H176" s="3" t="n"/>
      <c r="I176" s="3" t="n">
        <v>26.9</v>
      </c>
      <c r="J176" s="3" t="n"/>
      <c r="K176" s="3" t="n">
        <v>13</v>
      </c>
      <c r="L176" s="2" t="inlineStr">
        <is>
          <t>TCGplayer</t>
        </is>
      </c>
      <c r="N176" s="4" t="inlineStr">
        <is>
          <t>https://www.tcgplayer.com/product/288224</t>
        </is>
      </c>
    </row>
    <row r="177">
      <c r="A177" s="2" t="inlineStr">
        <is>
          <t>Starter Deck 5 Film Edition Sealed Deck</t>
        </is>
      </c>
      <c r="B177" s="3">
        <f>IF(H177&lt;&gt;"",H177,IF(I177&lt;&gt;"",I177,IF(J177&lt;&gt;"",J177,K177)))</f>
        <v>34.59</v>
      </c>
      <c r="C177" s="3">
        <f>MEDIAN(H177:K177)</f>
        <v>34.59</v>
      </c>
      <c r="D177" s="3">
        <f>ROUND(C177*(1-Settings!$B$2),2)</f>
        <v>24.21</v>
      </c>
      <c r="E177" s="2" t="inlineStr">
        <is>
          <t>One Piece</t>
        </is>
      </c>
      <c r="F177" s="2" t="inlineStr">
        <is>
          <t>Deck</t>
        </is>
      </c>
      <c r="G177" s="2" t="inlineStr">
        <is>
          <t>Starter Deck 5 Film Edition</t>
        </is>
      </c>
      <c r="H177" s="3" t="n">
        <v>34.59</v>
      </c>
      <c r="I177" s="3" t="n"/>
      <c r="J177" s="3" t="n"/>
      <c r="K177" s="3" t="n"/>
      <c r="L177" s="2" t="inlineStr">
        <is>
          <t>PriceCharting</t>
        </is>
      </c>
      <c r="M177" s="4" t="inlineStr">
        <is>
          <t>https://www.pricecharting.com/game/one-piece-starter-deck-5-film-edition/sealed-deck</t>
        </is>
      </c>
    </row>
    <row r="178">
      <c r="A178" s="2" t="inlineStr">
        <is>
          <t>Starter Deck 5: Film Edition</t>
        </is>
      </c>
      <c r="B178" s="3">
        <f>IF(H178&lt;&gt;"",H178,IF(I178&lt;&gt;"",I178,IF(J178&lt;&gt;"",J178,K178)))</f>
        <v>24.7</v>
      </c>
      <c r="C178" s="3">
        <f>MEDIAN(H178:K178)</f>
        <v>19.35</v>
      </c>
      <c r="D178" s="3">
        <f>ROUND(C178*(1-Settings!$B$2),2)</f>
        <v>13.55</v>
      </c>
      <c r="E178" s="2" t="inlineStr">
        <is>
          <t>One Piece</t>
        </is>
      </c>
      <c r="F178" s="2" t="inlineStr">
        <is>
          <t>Deck</t>
        </is>
      </c>
      <c r="G178" s="2" t="inlineStr">
        <is>
          <t>Starter Deck 5: Film Edition</t>
        </is>
      </c>
      <c r="H178" s="3" t="n"/>
      <c r="I178" s="3" t="n">
        <v>24.7</v>
      </c>
      <c r="J178" s="3" t="n"/>
      <c r="K178" s="3" t="n">
        <v>14</v>
      </c>
      <c r="L178" s="2" t="inlineStr">
        <is>
          <t>TCGplayer</t>
        </is>
      </c>
      <c r="N178" s="4" t="inlineStr">
        <is>
          <t>https://www.tcgplayer.com/product/455859</t>
        </is>
      </c>
    </row>
    <row r="179">
      <c r="A179" s="2" t="inlineStr">
        <is>
          <t>Starter Deck 6 Absolute Justice Sealed Deck</t>
        </is>
      </c>
      <c r="B179" s="3">
        <f>IF(H179&lt;&gt;"",H179,IF(I179&lt;&gt;"",I179,IF(J179&lt;&gt;"",J179,K179)))</f>
        <v>34.52</v>
      </c>
      <c r="C179" s="3">
        <f>MEDIAN(H179:K179)</f>
        <v>34.52</v>
      </c>
      <c r="D179" s="3">
        <f>ROUND(C179*(1-Settings!$B$2),2)</f>
        <v>24.16</v>
      </c>
      <c r="E179" s="2" t="inlineStr">
        <is>
          <t>One Piece</t>
        </is>
      </c>
      <c r="F179" s="2" t="inlineStr">
        <is>
          <t>Deck</t>
        </is>
      </c>
      <c r="G179" s="2" t="inlineStr">
        <is>
          <t>Starter Deck 6 Absolute Justice</t>
        </is>
      </c>
      <c r="H179" s="3" t="n">
        <v>34.52</v>
      </c>
      <c r="I179" s="3" t="n"/>
      <c r="J179" s="3" t="n"/>
      <c r="K179" s="3" t="n"/>
      <c r="L179" s="2" t="inlineStr">
        <is>
          <t>PriceCharting</t>
        </is>
      </c>
      <c r="M179" s="4" t="inlineStr">
        <is>
          <t>https://www.pricecharting.com/game/one-piece-starter-deck-6-absolute-justice/sealed-deck</t>
        </is>
      </c>
    </row>
    <row r="180">
      <c r="A180" s="2" t="inlineStr">
        <is>
          <t>Starter Deck 6: Absolute Justice</t>
        </is>
      </c>
      <c r="B180" s="3">
        <f>IF(H180&lt;&gt;"",H180,IF(I180&lt;&gt;"",I180,IF(J180&lt;&gt;"",J180,K180)))</f>
        <v>2.77</v>
      </c>
      <c r="C180" s="3">
        <f>MEDIAN(H180:K180)</f>
        <v>14.99</v>
      </c>
      <c r="D180" s="3">
        <f>ROUND(C180*(1-Settings!$B$2),2)</f>
        <v>10.49</v>
      </c>
      <c r="E180" s="2" t="inlineStr">
        <is>
          <t>One Piece</t>
        </is>
      </c>
      <c r="F180" s="2" t="inlineStr">
        <is>
          <t>Deck</t>
        </is>
      </c>
      <c r="G180" s="2" t="inlineStr">
        <is>
          <t>Starter Deck 6: Absolute Justice</t>
        </is>
      </c>
      <c r="H180" s="3" t="n">
        <v>2.77</v>
      </c>
      <c r="I180" s="3" t="n">
        <v>21.31</v>
      </c>
      <c r="J180" s="3" t="n"/>
      <c r="K180" s="3" t="n">
        <v>14.99</v>
      </c>
      <c r="L180" s="2" t="inlineStr">
        <is>
          <t>PriceCharting + TCGplayer</t>
        </is>
      </c>
      <c r="M180" s="4" t="inlineStr">
        <is>
          <t>https://www.pricecharting.com/game/one-piece-starter-deck-6-absolute-justice/starter-deck-6-absolute-justice</t>
        </is>
      </c>
      <c r="N180" s="4" t="inlineStr">
        <is>
          <t>https://www.tcgplayer.com/product/455868</t>
        </is>
      </c>
    </row>
    <row r="181">
      <c r="A181" s="2" t="inlineStr">
        <is>
          <t>Starter Deck 7 Big Mom Pirates Sealed Deck</t>
        </is>
      </c>
      <c r="B181" s="3">
        <f>IF(H181&lt;&gt;"",H181,IF(I181&lt;&gt;"",I181,IF(J181&lt;&gt;"",J181,K181)))</f>
        <v>30.36</v>
      </c>
      <c r="C181" s="3">
        <f>MEDIAN(H181:K181)</f>
        <v>30.36</v>
      </c>
      <c r="D181" s="3">
        <f>ROUND(C181*(1-Settings!$B$2),2)</f>
        <v>21.25</v>
      </c>
      <c r="E181" s="2" t="inlineStr">
        <is>
          <t>One Piece</t>
        </is>
      </c>
      <c r="F181" s="2" t="inlineStr">
        <is>
          <t>Deck</t>
        </is>
      </c>
      <c r="G181" s="2" t="inlineStr">
        <is>
          <t>Starter Deck 7 Big Mom Pirates</t>
        </is>
      </c>
      <c r="H181" s="3" t="n">
        <v>30.36</v>
      </c>
      <c r="I181" s="3" t="n"/>
      <c r="J181" s="3" t="n"/>
      <c r="K181" s="3" t="n"/>
      <c r="L181" s="2" t="inlineStr">
        <is>
          <t>PriceCharting</t>
        </is>
      </c>
      <c r="M181" s="4" t="inlineStr">
        <is>
          <t>https://www.pricecharting.com/game/one-piece-starter-deck-7-big-mom-pirates/sealed-deck</t>
        </is>
      </c>
    </row>
    <row r="182">
      <c r="A182" s="2" t="inlineStr">
        <is>
          <t>Starter Deck 7: Big Mom Pirates</t>
        </is>
      </c>
      <c r="B182" s="3">
        <f>IF(H182&lt;&gt;"",H182,IF(I182&lt;&gt;"",I182,IF(J182&lt;&gt;"",J182,K182)))</f>
        <v>37.8</v>
      </c>
      <c r="C182" s="3">
        <f>MEDIAN(H182:K182)</f>
        <v>38.4</v>
      </c>
      <c r="D182" s="3">
        <f>ROUND(C182*(1-Settings!$B$2),2)</f>
        <v>26.88</v>
      </c>
      <c r="E182" s="2" t="inlineStr">
        <is>
          <t>One Piece</t>
        </is>
      </c>
      <c r="F182" s="2" t="inlineStr">
        <is>
          <t>Deck</t>
        </is>
      </c>
      <c r="G182" s="2" t="inlineStr">
        <is>
          <t>Starter Deck 7: Big Mom Pirates</t>
        </is>
      </c>
      <c r="H182" s="3" t="n"/>
      <c r="I182" s="3" t="n">
        <v>37.8</v>
      </c>
      <c r="J182" s="3" t="n"/>
      <c r="K182" s="3" t="n">
        <v>39</v>
      </c>
      <c r="L182" s="2" t="inlineStr">
        <is>
          <t>TCGplayer</t>
        </is>
      </c>
      <c r="N182" s="4" t="inlineStr">
        <is>
          <t>https://www.tcgplayer.com/product/480236</t>
        </is>
      </c>
    </row>
    <row r="183">
      <c r="A183" s="2" t="inlineStr">
        <is>
          <t>Starter Deck 8 Monkeydluffy Sealed Deck</t>
        </is>
      </c>
      <c r="B183" s="3">
        <f>IF(H183&lt;&gt;"",H183,IF(I183&lt;&gt;"",I183,IF(J183&lt;&gt;"",J183,K183)))</f>
        <v>19.99</v>
      </c>
      <c r="C183" s="3">
        <f>MEDIAN(H183:K183)</f>
        <v>19.99</v>
      </c>
      <c r="D183" s="3">
        <f>ROUND(C183*(1-Settings!$B$2),2)</f>
        <v>13.99</v>
      </c>
      <c r="E183" s="2" t="inlineStr">
        <is>
          <t>One Piece</t>
        </is>
      </c>
      <c r="F183" s="2" t="inlineStr">
        <is>
          <t>Deck</t>
        </is>
      </c>
      <c r="G183" s="2" t="inlineStr">
        <is>
          <t>Starter Deck 8 Monkeydluffy</t>
        </is>
      </c>
      <c r="H183" s="3" t="n">
        <v>19.99</v>
      </c>
      <c r="I183" s="3" t="n"/>
      <c r="J183" s="3" t="n"/>
      <c r="K183" s="3" t="n"/>
      <c r="L183" s="2" t="inlineStr">
        <is>
          <t>PriceCharting</t>
        </is>
      </c>
      <c r="M183" s="4" t="inlineStr">
        <is>
          <t>https://www.pricecharting.com/game/one-piece-starter-deck-8-monkeydluffy/sealed-deck</t>
        </is>
      </c>
    </row>
    <row r="184">
      <c r="A184" s="2" t="inlineStr">
        <is>
          <t>Starter Deck 8: Monkey.D.Luffy</t>
        </is>
      </c>
      <c r="B184" s="3">
        <f>IF(H184&lt;&gt;"",H184,IF(I184&lt;&gt;"",I184,IF(J184&lt;&gt;"",J184,K184)))</f>
        <v>19.58</v>
      </c>
      <c r="C184" s="3">
        <f>MEDIAN(H184:K184)</f>
        <v>17.285</v>
      </c>
      <c r="D184" s="3">
        <f>ROUND(C184*(1-Settings!$B$2),2)</f>
        <v>12.1</v>
      </c>
      <c r="E184" s="2" t="inlineStr">
        <is>
          <t>One Piece</t>
        </is>
      </c>
      <c r="F184" s="2" t="inlineStr">
        <is>
          <t>Deck</t>
        </is>
      </c>
      <c r="G184" s="2" t="inlineStr">
        <is>
          <t>Starter Deck 8: Monkey.D.Luffy</t>
        </is>
      </c>
      <c r="H184" s="3" t="n"/>
      <c r="I184" s="3" t="n">
        <v>19.58</v>
      </c>
      <c r="J184" s="3" t="n"/>
      <c r="K184" s="3" t="n">
        <v>14.99</v>
      </c>
      <c r="L184" s="2" t="inlineStr">
        <is>
          <t>TCGplayer</t>
        </is>
      </c>
      <c r="N184" s="4" t="inlineStr">
        <is>
          <t>https://www.tcgplayer.com/product/502975</t>
        </is>
      </c>
    </row>
    <row r="185">
      <c r="A185" s="2" t="inlineStr">
        <is>
          <t>Starter Deck 9 Yamato Sealed Deck</t>
        </is>
      </c>
      <c r="B185" s="3">
        <f>IF(H185&lt;&gt;"",H185,IF(I185&lt;&gt;"",I185,IF(J185&lt;&gt;"",J185,K185)))</f>
        <v>13.26</v>
      </c>
      <c r="C185" s="3">
        <f>MEDIAN(H185:K185)</f>
        <v>13.26</v>
      </c>
      <c r="D185" s="3">
        <f>ROUND(C185*(1-Settings!$B$2),2)</f>
        <v>9.28</v>
      </c>
      <c r="E185" s="2" t="inlineStr">
        <is>
          <t>One Piece</t>
        </is>
      </c>
      <c r="F185" s="2" t="inlineStr">
        <is>
          <t>Deck</t>
        </is>
      </c>
      <c r="G185" s="2" t="inlineStr">
        <is>
          <t>Starter Deck 9 Yamato</t>
        </is>
      </c>
      <c r="H185" s="3" t="n">
        <v>13.26</v>
      </c>
      <c r="I185" s="3" t="n"/>
      <c r="J185" s="3" t="n"/>
      <c r="K185" s="3" t="n"/>
      <c r="L185" s="2" t="inlineStr">
        <is>
          <t>PriceCharting</t>
        </is>
      </c>
      <c r="M185" s="4" t="inlineStr">
        <is>
          <t>https://www.pricecharting.com/game/one-piece-starter-deck-9-yamato/sealed-deck</t>
        </is>
      </c>
    </row>
    <row r="186">
      <c r="A186" s="2" t="inlineStr">
        <is>
          <t>Starter Deck 9: Yamato</t>
        </is>
      </c>
      <c r="B186" s="3">
        <f>IF(H186&lt;&gt;"",H186,IF(I186&lt;&gt;"",I186,IF(J186&lt;&gt;"",J186,K186)))</f>
        <v>18.36</v>
      </c>
      <c r="C186" s="3">
        <f>MEDIAN(H186:K186)</f>
        <v>17.424999999999997</v>
      </c>
      <c r="D186" s="3">
        <f>ROUND(C186*(1-Settings!$B$2),2)</f>
        <v>12.2</v>
      </c>
      <c r="E186" s="2" t="inlineStr">
        <is>
          <t>One Piece</t>
        </is>
      </c>
      <c r="F186" s="2" t="inlineStr">
        <is>
          <t>Deck</t>
        </is>
      </c>
      <c r="G186" s="2" t="inlineStr">
        <is>
          <t>Starter Deck 9: Yamato</t>
        </is>
      </c>
      <c r="H186" s="3" t="n"/>
      <c r="I186" s="3" t="n">
        <v>18.36</v>
      </c>
      <c r="J186" s="3" t="n"/>
      <c r="K186" s="3" t="n">
        <v>16.49</v>
      </c>
      <c r="L186" s="2" t="inlineStr">
        <is>
          <t>TCGplayer</t>
        </is>
      </c>
      <c r="N186" s="4" t="inlineStr">
        <is>
          <t>https://www.tcgplayer.com/product/502978</t>
        </is>
      </c>
    </row>
    <row r="187">
      <c r="A187" s="2" t="inlineStr">
        <is>
          <t>Starter Deck EX: Gear 5</t>
        </is>
      </c>
      <c r="B187" s="3">
        <f>IF(H187&lt;&gt;"",H187,IF(I187&lt;&gt;"",I187,IF(J187&lt;&gt;"",J187,K187)))</f>
        <v>72.69</v>
      </c>
      <c r="C187" s="3">
        <f>MEDIAN(H187:K187)</f>
        <v>68.785</v>
      </c>
      <c r="D187" s="3">
        <f>ROUND(C187*(1-Settings!$B$2),2)</f>
        <v>48.15</v>
      </c>
      <c r="E187" s="2" t="inlineStr">
        <is>
          <t>One Piece</t>
        </is>
      </c>
      <c r="F187" s="2" t="inlineStr">
        <is>
          <t>Deck</t>
        </is>
      </c>
      <c r="G187" s="2" t="inlineStr">
        <is>
          <t>Starter Deck EX: Gear 5</t>
        </is>
      </c>
      <c r="H187" s="3" t="n"/>
      <c r="I187" s="3" t="n">
        <v>72.69</v>
      </c>
      <c r="J187" s="3" t="n"/>
      <c r="K187" s="3" t="n">
        <v>64.88</v>
      </c>
      <c r="L187" s="2" t="inlineStr">
        <is>
          <t>TCGplayer</t>
        </is>
      </c>
      <c r="N187" s="4" t="inlineStr">
        <is>
          <t>https://www.tcgplayer.com/product/606575</t>
        </is>
      </c>
    </row>
    <row r="188">
      <c r="A188" s="2" t="inlineStr">
        <is>
          <t>Starter Deck EX: Gear 5 Bonus Pack</t>
        </is>
      </c>
      <c r="B188" s="3">
        <f>IF(H188&lt;&gt;"",H188,IF(I188&lt;&gt;"",I188,IF(J188&lt;&gt;"",J188,K188)))</f>
        <v>59.49</v>
      </c>
      <c r="C188" s="3">
        <f>MEDIAN(H188:K188)</f>
        <v>71.625</v>
      </c>
      <c r="D188" s="3">
        <f>ROUND(C188*(1-Settings!$B$2),2)</f>
        <v>50.14</v>
      </c>
      <c r="E188" s="2" t="inlineStr">
        <is>
          <t>One Piece</t>
        </is>
      </c>
      <c r="F188" s="2" t="inlineStr">
        <is>
          <t>Deck</t>
        </is>
      </c>
      <c r="G188" s="2" t="inlineStr">
        <is>
          <t>Starter Deck EX: Gear 5</t>
        </is>
      </c>
      <c r="H188" s="3" t="n"/>
      <c r="I188" s="3" t="n">
        <v>59.49</v>
      </c>
      <c r="J188" s="3" t="n"/>
      <c r="K188" s="3" t="n">
        <v>83.76000000000001</v>
      </c>
      <c r="L188" s="2" t="inlineStr">
        <is>
          <t>TCGplayer</t>
        </is>
      </c>
      <c r="N188" s="4" t="inlineStr">
        <is>
          <t>https://www.tcgplayer.com/product/628485</t>
        </is>
      </c>
    </row>
    <row r="189">
      <c r="A189" s="2" t="inlineStr">
        <is>
          <t>Starter Deck EX: Luffy &amp; Ace</t>
        </is>
      </c>
      <c r="B189" s="3">
        <f>IF(H189&lt;&gt;"",H189,IF(I189&lt;&gt;"",I189,IF(J189&lt;&gt;"",J189,K189)))</f>
        <v>27.71</v>
      </c>
      <c r="C189" s="3">
        <f>MEDIAN(H189:K189)</f>
        <v>20.85</v>
      </c>
      <c r="D189" s="3">
        <f>ROUND(C189*(1-Settings!$B$2),2)</f>
        <v>14.6</v>
      </c>
      <c r="E189" s="2" t="inlineStr">
        <is>
          <t>One Piece</t>
        </is>
      </c>
      <c r="F189" s="2" t="inlineStr">
        <is>
          <t>Deck</t>
        </is>
      </c>
      <c r="G189" s="2" t="inlineStr">
        <is>
          <t>Starter Deck EX: Luffy &amp; Ace</t>
        </is>
      </c>
      <c r="H189" s="3" t="n"/>
      <c r="I189" s="3" t="n">
        <v>27.71</v>
      </c>
      <c r="J189" s="3" t="n"/>
      <c r="K189" s="3" t="n">
        <v>13.99</v>
      </c>
      <c r="L189" s="2" t="inlineStr">
        <is>
          <t>TCGplayer</t>
        </is>
      </c>
      <c r="N189" s="4" t="inlineStr">
        <is>
          <t>https://www.tcgplayer.com/product/692138</t>
        </is>
      </c>
    </row>
    <row r="190">
      <c r="A190" s="2" t="inlineStr">
        <is>
          <t>Starter Deck EX: Luffy &amp; Ace Bonus Pack</t>
        </is>
      </c>
      <c r="B190" s="3">
        <f>IF(H190&lt;&gt;"",H190,IF(I190&lt;&gt;"",I190,IF(J190&lt;&gt;"",J190,K190)))</f>
        <v>34.0</v>
      </c>
      <c r="C190" s="3">
        <f>MEDIAN(H190:K190)</f>
        <v>29.494999999999997</v>
      </c>
      <c r="D190" s="3">
        <f>ROUND(C190*(1-Settings!$B$2),2)</f>
        <v>20.65</v>
      </c>
      <c r="E190" s="2" t="inlineStr">
        <is>
          <t>One Piece</t>
        </is>
      </c>
      <c r="F190" s="2" t="inlineStr">
        <is>
          <t>Deck</t>
        </is>
      </c>
      <c r="G190" s="2" t="inlineStr">
        <is>
          <t>Starter Deck EX: Luffy &amp; Ace</t>
        </is>
      </c>
      <c r="H190" s="3" t="n"/>
      <c r="I190" s="3" t="n">
        <v>34</v>
      </c>
      <c r="J190" s="3" t="n"/>
      <c r="K190" s="3" t="n">
        <v>24.99</v>
      </c>
      <c r="L190" s="2" t="inlineStr">
        <is>
          <t>TCGplayer</t>
        </is>
      </c>
      <c r="N190" s="4" t="inlineStr">
        <is>
          <t>https://www.tcgplayer.com/product/692140</t>
        </is>
      </c>
    </row>
    <row r="191">
      <c r="A191" s="2" t="inlineStr">
        <is>
          <t>Starter Starter Deck 32 Green Roronoa Zoro Sealed Deck</t>
        </is>
      </c>
      <c r="B191" s="3">
        <f>IF(H191&lt;&gt;"",H191,IF(I191&lt;&gt;"",I191,IF(J191&lt;&gt;"",J191,K191)))</f>
        <v>28.66</v>
      </c>
      <c r="C191" s="3">
        <f>MEDIAN(H191:K191)</f>
        <v>28.66</v>
      </c>
      <c r="D191" s="3">
        <f>ROUND(C191*(1-Settings!$B$2),2)</f>
        <v>20.06</v>
      </c>
      <c r="E191" s="2" t="inlineStr">
        <is>
          <t>One Piece</t>
        </is>
      </c>
      <c r="F191" s="2" t="inlineStr">
        <is>
          <t>Deck</t>
        </is>
      </c>
      <c r="G191" s="2" t="inlineStr">
        <is>
          <t>Starter Starter Deck 32 Green Roronoa Zoro</t>
        </is>
      </c>
      <c r="H191" s="3" t="n">
        <v>28.66</v>
      </c>
      <c r="I191" s="3" t="n"/>
      <c r="J191" s="3" t="n"/>
      <c r="K191" s="3" t="n"/>
      <c r="L191" s="2" t="inlineStr">
        <is>
          <t>PriceCharting</t>
        </is>
      </c>
      <c r="M191" s="4" t="inlineStr">
        <is>
          <t>https://www.pricecharting.com/game/one-piece-starter-starter-deck-32-green-roronoa-zoro/sealed-deck</t>
        </is>
      </c>
    </row>
    <row r="192">
      <c r="A192" s="2" t="inlineStr">
        <is>
          <t>Starter Starter Deck 33 Blue Kuzan Sealed Deck</t>
        </is>
      </c>
      <c r="B192" s="3">
        <f>IF(H192&lt;&gt;"",H192,IF(I192&lt;&gt;"",I192,IF(J192&lt;&gt;"",J192,K192)))</f>
        <v>11.5</v>
      </c>
      <c r="C192" s="3">
        <f>MEDIAN(H192:K192)</f>
        <v>11.5</v>
      </c>
      <c r="D192" s="3">
        <f>ROUND(C192*(1-Settings!$B$2),2)</f>
        <v>8.05</v>
      </c>
      <c r="E192" s="2" t="inlineStr">
        <is>
          <t>One Piece</t>
        </is>
      </c>
      <c r="F192" s="2" t="inlineStr">
        <is>
          <t>Deck</t>
        </is>
      </c>
      <c r="G192" s="2" t="inlineStr">
        <is>
          <t>Starter Starter Deck 33 Blue Kuzan</t>
        </is>
      </c>
      <c r="H192" s="3" t="n">
        <v>11.5</v>
      </c>
      <c r="I192" s="3" t="n"/>
      <c r="J192" s="3" t="n"/>
      <c r="K192" s="3" t="n"/>
      <c r="L192" s="2" t="inlineStr">
        <is>
          <t>PriceCharting</t>
        </is>
      </c>
      <c r="M192" s="4" t="inlineStr">
        <is>
          <t>https://www.pricecharting.com/game/one-piece-starter-starter-deck-33-blue-kuzan/sealed-deck</t>
        </is>
      </c>
    </row>
    <row r="193">
      <c r="A193" s="2" t="inlineStr">
        <is>
          <t>Starter Starter Deck 34 Purple Charlotte Katakuri Sealed Deck</t>
        </is>
      </c>
      <c r="B193" s="3">
        <f>IF(H193&lt;&gt;"",H193,IF(I193&lt;&gt;"",I193,IF(J193&lt;&gt;"",J193,K193)))</f>
        <v>15.0</v>
      </c>
      <c r="C193" s="3">
        <f>MEDIAN(H193:K193)</f>
        <v>15.0</v>
      </c>
      <c r="D193" s="3">
        <f>ROUND(C193*(1-Settings!$B$2),2)</f>
        <v>10.5</v>
      </c>
      <c r="E193" s="2" t="inlineStr">
        <is>
          <t>One Piece</t>
        </is>
      </c>
      <c r="F193" s="2" t="inlineStr">
        <is>
          <t>Deck</t>
        </is>
      </c>
      <c r="G193" s="2" t="inlineStr">
        <is>
          <t>Starter Starter Deck 34 Purple Charlotte Katakuri</t>
        </is>
      </c>
      <c r="H193" s="3" t="n">
        <v>15</v>
      </c>
      <c r="I193" s="3" t="n"/>
      <c r="J193" s="3" t="n"/>
      <c r="K193" s="3" t="n"/>
      <c r="L193" s="2" t="inlineStr">
        <is>
          <t>PriceCharting</t>
        </is>
      </c>
      <c r="M193" s="4" t="inlineStr">
        <is>
          <t>https://www.pricecharting.com/game/one-piece-starter-starter-deck-34-purple-charlotte-katakuri/sealed-deck</t>
        </is>
      </c>
    </row>
    <row r="194">
      <c r="A194" s="2" t="inlineStr">
        <is>
          <t>Starter Starter Deck 35 Red Black Sabo Sealed Deck</t>
        </is>
      </c>
      <c r="B194" s="3">
        <f>IF(H194&lt;&gt;"",H194,IF(I194&lt;&gt;"",I194,IF(J194&lt;&gt;"",J194,K194)))</f>
        <v>16.25</v>
      </c>
      <c r="C194" s="3">
        <f>MEDIAN(H194:K194)</f>
        <v>16.25</v>
      </c>
      <c r="D194" s="3">
        <f>ROUND(C194*(1-Settings!$B$2),2)</f>
        <v>11.38</v>
      </c>
      <c r="E194" s="2" t="inlineStr">
        <is>
          <t>One Piece</t>
        </is>
      </c>
      <c r="F194" s="2" t="inlineStr">
        <is>
          <t>Deck</t>
        </is>
      </c>
      <c r="G194" s="2" t="inlineStr">
        <is>
          <t>Starter Starter Deck 35 Red Black Sabo</t>
        </is>
      </c>
      <c r="H194" s="3" t="n">
        <v>16.25</v>
      </c>
      <c r="I194" s="3" t="n"/>
      <c r="J194" s="3" t="n"/>
      <c r="K194" s="3" t="n"/>
      <c r="L194" s="2" t="inlineStr">
        <is>
          <t>PriceCharting</t>
        </is>
      </c>
      <c r="M194" s="4" t="inlineStr">
        <is>
          <t>https://www.pricecharting.com/game/one-piece-starter-starter-deck-35-red-black-sabo/sealed-deck</t>
        </is>
      </c>
    </row>
    <row r="195">
      <c r="A195" s="2" t="inlineStr">
        <is>
          <t>Starter Starter Deck 36 Yellow Eustass Captain Kid Sealed Deck</t>
        </is>
      </c>
      <c r="B195" s="3">
        <f>IF(H195&lt;&gt;"",H195,IF(I195&lt;&gt;"",I195,IF(J195&lt;&gt;"",J195,K195)))</f>
        <v>7.99</v>
      </c>
      <c r="C195" s="3">
        <f>MEDIAN(H195:K195)</f>
        <v>7.99</v>
      </c>
      <c r="D195" s="3">
        <f>ROUND(C195*(1-Settings!$B$2),2)</f>
        <v>5.59</v>
      </c>
      <c r="E195" s="2" t="inlineStr">
        <is>
          <t>One Piece</t>
        </is>
      </c>
      <c r="F195" s="2" t="inlineStr">
        <is>
          <t>Deck</t>
        </is>
      </c>
      <c r="G195" s="2" t="inlineStr">
        <is>
          <t>Starter Starter Deck 36 Yellow Eustass Captain Kid</t>
        </is>
      </c>
      <c r="H195" s="3" t="n">
        <v>7.99</v>
      </c>
      <c r="I195" s="3" t="n"/>
      <c r="J195" s="3" t="n"/>
      <c r="K195" s="3" t="n"/>
      <c r="L195" s="2" t="inlineStr">
        <is>
          <t>PriceCharting</t>
        </is>
      </c>
      <c r="M195" s="4" t="inlineStr">
        <is>
          <t>https://www.pricecharting.com/game/one-piece-starter-starter-deck-36-yellow-eustass-captain-kid/sealed-deck</t>
        </is>
      </c>
    </row>
    <row r="196">
      <c r="A196" s="2" t="inlineStr">
        <is>
          <t>Super Pre-Release Starter Deck 1: Straw Hat Crew</t>
        </is>
      </c>
      <c r="B196" s="3">
        <f>IF(H196&lt;&gt;"",H196,IF(I196&lt;&gt;"",I196,IF(J196&lt;&gt;"",J196,K196)))</f>
        <v>2100.68</v>
      </c>
      <c r="C196" s="3">
        <f>MEDIAN(H196:K196)</f>
        <v>2434.84</v>
      </c>
      <c r="D196" s="3">
        <f>ROUND(C196*(1-Settings!$B$2),2)</f>
        <v>1704.39</v>
      </c>
      <c r="E196" s="2" t="inlineStr">
        <is>
          <t>One Piece</t>
        </is>
      </c>
      <c r="F196" s="2" t="inlineStr">
        <is>
          <t>Deck</t>
        </is>
      </c>
      <c r="G196" s="2" t="inlineStr">
        <is>
          <t>Super Pre-Release Starter Deck 1: Straw Hat Crew</t>
        </is>
      </c>
      <c r="H196" s="3" t="n"/>
      <c r="I196" s="3" t="n">
        <v>2100.68</v>
      </c>
      <c r="J196" s="3" t="n"/>
      <c r="K196" s="3" t="n">
        <v>2769</v>
      </c>
      <c r="L196" s="2" t="inlineStr">
        <is>
          <t>TCGplayer</t>
        </is>
      </c>
      <c r="N196" s="4" t="inlineStr">
        <is>
          <t>https://www.tcgplayer.com/product/409506</t>
        </is>
      </c>
    </row>
    <row r="197">
      <c r="A197" s="2" t="inlineStr">
        <is>
          <t>Super Pre-Release Starter Decks 1-4 [Set of 4]</t>
        </is>
      </c>
      <c r="B197" s="3">
        <f>IF(H197&lt;&gt;"",H197,IF(I197&lt;&gt;"",I197,IF(J197&lt;&gt;"",J197,K197)))</f>
        <v>2978.56</v>
      </c>
      <c r="C197" s="3">
        <f>MEDIAN(H197:K197)</f>
        <v>3489.255</v>
      </c>
      <c r="D197" s="3">
        <f>ROUND(C197*(1-Settings!$B$2),2)</f>
        <v>2442.48</v>
      </c>
      <c r="E197" s="2" t="inlineStr">
        <is>
          <t>One Piece</t>
        </is>
      </c>
      <c r="F197" s="2" t="inlineStr">
        <is>
          <t>Deck</t>
        </is>
      </c>
      <c r="G197" s="2" t="inlineStr">
        <is>
          <t>Super Pre-Release Starter Deck 1: Straw Hat Crew</t>
        </is>
      </c>
      <c r="H197" s="3" t="n"/>
      <c r="I197" s="3" t="n">
        <v>2978.56</v>
      </c>
      <c r="J197" s="3" t="n"/>
      <c r="K197" s="3" t="n">
        <v>3999.95</v>
      </c>
      <c r="L197" s="2" t="inlineStr">
        <is>
          <t>TCGplayer</t>
        </is>
      </c>
      <c r="N197" s="4" t="inlineStr">
        <is>
          <t>https://www.tcgplayer.com/product/411372</t>
        </is>
      </c>
    </row>
    <row r="198">
      <c r="A198" s="2" t="inlineStr">
        <is>
          <t>Super Pre-Release Starter Deck 2: Worst Generation</t>
        </is>
      </c>
      <c r="B198" s="3">
        <f>IF(H198&lt;&gt;"",H198,IF(I198&lt;&gt;"",I198,IF(J198&lt;&gt;"",J198,K198)))</f>
        <v>333.25</v>
      </c>
      <c r="C198" s="3">
        <f>MEDIAN(H198:K198)</f>
        <v>506.625</v>
      </c>
      <c r="D198" s="3">
        <f>ROUND(C198*(1-Settings!$B$2),2)</f>
        <v>354.64</v>
      </c>
      <c r="E198" s="2" t="inlineStr">
        <is>
          <t>One Piece</t>
        </is>
      </c>
      <c r="F198" s="2" t="inlineStr">
        <is>
          <t>Deck</t>
        </is>
      </c>
      <c r="G198" s="2" t="inlineStr">
        <is>
          <t>Super Pre-Release Starter Deck 2: Worst Generation</t>
        </is>
      </c>
      <c r="H198" s="3" t="n"/>
      <c r="I198" s="3" t="n">
        <v>333.25</v>
      </c>
      <c r="J198" s="3" t="n"/>
      <c r="K198" s="3" t="n">
        <v>680</v>
      </c>
      <c r="L198" s="2" t="inlineStr">
        <is>
          <t>TCGplayer</t>
        </is>
      </c>
      <c r="N198" s="4" t="inlineStr">
        <is>
          <t>https://www.tcgplayer.com/product/408197</t>
        </is>
      </c>
    </row>
    <row r="199">
      <c r="A199" s="2" t="inlineStr">
        <is>
          <t>Super Pre-Release Starter Deck 3: The Seven Warlords of The Sea</t>
        </is>
      </c>
      <c r="B199" s="3">
        <f>IF(H199&lt;&gt;"",H199,IF(I199&lt;&gt;"",I199,IF(J199&lt;&gt;"",J199,K199)))</f>
        <v>342.6</v>
      </c>
      <c r="C199" s="3">
        <f>MEDIAN(H199:K199)</f>
        <v>555.8</v>
      </c>
      <c r="D199" s="3">
        <f>ROUND(C199*(1-Settings!$B$2),2)</f>
        <v>389.06</v>
      </c>
      <c r="E199" s="2" t="inlineStr">
        <is>
          <t>One Piece</t>
        </is>
      </c>
      <c r="F199" s="2" t="inlineStr">
        <is>
          <t>Deck</t>
        </is>
      </c>
      <c r="G199" s="2" t="inlineStr">
        <is>
          <t>Super Pre-Release Starter Deck 3: The Seven Warlords of the Sea</t>
        </is>
      </c>
      <c r="H199" s="3" t="n"/>
      <c r="I199" s="3" t="n">
        <v>342.6</v>
      </c>
      <c r="J199" s="3" t="n"/>
      <c r="K199" s="3" t="n">
        <v>769</v>
      </c>
      <c r="L199" s="2" t="inlineStr">
        <is>
          <t>TCGplayer</t>
        </is>
      </c>
      <c r="N199" s="4" t="inlineStr">
        <is>
          <t>https://www.tcgplayer.com/product/411279</t>
        </is>
      </c>
    </row>
    <row r="200">
      <c r="A200" s="2" t="inlineStr">
        <is>
          <t>Super Pre-Release Starter Deck 4: Animal Kingdom Pirates</t>
        </is>
      </c>
      <c r="B200" s="3">
        <f>IF(H200&lt;&gt;"",H200,IF(I200&lt;&gt;"",I200,IF(J200&lt;&gt;"",J200,K200)))</f>
        <v>319.2</v>
      </c>
      <c r="C200" s="3">
        <f>MEDIAN(H200:K200)</f>
        <v>384.6</v>
      </c>
      <c r="D200" s="3">
        <f>ROUND(C200*(1-Settings!$B$2),2)</f>
        <v>269.22</v>
      </c>
      <c r="E200" s="2" t="inlineStr">
        <is>
          <t>One Piece</t>
        </is>
      </c>
      <c r="F200" s="2" t="inlineStr">
        <is>
          <t>Deck</t>
        </is>
      </c>
      <c r="G200" s="2" t="inlineStr">
        <is>
          <t>Super Pre-Release Starter Deck 4: Animal Kingdom Pirates</t>
        </is>
      </c>
      <c r="H200" s="3" t="n"/>
      <c r="I200" s="3" t="n">
        <v>319.2</v>
      </c>
      <c r="J200" s="3" t="n"/>
      <c r="K200" s="3" t="n">
        <v>450</v>
      </c>
      <c r="L200" s="2" t="inlineStr">
        <is>
          <t>TCGplayer</t>
        </is>
      </c>
      <c r="N200" s="4" t="inlineStr">
        <is>
          <t>https://www.tcgplayer.com/product/422137</t>
        </is>
      </c>
    </row>
    <row r="201">
      <c r="A201" s="2" t="inlineStr">
        <is>
          <t>Ultra Deck The Three Brothers Sealed Deck</t>
        </is>
      </c>
      <c r="B201" s="3">
        <f>IF(H201&lt;&gt;"",H201,IF(I201&lt;&gt;"",I201,IF(J201&lt;&gt;"",J201,K201)))</f>
        <v>68.73</v>
      </c>
      <c r="C201" s="3">
        <f>MEDIAN(H201:K201)</f>
        <v>68.73</v>
      </c>
      <c r="D201" s="3">
        <f>ROUND(C201*(1-Settings!$B$2),2)</f>
        <v>48.11</v>
      </c>
      <c r="E201" s="2" t="inlineStr">
        <is>
          <t>One Piece</t>
        </is>
      </c>
      <c r="F201" s="2" t="inlineStr">
        <is>
          <t>Deck</t>
        </is>
      </c>
      <c r="G201" s="2" t="inlineStr">
        <is>
          <t>Ultra Deck The Three Brothers</t>
        </is>
      </c>
      <c r="H201" s="3" t="n">
        <v>68.73</v>
      </c>
      <c r="I201" s="3" t="n"/>
      <c r="J201" s="3" t="n"/>
      <c r="K201" s="3" t="n"/>
      <c r="L201" s="2" t="inlineStr">
        <is>
          <t>PriceCharting</t>
        </is>
      </c>
      <c r="M201" s="4" t="inlineStr">
        <is>
          <t>https://www.pricecharting.com/game/one-piece-ultra-deck-the-three-brothers/sealed-deck</t>
        </is>
      </c>
    </row>
    <row r="202">
      <c r="A202" s="2" t="inlineStr">
        <is>
          <t>Ultra Deck The Three Captains Sealed Deck</t>
        </is>
      </c>
      <c r="B202" s="3">
        <f>IF(H202&lt;&gt;"",H202,IF(I202&lt;&gt;"",I202,IF(J202&lt;&gt;"",J202,K202)))</f>
        <v>66.62</v>
      </c>
      <c r="C202" s="3">
        <f>MEDIAN(H202:K202)</f>
        <v>66.62</v>
      </c>
      <c r="D202" s="3">
        <f>ROUND(C202*(1-Settings!$B$2),2)</f>
        <v>46.63</v>
      </c>
      <c r="E202" s="2" t="inlineStr">
        <is>
          <t>One Piece</t>
        </is>
      </c>
      <c r="F202" s="2" t="inlineStr">
        <is>
          <t>Deck</t>
        </is>
      </c>
      <c r="G202" s="2" t="inlineStr">
        <is>
          <t>Ultra Deck The Three Captains</t>
        </is>
      </c>
      <c r="H202" s="3" t="n">
        <v>66.62</v>
      </c>
      <c r="I202" s="3" t="n"/>
      <c r="J202" s="3" t="n"/>
      <c r="K202" s="3" t="n"/>
      <c r="L202" s="2" t="inlineStr">
        <is>
          <t>PriceCharting</t>
        </is>
      </c>
      <c r="M202" s="4" t="inlineStr">
        <is>
          <t>https://www.pricecharting.com/game/one-piece-ultra-deck-the-three-captains/sealed-deck</t>
        </is>
      </c>
    </row>
    <row r="203">
      <c r="A203" s="2" t="inlineStr">
        <is>
          <t>Ultra Deck: The Three Brothers</t>
        </is>
      </c>
      <c r="B203" s="3">
        <f>IF(H203&lt;&gt;"",H203,IF(I203&lt;&gt;"",I203,IF(J203&lt;&gt;"",J203,K203)))</f>
        <v>70.78</v>
      </c>
      <c r="C203" s="3">
        <f>MEDIAN(H203:K203)</f>
        <v>57.89</v>
      </c>
      <c r="D203" s="3">
        <f>ROUND(C203*(1-Settings!$B$2),2)</f>
        <v>40.52</v>
      </c>
      <c r="E203" s="2" t="inlineStr">
        <is>
          <t>One Piece</t>
        </is>
      </c>
      <c r="F203" s="2" t="inlineStr">
        <is>
          <t>Deck</t>
        </is>
      </c>
      <c r="G203" s="2" t="inlineStr">
        <is>
          <t>Ultra Deck: The Three Brothers</t>
        </is>
      </c>
      <c r="H203" s="3" t="n"/>
      <c r="I203" s="3" t="n">
        <v>70.78</v>
      </c>
      <c r="J203" s="3" t="n"/>
      <c r="K203" s="3" t="n">
        <v>45</v>
      </c>
      <c r="L203" s="2" t="inlineStr">
        <is>
          <t>TCGplayer</t>
        </is>
      </c>
      <c r="N203" s="4" t="inlineStr">
        <is>
          <t>https://www.tcgplayer.com/product/543595</t>
        </is>
      </c>
    </row>
    <row r="204">
      <c r="A204" s="2" t="inlineStr">
        <is>
          <t>Ultra Deck: The Three Captains</t>
        </is>
      </c>
      <c r="B204" s="3">
        <f>IF(H204&lt;&gt;"",H204,IF(I204&lt;&gt;"",I204,IF(J204&lt;&gt;"",J204,K204)))</f>
        <v>98.11</v>
      </c>
      <c r="C204" s="3">
        <f>MEDIAN(H204:K204)</f>
        <v>92.055</v>
      </c>
      <c r="D204" s="3">
        <f>ROUND(C204*(1-Settings!$B$2),2)</f>
        <v>64.44</v>
      </c>
      <c r="E204" s="2" t="inlineStr">
        <is>
          <t>One Piece</t>
        </is>
      </c>
      <c r="F204" s="2" t="inlineStr">
        <is>
          <t>Deck</t>
        </is>
      </c>
      <c r="G204" s="2" t="inlineStr">
        <is>
          <t>Ultra Deck: The Three Captains</t>
        </is>
      </c>
      <c r="H204" s="3" t="n"/>
      <c r="I204" s="3" t="n">
        <v>98.11</v>
      </c>
      <c r="J204" s="3" t="n"/>
      <c r="K204" s="3" t="n">
        <v>86</v>
      </c>
      <c r="L204" s="2" t="inlineStr">
        <is>
          <t>TCGplayer</t>
        </is>
      </c>
      <c r="N204" s="4" t="inlineStr">
        <is>
          <t>https://www.tcgplayer.com/product/502982</t>
        </is>
      </c>
    </row>
    <row r="205">
      <c r="A205" s="2" t="inlineStr">
        <is>
          <t>Japanese Promo Bea Rubber Playmat Set</t>
        </is>
      </c>
      <c r="B205" s="3">
        <f>IF(H205&lt;&gt;"",H205,IF(I205&lt;&gt;"",I205,IF(J205&lt;&gt;"",J205,K205)))</f>
        <v>169.8</v>
      </c>
      <c r="C205" s="3">
        <f>MEDIAN(H205:K205)</f>
        <v>169.8</v>
      </c>
      <c r="D205" s="3">
        <f>ROUND(C205*(1-Settings!$B$2),2)</f>
        <v>118.86</v>
      </c>
      <c r="E205" s="2" t="inlineStr">
        <is>
          <t>Pokemon</t>
        </is>
      </c>
      <c r="F205" s="2" t="inlineStr">
        <is>
          <t>Accessory</t>
        </is>
      </c>
      <c r="G205" s="2" t="inlineStr">
        <is>
          <t>Japanese Promo</t>
        </is>
      </c>
      <c r="H205" s="3" t="n">
        <v>169.8</v>
      </c>
      <c r="I205" s="3" t="n"/>
      <c r="J205" s="3" t="n"/>
      <c r="K205" s="3" t="n"/>
      <c r="L205" s="2" t="inlineStr">
        <is>
          <t>PriceCharting</t>
        </is>
      </c>
      <c r="M205" s="4" t="inlineStr">
        <is>
          <t>https://www.pricecharting.com/game/pokemon-japanese-promo/bea-rubber-playmat-set</t>
        </is>
      </c>
    </row>
    <row r="206">
      <c r="A206" s="2" t="inlineStr">
        <is>
          <t>Japanese Vmax Climax Victor &amp; Gloria Rubber Playmat Set</t>
        </is>
      </c>
      <c r="B206" s="3">
        <f>IF(H206&lt;&gt;"",H206,IF(I206&lt;&gt;"",I206,IF(J206&lt;&gt;"",J206,K206)))</f>
        <v>83.72</v>
      </c>
      <c r="C206" s="3">
        <f>MEDIAN(H206:K206)</f>
        <v>83.72</v>
      </c>
      <c r="D206" s="3">
        <f>ROUND(C206*(1-Settings!$B$2),2)</f>
        <v>58.6</v>
      </c>
      <c r="E206" s="2" t="inlineStr">
        <is>
          <t>Pokemon</t>
        </is>
      </c>
      <c r="F206" s="2" t="inlineStr">
        <is>
          <t>Accessory</t>
        </is>
      </c>
      <c r="G206" s="2" t="inlineStr">
        <is>
          <t>Japanese Vmax Climax</t>
        </is>
      </c>
      <c r="H206" s="3" t="n">
        <v>83.72</v>
      </c>
      <c r="I206" s="3" t="n"/>
      <c r="J206" s="3" t="n"/>
      <c r="K206" s="3" t="n"/>
      <c r="L206" s="2" t="inlineStr">
        <is>
          <t>PriceCharting</t>
        </is>
      </c>
      <c r="M206" s="4" t="inlineStr">
        <is>
          <t>https://www.pricecharting.com/game/pokemon-japanese-vmax-climax/victor-&amp;-gloria-rubber-playmat-set</t>
        </is>
      </c>
    </row>
    <row r="207">
      <c r="A207" s="2" t="inlineStr">
        <is>
          <t>Promo Elite Trainer Deck Shield: Dawn Wings Necrozma</t>
        </is>
      </c>
      <c r="B207" s="3">
        <f>IF(H207&lt;&gt;"",H207,IF(I207&lt;&gt;"",I207,IF(J207&lt;&gt;"",J207,K207)))</f>
        <v>55.0</v>
      </c>
      <c r="C207" s="3">
        <f>MEDIAN(H207:K207)</f>
        <v>55.0</v>
      </c>
      <c r="D207" s="3">
        <f>ROUND(C207*(1-Settings!$B$2),2)</f>
        <v>38.5</v>
      </c>
      <c r="E207" s="2" t="inlineStr">
        <is>
          <t>Pokemon</t>
        </is>
      </c>
      <c r="F207" s="2" t="inlineStr">
        <is>
          <t>Accessory</t>
        </is>
      </c>
      <c r="G207" s="2" t="inlineStr">
        <is>
          <t>Promo</t>
        </is>
      </c>
      <c r="H207" s="3" t="n">
        <v>55</v>
      </c>
      <c r="I207" s="3" t="n"/>
      <c r="J207" s="3" t="n"/>
      <c r="K207" s="3" t="n"/>
      <c r="L207" s="2" t="inlineStr">
        <is>
          <t>PriceCharting</t>
        </is>
      </c>
      <c r="M207" s="4" t="inlineStr">
        <is>
          <t>https://www.pricecharting.com/game/pokemon-promo/elite-trainer-deck-shield-dawn-wings-necrozma</t>
        </is>
      </c>
    </row>
    <row r="208">
      <c r="A208" s="2" t="inlineStr">
        <is>
          <t>Steam Siege Volcanion Elite Trainer Deck Shield</t>
        </is>
      </c>
      <c r="B208" s="3">
        <f>IF(H208&lt;&gt;"",H208,IF(I208&lt;&gt;"",I208,IF(J208&lt;&gt;"",J208,K208)))</f>
        <v>27.73</v>
      </c>
      <c r="C208" s="3">
        <f>MEDIAN(H208:K208)</f>
        <v>27.73</v>
      </c>
      <c r="D208" s="3">
        <f>ROUND(C208*(1-Settings!$B$2),2)</f>
        <v>19.41</v>
      </c>
      <c r="E208" s="2" t="inlineStr">
        <is>
          <t>Pokemon</t>
        </is>
      </c>
      <c r="F208" s="2" t="inlineStr">
        <is>
          <t>Accessory</t>
        </is>
      </c>
      <c r="G208" s="2" t="inlineStr">
        <is>
          <t>Steam Siege</t>
        </is>
      </c>
      <c r="H208" s="3" t="n">
        <v>27.73</v>
      </c>
      <c r="I208" s="3" t="n"/>
      <c r="J208" s="3" t="n"/>
      <c r="K208" s="3" t="n"/>
      <c r="L208" s="2" t="inlineStr">
        <is>
          <t>PriceCharting</t>
        </is>
      </c>
      <c r="M208" s="4" t="inlineStr">
        <is>
          <t>https://www.pricecharting.com/game/pokemon-steam-siege/volcanion-elite-trainer-deck-shield</t>
        </is>
      </c>
    </row>
    <row r="209">
      <c r="A209" s="2" t="inlineStr">
        <is>
          <t>Steam Siege Zygarde Elite Trainer Deck Shield</t>
        </is>
      </c>
      <c r="B209" s="3">
        <f>IF(H209&lt;&gt;"",H209,IF(I209&lt;&gt;"",I209,IF(J209&lt;&gt;"",J209,K209)))</f>
        <v>29.0</v>
      </c>
      <c r="C209" s="3">
        <f>MEDIAN(H209:K209)</f>
        <v>29.0</v>
      </c>
      <c r="D209" s="3">
        <f>ROUND(C209*(1-Settings!$B$2),2)</f>
        <v>20.3</v>
      </c>
      <c r="E209" s="2" t="inlineStr">
        <is>
          <t>Pokemon</t>
        </is>
      </c>
      <c r="F209" s="2" t="inlineStr">
        <is>
          <t>Accessory</t>
        </is>
      </c>
      <c r="G209" s="2" t="inlineStr">
        <is>
          <t>Steam Siege</t>
        </is>
      </c>
      <c r="H209" s="3" t="n">
        <v>29</v>
      </c>
      <c r="I209" s="3" t="n"/>
      <c r="J209" s="3" t="n"/>
      <c r="K209" s="3" t="n"/>
      <c r="L209" s="2" t="inlineStr">
        <is>
          <t>PriceCharting</t>
        </is>
      </c>
      <c r="M209" s="4" t="inlineStr">
        <is>
          <t>https://www.pricecharting.com/game/pokemon-steam-siege/zygarde-elite-trainer-deck-shield</t>
        </is>
      </c>
    </row>
    <row r="210">
      <c r="A210" s="2" t="inlineStr">
        <is>
          <t>Pokemon TCG: Battle Academy 2022 Case</t>
        </is>
      </c>
      <c r="B210" s="3">
        <f>IF(H210&lt;&gt;"",H210,IF(I210&lt;&gt;"",I210,IF(J210&lt;&gt;"",J210,K210)))</f>
        <v>129.45</v>
      </c>
      <c r="C210" s="3">
        <f>MEDIAN(H210:K210)</f>
        <v>129.45</v>
      </c>
      <c r="D210" s="3">
        <f>ROUND(C210*(1-Settings!$B$2),2)</f>
        <v>90.62</v>
      </c>
      <c r="E210" s="2" t="inlineStr">
        <is>
          <t>Pokemon</t>
        </is>
      </c>
      <c r="F210" s="2" t="inlineStr">
        <is>
          <t>Case/Display</t>
        </is>
      </c>
      <c r="G210" s="2" t="inlineStr">
        <is>
          <t>Battle Academy 2022</t>
        </is>
      </c>
      <c r="H210" s="3" t="n"/>
      <c r="I210" s="3" t="n"/>
      <c r="J210" s="3" t="n">
        <v>129.45</v>
      </c>
      <c r="K210" s="3" t="n">
        <v>129.45</v>
      </c>
      <c r="L210" s="2" t="inlineStr">
        <is>
          <t>TCGplayer</t>
        </is>
      </c>
      <c r="N210" s="4" t="inlineStr">
        <is>
          <t>https://www.tcgplayer.com/product/688727</t>
        </is>
      </c>
    </row>
    <row r="211">
      <c r="A211" s="2" t="inlineStr">
        <is>
          <t>Celebrations Collection Case</t>
        </is>
      </c>
      <c r="B211" s="3">
        <f>IF(H211&lt;&gt;"",H211,IF(I211&lt;&gt;"",I211,IF(J211&lt;&gt;"",J211,K211)))</f>
        <v>774.99</v>
      </c>
      <c r="C211" s="3">
        <f>MEDIAN(H211:K211)</f>
        <v>900.0</v>
      </c>
      <c r="D211" s="3">
        <f>ROUND(C211*(1-Settings!$B$2),2)</f>
        <v>630.0</v>
      </c>
      <c r="E211" s="2" t="inlineStr">
        <is>
          <t>Pokemon</t>
        </is>
      </c>
      <c r="F211" s="2" t="inlineStr">
        <is>
          <t>Case/Display</t>
        </is>
      </c>
      <c r="G211" s="2" t="inlineStr">
        <is>
          <t>Celebrations</t>
        </is>
      </c>
      <c r="H211" s="3" t="n"/>
      <c r="I211" s="3" t="n">
        <v>774.99</v>
      </c>
      <c r="J211" s="3" t="n">
        <v>1349.97</v>
      </c>
      <c r="K211" s="3" t="n">
        <v>900</v>
      </c>
      <c r="L211" s="2" t="inlineStr">
        <is>
          <t>TCGplayer</t>
        </is>
      </c>
      <c r="N211" s="4" t="inlineStr">
        <is>
          <t>https://www.tcgplayer.com/product/455796</t>
        </is>
      </c>
    </row>
    <row r="212">
      <c r="A212" s="2" t="inlineStr">
        <is>
          <t>Celebrations Collection Case [Dragapult Prime]</t>
        </is>
      </c>
      <c r="B212" s="3">
        <f>IF(H212&lt;&gt;"",H212,IF(I212&lt;&gt;"",I212,IF(J212&lt;&gt;"",J212,K212)))</f>
        <v>599.95</v>
      </c>
      <c r="C212" s="3">
        <f>MEDIAN(H212:K212)</f>
        <v>599.95</v>
      </c>
      <c r="D212" s="3">
        <f>ROUND(C212*(1-Settings!$B$2),2)</f>
        <v>419.97</v>
      </c>
      <c r="E212" s="2" t="inlineStr">
        <is>
          <t>Pokemon</t>
        </is>
      </c>
      <c r="F212" s="2" t="inlineStr">
        <is>
          <t>Case/Display</t>
        </is>
      </c>
      <c r="G212" s="2" t="inlineStr">
        <is>
          <t>Celebrations</t>
        </is>
      </c>
      <c r="H212" s="3" t="n"/>
      <c r="I212" s="3" t="n">
        <v>599.95</v>
      </c>
      <c r="J212" s="3" t="n">
        <v>599.95</v>
      </c>
      <c r="K212" s="3" t="n">
        <v>544</v>
      </c>
      <c r="L212" s="2" t="inlineStr">
        <is>
          <t>TCGplayer</t>
        </is>
      </c>
      <c r="N212" s="4" t="inlineStr">
        <is>
          <t>https://www.tcgplayer.com/product/251880</t>
        </is>
      </c>
    </row>
    <row r="213">
      <c r="A213" s="2" t="inlineStr">
        <is>
          <t>Celebrations Deluxe Pin Collection Case [Zacian LV. X]</t>
        </is>
      </c>
      <c r="B213" s="3">
        <f>IF(H213&lt;&gt;"",H213,IF(I213&lt;&gt;"",I213,IF(J213&lt;&gt;"",J213,K213)))</f>
        <v>1499.95</v>
      </c>
      <c r="C213" s="3">
        <f>MEDIAN(H213:K213)</f>
        <v>1499.95</v>
      </c>
      <c r="D213" s="3">
        <f>ROUND(C213*(1-Settings!$B$2),2)</f>
        <v>1049.97</v>
      </c>
      <c r="E213" s="2" t="inlineStr">
        <is>
          <t>Pokemon</t>
        </is>
      </c>
      <c r="F213" s="2" t="inlineStr">
        <is>
          <t>Case/Display</t>
        </is>
      </c>
      <c r="G213" s="2" t="inlineStr">
        <is>
          <t>Celebrations</t>
        </is>
      </c>
      <c r="H213" s="3" t="n"/>
      <c r="I213" s="3" t="n"/>
      <c r="J213" s="3" t="n">
        <v>1499.95</v>
      </c>
      <c r="K213" s="3" t="n">
        <v>1499.95</v>
      </c>
      <c r="L213" s="2" t="inlineStr">
        <is>
          <t>TCGplayer</t>
        </is>
      </c>
      <c r="N213" s="4" t="inlineStr">
        <is>
          <t>https://www.tcgplayer.com/product/256970</t>
        </is>
      </c>
    </row>
    <row r="214">
      <c r="A214" s="2" t="inlineStr">
        <is>
          <t>Celebrations Mini Tin Display</t>
        </is>
      </c>
      <c r="B214" s="3">
        <f>IF(H214&lt;&gt;"",H214,IF(I214&lt;&gt;"",I214,IF(J214&lt;&gt;"",J214,K214)))</f>
        <v>493.98</v>
      </c>
      <c r="C214" s="3">
        <f>MEDIAN(H214:K214)</f>
        <v>538.48</v>
      </c>
      <c r="D214" s="3">
        <f>ROUND(C214*(1-Settings!$B$2),2)</f>
        <v>376.94</v>
      </c>
      <c r="E214" s="2" t="inlineStr">
        <is>
          <t>Pokemon</t>
        </is>
      </c>
      <c r="F214" s="2" t="inlineStr">
        <is>
          <t>Case/Display</t>
        </is>
      </c>
      <c r="G214" s="2" t="inlineStr">
        <is>
          <t>Celebrations</t>
        </is>
      </c>
      <c r="H214" s="3" t="n">
        <v>493.98</v>
      </c>
      <c r="I214" s="3" t="n">
        <v>516.96</v>
      </c>
      <c r="J214" s="3" t="n">
        <v>600</v>
      </c>
      <c r="K214" s="3" t="n">
        <v>560</v>
      </c>
      <c r="L214" s="2" t="inlineStr">
        <is>
          <t>PriceCharting + TCGplayer</t>
        </is>
      </c>
      <c r="M214" s="4" t="inlineStr">
        <is>
          <t>https://www.pricecharting.com/game/pokemon-celebrations/mini-tin-display</t>
        </is>
      </c>
      <c r="N214" s="4" t="inlineStr">
        <is>
          <t>https://www.tcgplayer.com/product/242812</t>
        </is>
      </c>
    </row>
    <row r="215">
      <c r="A215" s="2" t="inlineStr">
        <is>
          <t>Champion's Path Elite Trainer Box Case</t>
        </is>
      </c>
      <c r="B215" s="3">
        <f>IF(H215&lt;&gt;"",H215,IF(I215&lt;&gt;"",I215,IF(J215&lt;&gt;"",J215,K215)))</f>
        <v>2200.0</v>
      </c>
      <c r="C215" s="3">
        <f>MEDIAN(H215:K215)</f>
        <v>2199.975</v>
      </c>
      <c r="D215" s="3">
        <f>ROUND(C215*(1-Settings!$B$2),2)</f>
        <v>1539.98</v>
      </c>
      <c r="E215" s="2" t="inlineStr">
        <is>
          <t>Pokemon</t>
        </is>
      </c>
      <c r="F215" s="2" t="inlineStr">
        <is>
          <t>Case/Display</t>
        </is>
      </c>
      <c r="G215" s="2" t="inlineStr">
        <is>
          <t>Champion's Path</t>
        </is>
      </c>
      <c r="H215" s="3" t="n"/>
      <c r="I215" s="3" t="n"/>
      <c r="J215" s="3" t="n">
        <v>2200</v>
      </c>
      <c r="K215" s="3" t="n">
        <v>2199.95</v>
      </c>
      <c r="L215" s="2" t="inlineStr">
        <is>
          <t>TCGplayer</t>
        </is>
      </c>
      <c r="N215" s="4" t="inlineStr">
        <is>
          <t>https://www.tcgplayer.com/product/247385</t>
        </is>
      </c>
    </row>
    <row r="216">
      <c r="A216" s="2" t="inlineStr">
        <is>
          <t>Champion's Path Pin Collection Display: Turffield, Hulbury, &amp; Motostoke Gyms</t>
        </is>
      </c>
      <c r="B216" s="3">
        <f>IF(H216&lt;&gt;"",H216,IF(I216&lt;&gt;"",I216,IF(J216&lt;&gt;"",J216,K216)))</f>
        <v>347.5</v>
      </c>
      <c r="C216" s="3">
        <f>MEDIAN(H216:K216)</f>
        <v>336.25</v>
      </c>
      <c r="D216" s="3">
        <f>ROUND(C216*(1-Settings!$B$2),2)</f>
        <v>235.38</v>
      </c>
      <c r="E216" s="2" t="inlineStr">
        <is>
          <t>Pokemon</t>
        </is>
      </c>
      <c r="F216" s="2" t="inlineStr">
        <is>
          <t>Case/Display</t>
        </is>
      </c>
      <c r="G216" s="2" t="inlineStr">
        <is>
          <t>Champion's Path</t>
        </is>
      </c>
      <c r="H216" s="3" t="n"/>
      <c r="I216" s="3" t="n"/>
      <c r="J216" s="3" t="n">
        <v>347.5</v>
      </c>
      <c r="K216" s="3" t="n">
        <v>325</v>
      </c>
      <c r="L216" s="2" t="inlineStr">
        <is>
          <t>TCGplayer</t>
        </is>
      </c>
      <c r="N216" s="4" t="inlineStr">
        <is>
          <t>https://www.tcgplayer.com/product/218792</t>
        </is>
      </c>
    </row>
    <row r="217">
      <c r="A217" s="2" t="inlineStr">
        <is>
          <t>Chaos Rising Build &amp; Battle Display</t>
        </is>
      </c>
      <c r="B217" s="3">
        <f>IF(H217&lt;&gt;"",H217,IF(I217&lt;&gt;"",I217,IF(J217&lt;&gt;"",J217,K217)))</f>
        <v>359.99</v>
      </c>
      <c r="C217" s="3">
        <f>MEDIAN(H217:K217)</f>
        <v>359.99</v>
      </c>
      <c r="D217" s="3">
        <f>ROUND(C217*(1-Settings!$B$2),2)</f>
        <v>251.99</v>
      </c>
      <c r="E217" s="2" t="inlineStr">
        <is>
          <t>Pokemon</t>
        </is>
      </c>
      <c r="F217" s="2" t="inlineStr">
        <is>
          <t>Case/Display</t>
        </is>
      </c>
      <c r="G217" s="2" t="inlineStr">
        <is>
          <t>Chaos Rising</t>
        </is>
      </c>
      <c r="H217" s="3" t="n">
        <v>359.99</v>
      </c>
      <c r="I217" s="3" t="n"/>
      <c r="J217" s="3" t="n"/>
      <c r="K217" s="3" t="n"/>
      <c r="L217" s="2" t="inlineStr">
        <is>
          <t>PriceCharting</t>
        </is>
      </c>
      <c r="M217" s="4" t="inlineStr">
        <is>
          <t>https://www.pricecharting.com/game/pokemon-chaos-rising/build-&amp;-battle-display</t>
        </is>
      </c>
    </row>
    <row r="218">
      <c r="A218" s="2" t="inlineStr">
        <is>
          <t>Chinese Promo Charizard Card Display Frame Gift Box</t>
        </is>
      </c>
      <c r="B218" s="3">
        <f>IF(H218&lt;&gt;"",H218,IF(I218&lt;&gt;"",I218,IF(J218&lt;&gt;"",J218,K218)))</f>
        <v>24.95</v>
      </c>
      <c r="C218" s="3">
        <f>MEDIAN(H218:K218)</f>
        <v>24.95</v>
      </c>
      <c r="D218" s="3">
        <f>ROUND(C218*(1-Settings!$B$2),2)</f>
        <v>17.47</v>
      </c>
      <c r="E218" s="2" t="inlineStr">
        <is>
          <t>Pokemon</t>
        </is>
      </c>
      <c r="F218" s="2" t="inlineStr">
        <is>
          <t>Case/Display</t>
        </is>
      </c>
      <c r="G218" s="2" t="inlineStr">
        <is>
          <t>Chinese Promo</t>
        </is>
      </c>
      <c r="H218" s="3" t="n">
        <v>24.95</v>
      </c>
      <c r="I218" s="3" t="n"/>
      <c r="J218" s="3" t="n"/>
      <c r="K218" s="3" t="n"/>
      <c r="L218" s="2" t="inlineStr">
        <is>
          <t>PriceCharting</t>
        </is>
      </c>
      <c r="M218" s="4" t="inlineStr">
        <is>
          <t>https://www.pricecharting.com/game/pokemon-chinese-promo/charizard-card-display-frame-gift-box</t>
        </is>
      </c>
    </row>
    <row r="219">
      <c r="A219" s="2" t="inlineStr">
        <is>
          <t>Chinese Promo Eevee Card Display Frame Gift Box</t>
        </is>
      </c>
      <c r="B219" s="3">
        <f>IF(H219&lt;&gt;"",H219,IF(I219&lt;&gt;"",I219,IF(J219&lt;&gt;"",J219,K219)))</f>
        <v>20.0</v>
      </c>
      <c r="C219" s="3">
        <f>MEDIAN(H219:K219)</f>
        <v>20.0</v>
      </c>
      <c r="D219" s="3">
        <f>ROUND(C219*(1-Settings!$B$2),2)</f>
        <v>14.0</v>
      </c>
      <c r="E219" s="2" t="inlineStr">
        <is>
          <t>Pokemon</t>
        </is>
      </c>
      <c r="F219" s="2" t="inlineStr">
        <is>
          <t>Case/Display</t>
        </is>
      </c>
      <c r="G219" s="2" t="inlineStr">
        <is>
          <t>Chinese Promo</t>
        </is>
      </c>
      <c r="H219" s="3" t="n">
        <v>20</v>
      </c>
      <c r="I219" s="3" t="n"/>
      <c r="J219" s="3" t="n"/>
      <c r="K219" s="3" t="n"/>
      <c r="L219" s="2" t="inlineStr">
        <is>
          <t>PriceCharting</t>
        </is>
      </c>
      <c r="M219" s="4" t="inlineStr">
        <is>
          <t>https://www.pricecharting.com/game/pokemon-chinese-promo/eevee-card-display-frame-gift-box</t>
        </is>
      </c>
    </row>
    <row r="220">
      <c r="A220" s="2" t="inlineStr">
        <is>
          <t>Crown Zenith Sealed Tin Display</t>
        </is>
      </c>
      <c r="B220" s="3">
        <f>IF(H220&lt;&gt;"",H220,IF(I220&lt;&gt;"",I220,IF(J220&lt;&gt;"",J220,K220)))</f>
        <v>512.79</v>
      </c>
      <c r="C220" s="3">
        <f>MEDIAN(H220:K220)</f>
        <v>512.79</v>
      </c>
      <c r="D220" s="3">
        <f>ROUND(C220*(1-Settings!$B$2),2)</f>
        <v>358.95</v>
      </c>
      <c r="E220" s="2" t="inlineStr">
        <is>
          <t>Pokemon</t>
        </is>
      </c>
      <c r="F220" s="2" t="inlineStr">
        <is>
          <t>Case/Display</t>
        </is>
      </c>
      <c r="G220" s="2" t="inlineStr">
        <is>
          <t>Crown Zenith</t>
        </is>
      </c>
      <c r="H220" s="3" t="n">
        <v>512.79</v>
      </c>
      <c r="I220" s="3" t="n"/>
      <c r="J220" s="3" t="n"/>
      <c r="K220" s="3" t="n"/>
      <c r="L220" s="2" t="inlineStr">
        <is>
          <t>PriceCharting</t>
        </is>
      </c>
      <c r="M220" s="4" t="inlineStr">
        <is>
          <t>https://www.pricecharting.com/game/pokemon-crown-zenith/sealed-tin-display</t>
        </is>
      </c>
    </row>
    <row r="221">
      <c r="A221" s="2" t="inlineStr">
        <is>
          <t>Detective Pikachu Case File</t>
        </is>
      </c>
      <c r="B221" s="3">
        <f>IF(H221&lt;&gt;"",H221,IF(I221&lt;&gt;"",I221,IF(J221&lt;&gt;"",J221,K221)))</f>
        <v>108.09</v>
      </c>
      <c r="C221" s="3">
        <f>MEDIAN(H221:K221)</f>
        <v>121.54</v>
      </c>
      <c r="D221" s="3">
        <f>ROUND(C221*(1-Settings!$B$2),2)</f>
        <v>85.08</v>
      </c>
      <c r="E221" s="2" t="inlineStr">
        <is>
          <t>Pokemon</t>
        </is>
      </c>
      <c r="F221" s="2" t="inlineStr">
        <is>
          <t>Case/Display</t>
        </is>
      </c>
      <c r="G221" s="2" t="inlineStr">
        <is>
          <t>Detective Pikachu</t>
        </is>
      </c>
      <c r="H221" s="3" t="n">
        <v>108.09</v>
      </c>
      <c r="I221" s="3" t="n">
        <v>94.33</v>
      </c>
      <c r="J221" s="3" t="n">
        <v>140</v>
      </c>
      <c r="K221" s="3" t="n">
        <v>134.99</v>
      </c>
      <c r="L221" s="2" t="inlineStr">
        <is>
          <t>PriceCharting + TCGplayer</t>
        </is>
      </c>
      <c r="M221" s="4" t="inlineStr">
        <is>
          <t>https://www.pricecharting.com/game/pokemon-detective-pikachu/detective-pikachu-case-file</t>
        </is>
      </c>
      <c r="N221" s="4" t="inlineStr">
        <is>
          <t>https://www.tcgplayer.com/product/185245</t>
        </is>
      </c>
    </row>
    <row r="222">
      <c r="A222" s="2" t="inlineStr">
        <is>
          <t>Detective Pikachu Case File Display</t>
        </is>
      </c>
      <c r="B222" s="3">
        <f>IF(H222&lt;&gt;"",H222,IF(I222&lt;&gt;"",I222,IF(J222&lt;&gt;"",J222,K222)))</f>
        <v>577.88</v>
      </c>
      <c r="C222" s="3">
        <f>MEDIAN(H222:K222)</f>
        <v>577.88</v>
      </c>
      <c r="D222" s="3">
        <f>ROUND(C222*(1-Settings!$B$2),2)</f>
        <v>404.52</v>
      </c>
      <c r="E222" s="2" t="inlineStr">
        <is>
          <t>Pokemon</t>
        </is>
      </c>
      <c r="F222" s="2" t="inlineStr">
        <is>
          <t>Case/Display</t>
        </is>
      </c>
      <c r="G222" s="2" t="inlineStr">
        <is>
          <t>Detective Pikachu</t>
        </is>
      </c>
      <c r="H222" s="3" t="n">
        <v>577.88</v>
      </c>
      <c r="I222" s="3" t="n"/>
      <c r="J222" s="3" t="n"/>
      <c r="K222" s="3" t="n"/>
      <c r="L222" s="2" t="inlineStr">
        <is>
          <t>PriceCharting</t>
        </is>
      </c>
      <c r="M222" s="4" t="inlineStr">
        <is>
          <t>https://www.pricecharting.com/game/pokemon-detective-pikachu/detective-pikachu-case-file-display</t>
        </is>
      </c>
    </row>
    <row r="223">
      <c r="A223" s="2" t="inlineStr">
        <is>
          <t>Detective Pikachu Charizard-GX Special Case File</t>
        </is>
      </c>
      <c r="B223" s="3">
        <f>IF(H223&lt;&gt;"",H223,IF(I223&lt;&gt;"",I223,IF(J223&lt;&gt;"",J223,K223)))</f>
        <v>180.31</v>
      </c>
      <c r="C223" s="3">
        <f>MEDIAN(H223:K223)</f>
        <v>180.31</v>
      </c>
      <c r="D223" s="3">
        <f>ROUND(C223*(1-Settings!$B$2),2)</f>
        <v>126.22</v>
      </c>
      <c r="E223" s="2" t="inlineStr">
        <is>
          <t>Pokemon</t>
        </is>
      </c>
      <c r="F223" s="2" t="inlineStr">
        <is>
          <t>Case/Display</t>
        </is>
      </c>
      <c r="G223" s="2" t="inlineStr">
        <is>
          <t>Detective Pikachu</t>
        </is>
      </c>
      <c r="H223" s="3" t="n">
        <v>180.31</v>
      </c>
      <c r="I223" s="3" t="n"/>
      <c r="J223" s="3" t="n"/>
      <c r="K223" s="3" t="n"/>
      <c r="L223" s="2" t="inlineStr">
        <is>
          <t>PriceCharting</t>
        </is>
      </c>
      <c r="M223" s="4" t="inlineStr">
        <is>
          <t>https://www.pricecharting.com/game/pokemon-detective-pikachu/charizard-gx-special-case-file</t>
        </is>
      </c>
    </row>
    <row r="224">
      <c r="A224" s="2" t="inlineStr">
        <is>
          <t>Detective Pikachu On the Case Figure Collection</t>
        </is>
      </c>
      <c r="B224" s="3">
        <f>IF(H224&lt;&gt;"",H224,IF(I224&lt;&gt;"",I224,IF(J224&lt;&gt;"",J224,K224)))</f>
        <v>280.62</v>
      </c>
      <c r="C224" s="3">
        <f>MEDIAN(H224:K224)</f>
        <v>404.98</v>
      </c>
      <c r="D224" s="3">
        <f>ROUND(C224*(1-Settings!$B$2),2)</f>
        <v>283.49</v>
      </c>
      <c r="E224" s="2" t="inlineStr">
        <is>
          <t>Pokemon</t>
        </is>
      </c>
      <c r="F224" s="2" t="inlineStr">
        <is>
          <t>Case/Display</t>
        </is>
      </c>
      <c r="G224" s="2" t="inlineStr">
        <is>
          <t>Detective Pikachu</t>
        </is>
      </c>
      <c r="H224" s="3" t="n">
        <v>280.62</v>
      </c>
      <c r="I224" s="3" t="n">
        <v>329.96</v>
      </c>
      <c r="J224" s="3" t="n">
        <v>499.95</v>
      </c>
      <c r="K224" s="3" t="n">
        <v>480</v>
      </c>
      <c r="L224" s="2" t="inlineStr">
        <is>
          <t>PriceCharting + TCGplayer</t>
        </is>
      </c>
      <c r="M224" s="4" t="inlineStr">
        <is>
          <t>https://www.pricecharting.com/game/pokemon-detective-pikachu/detective-pikachu-on-the-case-figure-collection</t>
        </is>
      </c>
      <c r="N224" s="4" t="inlineStr">
        <is>
          <t>https://www.tcgplayer.com/product/197563</t>
        </is>
      </c>
    </row>
    <row r="225">
      <c r="A225" s="2" t="inlineStr">
        <is>
          <t>Detective Pikachu Special Case File - 3 Pack Booster Blister</t>
        </is>
      </c>
      <c r="B225" s="3">
        <f>IF(H225&lt;&gt;"",H225,IF(I225&lt;&gt;"",I225,IF(J225&lt;&gt;"",J225,K225)))</f>
        <v>127.99</v>
      </c>
      <c r="C225" s="3">
        <f>MEDIAN(H225:K225)</f>
        <v>127.99</v>
      </c>
      <c r="D225" s="3">
        <f>ROUND(C225*(1-Settings!$B$2),2)</f>
        <v>89.59</v>
      </c>
      <c r="E225" s="2" t="inlineStr">
        <is>
          <t>Pokemon</t>
        </is>
      </c>
      <c r="F225" s="2" t="inlineStr">
        <is>
          <t>Case/Display</t>
        </is>
      </c>
      <c r="G225" s="2" t="inlineStr">
        <is>
          <t>Detective Pikachu</t>
        </is>
      </c>
      <c r="H225" s="3" t="n"/>
      <c r="I225" s="3" t="n">
        <v>127.99</v>
      </c>
      <c r="J225" s="3" t="n"/>
      <c r="K225" s="3" t="n"/>
      <c r="L225" s="2" t="inlineStr">
        <is>
          <t>TCGplayer</t>
        </is>
      </c>
      <c r="N225" s="4" t="inlineStr">
        <is>
          <t>https://www.tcgplayer.com/product/190325</t>
        </is>
      </c>
    </row>
    <row r="226">
      <c r="A226" s="2" t="inlineStr">
        <is>
          <t>Detective Pikachu: Charizard GX Case File</t>
        </is>
      </c>
      <c r="B226" s="3">
        <f>IF(H226&lt;&gt;"",H226,IF(I226&lt;&gt;"",I226,IF(J226&lt;&gt;"",J226,K226)))</f>
        <v>124.64</v>
      </c>
      <c r="C226" s="3">
        <f>MEDIAN(H226:K226)</f>
        <v>197.885</v>
      </c>
      <c r="D226" s="3">
        <f>ROUND(C226*(1-Settings!$B$2),2)</f>
        <v>138.52</v>
      </c>
      <c r="E226" s="2" t="inlineStr">
        <is>
          <t>Pokemon</t>
        </is>
      </c>
      <c r="F226" s="2" t="inlineStr">
        <is>
          <t>Case/Display</t>
        </is>
      </c>
      <c r="G226" s="2" t="inlineStr">
        <is>
          <t>Detective Pikachu</t>
        </is>
      </c>
      <c r="H226" s="3" t="n">
        <v>124.64</v>
      </c>
      <c r="I226" s="3" t="n">
        <v>195.78</v>
      </c>
      <c r="J226" s="3" t="n">
        <v>240</v>
      </c>
      <c r="K226" s="3" t="n">
        <v>199.99</v>
      </c>
      <c r="L226" s="2" t="inlineStr">
        <is>
          <t>PriceCharting + TCGplayer</t>
        </is>
      </c>
      <c r="M226" s="4" t="inlineStr">
        <is>
          <t>https://www.pricecharting.com/game/pokemon-detective-pikachu/charizard-gx-case-file</t>
        </is>
      </c>
      <c r="N226" s="4" t="inlineStr">
        <is>
          <t>https://www.tcgplayer.com/product/185242</t>
        </is>
      </c>
    </row>
    <row r="227">
      <c r="A227" s="2" t="inlineStr">
        <is>
          <t>Detective Pikachu: Greninja GX Case File</t>
        </is>
      </c>
      <c r="B227" s="3">
        <f>IF(H227&lt;&gt;"",H227,IF(I227&lt;&gt;"",I227,IF(J227&lt;&gt;"",J227,K227)))</f>
        <v>74.99</v>
      </c>
      <c r="C227" s="3">
        <f>MEDIAN(H227:K227)</f>
        <v>338.49</v>
      </c>
      <c r="D227" s="3">
        <f>ROUND(C227*(1-Settings!$B$2),2)</f>
        <v>236.94</v>
      </c>
      <c r="E227" s="2" t="inlineStr">
        <is>
          <t>Pokemon</t>
        </is>
      </c>
      <c r="F227" s="2" t="inlineStr">
        <is>
          <t>Case/Display</t>
        </is>
      </c>
      <c r="G227" s="2" t="inlineStr">
        <is>
          <t>Detective Pikachu</t>
        </is>
      </c>
      <c r="H227" s="3" t="n">
        <v>74.98999999999999</v>
      </c>
      <c r="I227" s="3" t="n">
        <v>176.99</v>
      </c>
      <c r="J227" s="3" t="n">
        <v>499.99</v>
      </c>
      <c r="K227" s="3" t="n">
        <v>499.99</v>
      </c>
      <c r="L227" s="2" t="inlineStr">
        <is>
          <t>PriceCharting + TCGplayer</t>
        </is>
      </c>
      <c r="M227" s="4" t="inlineStr">
        <is>
          <t>https://www.pricecharting.com/game/pokemon-detective-pikachu/greninja-gx-case-file</t>
        </is>
      </c>
      <c r="N227" s="4" t="inlineStr">
        <is>
          <t>https://www.tcgplayer.com/product/185243</t>
        </is>
      </c>
    </row>
    <row r="228">
      <c r="A228" s="2" t="inlineStr">
        <is>
          <t>Detective Pikachu: Mewtwo GX Case File</t>
        </is>
      </c>
      <c r="B228" s="3">
        <f>IF(H228&lt;&gt;"",H228,IF(I228&lt;&gt;"",I228,IF(J228&lt;&gt;"",J228,K228)))</f>
        <v>168.5</v>
      </c>
      <c r="C228" s="3">
        <f>MEDIAN(H228:K228)</f>
        <v>177.0</v>
      </c>
      <c r="D228" s="3">
        <f>ROUND(C228*(1-Settings!$B$2),2)</f>
        <v>123.9</v>
      </c>
      <c r="E228" s="2" t="inlineStr">
        <is>
          <t>Pokemon</t>
        </is>
      </c>
      <c r="F228" s="2" t="inlineStr">
        <is>
          <t>Case/Display</t>
        </is>
      </c>
      <c r="G228" s="2" t="inlineStr">
        <is>
          <t>Detective Pikachu</t>
        </is>
      </c>
      <c r="H228" s="3" t="n"/>
      <c r="I228" s="3" t="n">
        <v>168.5</v>
      </c>
      <c r="J228" s="3" t="n">
        <v>194.39</v>
      </c>
      <c r="K228" s="3" t="n">
        <v>177</v>
      </c>
      <c r="L228" s="2" t="inlineStr">
        <is>
          <t>TCGplayer</t>
        </is>
      </c>
      <c r="N228" s="4" t="inlineStr">
        <is>
          <t>https://www.tcgplayer.com/product/190324</t>
        </is>
      </c>
    </row>
    <row r="229">
      <c r="A229" s="2" t="inlineStr">
        <is>
          <t>First Partner Illustration Collection Case (Series 1)</t>
        </is>
      </c>
      <c r="B229" s="3">
        <f>IF(H229&lt;&gt;"",H229,IF(I229&lt;&gt;"",I229,IF(J229&lt;&gt;"",J229,K229)))</f>
        <v>387.8</v>
      </c>
      <c r="C229" s="3">
        <f>MEDIAN(H229:K229)</f>
        <v>387.8</v>
      </c>
      <c r="D229" s="3">
        <f>ROUND(C229*(1-Settings!$B$2),2)</f>
        <v>271.46</v>
      </c>
      <c r="E229" s="2" t="inlineStr">
        <is>
          <t>Pokemon</t>
        </is>
      </c>
      <c r="F229" s="2" t="inlineStr">
        <is>
          <t>Case/Display</t>
        </is>
      </c>
      <c r="G229" s="2" t="inlineStr">
        <is>
          <t>First Partner Collection 2026</t>
        </is>
      </c>
      <c r="H229" s="3" t="n"/>
      <c r="I229" s="3" t="n">
        <v>387.8</v>
      </c>
      <c r="J229" s="3" t="n">
        <v>488</v>
      </c>
      <c r="K229" s="3" t="n">
        <v>124.99</v>
      </c>
      <c r="L229" s="2" t="inlineStr">
        <is>
          <t>TCGplayer</t>
        </is>
      </c>
      <c r="N229" s="4" t="inlineStr">
        <is>
          <t>https://www.tcgplayer.com/product/673439</t>
        </is>
      </c>
    </row>
    <row r="230">
      <c r="A230" s="2" t="inlineStr">
        <is>
          <t>First Partner Illustration Collection Case (Series 2)</t>
        </is>
      </c>
      <c r="B230" s="3">
        <f>IF(H230&lt;&gt;"",H230,IF(I230&lt;&gt;"",I230,IF(J230&lt;&gt;"",J230,K230)))</f>
        <v>152.19</v>
      </c>
      <c r="C230" s="3">
        <f>MEDIAN(H230:K230)</f>
        <v>152.19</v>
      </c>
      <c r="D230" s="3">
        <f>ROUND(C230*(1-Settings!$B$2),2)</f>
        <v>106.53</v>
      </c>
      <c r="E230" s="2" t="inlineStr">
        <is>
          <t>Pokemon</t>
        </is>
      </c>
      <c r="F230" s="2" t="inlineStr">
        <is>
          <t>Case/Display</t>
        </is>
      </c>
      <c r="G230" s="2" t="inlineStr">
        <is>
          <t>First Partner Collection 2026</t>
        </is>
      </c>
      <c r="H230" s="3" t="n"/>
      <c r="I230" s="3" t="n">
        <v>152.19</v>
      </c>
      <c r="J230" s="3" t="n">
        <v>269.99</v>
      </c>
      <c r="K230" s="3" t="n">
        <v>129.94</v>
      </c>
      <c r="L230" s="2" t="inlineStr">
        <is>
          <t>TCGplayer</t>
        </is>
      </c>
      <c r="N230" s="4" t="inlineStr">
        <is>
          <t>https://www.tcgplayer.com/product/688716</t>
        </is>
      </c>
    </row>
    <row r="231">
      <c r="A231" s="2" t="inlineStr">
        <is>
          <t>First Partner Illustration Collection Case (Series 3)</t>
        </is>
      </c>
      <c r="B231" s="3">
        <f>IF(H231&lt;&gt;"",H231,IF(I231&lt;&gt;"",I231,IF(J231&lt;&gt;"",J231,K231)))</f>
        <v>161.05</v>
      </c>
      <c r="C231" s="3">
        <f>MEDIAN(H231:K231)</f>
        <v>161.05</v>
      </c>
      <c r="D231" s="3">
        <f>ROUND(C231*(1-Settings!$B$2),2)</f>
        <v>112.74</v>
      </c>
      <c r="E231" s="2" t="inlineStr">
        <is>
          <t>Pokemon</t>
        </is>
      </c>
      <c r="F231" s="2" t="inlineStr">
        <is>
          <t>Case/Display</t>
        </is>
      </c>
      <c r="G231" s="2" t="inlineStr">
        <is>
          <t>First Partner Collection 2026</t>
        </is>
      </c>
      <c r="H231" s="3" t="n"/>
      <c r="I231" s="3" t="n">
        <v>161.05</v>
      </c>
      <c r="J231" s="3" t="n">
        <v>194.7</v>
      </c>
      <c r="K231" s="3" t="n">
        <v>144.97</v>
      </c>
      <c r="L231" s="2" t="inlineStr">
        <is>
          <t>TCGplayer</t>
        </is>
      </c>
      <c r="N231" s="4" t="inlineStr">
        <is>
          <t>https://www.tcgplayer.com/product/695402</t>
        </is>
      </c>
    </row>
    <row r="232">
      <c r="A232" s="2" t="inlineStr">
        <is>
          <t>Hidden Fates Elite Trainer Box Case</t>
        </is>
      </c>
      <c r="B232" s="3">
        <f>IF(H232&lt;&gt;"",H232,IF(I232&lt;&gt;"",I232,IF(J232&lt;&gt;"",J232,K232)))</f>
        <v>6500.0</v>
      </c>
      <c r="C232" s="3">
        <f>MEDIAN(H232:K232)</f>
        <v>6474.995</v>
      </c>
      <c r="D232" s="3">
        <f>ROUND(C232*(1-Settings!$B$2),2)</f>
        <v>4532.5</v>
      </c>
      <c r="E232" s="2" t="inlineStr">
        <is>
          <t>Pokemon</t>
        </is>
      </c>
      <c r="F232" s="2" t="inlineStr">
        <is>
          <t>Case/Display</t>
        </is>
      </c>
      <c r="G232" s="2" t="inlineStr">
        <is>
          <t>Hidden Fates</t>
        </is>
      </c>
      <c r="H232" s="3" t="n"/>
      <c r="I232" s="3" t="n"/>
      <c r="J232" s="3" t="n">
        <v>6500</v>
      </c>
      <c r="K232" s="3" t="n">
        <v>6449.99</v>
      </c>
      <c r="L232" s="2" t="inlineStr">
        <is>
          <t>TCGplayer</t>
        </is>
      </c>
      <c r="N232" s="4" t="inlineStr">
        <is>
          <t>https://www.tcgplayer.com/product/648466</t>
        </is>
      </c>
    </row>
    <row r="233">
      <c r="A233" s="2" t="inlineStr">
        <is>
          <t>Japanese Glory Of Team Rocket Attache Case Set</t>
        </is>
      </c>
      <c r="B233" s="3">
        <f>IF(H233&lt;&gt;"",H233,IF(I233&lt;&gt;"",I233,IF(J233&lt;&gt;"",J233,K233)))</f>
        <v>307.07</v>
      </c>
      <c r="C233" s="3">
        <f>MEDIAN(H233:K233)</f>
        <v>307.07</v>
      </c>
      <c r="D233" s="3">
        <f>ROUND(C233*(1-Settings!$B$2),2)</f>
        <v>214.95</v>
      </c>
      <c r="E233" s="2" t="inlineStr">
        <is>
          <t>Pokemon</t>
        </is>
      </c>
      <c r="F233" s="2" t="inlineStr">
        <is>
          <t>Case/Display</t>
        </is>
      </c>
      <c r="G233" s="2" t="inlineStr">
        <is>
          <t>Japanese Glory Of Team Rocket</t>
        </is>
      </c>
      <c r="H233" s="3" t="n">
        <v>307.07</v>
      </c>
      <c r="I233" s="3" t="n"/>
      <c r="J233" s="3" t="n"/>
      <c r="K233" s="3" t="n"/>
      <c r="L233" s="2" t="inlineStr">
        <is>
          <t>PriceCharting</t>
        </is>
      </c>
      <c r="M233" s="4" t="inlineStr">
        <is>
          <t>https://www.pricecharting.com/game/pokemon-japanese-glory-of-team-rocket/attache-case-set</t>
        </is>
      </c>
    </row>
    <row r="234">
      <c r="A234" s="2" t="inlineStr">
        <is>
          <t>Mega Evolution Booster Box Case</t>
        </is>
      </c>
      <c r="B234" s="3">
        <f>IF(H234&lt;&gt;"",H234,IF(I234&lt;&gt;"",I234,IF(J234&lt;&gt;"",J234,K234)))</f>
        <v>1959.87</v>
      </c>
      <c r="C234" s="3">
        <f>MEDIAN(H234:K234)</f>
        <v>1959.87</v>
      </c>
      <c r="D234" s="3">
        <f>ROUND(C234*(1-Settings!$B$2),2)</f>
        <v>1371.91</v>
      </c>
      <c r="E234" s="2" t="inlineStr">
        <is>
          <t>Pokemon</t>
        </is>
      </c>
      <c r="F234" s="2" t="inlineStr">
        <is>
          <t>Case/Display</t>
        </is>
      </c>
      <c r="G234" s="2" t="inlineStr">
        <is>
          <t>ME01: Mega Evolution</t>
        </is>
      </c>
      <c r="H234" s="3" t="n"/>
      <c r="I234" s="3" t="n">
        <v>1959.87</v>
      </c>
      <c r="J234" s="3" t="n">
        <v>1979.93</v>
      </c>
      <c r="K234" s="3" t="n">
        <v>1892</v>
      </c>
      <c r="L234" s="2" t="inlineStr">
        <is>
          <t>TCGplayer</t>
        </is>
      </c>
      <c r="N234" s="4" t="inlineStr">
        <is>
          <t>https://www.tcgplayer.com/product/644731</t>
        </is>
      </c>
    </row>
    <row r="235">
      <c r="A235" s="2" t="inlineStr">
        <is>
          <t>Mega Evolution Booster Bundle Case</t>
        </is>
      </c>
      <c r="B235" s="3">
        <f>IF(H235&lt;&gt;"",H235,IF(I235&lt;&gt;"",I235,IF(J235&lt;&gt;"",J235,K235)))</f>
        <v>1244.18</v>
      </c>
      <c r="C235" s="3">
        <f>MEDIAN(H235:K235)</f>
        <v>1699.0</v>
      </c>
      <c r="D235" s="3">
        <f>ROUND(C235*(1-Settings!$B$2),2)</f>
        <v>1189.3</v>
      </c>
      <c r="E235" s="2" t="inlineStr">
        <is>
          <t>Pokemon</t>
        </is>
      </c>
      <c r="F235" s="2" t="inlineStr">
        <is>
          <t>Case/Display</t>
        </is>
      </c>
      <c r="G235" s="2" t="inlineStr">
        <is>
          <t>ME01: Mega Evolution</t>
        </is>
      </c>
      <c r="H235" s="3" t="n"/>
      <c r="I235" s="3" t="n">
        <v>1244.18</v>
      </c>
      <c r="J235" s="3" t="n">
        <v>1742.35</v>
      </c>
      <c r="K235" s="3" t="n">
        <v>1699</v>
      </c>
      <c r="L235" s="2" t="inlineStr">
        <is>
          <t>TCGplayer</t>
        </is>
      </c>
      <c r="N235" s="4" t="inlineStr">
        <is>
          <t>https://www.tcgplayer.com/product/644730</t>
        </is>
      </c>
    </row>
    <row r="236">
      <c r="A236" s="2" t="inlineStr">
        <is>
          <t>Mega Evolution Build &amp; Battle Box Display</t>
        </is>
      </c>
      <c r="B236" s="3">
        <f>IF(H236&lt;&gt;"",H236,IF(I236&lt;&gt;"",I236,IF(J236&lt;&gt;"",J236,K236)))</f>
        <v>482.36</v>
      </c>
      <c r="C236" s="3">
        <f>MEDIAN(H236:K236)</f>
        <v>484.99</v>
      </c>
      <c r="D236" s="3">
        <f>ROUND(C236*(1-Settings!$B$2),2)</f>
        <v>339.49</v>
      </c>
      <c r="E236" s="2" t="inlineStr">
        <is>
          <t>Pokemon</t>
        </is>
      </c>
      <c r="F236" s="2" t="inlineStr">
        <is>
          <t>Case/Display</t>
        </is>
      </c>
      <c r="G236" s="2" t="inlineStr">
        <is>
          <t>ME01: Mega Evolution</t>
        </is>
      </c>
      <c r="H236" s="3" t="n"/>
      <c r="I236" s="3" t="n">
        <v>482.36</v>
      </c>
      <c r="J236" s="3" t="n">
        <v>499.99</v>
      </c>
      <c r="K236" s="3" t="n">
        <v>484.99</v>
      </c>
      <c r="L236" s="2" t="inlineStr">
        <is>
          <t>TCGplayer</t>
        </is>
      </c>
      <c r="N236" s="4" t="inlineStr">
        <is>
          <t>https://www.tcgplayer.com/product/644733</t>
        </is>
      </c>
    </row>
    <row r="237">
      <c r="A237" s="2" t="inlineStr">
        <is>
          <t>Mega Evolution Elite Trainer Box Case</t>
        </is>
      </c>
      <c r="B237" s="3">
        <f>IF(H237&lt;&gt;"",H237,IF(I237&lt;&gt;"",I237,IF(J237&lt;&gt;"",J237,K237)))</f>
        <v>1129.88</v>
      </c>
      <c r="C237" s="3">
        <f>MEDIAN(H237:K237)</f>
        <v>1199.19</v>
      </c>
      <c r="D237" s="3">
        <f>ROUND(C237*(1-Settings!$B$2),2)</f>
        <v>839.43</v>
      </c>
      <c r="E237" s="2" t="inlineStr">
        <is>
          <t>Pokemon</t>
        </is>
      </c>
      <c r="F237" s="2" t="inlineStr">
        <is>
          <t>Case/Display</t>
        </is>
      </c>
      <c r="G237" s="2" t="inlineStr">
        <is>
          <t>ME01: Mega Evolution</t>
        </is>
      </c>
      <c r="H237" s="3" t="n"/>
      <c r="I237" s="3" t="n">
        <v>1129.88</v>
      </c>
      <c r="J237" s="3" t="n">
        <v>1365</v>
      </c>
      <c r="K237" s="3" t="n">
        <v>1199.19</v>
      </c>
      <c r="L237" s="2" t="inlineStr">
        <is>
          <t>TCGplayer</t>
        </is>
      </c>
      <c r="N237" s="4" t="inlineStr">
        <is>
          <t>https://www.tcgplayer.com/product/644727</t>
        </is>
      </c>
    </row>
    <row r="238">
      <c r="A238" s="2" t="inlineStr">
        <is>
          <t>Mega Evolution Enhanced Booster Case</t>
        </is>
      </c>
      <c r="B238" s="3">
        <f>IF(H238&lt;&gt;"",H238,IF(I238&lt;&gt;"",I238,IF(J238&lt;&gt;"",J238,K238)))</f>
        <v>1830.48</v>
      </c>
      <c r="C238" s="3">
        <f>MEDIAN(H238:K238)</f>
        <v>1830.48</v>
      </c>
      <c r="D238" s="3">
        <f>ROUND(C238*(1-Settings!$B$2),2)</f>
        <v>1281.34</v>
      </c>
      <c r="E238" s="2" t="inlineStr">
        <is>
          <t>Pokemon</t>
        </is>
      </c>
      <c r="F238" s="2" t="inlineStr">
        <is>
          <t>Case/Display</t>
        </is>
      </c>
      <c r="G238" s="2" t="inlineStr">
        <is>
          <t>ME01: Mega Evolution</t>
        </is>
      </c>
      <c r="H238" s="3" t="n"/>
      <c r="I238" s="3" t="n">
        <v>1830.48</v>
      </c>
      <c r="J238" s="3" t="n">
        <v>1890</v>
      </c>
      <c r="K238" s="3" t="n">
        <v>1740</v>
      </c>
      <c r="L238" s="2" t="inlineStr">
        <is>
          <t>TCGplayer</t>
        </is>
      </c>
      <c r="N238" s="4" t="inlineStr">
        <is>
          <t>https://www.tcgplayer.com/product/646173</t>
        </is>
      </c>
    </row>
    <row r="239">
      <c r="A239" s="2" t="inlineStr">
        <is>
          <t>Mega Evolution Sleeved Booster Case</t>
        </is>
      </c>
      <c r="B239" s="3">
        <f>IF(H239&lt;&gt;"",H239,IF(I239&lt;&gt;"",I239,IF(J239&lt;&gt;"",J239,K239)))</f>
        <v>1248.45</v>
      </c>
      <c r="C239" s="3">
        <f>MEDIAN(H239:K239)</f>
        <v>1433.51</v>
      </c>
      <c r="D239" s="3">
        <f>ROUND(C239*(1-Settings!$B$2),2)</f>
        <v>1003.46</v>
      </c>
      <c r="E239" s="2" t="inlineStr">
        <is>
          <t>Pokemon</t>
        </is>
      </c>
      <c r="F239" s="2" t="inlineStr">
        <is>
          <t>Case/Display</t>
        </is>
      </c>
      <c r="G239" s="2" t="inlineStr">
        <is>
          <t>ME01: Mega Evolution</t>
        </is>
      </c>
      <c r="H239" s="3" t="n"/>
      <c r="I239" s="3" t="n">
        <v>1248.45</v>
      </c>
      <c r="J239" s="3" t="n">
        <v>1439.45</v>
      </c>
      <c r="K239" s="3" t="n">
        <v>1433.51</v>
      </c>
      <c r="L239" s="2" t="inlineStr">
        <is>
          <t>TCGplayer</t>
        </is>
      </c>
      <c r="N239" s="4" t="inlineStr">
        <is>
          <t>https://www.tcgplayer.com/product/650766</t>
        </is>
      </c>
    </row>
    <row r="240">
      <c r="A240" s="2" t="inlineStr">
        <is>
          <t>Mega Heroes Mini Tin Display</t>
        </is>
      </c>
      <c r="B240" s="3">
        <f>IF(H240&lt;&gt;"",H240,IF(I240&lt;&gt;"",I240,IF(J240&lt;&gt;"",J240,K240)))</f>
        <v>270.38</v>
      </c>
      <c r="C240" s="3">
        <f>MEDIAN(H240:K240)</f>
        <v>245.0</v>
      </c>
      <c r="D240" s="3">
        <f>ROUND(C240*(1-Settings!$B$2),2)</f>
        <v>171.5</v>
      </c>
      <c r="E240" s="2" t="inlineStr">
        <is>
          <t>Pokemon</t>
        </is>
      </c>
      <c r="F240" s="2" t="inlineStr">
        <is>
          <t>Case/Display</t>
        </is>
      </c>
      <c r="G240" s="2" t="inlineStr">
        <is>
          <t>ME01: Mega Evolution</t>
        </is>
      </c>
      <c r="H240" s="3" t="n"/>
      <c r="I240" s="3" t="n">
        <v>270.38</v>
      </c>
      <c r="J240" s="3" t="n">
        <v>245</v>
      </c>
      <c r="K240" s="3" t="n">
        <v>216</v>
      </c>
      <c r="L240" s="2" t="inlineStr">
        <is>
          <t>TCGplayer</t>
        </is>
      </c>
      <c r="N240" s="4" t="inlineStr">
        <is>
          <t>https://www.tcgplayer.com/product/649392</t>
        </is>
      </c>
    </row>
    <row r="241">
      <c r="A241" s="2" t="inlineStr">
        <is>
          <t>Phantasmal Flames 3-Pack Blister Case</t>
        </is>
      </c>
      <c r="B241" s="3">
        <f>IF(H241&lt;&gt;"",H241,IF(I241&lt;&gt;"",I241,IF(J241&lt;&gt;"",J241,K241)))</f>
        <v>1484.99</v>
      </c>
      <c r="C241" s="3">
        <f>MEDIAN(H241:K241)</f>
        <v>1329.995</v>
      </c>
      <c r="D241" s="3">
        <f>ROUND(C241*(1-Settings!$B$2),2)</f>
        <v>931.0</v>
      </c>
      <c r="E241" s="2" t="inlineStr">
        <is>
          <t>Pokemon</t>
        </is>
      </c>
      <c r="F241" s="2" t="inlineStr">
        <is>
          <t>Case/Display</t>
        </is>
      </c>
      <c r="G241" s="2" t="inlineStr">
        <is>
          <t>ME02: Phantasmal Flames</t>
        </is>
      </c>
      <c r="H241" s="3" t="n"/>
      <c r="I241" s="3" t="n"/>
      <c r="J241" s="3" t="n">
        <v>1484.99</v>
      </c>
      <c r="K241" s="3" t="n">
        <v>1175</v>
      </c>
      <c r="L241" s="2" t="inlineStr">
        <is>
          <t>TCGplayer</t>
        </is>
      </c>
      <c r="N241" s="4" t="inlineStr">
        <is>
          <t>https://www.tcgplayer.com/product/685215</t>
        </is>
      </c>
    </row>
    <row r="242">
      <c r="A242" s="2" t="inlineStr">
        <is>
          <t>Phantasmal Flames Booster Box Case</t>
        </is>
      </c>
      <c r="B242" s="3">
        <f>IF(H242&lt;&gt;"",H242,IF(I242&lt;&gt;"",I242,IF(J242&lt;&gt;"",J242,K242)))</f>
        <v>2297.66</v>
      </c>
      <c r="C242" s="3">
        <f>MEDIAN(H242:K242)</f>
        <v>2297.66</v>
      </c>
      <c r="D242" s="3">
        <f>ROUND(C242*(1-Settings!$B$2),2)</f>
        <v>1608.36</v>
      </c>
      <c r="E242" s="2" t="inlineStr">
        <is>
          <t>Pokemon</t>
        </is>
      </c>
      <c r="F242" s="2" t="inlineStr">
        <is>
          <t>Case/Display</t>
        </is>
      </c>
      <c r="G242" s="2" t="inlineStr">
        <is>
          <t>ME02: Phantasmal Flames</t>
        </is>
      </c>
      <c r="H242" s="3" t="n"/>
      <c r="I242" s="3" t="n">
        <v>2297.66</v>
      </c>
      <c r="J242" s="3" t="n">
        <v>2799.99</v>
      </c>
      <c r="K242" s="3" t="n">
        <v>2198.51</v>
      </c>
      <c r="L242" s="2" t="inlineStr">
        <is>
          <t>TCGplayer</t>
        </is>
      </c>
      <c r="N242" s="4" t="inlineStr">
        <is>
          <t>https://www.tcgplayer.com/product/655281</t>
        </is>
      </c>
    </row>
    <row r="243">
      <c r="A243" s="2" t="inlineStr">
        <is>
          <t>Phantasmal Flames Booster Bundle Case</t>
        </is>
      </c>
      <c r="B243" s="3">
        <f>IF(H243&lt;&gt;"",H243,IF(I243&lt;&gt;"",I243,IF(J243&lt;&gt;"",J243,K243)))</f>
        <v>1783.33</v>
      </c>
      <c r="C243" s="3">
        <f>MEDIAN(H243:K243)</f>
        <v>2200.9</v>
      </c>
      <c r="D243" s="3">
        <f>ROUND(C243*(1-Settings!$B$2),2)</f>
        <v>1540.63</v>
      </c>
      <c r="E243" s="2" t="inlineStr">
        <is>
          <t>Pokemon</t>
        </is>
      </c>
      <c r="F243" s="2" t="inlineStr">
        <is>
          <t>Case/Display</t>
        </is>
      </c>
      <c r="G243" s="2" t="inlineStr">
        <is>
          <t>ME02: Phantasmal Flames</t>
        </is>
      </c>
      <c r="H243" s="3" t="n"/>
      <c r="I243" s="3" t="n">
        <v>1783.33</v>
      </c>
      <c r="J243" s="3" t="n">
        <v>2409.99</v>
      </c>
      <c r="K243" s="3" t="n">
        <v>2200.9</v>
      </c>
      <c r="L243" s="2" t="inlineStr">
        <is>
          <t>TCGplayer</t>
        </is>
      </c>
      <c r="N243" s="4" t="inlineStr">
        <is>
          <t>https://www.tcgplayer.com/product/654162</t>
        </is>
      </c>
    </row>
    <row r="244">
      <c r="A244" s="2" t="inlineStr">
        <is>
          <t>Phantasmal Flames Build &amp; Battle Box Display</t>
        </is>
      </c>
      <c r="B244" s="3">
        <f>IF(H244&lt;&gt;"",H244,IF(I244&lt;&gt;"",I244,IF(J244&lt;&gt;"",J244,K244)))</f>
        <v>493.91</v>
      </c>
      <c r="C244" s="3">
        <f>MEDIAN(H244:K244)</f>
        <v>493.91</v>
      </c>
      <c r="D244" s="3">
        <f>ROUND(C244*(1-Settings!$B$2),2)</f>
        <v>345.74</v>
      </c>
      <c r="E244" s="2" t="inlineStr">
        <is>
          <t>Pokemon</t>
        </is>
      </c>
      <c r="F244" s="2" t="inlineStr">
        <is>
          <t>Case/Display</t>
        </is>
      </c>
      <c r="G244" s="2" t="inlineStr">
        <is>
          <t>ME02: Phantasmal Flames</t>
        </is>
      </c>
      <c r="H244" s="3" t="n"/>
      <c r="I244" s="3" t="n">
        <v>493.91</v>
      </c>
      <c r="J244" s="3" t="n">
        <v>511.94</v>
      </c>
      <c r="K244" s="3" t="n">
        <v>486.96</v>
      </c>
      <c r="L244" s="2" t="inlineStr">
        <is>
          <t>TCGplayer</t>
        </is>
      </c>
      <c r="N244" s="4" t="inlineStr">
        <is>
          <t>https://www.tcgplayer.com/product/654164</t>
        </is>
      </c>
    </row>
    <row r="245">
      <c r="A245" s="2" t="inlineStr">
        <is>
          <t>Phantasmal Flames Elite Trainer Box Case</t>
        </is>
      </c>
      <c r="B245" s="3">
        <f>IF(H245&lt;&gt;"",H245,IF(I245&lt;&gt;"",I245,IF(J245&lt;&gt;"",J245,K245)))</f>
        <v>1461.69</v>
      </c>
      <c r="C245" s="3">
        <f>MEDIAN(H245:K245)</f>
        <v>1526.0</v>
      </c>
      <c r="D245" s="3">
        <f>ROUND(C245*(1-Settings!$B$2),2)</f>
        <v>1068.2</v>
      </c>
      <c r="E245" s="2" t="inlineStr">
        <is>
          <t>Pokemon</t>
        </is>
      </c>
      <c r="F245" s="2" t="inlineStr">
        <is>
          <t>Case/Display</t>
        </is>
      </c>
      <c r="G245" s="2" t="inlineStr">
        <is>
          <t>ME02: Phantasmal Flames</t>
        </is>
      </c>
      <c r="H245" s="3" t="n"/>
      <c r="I245" s="3" t="n">
        <v>1461.69</v>
      </c>
      <c r="J245" s="3" t="n">
        <v>1649.99</v>
      </c>
      <c r="K245" s="3" t="n">
        <v>1526</v>
      </c>
      <c r="L245" s="2" t="inlineStr">
        <is>
          <t>TCGplayer</t>
        </is>
      </c>
      <c r="N245" s="4" t="inlineStr">
        <is>
          <t>https://www.tcgplayer.com/product/654170</t>
        </is>
      </c>
    </row>
    <row r="246">
      <c r="A246" s="2" t="inlineStr">
        <is>
          <t>Phantasmal Flames Sleeved Booster Case</t>
        </is>
      </c>
      <c r="B246" s="3">
        <f>IF(H246&lt;&gt;"",H246,IF(I246&lt;&gt;"",I246,IF(J246&lt;&gt;"",J246,K246)))</f>
        <v>1640.58</v>
      </c>
      <c r="C246" s="3">
        <f>MEDIAN(H246:K246)</f>
        <v>1739.94</v>
      </c>
      <c r="D246" s="3">
        <f>ROUND(C246*(1-Settings!$B$2),2)</f>
        <v>1217.96</v>
      </c>
      <c r="E246" s="2" t="inlineStr">
        <is>
          <t>Pokemon</t>
        </is>
      </c>
      <c r="F246" s="2" t="inlineStr">
        <is>
          <t>Case/Display</t>
        </is>
      </c>
      <c r="G246" s="2" t="inlineStr">
        <is>
          <t>ME02: Phantasmal Flames</t>
        </is>
      </c>
      <c r="H246" s="3" t="n"/>
      <c r="I246" s="3" t="n">
        <v>1640.58</v>
      </c>
      <c r="J246" s="3" t="n">
        <v>1745.92</v>
      </c>
      <c r="K246" s="3" t="n">
        <v>1739.94</v>
      </c>
      <c r="L246" s="2" t="inlineStr">
        <is>
          <t>TCGplayer</t>
        </is>
      </c>
      <c r="N246" s="4" t="inlineStr">
        <is>
          <t>https://www.tcgplayer.com/product/655282</t>
        </is>
      </c>
    </row>
    <row r="247">
      <c r="A247" s="2" t="inlineStr">
        <is>
          <t>Perfect Order 3 Pack Blister Case [Chikorita]</t>
        </is>
      </c>
      <c r="B247" s="3">
        <f>IF(H247&lt;&gt;"",H247,IF(I247&lt;&gt;"",I247,IF(J247&lt;&gt;"",J247,K247)))</f>
        <v>598.48</v>
      </c>
      <c r="C247" s="3">
        <f>MEDIAN(H247:K247)</f>
        <v>598.215</v>
      </c>
      <c r="D247" s="3">
        <f>ROUND(C247*(1-Settings!$B$2),2)</f>
        <v>418.75</v>
      </c>
      <c r="E247" s="2" t="inlineStr">
        <is>
          <t>Pokemon</t>
        </is>
      </c>
      <c r="F247" s="2" t="inlineStr">
        <is>
          <t>Case/Display</t>
        </is>
      </c>
      <c r="G247" s="2" t="inlineStr">
        <is>
          <t>ME03: Perfect Order</t>
        </is>
      </c>
      <c r="H247" s="3" t="n"/>
      <c r="I247" s="3" t="n"/>
      <c r="J247" s="3" t="n">
        <v>598.48</v>
      </c>
      <c r="K247" s="3" t="n">
        <v>597.95</v>
      </c>
      <c r="L247" s="2" t="inlineStr">
        <is>
          <t>TCGplayer</t>
        </is>
      </c>
      <c r="N247" s="4" t="inlineStr">
        <is>
          <t>https://www.tcgplayer.com/product/706309</t>
        </is>
      </c>
    </row>
    <row r="248">
      <c r="A248" s="2" t="inlineStr">
        <is>
          <t>Perfect Order Booster Box Case</t>
        </is>
      </c>
      <c r="B248" s="3">
        <f>IF(H248&lt;&gt;"",H248,IF(I248&lt;&gt;"",I248,IF(J248&lt;&gt;"",J248,K248)))</f>
        <v>992.85</v>
      </c>
      <c r="C248" s="3">
        <f>MEDIAN(H248:K248)</f>
        <v>1001.0</v>
      </c>
      <c r="D248" s="3">
        <f>ROUND(C248*(1-Settings!$B$2),2)</f>
        <v>700.7</v>
      </c>
      <c r="E248" s="2" t="inlineStr">
        <is>
          <t>Pokemon</t>
        </is>
      </c>
      <c r="F248" s="2" t="inlineStr">
        <is>
          <t>Case/Display</t>
        </is>
      </c>
      <c r="G248" s="2" t="inlineStr">
        <is>
          <t>ME03: Perfect Order</t>
        </is>
      </c>
      <c r="H248" s="3" t="n"/>
      <c r="I248" s="3" t="n">
        <v>992.85</v>
      </c>
      <c r="J248" s="3" t="n">
        <v>1279.99</v>
      </c>
      <c r="K248" s="3" t="n">
        <v>1001</v>
      </c>
      <c r="L248" s="2" t="inlineStr">
        <is>
          <t>TCGplayer</t>
        </is>
      </c>
      <c r="N248" s="4" t="inlineStr">
        <is>
          <t>https://www.tcgplayer.com/product/672395</t>
        </is>
      </c>
    </row>
    <row r="249">
      <c r="A249" s="2" t="inlineStr">
        <is>
          <t>Perfect Order Booster Bundle Case</t>
        </is>
      </c>
      <c r="B249" s="3">
        <f>IF(H249&lt;&gt;"",H249,IF(I249&lt;&gt;"",I249,IF(J249&lt;&gt;"",J249,K249)))</f>
        <v>915.74</v>
      </c>
      <c r="C249" s="3">
        <f>MEDIAN(H249:K249)</f>
        <v>915.74</v>
      </c>
      <c r="D249" s="3">
        <f>ROUND(C249*(1-Settings!$B$2),2)</f>
        <v>641.02</v>
      </c>
      <c r="E249" s="2" t="inlineStr">
        <is>
          <t>Pokemon</t>
        </is>
      </c>
      <c r="F249" s="2" t="inlineStr">
        <is>
          <t>Case/Display</t>
        </is>
      </c>
      <c r="G249" s="2" t="inlineStr">
        <is>
          <t>ME03: Perfect Order</t>
        </is>
      </c>
      <c r="H249" s="3" t="n"/>
      <c r="I249" s="3" t="n">
        <v>915.74</v>
      </c>
      <c r="J249" s="3" t="n">
        <v>949.99</v>
      </c>
      <c r="K249" s="3" t="n">
        <v>850</v>
      </c>
      <c r="L249" s="2" t="inlineStr">
        <is>
          <t>TCGplayer</t>
        </is>
      </c>
      <c r="N249" s="4" t="inlineStr">
        <is>
          <t>https://www.tcgplayer.com/product/672397</t>
        </is>
      </c>
    </row>
    <row r="250">
      <c r="A250" s="2" t="inlineStr">
        <is>
          <t>Perfect Order Elite Trainer Box Case</t>
        </is>
      </c>
      <c r="B250" s="3">
        <f>IF(H250&lt;&gt;"",H250,IF(I250&lt;&gt;"",I250,IF(J250&lt;&gt;"",J250,K250)))</f>
        <v>661.72</v>
      </c>
      <c r="C250" s="3">
        <f>MEDIAN(H250:K250)</f>
        <v>661.72</v>
      </c>
      <c r="D250" s="3">
        <f>ROUND(C250*(1-Settings!$B$2),2)</f>
        <v>463.2</v>
      </c>
      <c r="E250" s="2" t="inlineStr">
        <is>
          <t>Pokemon</t>
        </is>
      </c>
      <c r="F250" s="2" t="inlineStr">
        <is>
          <t>Case/Display</t>
        </is>
      </c>
      <c r="G250" s="2" t="inlineStr">
        <is>
          <t>ME03: Perfect Order</t>
        </is>
      </c>
      <c r="H250" s="3" t="n"/>
      <c r="I250" s="3" t="n">
        <v>661.72</v>
      </c>
      <c r="J250" s="3" t="n">
        <v>788.99</v>
      </c>
      <c r="K250" s="3" t="n">
        <v>500</v>
      </c>
      <c r="L250" s="2" t="inlineStr">
        <is>
          <t>TCGplayer</t>
        </is>
      </c>
      <c r="N250" s="4" t="inlineStr">
        <is>
          <t>https://www.tcgplayer.com/product/672402</t>
        </is>
      </c>
    </row>
    <row r="251">
      <c r="A251" s="2" t="inlineStr">
        <is>
          <t>Perfect Order Pokemon Center Elite Trainer Box Case</t>
        </is>
      </c>
      <c r="B251" s="3">
        <f>IF(H251&lt;&gt;"",H251,IF(I251&lt;&gt;"",I251,IF(J251&lt;&gt;"",J251,K251)))</f>
        <v>600.0</v>
      </c>
      <c r="C251" s="3">
        <f>MEDIAN(H251:K251)</f>
        <v>600.0</v>
      </c>
      <c r="D251" s="3">
        <f>ROUND(C251*(1-Settings!$B$2),2)</f>
        <v>420.0</v>
      </c>
      <c r="E251" s="2" t="inlineStr">
        <is>
          <t>Pokemon</t>
        </is>
      </c>
      <c r="F251" s="2" t="inlineStr">
        <is>
          <t>Case/Display</t>
        </is>
      </c>
      <c r="G251" s="2" t="inlineStr">
        <is>
          <t>ME03: Perfect Order</t>
        </is>
      </c>
      <c r="H251" s="3" t="n"/>
      <c r="I251" s="3" t="n"/>
      <c r="J251" s="3" t="n"/>
      <c r="K251" s="3" t="n">
        <v>600</v>
      </c>
      <c r="L251" s="2" t="inlineStr">
        <is>
          <t>TCGplayer</t>
        </is>
      </c>
      <c r="N251" s="4" t="inlineStr">
        <is>
          <t>https://www.tcgplayer.com/product/672405</t>
        </is>
      </c>
    </row>
    <row r="252">
      <c r="A252" s="2" t="inlineStr">
        <is>
          <t>Perfect Order Sleeved Booster Case</t>
        </is>
      </c>
      <c r="B252" s="3">
        <f>IF(H252&lt;&gt;"",H252,IF(I252&lt;&gt;"",I252,IF(J252&lt;&gt;"",J252,K252)))</f>
        <v>906.23</v>
      </c>
      <c r="C252" s="3">
        <f>MEDIAN(H252:K252)</f>
        <v>894.99</v>
      </c>
      <c r="D252" s="3">
        <f>ROUND(C252*(1-Settings!$B$2),2)</f>
        <v>626.49</v>
      </c>
      <c r="E252" s="2" t="inlineStr">
        <is>
          <t>Pokemon</t>
        </is>
      </c>
      <c r="F252" s="2" t="inlineStr">
        <is>
          <t>Case/Display</t>
        </is>
      </c>
      <c r="G252" s="2" t="inlineStr">
        <is>
          <t>ME03: Perfect Order</t>
        </is>
      </c>
      <c r="H252" s="3" t="n"/>
      <c r="I252" s="3" t="n">
        <v>906.23</v>
      </c>
      <c r="J252" s="3" t="n">
        <v>894.99</v>
      </c>
      <c r="K252" s="3" t="n">
        <v>872.89</v>
      </c>
      <c r="L252" s="2" t="inlineStr">
        <is>
          <t>TCGplayer</t>
        </is>
      </c>
      <c r="N252" s="4" t="inlineStr">
        <is>
          <t>https://www.tcgplayer.com/product/672411</t>
        </is>
      </c>
    </row>
    <row r="253">
      <c r="A253" s="2" t="inlineStr">
        <is>
          <t>Chaos Rising 3-Pack Blister Case</t>
        </is>
      </c>
      <c r="B253" s="3">
        <f>IF(H253&lt;&gt;"",H253,IF(I253&lt;&gt;"",I253,IF(J253&lt;&gt;"",J253,K253)))</f>
        <v>599.93</v>
      </c>
      <c r="C253" s="3">
        <f>MEDIAN(H253:K253)</f>
        <v>549.93</v>
      </c>
      <c r="D253" s="3">
        <f>ROUND(C253*(1-Settings!$B$2),2)</f>
        <v>384.95</v>
      </c>
      <c r="E253" s="2" t="inlineStr">
        <is>
          <t>Pokemon</t>
        </is>
      </c>
      <c r="F253" s="2" t="inlineStr">
        <is>
          <t>Case/Display</t>
        </is>
      </c>
      <c r="G253" s="2" t="inlineStr">
        <is>
          <t>ME04: Chaos Rising</t>
        </is>
      </c>
      <c r="H253" s="3" t="n"/>
      <c r="I253" s="3" t="n">
        <v>599.9299999999999</v>
      </c>
      <c r="J253" s="3" t="n">
        <v>549.9299999999999</v>
      </c>
      <c r="K253" s="3" t="n">
        <v>529.9400000000001</v>
      </c>
      <c r="L253" s="2" t="inlineStr">
        <is>
          <t>TCGplayer</t>
        </is>
      </c>
      <c r="N253" s="4" t="inlineStr">
        <is>
          <t>https://www.tcgplayer.com/product/695118</t>
        </is>
      </c>
    </row>
    <row r="254">
      <c r="A254" s="2" t="inlineStr">
        <is>
          <t>Chaos Rising Booster Box Case</t>
        </is>
      </c>
      <c r="B254" s="3">
        <f>IF(H254&lt;&gt;"",H254,IF(I254&lt;&gt;"",I254,IF(J254&lt;&gt;"",J254,K254)))</f>
        <v>1115.28</v>
      </c>
      <c r="C254" s="3">
        <f>MEDIAN(H254:K254)</f>
        <v>1115.28</v>
      </c>
      <c r="D254" s="3">
        <f>ROUND(C254*(1-Settings!$B$2),2)</f>
        <v>780.7</v>
      </c>
      <c r="E254" s="2" t="inlineStr">
        <is>
          <t>Pokemon</t>
        </is>
      </c>
      <c r="F254" s="2" t="inlineStr">
        <is>
          <t>Case/Display</t>
        </is>
      </c>
      <c r="G254" s="2" t="inlineStr">
        <is>
          <t>ME04: Chaos Rising</t>
        </is>
      </c>
      <c r="H254" s="3" t="n"/>
      <c r="I254" s="3" t="n">
        <v>1115.28</v>
      </c>
      <c r="J254" s="3" t="n">
        <v>1275.76</v>
      </c>
      <c r="K254" s="3" t="n">
        <v>1099.9</v>
      </c>
      <c r="L254" s="2" t="inlineStr">
        <is>
          <t>TCGplayer</t>
        </is>
      </c>
      <c r="N254" s="4" t="inlineStr">
        <is>
          <t>https://www.tcgplayer.com/product/684445</t>
        </is>
      </c>
    </row>
    <row r="255">
      <c r="A255" s="2" t="inlineStr">
        <is>
          <t>Chaos Rising Booster Bundle Case</t>
        </is>
      </c>
      <c r="B255" s="3">
        <f>IF(H255&lt;&gt;"",H255,IF(I255&lt;&gt;"",I255,IF(J255&lt;&gt;"",J255,K255)))</f>
        <v>892.28</v>
      </c>
      <c r="C255" s="3">
        <f>MEDIAN(H255:K255)</f>
        <v>892.28</v>
      </c>
      <c r="D255" s="3">
        <f>ROUND(C255*(1-Settings!$B$2),2)</f>
        <v>624.6</v>
      </c>
      <c r="E255" s="2" t="inlineStr">
        <is>
          <t>Pokemon</t>
        </is>
      </c>
      <c r="F255" s="2" t="inlineStr">
        <is>
          <t>Case/Display</t>
        </is>
      </c>
      <c r="G255" s="2" t="inlineStr">
        <is>
          <t>ME04: Chaos Rising</t>
        </is>
      </c>
      <c r="H255" s="3" t="n"/>
      <c r="I255" s="3" t="n">
        <v>892.28</v>
      </c>
      <c r="J255" s="3" t="n">
        <v>997.49</v>
      </c>
      <c r="K255" s="3" t="n">
        <v>839.97</v>
      </c>
      <c r="L255" s="2" t="inlineStr">
        <is>
          <t>TCGplayer</t>
        </is>
      </c>
      <c r="N255" s="4" t="inlineStr">
        <is>
          <t>https://www.tcgplayer.com/product/688949</t>
        </is>
      </c>
    </row>
    <row r="256">
      <c r="A256" s="2" t="inlineStr">
        <is>
          <t>Chaos Rising Build &amp; Battle Display</t>
        </is>
      </c>
      <c r="B256" s="3">
        <f>IF(H256&lt;&gt;"",H256,IF(I256&lt;&gt;"",I256,IF(J256&lt;&gt;"",J256,K256)))</f>
        <v>348.45</v>
      </c>
      <c r="C256" s="3">
        <f>MEDIAN(H256:K256)</f>
        <v>348.65</v>
      </c>
      <c r="D256" s="3">
        <f>ROUND(C256*(1-Settings!$B$2),2)</f>
        <v>244.06</v>
      </c>
      <c r="E256" s="2" t="inlineStr">
        <is>
          <t>Pokemon</t>
        </is>
      </c>
      <c r="F256" s="2" t="inlineStr">
        <is>
          <t>Case/Display</t>
        </is>
      </c>
      <c r="G256" s="2" t="inlineStr">
        <is>
          <t>ME04: Chaos Rising</t>
        </is>
      </c>
      <c r="H256" s="3" t="n"/>
      <c r="I256" s="3" t="n">
        <v>348.45</v>
      </c>
      <c r="J256" s="3" t="n">
        <v>389.98</v>
      </c>
      <c r="K256" s="3" t="n">
        <v>348.65</v>
      </c>
      <c r="L256" s="2" t="inlineStr">
        <is>
          <t>TCGplayer</t>
        </is>
      </c>
      <c r="N256" s="4" t="inlineStr">
        <is>
          <t>https://www.tcgplayer.com/product/684455</t>
        </is>
      </c>
    </row>
    <row r="257">
      <c r="A257" s="2" t="inlineStr">
        <is>
          <t>Chaos Rising Elite Trainer Box Case</t>
        </is>
      </c>
      <c r="B257" s="3">
        <f>IF(H257&lt;&gt;"",H257,IF(I257&lt;&gt;"",I257,IF(J257&lt;&gt;"",J257,K257)))</f>
        <v>705.64</v>
      </c>
      <c r="C257" s="3">
        <f>MEDIAN(H257:K257)</f>
        <v>705.64</v>
      </c>
      <c r="D257" s="3">
        <f>ROUND(C257*(1-Settings!$B$2),2)</f>
        <v>493.95</v>
      </c>
      <c r="E257" s="2" t="inlineStr">
        <is>
          <t>Pokemon</t>
        </is>
      </c>
      <c r="F257" s="2" t="inlineStr">
        <is>
          <t>Case/Display</t>
        </is>
      </c>
      <c r="G257" s="2" t="inlineStr">
        <is>
          <t>ME04: Chaos Rising</t>
        </is>
      </c>
      <c r="H257" s="3" t="n"/>
      <c r="I257" s="3" t="n">
        <v>705.64</v>
      </c>
      <c r="J257" s="3" t="n">
        <v>849.99</v>
      </c>
      <c r="K257" s="3" t="n">
        <v>695</v>
      </c>
      <c r="L257" s="2" t="inlineStr">
        <is>
          <t>TCGplayer</t>
        </is>
      </c>
      <c r="N257" s="4" t="inlineStr">
        <is>
          <t>https://www.tcgplayer.com/product/684451</t>
        </is>
      </c>
    </row>
    <row r="258">
      <c r="A258" s="2" t="inlineStr">
        <is>
          <t>Chaos Rising Sleeved Booster Case</t>
        </is>
      </c>
      <c r="B258" s="3">
        <f>IF(H258&lt;&gt;"",H258,IF(I258&lt;&gt;"",I258,IF(J258&lt;&gt;"",J258,K258)))</f>
        <v>931.63</v>
      </c>
      <c r="C258" s="3">
        <f>MEDIAN(H258:K258)</f>
        <v>775.0</v>
      </c>
      <c r="D258" s="3">
        <f>ROUND(C258*(1-Settings!$B$2),2)</f>
        <v>542.5</v>
      </c>
      <c r="E258" s="2" t="inlineStr">
        <is>
          <t>Pokemon</t>
        </is>
      </c>
      <c r="F258" s="2" t="inlineStr">
        <is>
          <t>Case/Display</t>
        </is>
      </c>
      <c r="G258" s="2" t="inlineStr">
        <is>
          <t>ME04: Chaos Rising</t>
        </is>
      </c>
      <c r="H258" s="3" t="n"/>
      <c r="I258" s="3" t="n">
        <v>931.63</v>
      </c>
      <c r="J258" s="3" t="n">
        <v>775</v>
      </c>
      <c r="K258" s="3" t="n">
        <v>717.99</v>
      </c>
      <c r="L258" s="2" t="inlineStr">
        <is>
          <t>TCGplayer</t>
        </is>
      </c>
      <c r="N258" s="4" t="inlineStr">
        <is>
          <t>https://www.tcgplayer.com/product/690684</t>
        </is>
      </c>
    </row>
    <row r="259">
      <c r="A259" s="2" t="inlineStr">
        <is>
          <t>Pitch Black 3-Pack Blister Case</t>
        </is>
      </c>
      <c r="B259" s="3">
        <f>IF(H259&lt;&gt;"",H259,IF(I259&lt;&gt;"",I259,IF(J259&lt;&gt;"",J259,K259)))</f>
        <v>560.64</v>
      </c>
      <c r="C259" s="3">
        <f>MEDIAN(H259:K259)</f>
        <v>522.49</v>
      </c>
      <c r="D259" s="3">
        <f>ROUND(C259*(1-Settings!$B$2),2)</f>
        <v>365.74</v>
      </c>
      <c r="E259" s="2" t="inlineStr">
        <is>
          <t>Pokemon</t>
        </is>
      </c>
      <c r="F259" s="2" t="inlineStr">
        <is>
          <t>Case/Display</t>
        </is>
      </c>
      <c r="G259" s="2" t="inlineStr">
        <is>
          <t>ME05: Pitch Black</t>
        </is>
      </c>
      <c r="H259" s="3" t="n"/>
      <c r="I259" s="3" t="n">
        <v>560.64</v>
      </c>
      <c r="J259" s="3" t="n">
        <v>522.49</v>
      </c>
      <c r="K259" s="3" t="n">
        <v>379.95</v>
      </c>
      <c r="L259" s="2" t="inlineStr">
        <is>
          <t>TCGplayer</t>
        </is>
      </c>
      <c r="N259" s="4" t="inlineStr">
        <is>
          <t>https://www.tcgplayer.com/product/693589</t>
        </is>
      </c>
    </row>
    <row r="260">
      <c r="A260" s="2" t="inlineStr">
        <is>
          <t>Pitch Black Booster Box Case</t>
        </is>
      </c>
      <c r="B260" s="3">
        <f>IF(H260&lt;&gt;"",H260,IF(I260&lt;&gt;"",I260,IF(J260&lt;&gt;"",J260,K260)))</f>
        <v>1069.22</v>
      </c>
      <c r="C260" s="3">
        <f>MEDIAN(H260:K260)</f>
        <v>1069.22</v>
      </c>
      <c r="D260" s="3">
        <f>ROUND(C260*(1-Settings!$B$2),2)</f>
        <v>748.45</v>
      </c>
      <c r="E260" s="2" t="inlineStr">
        <is>
          <t>Pokemon</t>
        </is>
      </c>
      <c r="F260" s="2" t="inlineStr">
        <is>
          <t>Case/Display</t>
        </is>
      </c>
      <c r="G260" s="2" t="inlineStr">
        <is>
          <t>ME05: Pitch Black</t>
        </is>
      </c>
      <c r="H260" s="3" t="n"/>
      <c r="I260" s="3" t="n">
        <v>1069.22</v>
      </c>
      <c r="J260" s="3" t="n">
        <v>1199.99</v>
      </c>
      <c r="K260" s="3" t="n">
        <v>999.95</v>
      </c>
      <c r="L260" s="2" t="inlineStr">
        <is>
          <t>TCGplayer</t>
        </is>
      </c>
      <c r="N260" s="4" t="inlineStr">
        <is>
          <t>https://www.tcgplayer.com/product/692941</t>
        </is>
      </c>
    </row>
    <row r="261">
      <c r="A261" s="2" t="inlineStr">
        <is>
          <t>Pitch Black Booster Bundle Case</t>
        </is>
      </c>
      <c r="B261" s="3">
        <f>IF(H261&lt;&gt;"",H261,IF(I261&lt;&gt;"",I261,IF(J261&lt;&gt;"",J261,K261)))</f>
        <v>825.4</v>
      </c>
      <c r="C261" s="3">
        <f>MEDIAN(H261:K261)</f>
        <v>829.95</v>
      </c>
      <c r="D261" s="3">
        <f>ROUND(C261*(1-Settings!$B$2),2)</f>
        <v>580.97</v>
      </c>
      <c r="E261" s="2" t="inlineStr">
        <is>
          <t>Pokemon</t>
        </is>
      </c>
      <c r="F261" s="2" t="inlineStr">
        <is>
          <t>Case/Display</t>
        </is>
      </c>
      <c r="G261" s="2" t="inlineStr">
        <is>
          <t>ME05: Pitch Black</t>
        </is>
      </c>
      <c r="H261" s="3" t="n"/>
      <c r="I261" s="3" t="n">
        <v>825.4</v>
      </c>
      <c r="J261" s="3" t="n">
        <v>999.98</v>
      </c>
      <c r="K261" s="3" t="n">
        <v>829.95</v>
      </c>
      <c r="L261" s="2" t="inlineStr">
        <is>
          <t>TCGplayer</t>
        </is>
      </c>
      <c r="N261" s="4" t="inlineStr">
        <is>
          <t>https://www.tcgplayer.com/product/692943</t>
        </is>
      </c>
    </row>
    <row r="262">
      <c r="A262" s="2" t="inlineStr">
        <is>
          <t>Pitch Black Build &amp; Battle Box Display</t>
        </is>
      </c>
      <c r="B262" s="3">
        <f>IF(H262&lt;&gt;"",H262,IF(I262&lt;&gt;"",I262,IF(J262&lt;&gt;"",J262,K262)))</f>
        <v>303.62</v>
      </c>
      <c r="C262" s="3">
        <f>MEDIAN(H262:K262)</f>
        <v>303.62</v>
      </c>
      <c r="D262" s="3">
        <f>ROUND(C262*(1-Settings!$B$2),2)</f>
        <v>212.53</v>
      </c>
      <c r="E262" s="2" t="inlineStr">
        <is>
          <t>Pokemon</t>
        </is>
      </c>
      <c r="F262" s="2" t="inlineStr">
        <is>
          <t>Case/Display</t>
        </is>
      </c>
      <c r="G262" s="2" t="inlineStr">
        <is>
          <t>ME05: Pitch Black</t>
        </is>
      </c>
      <c r="H262" s="3" t="n"/>
      <c r="I262" s="3" t="n">
        <v>303.62</v>
      </c>
      <c r="J262" s="3" t="n">
        <v>359.95</v>
      </c>
      <c r="K262" s="3" t="n">
        <v>299.69</v>
      </c>
      <c r="L262" s="2" t="inlineStr">
        <is>
          <t>TCGplayer</t>
        </is>
      </c>
      <c r="N262" s="4" t="inlineStr">
        <is>
          <t>https://www.tcgplayer.com/product/693586</t>
        </is>
      </c>
    </row>
    <row r="263">
      <c r="A263" s="2" t="inlineStr">
        <is>
          <t>Pitch Black Elite Trainer Box Case</t>
        </is>
      </c>
      <c r="B263" s="3">
        <f>IF(H263&lt;&gt;"",H263,IF(I263&lt;&gt;"",I263,IF(J263&lt;&gt;"",J263,K263)))</f>
        <v>714.52</v>
      </c>
      <c r="C263" s="3">
        <f>MEDIAN(H263:K263)</f>
        <v>801.0</v>
      </c>
      <c r="D263" s="3">
        <f>ROUND(C263*(1-Settings!$B$2),2)</f>
        <v>560.7</v>
      </c>
      <c r="E263" s="2" t="inlineStr">
        <is>
          <t>Pokemon</t>
        </is>
      </c>
      <c r="F263" s="2" t="inlineStr">
        <is>
          <t>Case/Display</t>
        </is>
      </c>
      <c r="G263" s="2" t="inlineStr">
        <is>
          <t>ME05: Pitch Black</t>
        </is>
      </c>
      <c r="H263" s="3" t="n"/>
      <c r="I263" s="3" t="n">
        <v>714.52</v>
      </c>
      <c r="J263" s="3" t="n">
        <v>1007.49</v>
      </c>
      <c r="K263" s="3" t="n">
        <v>801</v>
      </c>
      <c r="L263" s="2" t="inlineStr">
        <is>
          <t>TCGplayer</t>
        </is>
      </c>
      <c r="N263" s="4" t="inlineStr">
        <is>
          <t>https://www.tcgplayer.com/product/692948</t>
        </is>
      </c>
    </row>
    <row r="264">
      <c r="A264" s="2" t="inlineStr">
        <is>
          <t>Pitch Black Sleeved Booster Case</t>
        </is>
      </c>
      <c r="B264" s="3">
        <f>IF(H264&lt;&gt;"",H264,IF(I264&lt;&gt;"",I264,IF(J264&lt;&gt;"",J264,K264)))</f>
        <v>809.74</v>
      </c>
      <c r="C264" s="3">
        <f>MEDIAN(H264:K264)</f>
        <v>809.74</v>
      </c>
      <c r="D264" s="3">
        <f>ROUND(C264*(1-Settings!$B$2),2)</f>
        <v>566.82</v>
      </c>
      <c r="E264" s="2" t="inlineStr">
        <is>
          <t>Pokemon</t>
        </is>
      </c>
      <c r="F264" s="2" t="inlineStr">
        <is>
          <t>Case/Display</t>
        </is>
      </c>
      <c r="G264" s="2" t="inlineStr">
        <is>
          <t>ME05: Pitch Black</t>
        </is>
      </c>
      <c r="H264" s="3" t="n"/>
      <c r="I264" s="3" t="n">
        <v>809.74</v>
      </c>
      <c r="J264" s="3" t="n">
        <v>859.99</v>
      </c>
      <c r="K264" s="3" t="n">
        <v>764.97</v>
      </c>
      <c r="L264" s="2" t="inlineStr">
        <is>
          <t>TCGplayer</t>
        </is>
      </c>
      <c r="N264" s="4" t="inlineStr">
        <is>
          <t>https://www.tcgplayer.com/product/692956</t>
        </is>
      </c>
    </row>
    <row r="265">
      <c r="A265" s="2" t="inlineStr">
        <is>
          <t>Delta Reign Booster Box Case</t>
        </is>
      </c>
      <c r="B265" s="3">
        <f>IF(H265&lt;&gt;"",H265,IF(I265&lt;&gt;"",I265,IF(J265&lt;&gt;"",J265,K265)))</f>
        <v>1630.62</v>
      </c>
      <c r="C265" s="3">
        <f>MEDIAN(H265:K265)</f>
        <v>1645.81</v>
      </c>
      <c r="D265" s="3">
        <f>ROUND(C265*(1-Settings!$B$2),2)</f>
        <v>1152.07</v>
      </c>
      <c r="E265" s="2" t="inlineStr">
        <is>
          <t>Pokemon</t>
        </is>
      </c>
      <c r="F265" s="2" t="inlineStr">
        <is>
          <t>Case/Display</t>
        </is>
      </c>
      <c r="G265" s="2" t="inlineStr">
        <is>
          <t>ME06: Delta Reign</t>
        </is>
      </c>
      <c r="H265" s="3" t="n"/>
      <c r="I265" s="3" t="n">
        <v>1630.62</v>
      </c>
      <c r="J265" s="3" t="n">
        <v>1647.83</v>
      </c>
      <c r="K265" s="3" t="n">
        <v>1645.81</v>
      </c>
      <c r="L265" s="2" t="inlineStr">
        <is>
          <t>TCGplayer</t>
        </is>
      </c>
      <c r="N265" s="4" t="inlineStr">
        <is>
          <t>https://www.tcgplayer.com/product/712096</t>
        </is>
      </c>
    </row>
    <row r="266">
      <c r="A266" s="2" t="inlineStr">
        <is>
          <t>Delta Reign Booster Bundle Case</t>
        </is>
      </c>
      <c r="B266" s="3">
        <f>IF(H266&lt;&gt;"",H266,IF(I266&lt;&gt;"",I266,IF(J266&lt;&gt;"",J266,K266)))</f>
        <v>1798.89</v>
      </c>
      <c r="C266" s="3">
        <f>MEDIAN(H266:K266)</f>
        <v>1795.5900000000001</v>
      </c>
      <c r="D266" s="3">
        <f>ROUND(C266*(1-Settings!$B$2),2)</f>
        <v>1256.91</v>
      </c>
      <c r="E266" s="2" t="inlineStr">
        <is>
          <t>Pokemon</t>
        </is>
      </c>
      <c r="F266" s="2" t="inlineStr">
        <is>
          <t>Case/Display</t>
        </is>
      </c>
      <c r="G266" s="2" t="inlineStr">
        <is>
          <t>ME06: Delta Reign</t>
        </is>
      </c>
      <c r="H266" s="3" t="n"/>
      <c r="I266" s="3" t="n"/>
      <c r="J266" s="3" t="n">
        <v>1798.89</v>
      </c>
      <c r="K266" s="3" t="n">
        <v>1792.29</v>
      </c>
      <c r="L266" s="2" t="inlineStr">
        <is>
          <t>TCGplayer</t>
        </is>
      </c>
      <c r="N266" s="4" t="inlineStr">
        <is>
          <t>https://www.tcgplayer.com/product/712098</t>
        </is>
      </c>
    </row>
    <row r="267">
      <c r="A267" s="2" t="inlineStr">
        <is>
          <t>Delta Reign Elite Trainer Box Case</t>
        </is>
      </c>
      <c r="B267" s="3">
        <f>IF(H267&lt;&gt;"",H267,IF(I267&lt;&gt;"",I267,IF(J267&lt;&gt;"",J267,K267)))</f>
        <v>1274.51</v>
      </c>
      <c r="C267" s="3">
        <f>MEDIAN(H267:K267)</f>
        <v>1204.37</v>
      </c>
      <c r="D267" s="3">
        <f>ROUND(C267*(1-Settings!$B$2),2)</f>
        <v>843.06</v>
      </c>
      <c r="E267" s="2" t="inlineStr">
        <is>
          <t>Pokemon</t>
        </is>
      </c>
      <c r="F267" s="2" t="inlineStr">
        <is>
          <t>Case/Display</t>
        </is>
      </c>
      <c r="G267" s="2" t="inlineStr">
        <is>
          <t>ME06: Delta Reign</t>
        </is>
      </c>
      <c r="H267" s="3" t="n"/>
      <c r="I267" s="3" t="n">
        <v>1274.51</v>
      </c>
      <c r="J267" s="3" t="n">
        <v>1204.37</v>
      </c>
      <c r="K267" s="3" t="n">
        <v>1192.29</v>
      </c>
      <c r="L267" s="2" t="inlineStr">
        <is>
          <t>TCGplayer</t>
        </is>
      </c>
      <c r="N267" s="4" t="inlineStr">
        <is>
          <t>https://www.tcgplayer.com/product/712103</t>
        </is>
      </c>
    </row>
    <row r="268">
      <c r="A268" s="2" t="inlineStr">
        <is>
          <t>Delta Reign Sleeved Booster Case</t>
        </is>
      </c>
      <c r="B268" s="3">
        <f>IF(H268&lt;&gt;"",H268,IF(I268&lt;&gt;"",I268,IF(J268&lt;&gt;"",J268,K268)))</f>
        <v>1197.53</v>
      </c>
      <c r="C268" s="3">
        <f>MEDIAN(H268:K268)</f>
        <v>1198.89</v>
      </c>
      <c r="D268" s="3">
        <f>ROUND(C268*(1-Settings!$B$2),2)</f>
        <v>839.22</v>
      </c>
      <c r="E268" s="2" t="inlineStr">
        <is>
          <t>Pokemon</t>
        </is>
      </c>
      <c r="F268" s="2" t="inlineStr">
        <is>
          <t>Case/Display</t>
        </is>
      </c>
      <c r="G268" s="2" t="inlineStr">
        <is>
          <t>ME06: Delta Reign</t>
        </is>
      </c>
      <c r="H268" s="3" t="n"/>
      <c r="I268" s="3" t="n">
        <v>1197.53</v>
      </c>
      <c r="J268" s="3" t="n">
        <v>1198.9</v>
      </c>
      <c r="K268" s="3" t="n">
        <v>1198.89</v>
      </c>
      <c r="L268" s="2" t="inlineStr">
        <is>
          <t>TCGplayer</t>
        </is>
      </c>
      <c r="N268" s="4" t="inlineStr">
        <is>
          <t>https://www.tcgplayer.com/product/712111</t>
        </is>
      </c>
    </row>
    <row r="269">
      <c r="A269" s="2" t="inlineStr">
        <is>
          <t>30th Celebration Battle Deck Case</t>
        </is>
      </c>
      <c r="B269" s="3">
        <f>IF(H269&lt;&gt;"",H269,IF(I269&lt;&gt;"",I269,IF(J269&lt;&gt;"",J269,K269)))</f>
        <v>279.16</v>
      </c>
      <c r="C269" s="3">
        <f>MEDIAN(H269:K269)</f>
        <v>277.15</v>
      </c>
      <c r="D269" s="3">
        <f>ROUND(C269*(1-Settings!$B$2),2)</f>
        <v>194.01</v>
      </c>
      <c r="E269" s="2" t="inlineStr">
        <is>
          <t>Pokemon</t>
        </is>
      </c>
      <c r="F269" s="2" t="inlineStr">
        <is>
          <t>Case/Display</t>
        </is>
      </c>
      <c r="G269" s="2" t="inlineStr">
        <is>
          <t>ME: 30th Celebration</t>
        </is>
      </c>
      <c r="H269" s="3" t="n"/>
      <c r="I269" s="3" t="n">
        <v>279.16</v>
      </c>
      <c r="J269" s="3" t="n">
        <v>277.15</v>
      </c>
      <c r="K269" s="3" t="n">
        <v>276.94</v>
      </c>
      <c r="L269" s="2" t="inlineStr">
        <is>
          <t>TCGplayer</t>
        </is>
      </c>
      <c r="N269" s="4" t="inlineStr">
        <is>
          <t>https://www.tcgplayer.com/product/709016</t>
        </is>
      </c>
    </row>
    <row r="270">
      <c r="A270" s="2" t="inlineStr">
        <is>
          <t>30th Celebration Binder Collection Case</t>
        </is>
      </c>
      <c r="B270" s="3">
        <f>IF(H270&lt;&gt;"",H270,IF(I270&lt;&gt;"",I270,IF(J270&lt;&gt;"",J270,K270)))</f>
        <v>455.9</v>
      </c>
      <c r="C270" s="3">
        <f>MEDIAN(H270:K270)</f>
        <v>455.9</v>
      </c>
      <c r="D270" s="3">
        <f>ROUND(C270*(1-Settings!$B$2),2)</f>
        <v>319.13</v>
      </c>
      <c r="E270" s="2" t="inlineStr">
        <is>
          <t>Pokemon</t>
        </is>
      </c>
      <c r="F270" s="2" t="inlineStr">
        <is>
          <t>Case/Display</t>
        </is>
      </c>
      <c r="G270" s="2" t="inlineStr">
        <is>
          <t>ME: 30th Celebration</t>
        </is>
      </c>
      <c r="H270" s="3" t="n"/>
      <c r="I270" s="3" t="n">
        <v>455.9</v>
      </c>
      <c r="J270" s="3" t="n"/>
      <c r="K270" s="3" t="n"/>
      <c r="L270" s="2" t="inlineStr">
        <is>
          <t>TCGplayer</t>
        </is>
      </c>
      <c r="N270" s="4" t="inlineStr">
        <is>
          <t>https://www.tcgplayer.com/product/709032</t>
        </is>
      </c>
    </row>
    <row r="271">
      <c r="A271" s="2" t="inlineStr">
        <is>
          <t>30th Celebration Booster Bundle Case</t>
        </is>
      </c>
      <c r="B271" s="3">
        <f>IF(H271&lt;&gt;"",H271,IF(I271&lt;&gt;"",I271,IF(J271&lt;&gt;"",J271,K271)))</f>
        <v>2478.65</v>
      </c>
      <c r="C271" s="3">
        <f>MEDIAN(H271:K271)</f>
        <v>2697.03</v>
      </c>
      <c r="D271" s="3">
        <f>ROUND(C271*(1-Settings!$B$2),2)</f>
        <v>1887.92</v>
      </c>
      <c r="E271" s="2" t="inlineStr">
        <is>
          <t>Pokemon</t>
        </is>
      </c>
      <c r="F271" s="2" t="inlineStr">
        <is>
          <t>Case/Display</t>
        </is>
      </c>
      <c r="G271" s="2" t="inlineStr">
        <is>
          <t>ME: 30th Celebration</t>
        </is>
      </c>
      <c r="H271" s="3" t="n"/>
      <c r="I271" s="3" t="n">
        <v>2478.65</v>
      </c>
      <c r="J271" s="3" t="n">
        <v>2699.11</v>
      </c>
      <c r="K271" s="3" t="n">
        <v>2697.03</v>
      </c>
      <c r="L271" s="2" t="inlineStr">
        <is>
          <t>TCGplayer</t>
        </is>
      </c>
      <c r="N271" s="4" t="inlineStr">
        <is>
          <t>https://www.tcgplayer.com/product/709017</t>
        </is>
      </c>
    </row>
    <row r="272">
      <c r="A272" s="2" t="inlineStr">
        <is>
          <t>30th Celebration Ditto Premium Collection Case</t>
        </is>
      </c>
      <c r="B272" s="3">
        <f>IF(H272&lt;&gt;"",H272,IF(I272&lt;&gt;"",I272,IF(J272&lt;&gt;"",J272,K272)))</f>
        <v>1219.44</v>
      </c>
      <c r="C272" s="3">
        <f>MEDIAN(H272:K272)</f>
        <v>1074.78</v>
      </c>
      <c r="D272" s="3">
        <f>ROUND(C272*(1-Settings!$B$2),2)</f>
        <v>752.35</v>
      </c>
      <c r="E272" s="2" t="inlineStr">
        <is>
          <t>Pokemon</t>
        </is>
      </c>
      <c r="F272" s="2" t="inlineStr">
        <is>
          <t>Case/Display</t>
        </is>
      </c>
      <c r="G272" s="2" t="inlineStr">
        <is>
          <t>ME: 30th Celebration</t>
        </is>
      </c>
      <c r="H272" s="3" t="n"/>
      <c r="I272" s="3" t="n">
        <v>1219.44</v>
      </c>
      <c r="J272" s="3" t="n">
        <v>1074.78</v>
      </c>
      <c r="K272" s="3" t="n">
        <v>1074.75</v>
      </c>
      <c r="L272" s="2" t="inlineStr">
        <is>
          <t>TCGplayer</t>
        </is>
      </c>
      <c r="N272" s="4" t="inlineStr">
        <is>
          <t>https://www.tcgplayer.com/product/709018</t>
        </is>
      </c>
    </row>
    <row r="273">
      <c r="A273" s="2" t="inlineStr">
        <is>
          <t>30th Celebration Elite Trainer Box Case</t>
        </is>
      </c>
      <c r="B273" s="3">
        <f>IF(H273&lt;&gt;"",H273,IF(I273&lt;&gt;"",I273,IF(J273&lt;&gt;"",J273,K273)))</f>
        <v>1661.61</v>
      </c>
      <c r="C273" s="3">
        <f>MEDIAN(H273:K273)</f>
        <v>1670.0</v>
      </c>
      <c r="D273" s="3">
        <f>ROUND(C273*(1-Settings!$B$2),2)</f>
        <v>1169.0</v>
      </c>
      <c r="E273" s="2" t="inlineStr">
        <is>
          <t>Pokemon</t>
        </is>
      </c>
      <c r="F273" s="2" t="inlineStr">
        <is>
          <t>Case/Display</t>
        </is>
      </c>
      <c r="G273" s="2" t="inlineStr">
        <is>
          <t>ME: 30th Celebration</t>
        </is>
      </c>
      <c r="H273" s="3" t="n"/>
      <c r="I273" s="3" t="n">
        <v>1661.61</v>
      </c>
      <c r="J273" s="3" t="n">
        <v>1800</v>
      </c>
      <c r="K273" s="3" t="n">
        <v>1670</v>
      </c>
      <c r="L273" s="2" t="inlineStr">
        <is>
          <t>TCGplayer</t>
        </is>
      </c>
      <c r="N273" s="4" t="inlineStr">
        <is>
          <t>https://www.tcgplayer.com/product/709036</t>
        </is>
      </c>
    </row>
    <row r="274">
      <c r="A274" s="2" t="inlineStr">
        <is>
          <t>30th Celebration ex Box Case</t>
        </is>
      </c>
      <c r="B274" s="3">
        <f>IF(H274&lt;&gt;"",H274,IF(I274&lt;&gt;"",I274,IF(J274&lt;&gt;"",J274,K274)))</f>
        <v>348.49</v>
      </c>
      <c r="C274" s="3">
        <f>MEDIAN(H274:K274)</f>
        <v>365.0</v>
      </c>
      <c r="D274" s="3">
        <f>ROUND(C274*(1-Settings!$B$2),2)</f>
        <v>255.5</v>
      </c>
      <c r="E274" s="2" t="inlineStr">
        <is>
          <t>Pokemon</t>
        </is>
      </c>
      <c r="F274" s="2" t="inlineStr">
        <is>
          <t>Case/Display</t>
        </is>
      </c>
      <c r="G274" s="2" t="inlineStr">
        <is>
          <t>ME: 30th Celebration</t>
        </is>
      </c>
      <c r="H274" s="3" t="n"/>
      <c r="I274" s="3" t="n">
        <v>348.49</v>
      </c>
      <c r="J274" s="3" t="n">
        <v>394.96</v>
      </c>
      <c r="K274" s="3" t="n">
        <v>365</v>
      </c>
      <c r="L274" s="2" t="inlineStr">
        <is>
          <t>TCGplayer</t>
        </is>
      </c>
      <c r="N274" s="4" t="inlineStr">
        <is>
          <t>https://www.tcgplayer.com/product/709037</t>
        </is>
      </c>
    </row>
    <row r="275">
      <c r="A275" s="2" t="inlineStr">
        <is>
          <t>30th Celebration ex Tin Case (International Version)</t>
        </is>
      </c>
      <c r="B275" s="3">
        <f>IF(H275&lt;&gt;"",H275,IF(I275&lt;&gt;"",I275,IF(J275&lt;&gt;"",J275,K275)))</f>
        <v>448.8</v>
      </c>
      <c r="C275" s="3">
        <f>MEDIAN(H275:K275)</f>
        <v>448.63</v>
      </c>
      <c r="D275" s="3">
        <f>ROUND(C275*(1-Settings!$B$2),2)</f>
        <v>314.04</v>
      </c>
      <c r="E275" s="2" t="inlineStr">
        <is>
          <t>Pokemon</t>
        </is>
      </c>
      <c r="F275" s="2" t="inlineStr">
        <is>
          <t>Case/Display</t>
        </is>
      </c>
      <c r="G275" s="2" t="inlineStr">
        <is>
          <t>ME: 30th Celebration</t>
        </is>
      </c>
      <c r="H275" s="3" t="n"/>
      <c r="I275" s="3" t="n">
        <v>448.8</v>
      </c>
      <c r="J275" s="3" t="n">
        <v>448.63</v>
      </c>
      <c r="K275" s="3" t="n">
        <v>448.61</v>
      </c>
      <c r="L275" s="2" t="inlineStr">
        <is>
          <t>TCGplayer</t>
        </is>
      </c>
      <c r="N275" s="4" t="inlineStr">
        <is>
          <t>https://www.tcgplayer.com/product/709031</t>
        </is>
      </c>
    </row>
    <row r="276">
      <c r="A276" s="2" t="inlineStr">
        <is>
          <t>30th Celebration Figure Collection Case</t>
        </is>
      </c>
      <c r="B276" s="3">
        <f>IF(H276&lt;&gt;"",H276,IF(I276&lt;&gt;"",I276,IF(J276&lt;&gt;"",J276,K276)))</f>
        <v>710.64</v>
      </c>
      <c r="C276" s="3">
        <f>MEDIAN(H276:K276)</f>
        <v>698.39</v>
      </c>
      <c r="D276" s="3">
        <f>ROUND(C276*(1-Settings!$B$2),2)</f>
        <v>488.87</v>
      </c>
      <c r="E276" s="2" t="inlineStr">
        <is>
          <t>Pokemon</t>
        </is>
      </c>
      <c r="F276" s="2" t="inlineStr">
        <is>
          <t>Case/Display</t>
        </is>
      </c>
      <c r="G276" s="2" t="inlineStr">
        <is>
          <t>ME: 30th Celebration</t>
        </is>
      </c>
      <c r="H276" s="3" t="n"/>
      <c r="I276" s="3" t="n">
        <v>710.64</v>
      </c>
      <c r="J276" s="3" t="n">
        <v>698.39</v>
      </c>
      <c r="K276" s="3" t="n">
        <v>626.83</v>
      </c>
      <c r="L276" s="2" t="inlineStr">
        <is>
          <t>TCGplayer</t>
        </is>
      </c>
      <c r="N276" s="4" t="inlineStr">
        <is>
          <t>https://www.tcgplayer.com/product/709019</t>
        </is>
      </c>
    </row>
    <row r="277">
      <c r="A277" s="2" t="inlineStr">
        <is>
          <t>30th Celebration Knock Out Collection Case</t>
        </is>
      </c>
      <c r="B277" s="3">
        <f>IF(H277&lt;&gt;"",H277,IF(I277&lt;&gt;"",I277,IF(J277&lt;&gt;"",J277,K277)))</f>
        <v>746.89</v>
      </c>
      <c r="C277" s="3">
        <f>MEDIAN(H277:K277)</f>
        <v>855.9</v>
      </c>
      <c r="D277" s="3">
        <f>ROUND(C277*(1-Settings!$B$2),2)</f>
        <v>599.13</v>
      </c>
      <c r="E277" s="2" t="inlineStr">
        <is>
          <t>Pokemon</t>
        </is>
      </c>
      <c r="F277" s="2" t="inlineStr">
        <is>
          <t>Case/Display</t>
        </is>
      </c>
      <c r="G277" s="2" t="inlineStr">
        <is>
          <t>ME: 30th Celebration</t>
        </is>
      </c>
      <c r="H277" s="3" t="n"/>
      <c r="I277" s="3" t="n">
        <v>746.89</v>
      </c>
      <c r="J277" s="3" t="n">
        <v>977.92</v>
      </c>
      <c r="K277" s="3" t="n">
        <v>855.9</v>
      </c>
      <c r="L277" s="2" t="inlineStr">
        <is>
          <t>TCGplayer</t>
        </is>
      </c>
      <c r="N277" s="4" t="inlineStr">
        <is>
          <t>https://www.tcgplayer.com/product/709035</t>
        </is>
      </c>
    </row>
    <row r="278">
      <c r="A278" s="2" t="inlineStr">
        <is>
          <t>30th Celebration Mini Tin Display</t>
        </is>
      </c>
      <c r="B278" s="3">
        <f>IF(H278&lt;&gt;"",H278,IF(I278&lt;&gt;"",I278,IF(J278&lt;&gt;"",J278,K278)))</f>
        <v>352.58</v>
      </c>
      <c r="C278" s="3">
        <f>MEDIAN(H278:K278)</f>
        <v>351.78999999999996</v>
      </c>
      <c r="D278" s="3">
        <f>ROUND(C278*(1-Settings!$B$2),2)</f>
        <v>246.25</v>
      </c>
      <c r="E278" s="2" t="inlineStr">
        <is>
          <t>Pokemon</t>
        </is>
      </c>
      <c r="F278" s="2" t="inlineStr">
        <is>
          <t>Case/Display</t>
        </is>
      </c>
      <c r="G278" s="2" t="inlineStr">
        <is>
          <t>ME: 30th Celebration</t>
        </is>
      </c>
      <c r="H278" s="3" t="n">
        <v>352.58</v>
      </c>
      <c r="I278" s="3" t="n">
        <v>356.52</v>
      </c>
      <c r="J278" s="3" t="n">
        <v>351</v>
      </c>
      <c r="K278" s="3" t="n">
        <v>348.91</v>
      </c>
      <c r="L278" s="2" t="inlineStr">
        <is>
          <t>PriceCharting + TCGplayer</t>
        </is>
      </c>
      <c r="M278" s="4" t="inlineStr">
        <is>
          <t>https://www.pricecharting.com/game/pokemon-30th-celebration/mini-tin-display</t>
        </is>
      </c>
      <c r="N278" s="4" t="inlineStr">
        <is>
          <t>https://www.tcgplayer.com/product/704186</t>
        </is>
      </c>
    </row>
    <row r="279">
      <c r="A279" s="2" t="inlineStr">
        <is>
          <t>30th Celebration Mini Tin Display Case</t>
        </is>
      </c>
      <c r="B279" s="3">
        <f>IF(H279&lt;&gt;"",H279,IF(I279&lt;&gt;"",I279,IF(J279&lt;&gt;"",J279,K279)))</f>
        <v>1999.99</v>
      </c>
      <c r="C279" s="3">
        <f>MEDIAN(H279:K279)</f>
        <v>1898.99</v>
      </c>
      <c r="D279" s="3">
        <f>ROUND(C279*(1-Settings!$B$2),2)</f>
        <v>1329.29</v>
      </c>
      <c r="E279" s="2" t="inlineStr">
        <is>
          <t>Pokemon</t>
        </is>
      </c>
      <c r="F279" s="2" t="inlineStr">
        <is>
          <t>Case/Display</t>
        </is>
      </c>
      <c r="G279" s="2" t="inlineStr">
        <is>
          <t>ME: 30th Celebration</t>
        </is>
      </c>
      <c r="H279" s="3" t="n"/>
      <c r="I279" s="3" t="n">
        <v>1999.99</v>
      </c>
      <c r="J279" s="3" t="n">
        <v>1898.99</v>
      </c>
      <c r="K279" s="3" t="n">
        <v>1898.99</v>
      </c>
      <c r="L279" s="2" t="inlineStr">
        <is>
          <t>TCGplayer</t>
        </is>
      </c>
      <c r="N279" s="4" t="inlineStr">
        <is>
          <t>https://www.tcgplayer.com/product/709030</t>
        </is>
      </c>
    </row>
    <row r="280">
      <c r="A280" s="2" t="inlineStr">
        <is>
          <t>30th Celebration Poster Collection Case</t>
        </is>
      </c>
      <c r="B280" s="3">
        <f>IF(H280&lt;&gt;"",H280,IF(I280&lt;&gt;"",I280,IF(J280&lt;&gt;"",J280,K280)))</f>
        <v>270.59</v>
      </c>
      <c r="C280" s="3">
        <f>MEDIAN(H280:K280)</f>
        <v>270.59</v>
      </c>
      <c r="D280" s="3">
        <f>ROUND(C280*(1-Settings!$B$2),2)</f>
        <v>189.41</v>
      </c>
      <c r="E280" s="2" t="inlineStr">
        <is>
          <t>Pokemon</t>
        </is>
      </c>
      <c r="F280" s="2" t="inlineStr">
        <is>
          <t>Case/Display</t>
        </is>
      </c>
      <c r="G280" s="2" t="inlineStr">
        <is>
          <t>ME: 30th Celebration</t>
        </is>
      </c>
      <c r="H280" s="3" t="n"/>
      <c r="I280" s="3" t="n">
        <v>270.59</v>
      </c>
      <c r="J280" s="3" t="n">
        <v>284.72</v>
      </c>
      <c r="K280" s="3" t="n">
        <v>259.44</v>
      </c>
      <c r="L280" s="2" t="inlineStr">
        <is>
          <t>TCGplayer</t>
        </is>
      </c>
      <c r="N280" s="4" t="inlineStr">
        <is>
          <t>https://www.tcgplayer.com/product/709033</t>
        </is>
      </c>
    </row>
    <row r="281">
      <c r="A281" s="2" t="inlineStr">
        <is>
          <t>30th Celebration Tech Sticker Collection Case</t>
        </is>
      </c>
      <c r="B281" s="3">
        <f>IF(H281&lt;&gt;"",H281,IF(I281&lt;&gt;"",I281,IF(J281&lt;&gt;"",J281,K281)))</f>
        <v>503.73</v>
      </c>
      <c r="C281" s="3">
        <f>MEDIAN(H281:K281)</f>
        <v>550.0</v>
      </c>
      <c r="D281" s="3">
        <f>ROUND(C281*(1-Settings!$B$2),2)</f>
        <v>385.0</v>
      </c>
      <c r="E281" s="2" t="inlineStr">
        <is>
          <t>Pokemon</t>
        </is>
      </c>
      <c r="F281" s="2" t="inlineStr">
        <is>
          <t>Case/Display</t>
        </is>
      </c>
      <c r="G281" s="2" t="inlineStr">
        <is>
          <t>ME: 30th Celebration</t>
        </is>
      </c>
      <c r="H281" s="3" t="n"/>
      <c r="I281" s="3" t="n">
        <v>503.73</v>
      </c>
      <c r="J281" s="3" t="n">
        <v>599</v>
      </c>
      <c r="K281" s="3" t="n">
        <v>550</v>
      </c>
      <c r="L281" s="2" t="inlineStr">
        <is>
          <t>TCGplayer</t>
        </is>
      </c>
      <c r="N281" s="4" t="inlineStr">
        <is>
          <t>https://www.tcgplayer.com/product/709034</t>
        </is>
      </c>
    </row>
    <row r="282">
      <c r="A282" s="2" t="inlineStr">
        <is>
          <t>30th Celebration Ultra-Premium Collection Case</t>
        </is>
      </c>
      <c r="B282" s="3">
        <f>IF(H282&lt;&gt;"",H282,IF(I282&lt;&gt;"",I282,IF(J282&lt;&gt;"",J282,K282)))</f>
        <v>2300.91</v>
      </c>
      <c r="C282" s="3">
        <f>MEDIAN(H282:K282)</f>
        <v>2389.96</v>
      </c>
      <c r="D282" s="3">
        <f>ROUND(C282*(1-Settings!$B$2),2)</f>
        <v>1672.97</v>
      </c>
      <c r="E282" s="2" t="inlineStr">
        <is>
          <t>Pokemon</t>
        </is>
      </c>
      <c r="F282" s="2" t="inlineStr">
        <is>
          <t>Case/Display</t>
        </is>
      </c>
      <c r="G282" s="2" t="inlineStr">
        <is>
          <t>ME: 30th Celebration</t>
        </is>
      </c>
      <c r="H282" s="3" t="n"/>
      <c r="I282" s="3" t="n">
        <v>2300.91</v>
      </c>
      <c r="J282" s="3" t="n">
        <v>2399.89</v>
      </c>
      <c r="K282" s="3" t="n">
        <v>2389.96</v>
      </c>
      <c r="L282" s="2" t="inlineStr">
        <is>
          <t>TCGplayer</t>
        </is>
      </c>
      <c r="N282" s="4" t="inlineStr">
        <is>
          <t>https://www.tcgplayer.com/product/709029</t>
        </is>
      </c>
    </row>
    <row r="283">
      <c r="A283" s="2" t="inlineStr">
        <is>
          <t>Ascended Heroes Booster Bundle Case</t>
        </is>
      </c>
      <c r="B283" s="3">
        <f>IF(H283&lt;&gt;"",H283,IF(I283&lt;&gt;"",I283,IF(J283&lt;&gt;"",J283,K283)))</f>
        <v>2254.35</v>
      </c>
      <c r="C283" s="3">
        <f>MEDIAN(H283:K283)</f>
        <v>2254.35</v>
      </c>
      <c r="D283" s="3">
        <f>ROUND(C283*(1-Settings!$B$2),2)</f>
        <v>1578.05</v>
      </c>
      <c r="E283" s="2" t="inlineStr">
        <is>
          <t>Pokemon</t>
        </is>
      </c>
      <c r="F283" s="2" t="inlineStr">
        <is>
          <t>Case/Display</t>
        </is>
      </c>
      <c r="G283" s="2" t="inlineStr">
        <is>
          <t>ME: Ascended Heroes</t>
        </is>
      </c>
      <c r="H283" s="3" t="n"/>
      <c r="I283" s="3" t="n">
        <v>2254.35</v>
      </c>
      <c r="J283" s="3" t="n">
        <v>2261.39</v>
      </c>
      <c r="K283" s="3" t="n">
        <v>1500</v>
      </c>
      <c r="L283" s="2" t="inlineStr">
        <is>
          <t>TCGplayer</t>
        </is>
      </c>
      <c r="N283" s="4" t="inlineStr">
        <is>
          <t>https://www.tcgplayer.com/product/681339</t>
        </is>
      </c>
    </row>
    <row r="284">
      <c r="A284" s="2" t="inlineStr">
        <is>
          <t>Ascended Heroes Booster Bundle Display</t>
        </is>
      </c>
      <c r="B284" s="3">
        <f>IF(H284&lt;&gt;"",H284,IF(I284&lt;&gt;"",I284,IF(J284&lt;&gt;"",J284,K284)))</f>
        <v>2254.99</v>
      </c>
      <c r="C284" s="3">
        <f>MEDIAN(H284:K284)</f>
        <v>2227.44</v>
      </c>
      <c r="D284" s="3">
        <f>ROUND(C284*(1-Settings!$B$2),2)</f>
        <v>1559.21</v>
      </c>
      <c r="E284" s="2" t="inlineStr">
        <is>
          <t>Pokemon</t>
        </is>
      </c>
      <c r="F284" s="2" t="inlineStr">
        <is>
          <t>Case/Display</t>
        </is>
      </c>
      <c r="G284" s="2" t="inlineStr">
        <is>
          <t>ME: Ascended Heroes</t>
        </is>
      </c>
      <c r="H284" s="3" t="n"/>
      <c r="I284" s="3" t="n">
        <v>2254.99</v>
      </c>
      <c r="J284" s="3" t="n">
        <v>2227.44</v>
      </c>
      <c r="K284" s="3" t="n">
        <v>1400</v>
      </c>
      <c r="L284" s="2" t="inlineStr">
        <is>
          <t>TCGplayer</t>
        </is>
      </c>
      <c r="N284" s="4" t="inlineStr">
        <is>
          <t>https://www.tcgplayer.com/product/692362</t>
        </is>
      </c>
    </row>
    <row r="285">
      <c r="A285" s="2" t="inlineStr">
        <is>
          <t>Ascended Heroes Elite Trainer Box Case</t>
        </is>
      </c>
      <c r="B285" s="3">
        <f>IF(H285&lt;&gt;"",H285,IF(I285&lt;&gt;"",I285,IF(J285&lt;&gt;"",J285,K285)))</f>
        <v>1665.22</v>
      </c>
      <c r="C285" s="3">
        <f>MEDIAN(H285:K285)</f>
        <v>1665.22</v>
      </c>
      <c r="D285" s="3">
        <f>ROUND(C285*(1-Settings!$B$2),2)</f>
        <v>1165.65</v>
      </c>
      <c r="E285" s="2" t="inlineStr">
        <is>
          <t>Pokemon</t>
        </is>
      </c>
      <c r="F285" s="2" t="inlineStr">
        <is>
          <t>Case/Display</t>
        </is>
      </c>
      <c r="G285" s="2" t="inlineStr">
        <is>
          <t>ME: Ascended Heroes</t>
        </is>
      </c>
      <c r="H285" s="3" t="n"/>
      <c r="I285" s="3" t="n">
        <v>1665.22</v>
      </c>
      <c r="J285" s="3" t="n">
        <v>1909.99</v>
      </c>
      <c r="K285" s="3" t="n">
        <v>1049.69</v>
      </c>
      <c r="L285" s="2" t="inlineStr">
        <is>
          <t>TCGplayer</t>
        </is>
      </c>
      <c r="N285" s="4" t="inlineStr">
        <is>
          <t>https://www.tcgplayer.com/product/679558</t>
        </is>
      </c>
    </row>
    <row r="286">
      <c r="A286" s="2" t="inlineStr">
        <is>
          <t>Ascended Heroes First Partners Deluxe Pin Collection Case</t>
        </is>
      </c>
      <c r="B286" s="3">
        <f>IF(H286&lt;&gt;"",H286,IF(I286&lt;&gt;"",I286,IF(J286&lt;&gt;"",J286,K286)))</f>
        <v>431.12</v>
      </c>
      <c r="C286" s="3">
        <f>MEDIAN(H286:K286)</f>
        <v>431.12</v>
      </c>
      <c r="D286" s="3">
        <f>ROUND(C286*(1-Settings!$B$2),2)</f>
        <v>301.78</v>
      </c>
      <c r="E286" s="2" t="inlineStr">
        <is>
          <t>Pokemon</t>
        </is>
      </c>
      <c r="F286" s="2" t="inlineStr">
        <is>
          <t>Case/Display</t>
        </is>
      </c>
      <c r="G286" s="2" t="inlineStr">
        <is>
          <t>ME: Ascended Heroes</t>
        </is>
      </c>
      <c r="H286" s="3" t="n"/>
      <c r="I286" s="3" t="n">
        <v>431.12</v>
      </c>
      <c r="J286" s="3" t="n">
        <v>499.99</v>
      </c>
      <c r="K286" s="3" t="n">
        <v>410.98</v>
      </c>
      <c r="L286" s="2" t="inlineStr">
        <is>
          <t>TCGplayer</t>
        </is>
      </c>
      <c r="N286" s="4" t="inlineStr">
        <is>
          <t>https://www.tcgplayer.com/product/672392</t>
        </is>
      </c>
    </row>
    <row r="287">
      <c r="A287" s="2" t="inlineStr">
        <is>
          <t>Ascended Heroes Mega ex Boxes Case</t>
        </is>
      </c>
      <c r="B287" s="3">
        <f>IF(H287&lt;&gt;"",H287,IF(I287&lt;&gt;"",I287,IF(J287&lt;&gt;"",J287,K287)))</f>
        <v>357.13</v>
      </c>
      <c r="C287" s="3">
        <f>MEDIAN(H287:K287)</f>
        <v>357.13</v>
      </c>
      <c r="D287" s="3">
        <f>ROUND(C287*(1-Settings!$B$2),2)</f>
        <v>249.99</v>
      </c>
      <c r="E287" s="2" t="inlineStr">
        <is>
          <t>Pokemon</t>
        </is>
      </c>
      <c r="F287" s="2" t="inlineStr">
        <is>
          <t>Case/Display</t>
        </is>
      </c>
      <c r="G287" s="2" t="inlineStr">
        <is>
          <t>ME: Ascended Heroes</t>
        </is>
      </c>
      <c r="H287" s="3" t="n"/>
      <c r="I287" s="3" t="n">
        <v>357.13</v>
      </c>
      <c r="J287" s="3" t="n">
        <v>389.96</v>
      </c>
      <c r="K287" s="3" t="n">
        <v>325.98</v>
      </c>
      <c r="L287" s="2" t="inlineStr">
        <is>
          <t>TCGplayer</t>
        </is>
      </c>
      <c r="N287" s="4" t="inlineStr">
        <is>
          <t>https://www.tcgplayer.com/product/672737</t>
        </is>
      </c>
    </row>
    <row r="288">
      <c r="A288" s="2" t="inlineStr">
        <is>
          <t>Ascended Heroes Mini Tin Display</t>
        </is>
      </c>
      <c r="B288" s="3">
        <f>IF(H288&lt;&gt;"",H288,IF(I288&lt;&gt;"",I288,IF(J288&lt;&gt;"",J288,K288)))</f>
        <v>294.99</v>
      </c>
      <c r="C288" s="3">
        <f>MEDIAN(H288:K288)</f>
        <v>293.76</v>
      </c>
      <c r="D288" s="3">
        <f>ROUND(C288*(1-Settings!$B$2),2)</f>
        <v>205.63</v>
      </c>
      <c r="E288" s="2" t="inlineStr">
        <is>
          <t>Pokemon</t>
        </is>
      </c>
      <c r="F288" s="2" t="inlineStr">
        <is>
          <t>Case/Display</t>
        </is>
      </c>
      <c r="G288" s="2" t="inlineStr">
        <is>
          <t>ME: Ascended Heroes</t>
        </is>
      </c>
      <c r="H288" s="3" t="n">
        <v>294.99</v>
      </c>
      <c r="I288" s="3" t="n">
        <v>292.53</v>
      </c>
      <c r="J288" s="3" t="n">
        <v>307.49</v>
      </c>
      <c r="K288" s="3" t="n">
        <v>225.96</v>
      </c>
      <c r="L288" s="2" t="inlineStr">
        <is>
          <t>PriceCharting + TCGplayer</t>
        </is>
      </c>
      <c r="M288" s="4" t="inlineStr">
        <is>
          <t>https://www.pricecharting.com/game/pokemon-ascended-heroes/mini-tin-display</t>
        </is>
      </c>
      <c r="N288" s="4" t="inlineStr">
        <is>
          <t>https://www.tcgplayer.com/product/679556</t>
        </is>
      </c>
    </row>
    <row r="289">
      <c r="A289" s="2" t="inlineStr">
        <is>
          <t>Ascended Heroes Mini Tin Display Case</t>
        </is>
      </c>
      <c r="B289" s="3">
        <f>IF(H289&lt;&gt;"",H289,IF(I289&lt;&gt;"",I289,IF(J289&lt;&gt;"",J289,K289)))</f>
        <v>1269.3</v>
      </c>
      <c r="C289" s="3">
        <f>MEDIAN(H289:K289)</f>
        <v>1269.3</v>
      </c>
      <c r="D289" s="3">
        <f>ROUND(C289*(1-Settings!$B$2),2)</f>
        <v>888.51</v>
      </c>
      <c r="E289" s="2" t="inlineStr">
        <is>
          <t>Pokemon</t>
        </is>
      </c>
      <c r="F289" s="2" t="inlineStr">
        <is>
          <t>Case/Display</t>
        </is>
      </c>
      <c r="G289" s="2" t="inlineStr">
        <is>
          <t>ME: Ascended Heroes</t>
        </is>
      </c>
      <c r="H289" s="3" t="n"/>
      <c r="I289" s="3" t="n">
        <v>1269.3</v>
      </c>
      <c r="J289" s="3" t="n">
        <v>1399.85</v>
      </c>
      <c r="K289" s="3" t="n">
        <v>1200</v>
      </c>
      <c r="L289" s="2" t="inlineStr">
        <is>
          <t>TCGplayer</t>
        </is>
      </c>
      <c r="N289" s="4" t="inlineStr">
        <is>
          <t>https://www.tcgplayer.com/product/689031</t>
        </is>
      </c>
    </row>
    <row r="290">
      <c r="A290" s="2" t="inlineStr">
        <is>
          <t>Ascended Heroes Tin Case</t>
        </is>
      </c>
      <c r="B290" s="3">
        <f>IF(H290&lt;&gt;"",H290,IF(I290&lt;&gt;"",I290,IF(J290&lt;&gt;"",J290,K290)))</f>
        <v>284.01</v>
      </c>
      <c r="C290" s="3">
        <f>MEDIAN(H290:K290)</f>
        <v>284.01</v>
      </c>
      <c r="D290" s="3">
        <f>ROUND(C290*(1-Settings!$B$2),2)</f>
        <v>198.81</v>
      </c>
      <c r="E290" s="2" t="inlineStr">
        <is>
          <t>Pokemon</t>
        </is>
      </c>
      <c r="F290" s="2" t="inlineStr">
        <is>
          <t>Case/Display</t>
        </is>
      </c>
      <c r="G290" s="2" t="inlineStr">
        <is>
          <t>ME: Ascended Heroes</t>
        </is>
      </c>
      <c r="H290" s="3" t="n"/>
      <c r="I290" s="3" t="n">
        <v>284.01</v>
      </c>
      <c r="J290" s="3" t="n">
        <v>304.25</v>
      </c>
      <c r="K290" s="3" t="n">
        <v>274.99</v>
      </c>
      <c r="L290" s="2" t="inlineStr">
        <is>
          <t>TCGplayer</t>
        </is>
      </c>
      <c r="N290" s="4" t="inlineStr">
        <is>
          <t>https://www.tcgplayer.com/product/702501</t>
        </is>
      </c>
    </row>
    <row r="291">
      <c r="A291" s="2" t="inlineStr">
        <is>
          <t>Mega Evolution: Ascended Heroes Collection case</t>
        </is>
      </c>
      <c r="B291" s="3">
        <f>IF(H291&lt;&gt;"",H291,IF(I291&lt;&gt;"",I291,IF(J291&lt;&gt;"",J291,K291)))</f>
        <v>694.6</v>
      </c>
      <c r="C291" s="3">
        <f>MEDIAN(H291:K291)</f>
        <v>715.0</v>
      </c>
      <c r="D291" s="3">
        <f>ROUND(C291*(1-Settings!$B$2),2)</f>
        <v>500.5</v>
      </c>
      <c r="E291" s="2" t="inlineStr">
        <is>
          <t>Pokemon</t>
        </is>
      </c>
      <c r="F291" s="2" t="inlineStr">
        <is>
          <t>Case/Display</t>
        </is>
      </c>
      <c r="G291" s="2" t="inlineStr">
        <is>
          <t>ME: Ascended Heroes</t>
        </is>
      </c>
      <c r="H291" s="3" t="n"/>
      <c r="I291" s="3" t="n">
        <v>694.6</v>
      </c>
      <c r="J291" s="3" t="n">
        <v>779.99</v>
      </c>
      <c r="K291" s="3" t="n">
        <v>715</v>
      </c>
      <c r="L291" s="2" t="inlineStr">
        <is>
          <t>TCGplayer</t>
        </is>
      </c>
      <c r="N291" s="4" t="inlineStr">
        <is>
          <t>https://www.tcgplayer.com/product/685195</t>
        </is>
      </c>
    </row>
    <row r="292">
      <c r="A292" s="2" t="inlineStr">
        <is>
          <t>Mega Evolution: Ascended Heroes Tech Sticker Collection Case</t>
        </is>
      </c>
      <c r="B292" s="3">
        <f>IF(H292&lt;&gt;"",H292,IF(I292&lt;&gt;"",I292,IF(J292&lt;&gt;"",J292,K292)))</f>
        <v>634.33</v>
      </c>
      <c r="C292" s="3">
        <f>MEDIAN(H292:K292)</f>
        <v>725.0</v>
      </c>
      <c r="D292" s="3">
        <f>ROUND(C292*(1-Settings!$B$2),2)</f>
        <v>507.5</v>
      </c>
      <c r="E292" s="2" t="inlineStr">
        <is>
          <t>Pokemon</t>
        </is>
      </c>
      <c r="F292" s="2" t="inlineStr">
        <is>
          <t>Case/Display</t>
        </is>
      </c>
      <c r="G292" s="2" t="inlineStr">
        <is>
          <t>ME: Ascended Heroes</t>
        </is>
      </c>
      <c r="H292" s="3" t="n"/>
      <c r="I292" s="3" t="n">
        <v>634.33</v>
      </c>
      <c r="J292" s="3" t="n">
        <v>735</v>
      </c>
      <c r="K292" s="3" t="n">
        <v>725</v>
      </c>
      <c r="L292" s="2" t="inlineStr">
        <is>
          <t>TCGplayer</t>
        </is>
      </c>
      <c r="N292" s="4" t="inlineStr">
        <is>
          <t>https://www.tcgplayer.com/product/681333</t>
        </is>
      </c>
    </row>
    <row r="293">
      <c r="A293" s="2" t="inlineStr">
        <is>
          <t>Premium Poster Collection Case</t>
        </is>
      </c>
      <c r="B293" s="3">
        <f>IF(H293&lt;&gt;"",H293,IF(I293&lt;&gt;"",I293,IF(J293&lt;&gt;"",J293,K293)))</f>
        <v>974.45</v>
      </c>
      <c r="C293" s="3">
        <f>MEDIAN(H293:K293)</f>
        <v>974.45</v>
      </c>
      <c r="D293" s="3">
        <f>ROUND(C293*(1-Settings!$B$2),2)</f>
        <v>682.12</v>
      </c>
      <c r="E293" s="2" t="inlineStr">
        <is>
          <t>Pokemon</t>
        </is>
      </c>
      <c r="F293" s="2" t="inlineStr">
        <is>
          <t>Case/Display</t>
        </is>
      </c>
      <c r="G293" s="2" t="inlineStr">
        <is>
          <t>ME: Ascended Heroes</t>
        </is>
      </c>
      <c r="H293" s="3" t="n"/>
      <c r="I293" s="3" t="n">
        <v>974.45</v>
      </c>
      <c r="J293" s="3" t="n">
        <v>1014.92</v>
      </c>
      <c r="K293" s="3" t="n">
        <v>829.99</v>
      </c>
      <c r="L293" s="2" t="inlineStr">
        <is>
          <t>TCGplayer</t>
        </is>
      </c>
      <c r="N293" s="4" t="inlineStr">
        <is>
          <t>https://www.tcgplayer.com/product/685000</t>
        </is>
      </c>
    </row>
    <row r="294">
      <c r="A294" s="2" t="inlineStr">
        <is>
          <t>Mega Evolution Mini Tin Display</t>
        </is>
      </c>
      <c r="B294" s="3">
        <f>IF(H294&lt;&gt;"",H294,IF(I294&lt;&gt;"",I294,IF(J294&lt;&gt;"",J294,K294)))</f>
        <v>218.22</v>
      </c>
      <c r="C294" s="3">
        <f>MEDIAN(H294:K294)</f>
        <v>218.22</v>
      </c>
      <c r="D294" s="3">
        <f>ROUND(C294*(1-Settings!$B$2),2)</f>
        <v>152.75</v>
      </c>
      <c r="E294" s="2" t="inlineStr">
        <is>
          <t>Pokemon</t>
        </is>
      </c>
      <c r="F294" s="2" t="inlineStr">
        <is>
          <t>Case/Display</t>
        </is>
      </c>
      <c r="G294" s="2" t="inlineStr">
        <is>
          <t>Mega Evolution</t>
        </is>
      </c>
      <c r="H294" s="3" t="n">
        <v>218.22</v>
      </c>
      <c r="I294" s="3" t="n"/>
      <c r="J294" s="3" t="n"/>
      <c r="K294" s="3" t="n"/>
      <c r="L294" s="2" t="inlineStr">
        <is>
          <t>PriceCharting</t>
        </is>
      </c>
      <c r="M294" s="4" t="inlineStr">
        <is>
          <t>https://www.pricecharting.com/game/pokemon-mega-evolution/mini-tin-display</t>
        </is>
      </c>
    </row>
    <row r="295">
      <c r="A295" s="2" t="inlineStr">
        <is>
          <t>Charizard ex Premium Collection Case</t>
        </is>
      </c>
      <c r="B295" s="3">
        <f>IF(H295&lt;&gt;"",H295,IF(I295&lt;&gt;"",I295,IF(J295&lt;&gt;"",J295,K295)))</f>
        <v>566.95</v>
      </c>
      <c r="C295" s="3">
        <f>MEDIAN(H295:K295)</f>
        <v>930.0</v>
      </c>
      <c r="D295" s="3">
        <f>ROUND(C295*(1-Settings!$B$2),2)</f>
        <v>651.0</v>
      </c>
      <c r="E295" s="2" t="inlineStr">
        <is>
          <t>Pokemon</t>
        </is>
      </c>
      <c r="F295" s="2" t="inlineStr">
        <is>
          <t>Case/Display</t>
        </is>
      </c>
      <c r="G295" s="2" t="inlineStr">
        <is>
          <t>Miscellaneous Cards &amp; Products</t>
        </is>
      </c>
      <c r="H295" s="3" t="n"/>
      <c r="I295" s="3" t="n">
        <v>566.95</v>
      </c>
      <c r="J295" s="3" t="n">
        <v>958</v>
      </c>
      <c r="K295" s="3" t="n">
        <v>930</v>
      </c>
      <c r="L295" s="2" t="inlineStr">
        <is>
          <t>TCGplayer</t>
        </is>
      </c>
      <c r="N295" s="4" t="inlineStr">
        <is>
          <t>https://www.tcgplayer.com/product/523954</t>
        </is>
      </c>
    </row>
    <row r="296">
      <c r="A296" s="2" t="inlineStr">
        <is>
          <t>Charizard ex Special Collection Case</t>
        </is>
      </c>
      <c r="B296" s="3">
        <f>IF(H296&lt;&gt;"",H296,IF(I296&lt;&gt;"",I296,IF(J296&lt;&gt;"",J296,K296)))</f>
        <v>420.0</v>
      </c>
      <c r="C296" s="3">
        <f>MEDIAN(H296:K296)</f>
        <v>420.0</v>
      </c>
      <c r="D296" s="3">
        <f>ROUND(C296*(1-Settings!$B$2),2)</f>
        <v>294.0</v>
      </c>
      <c r="E296" s="2" t="inlineStr">
        <is>
          <t>Pokemon</t>
        </is>
      </c>
      <c r="F296" s="2" t="inlineStr">
        <is>
          <t>Case/Display</t>
        </is>
      </c>
      <c r="G296" s="2" t="inlineStr">
        <is>
          <t>Miscellaneous Cards &amp; Products</t>
        </is>
      </c>
      <c r="H296" s="3" t="n"/>
      <c r="I296" s="3" t="n"/>
      <c r="J296" s="3" t="n"/>
      <c r="K296" s="3" t="n">
        <v>420</v>
      </c>
      <c r="L296" s="2" t="inlineStr">
        <is>
          <t>TCGplayer</t>
        </is>
      </c>
      <c r="N296" s="4" t="inlineStr">
        <is>
          <t>https://www.tcgplayer.com/product/639446</t>
        </is>
      </c>
    </row>
    <row r="297">
      <c r="A297" s="2" t="inlineStr">
        <is>
          <t>Charizard ex Super-Premium Collection Case</t>
        </is>
      </c>
      <c r="B297" s="3">
        <f>IF(H297&lt;&gt;"",H297,IF(I297&lt;&gt;"",I297,IF(J297&lt;&gt;"",J297,K297)))</f>
        <v>549.94</v>
      </c>
      <c r="C297" s="3">
        <f>MEDIAN(H297:K297)</f>
        <v>549.9200000000001</v>
      </c>
      <c r="D297" s="3">
        <f>ROUND(C297*(1-Settings!$B$2),2)</f>
        <v>384.94</v>
      </c>
      <c r="E297" s="2" t="inlineStr">
        <is>
          <t>Pokemon</t>
        </is>
      </c>
      <c r="F297" s="2" t="inlineStr">
        <is>
          <t>Case/Display</t>
        </is>
      </c>
      <c r="G297" s="2" t="inlineStr">
        <is>
          <t>Miscellaneous Cards &amp; Products</t>
        </is>
      </c>
      <c r="H297" s="3" t="n"/>
      <c r="I297" s="3" t="n"/>
      <c r="J297" s="3" t="n">
        <v>549.9400000000001</v>
      </c>
      <c r="K297" s="3" t="n">
        <v>549.9</v>
      </c>
      <c r="L297" s="2" t="inlineStr">
        <is>
          <t>TCGplayer</t>
        </is>
      </c>
      <c r="N297" s="4" t="inlineStr">
        <is>
          <t>https://www.tcgplayer.com/product/649295</t>
        </is>
      </c>
    </row>
    <row r="298">
      <c r="A298" s="2" t="inlineStr">
        <is>
          <t>Cyrus/Klara Premium Tournament Collection Display</t>
        </is>
      </c>
      <c r="B298" s="3">
        <f>IF(H298&lt;&gt;"",H298,IF(I298&lt;&gt;"",I298,IF(J298&lt;&gt;"",J298,K298)))</f>
        <v>333.25</v>
      </c>
      <c r="C298" s="3">
        <f>MEDIAN(H298:K298)</f>
        <v>389.98</v>
      </c>
      <c r="D298" s="3">
        <f>ROUND(C298*(1-Settings!$B$2),2)</f>
        <v>272.99</v>
      </c>
      <c r="E298" s="2" t="inlineStr">
        <is>
          <t>Pokemon</t>
        </is>
      </c>
      <c r="F298" s="2" t="inlineStr">
        <is>
          <t>Case/Display</t>
        </is>
      </c>
      <c r="G298" s="2" t="inlineStr">
        <is>
          <t>Miscellaneous Cards &amp; Products</t>
        </is>
      </c>
      <c r="H298" s="3" t="n"/>
      <c r="I298" s="3" t="n">
        <v>333.25</v>
      </c>
      <c r="J298" s="3" t="n">
        <v>449.99</v>
      </c>
      <c r="K298" s="3" t="n">
        <v>389.98</v>
      </c>
      <c r="L298" s="2" t="inlineStr">
        <is>
          <t>TCGplayer</t>
        </is>
      </c>
      <c r="N298" s="4" t="inlineStr">
        <is>
          <t>https://www.tcgplayer.com/product/477289</t>
        </is>
      </c>
    </row>
    <row r="299">
      <c r="A299" s="2" t="inlineStr">
        <is>
          <t>Eevee Evolution VMAX Premium Collection Case</t>
        </is>
      </c>
      <c r="B299" s="3">
        <f>IF(H299&lt;&gt;"",H299,IF(I299&lt;&gt;"",I299,IF(J299&lt;&gt;"",J299,K299)))</f>
        <v>2174.5</v>
      </c>
      <c r="C299" s="3">
        <f>MEDIAN(H299:K299)</f>
        <v>4000.0</v>
      </c>
      <c r="D299" s="3">
        <f>ROUND(C299*(1-Settings!$B$2),2)</f>
        <v>2800.0</v>
      </c>
      <c r="E299" s="2" t="inlineStr">
        <is>
          <t>Pokemon</t>
        </is>
      </c>
      <c r="F299" s="2" t="inlineStr">
        <is>
          <t>Case/Display</t>
        </is>
      </c>
      <c r="G299" s="2" t="inlineStr">
        <is>
          <t>Miscellaneous Cards &amp; Products</t>
        </is>
      </c>
      <c r="H299" s="3" t="n"/>
      <c r="I299" s="3" t="n">
        <v>2174.5</v>
      </c>
      <c r="J299" s="3" t="n">
        <v>4000</v>
      </c>
      <c r="K299" s="3" t="n">
        <v>4000</v>
      </c>
      <c r="L299" s="2" t="inlineStr">
        <is>
          <t>TCGplayer</t>
        </is>
      </c>
      <c r="N299" s="4" t="inlineStr">
        <is>
          <t>https://www.tcgplayer.com/product/604240</t>
        </is>
      </c>
    </row>
    <row r="300">
      <c r="A300" s="2" t="inlineStr">
        <is>
          <t>Eevee Evolutions Tin Case</t>
        </is>
      </c>
      <c r="B300" s="3">
        <f>IF(H300&lt;&gt;"",H300,IF(I300&lt;&gt;"",I300,IF(J300&lt;&gt;"",J300,K300)))</f>
        <v>549.99</v>
      </c>
      <c r="C300" s="3">
        <f>MEDIAN(H300:K300)</f>
        <v>650.0</v>
      </c>
      <c r="D300" s="3">
        <f>ROUND(C300*(1-Settings!$B$2),2)</f>
        <v>455.0</v>
      </c>
      <c r="E300" s="2" t="inlineStr">
        <is>
          <t>Pokemon</t>
        </is>
      </c>
      <c r="F300" s="2" t="inlineStr">
        <is>
          <t>Case/Display</t>
        </is>
      </c>
      <c r="G300" s="2" t="inlineStr">
        <is>
          <t>Miscellaneous Cards &amp; Products</t>
        </is>
      </c>
      <c r="H300" s="3" t="n"/>
      <c r="I300" s="3" t="n">
        <v>549.99</v>
      </c>
      <c r="J300" s="3" t="n">
        <v>650</v>
      </c>
      <c r="K300" s="3" t="n">
        <v>650</v>
      </c>
      <c r="L300" s="2" t="inlineStr">
        <is>
          <t>TCGplayer</t>
        </is>
      </c>
      <c r="N300" s="4" t="inlineStr">
        <is>
          <t>https://www.tcgplayer.com/product/243573</t>
        </is>
      </c>
    </row>
    <row r="301">
      <c r="A301" s="2" t="inlineStr">
        <is>
          <t>Galar Pal Mini Tin Display</t>
        </is>
      </c>
      <c r="B301" s="3">
        <f>IF(H301&lt;&gt;"",H301,IF(I301&lt;&gt;"",I301,IF(J301&lt;&gt;"",J301,K301)))</f>
        <v>539.98</v>
      </c>
      <c r="C301" s="3">
        <f>MEDIAN(H301:K301)</f>
        <v>534.99</v>
      </c>
      <c r="D301" s="3">
        <f>ROUND(C301*(1-Settings!$B$2),2)</f>
        <v>374.49</v>
      </c>
      <c r="E301" s="2" t="inlineStr">
        <is>
          <t>Pokemon</t>
        </is>
      </c>
      <c r="F301" s="2" t="inlineStr">
        <is>
          <t>Case/Display</t>
        </is>
      </c>
      <c r="G301" s="2" t="inlineStr">
        <is>
          <t>Miscellaneous Cards &amp; Products</t>
        </is>
      </c>
      <c r="H301" s="3" t="n"/>
      <c r="I301" s="3" t="n"/>
      <c r="J301" s="3" t="n">
        <v>539.98</v>
      </c>
      <c r="K301" s="3" t="n">
        <v>530</v>
      </c>
      <c r="L301" s="2" t="inlineStr">
        <is>
          <t>TCGplayer</t>
        </is>
      </c>
      <c r="N301" s="4" t="inlineStr">
        <is>
          <t>https://www.tcgplayer.com/product/207991</t>
        </is>
      </c>
    </row>
    <row r="302">
      <c r="A302" s="2" t="inlineStr">
        <is>
          <t>Holiday Calendar 2025 Case</t>
        </is>
      </c>
      <c r="B302" s="3">
        <f>IF(H302&lt;&gt;"",H302,IF(I302&lt;&gt;"",I302,IF(J302&lt;&gt;"",J302,K302)))</f>
        <v>399.99</v>
      </c>
      <c r="C302" s="3">
        <f>MEDIAN(H302:K302)</f>
        <v>425.0</v>
      </c>
      <c r="D302" s="3">
        <f>ROUND(C302*(1-Settings!$B$2),2)</f>
        <v>297.5</v>
      </c>
      <c r="E302" s="2" t="inlineStr">
        <is>
          <t>Pokemon</t>
        </is>
      </c>
      <c r="F302" s="2" t="inlineStr">
        <is>
          <t>Case/Display</t>
        </is>
      </c>
      <c r="G302" s="2" t="inlineStr">
        <is>
          <t>Miscellaneous Cards &amp; Products</t>
        </is>
      </c>
      <c r="H302" s="3" t="n"/>
      <c r="I302" s="3" t="n">
        <v>399.99</v>
      </c>
      <c r="J302" s="3" t="n">
        <v>444.99</v>
      </c>
      <c r="K302" s="3" t="n">
        <v>425</v>
      </c>
      <c r="L302" s="2" t="inlineStr">
        <is>
          <t>TCGplayer</t>
        </is>
      </c>
      <c r="N302" s="4" t="inlineStr">
        <is>
          <t>https://www.tcgplayer.com/product/639830</t>
        </is>
      </c>
    </row>
    <row r="303">
      <c r="A303" s="2" t="inlineStr">
        <is>
          <t>Kanto Friends Mini Tin Display</t>
        </is>
      </c>
      <c r="B303" s="3">
        <f>IF(H303&lt;&gt;"",H303,IF(I303&lt;&gt;"",I303,IF(J303&lt;&gt;"",J303,K303)))</f>
        <v>240.0</v>
      </c>
      <c r="C303" s="3">
        <f>MEDIAN(H303:K303)</f>
        <v>240.0</v>
      </c>
      <c r="D303" s="3">
        <f>ROUND(C303*(1-Settings!$B$2),2)</f>
        <v>168.0</v>
      </c>
      <c r="E303" s="2" t="inlineStr">
        <is>
          <t>Pokemon</t>
        </is>
      </c>
      <c r="F303" s="2" t="inlineStr">
        <is>
          <t>Case/Display</t>
        </is>
      </c>
      <c r="G303" s="2" t="inlineStr">
        <is>
          <t>Miscellaneous Cards &amp; Products</t>
        </is>
      </c>
      <c r="H303" s="3" t="n"/>
      <c r="I303" s="3" t="n">
        <v>240</v>
      </c>
      <c r="J303" s="3" t="n">
        <v>707.49</v>
      </c>
      <c r="K303" s="3" t="n">
        <v>139.99</v>
      </c>
      <c r="L303" s="2" t="inlineStr">
        <is>
          <t>TCGplayer</t>
        </is>
      </c>
      <c r="N303" s="4" t="inlineStr">
        <is>
          <t>https://www.tcgplayer.com/product/224742</t>
        </is>
      </c>
    </row>
    <row r="304">
      <c r="A304" s="2" t="inlineStr">
        <is>
          <t>League Battle Deck Case [Mega Greninja ex]</t>
        </is>
      </c>
      <c r="B304" s="3">
        <f>IF(H304&lt;&gt;"",H304,IF(I304&lt;&gt;"",I304,IF(J304&lt;&gt;"",J304,K304)))</f>
        <v>210.0</v>
      </c>
      <c r="C304" s="3">
        <f>MEDIAN(H304:K304)</f>
        <v>210.0</v>
      </c>
      <c r="D304" s="3">
        <f>ROUND(C304*(1-Settings!$B$2),2)</f>
        <v>147.0</v>
      </c>
      <c r="E304" s="2" t="inlineStr">
        <is>
          <t>Pokemon</t>
        </is>
      </c>
      <c r="F304" s="2" t="inlineStr">
        <is>
          <t>Case/Display</t>
        </is>
      </c>
      <c r="G304" s="2" t="inlineStr">
        <is>
          <t>Miscellaneous Cards &amp; Products</t>
        </is>
      </c>
      <c r="H304" s="3" t="n"/>
      <c r="I304" s="3" t="n"/>
      <c r="J304" s="3" t="n">
        <v>210</v>
      </c>
      <c r="K304" s="3" t="n">
        <v>210</v>
      </c>
      <c r="L304" s="2" t="inlineStr">
        <is>
          <t>TCGplayer</t>
        </is>
      </c>
      <c r="N304" s="4" t="inlineStr">
        <is>
          <t>https://www.tcgplayer.com/product/718644</t>
        </is>
      </c>
    </row>
    <row r="305">
      <c r="A305" s="2" t="inlineStr">
        <is>
          <t>League Battle Deck Case [Mega Lucario ex]</t>
        </is>
      </c>
      <c r="B305" s="3">
        <f>IF(H305&lt;&gt;"",H305,IF(I305&lt;&gt;"",I305,IF(J305&lt;&gt;"",J305,K305)))</f>
        <v>53.6</v>
      </c>
      <c r="C305" s="3">
        <f>MEDIAN(H305:K305)</f>
        <v>54.99</v>
      </c>
      <c r="D305" s="3">
        <f>ROUND(C305*(1-Settings!$B$2),2)</f>
        <v>38.49</v>
      </c>
      <c r="E305" s="2" t="inlineStr">
        <is>
          <t>Pokemon</t>
        </is>
      </c>
      <c r="F305" s="2" t="inlineStr">
        <is>
          <t>Case/Display</t>
        </is>
      </c>
      <c r="G305" s="2" t="inlineStr">
        <is>
          <t>Miscellaneous Cards &amp; Products</t>
        </is>
      </c>
      <c r="H305" s="3" t="n"/>
      <c r="I305" s="3" t="n">
        <v>53.6</v>
      </c>
      <c r="J305" s="3" t="n">
        <v>125</v>
      </c>
      <c r="K305" s="3" t="n">
        <v>54.99</v>
      </c>
      <c r="L305" s="2" t="inlineStr">
        <is>
          <t>TCGplayer</t>
        </is>
      </c>
      <c r="N305" s="4" t="inlineStr">
        <is>
          <t>https://www.tcgplayer.com/product/684107</t>
        </is>
      </c>
    </row>
    <row r="306">
      <c r="A306" s="2" t="inlineStr">
        <is>
          <t>League Battle Deck Display [Shadow Rider/Ice Rider Calyrex VMAX]</t>
        </is>
      </c>
      <c r="B306" s="3">
        <f>IF(H306&lt;&gt;"",H306,IF(I306&lt;&gt;"",I306,IF(J306&lt;&gt;"",J306,K306)))</f>
        <v>90.0</v>
      </c>
      <c r="C306" s="3">
        <f>MEDIAN(H306:K306)</f>
        <v>119.69</v>
      </c>
      <c r="D306" s="3">
        <f>ROUND(C306*(1-Settings!$B$2),2)</f>
        <v>83.78</v>
      </c>
      <c r="E306" s="2" t="inlineStr">
        <is>
          <t>Pokemon</t>
        </is>
      </c>
      <c r="F306" s="2" t="inlineStr">
        <is>
          <t>Case/Display</t>
        </is>
      </c>
      <c r="G306" s="2" t="inlineStr">
        <is>
          <t>Miscellaneous Cards &amp; Products</t>
        </is>
      </c>
      <c r="H306" s="3" t="n"/>
      <c r="I306" s="3" t="n">
        <v>90</v>
      </c>
      <c r="J306" s="3" t="n">
        <v>119.69</v>
      </c>
      <c r="K306" s="3" t="n">
        <v>119.69</v>
      </c>
      <c r="L306" s="2" t="inlineStr">
        <is>
          <t>TCGplayer</t>
        </is>
      </c>
      <c r="N306" s="4" t="inlineStr">
        <is>
          <t>https://www.tcgplayer.com/product/271998</t>
        </is>
      </c>
    </row>
    <row r="307">
      <c r="A307" s="2" t="inlineStr">
        <is>
          <t>Lillie Premium Tournament Collection Box Case</t>
        </is>
      </c>
      <c r="B307" s="3">
        <f>IF(H307&lt;&gt;"",H307,IF(I307&lt;&gt;"",I307,IF(J307&lt;&gt;"",J307,K307)))</f>
        <v>349.5</v>
      </c>
      <c r="C307" s="3">
        <f>MEDIAN(H307:K307)</f>
        <v>349.5</v>
      </c>
      <c r="D307" s="3">
        <f>ROUND(C307*(1-Settings!$B$2),2)</f>
        <v>244.65</v>
      </c>
      <c r="E307" s="2" t="inlineStr">
        <is>
          <t>Pokemon</t>
        </is>
      </c>
      <c r="F307" s="2" t="inlineStr">
        <is>
          <t>Case/Display</t>
        </is>
      </c>
      <c r="G307" s="2" t="inlineStr">
        <is>
          <t>Miscellaneous Cards &amp; Products</t>
        </is>
      </c>
      <c r="H307" s="3" t="n"/>
      <c r="I307" s="3" t="n">
        <v>349.5</v>
      </c>
      <c r="J307" s="3" t="n">
        <v>349.6</v>
      </c>
      <c r="K307" s="3" t="n">
        <v>299.95</v>
      </c>
      <c r="L307" s="2" t="inlineStr">
        <is>
          <t>TCGplayer</t>
        </is>
      </c>
      <c r="N307" s="4" t="inlineStr">
        <is>
          <t>https://www.tcgplayer.com/product/657111</t>
        </is>
      </c>
    </row>
    <row r="308">
      <c r="A308" s="2" t="inlineStr">
        <is>
          <t>Lumiose City Mini Tin Display</t>
        </is>
      </c>
      <c r="B308" s="3">
        <f>IF(H308&lt;&gt;"",H308,IF(I308&lt;&gt;"",I308,IF(J308&lt;&gt;"",J308,K308)))</f>
        <v>112.76</v>
      </c>
      <c r="C308" s="3">
        <f>MEDIAN(H308:K308)</f>
        <v>112.76</v>
      </c>
      <c r="D308" s="3">
        <f>ROUND(C308*(1-Settings!$B$2),2)</f>
        <v>78.93</v>
      </c>
      <c r="E308" s="2" t="inlineStr">
        <is>
          <t>Pokemon</t>
        </is>
      </c>
      <c r="F308" s="2" t="inlineStr">
        <is>
          <t>Case/Display</t>
        </is>
      </c>
      <c r="G308" s="2" t="inlineStr">
        <is>
          <t>Miscellaneous Cards &amp; Products</t>
        </is>
      </c>
      <c r="H308" s="3" t="n"/>
      <c r="I308" s="3" t="n">
        <v>112.76</v>
      </c>
      <c r="J308" s="3" t="n">
        <v>142.99</v>
      </c>
      <c r="K308" s="3" t="n">
        <v>89.98999999999999</v>
      </c>
      <c r="L308" s="2" t="inlineStr">
        <is>
          <t>TCGplayer</t>
        </is>
      </c>
      <c r="N308" s="4" t="inlineStr">
        <is>
          <t>https://www.tcgplayer.com/product/685574</t>
        </is>
      </c>
    </row>
    <row r="309">
      <c r="A309" s="2" t="inlineStr">
        <is>
          <t>Lumiose City Mini Tin Display Case</t>
        </is>
      </c>
      <c r="B309" s="3">
        <f>IF(H309&lt;&gt;"",H309,IF(I309&lt;&gt;"",I309,IF(J309&lt;&gt;"",J309,K309)))</f>
        <v>451.21</v>
      </c>
      <c r="C309" s="3">
        <f>MEDIAN(H309:K309)</f>
        <v>451.21</v>
      </c>
      <c r="D309" s="3">
        <f>ROUND(C309*(1-Settings!$B$2),2)</f>
        <v>315.85</v>
      </c>
      <c r="E309" s="2" t="inlineStr">
        <is>
          <t>Pokemon</t>
        </is>
      </c>
      <c r="F309" s="2" t="inlineStr">
        <is>
          <t>Case/Display</t>
        </is>
      </c>
      <c r="G309" s="2" t="inlineStr">
        <is>
          <t>Miscellaneous Cards &amp; Products</t>
        </is>
      </c>
      <c r="H309" s="3" t="n"/>
      <c r="I309" s="3" t="n">
        <v>451.21</v>
      </c>
      <c r="J309" s="3" t="n">
        <v>464.31</v>
      </c>
      <c r="K309" s="3" t="n">
        <v>429.98</v>
      </c>
      <c r="L309" s="2" t="inlineStr">
        <is>
          <t>TCGplayer</t>
        </is>
      </c>
      <c r="N309" s="4" t="inlineStr">
        <is>
          <t>https://www.tcgplayer.com/product/685581</t>
        </is>
      </c>
    </row>
    <row r="310">
      <c r="A310" s="2" t="inlineStr">
        <is>
          <t>Mabosstiff ex Box Case</t>
        </is>
      </c>
      <c r="B310" s="3">
        <f>IF(H310&lt;&gt;"",H310,IF(I310&lt;&gt;"",I310,IF(J310&lt;&gt;"",J310,K310)))</f>
        <v>210.0</v>
      </c>
      <c r="C310" s="3">
        <f>MEDIAN(H310:K310)</f>
        <v>210.0</v>
      </c>
      <c r="D310" s="3">
        <f>ROUND(C310*(1-Settings!$B$2),2)</f>
        <v>147.0</v>
      </c>
      <c r="E310" s="2" t="inlineStr">
        <is>
          <t>Pokemon</t>
        </is>
      </c>
      <c r="F310" s="2" t="inlineStr">
        <is>
          <t>Case/Display</t>
        </is>
      </c>
      <c r="G310" s="2" t="inlineStr">
        <is>
          <t>Miscellaneous Cards &amp; Products</t>
        </is>
      </c>
      <c r="H310" s="3" t="n"/>
      <c r="I310" s="3" t="n">
        <v>210</v>
      </c>
      <c r="J310" s="3" t="n"/>
      <c r="K310" s="3" t="n"/>
      <c r="L310" s="2" t="inlineStr">
        <is>
          <t>TCGplayer</t>
        </is>
      </c>
      <c r="N310" s="4" t="inlineStr">
        <is>
          <t>https://www.tcgplayer.com/product/532404</t>
        </is>
      </c>
    </row>
    <row r="311">
      <c r="A311" s="2" t="inlineStr">
        <is>
          <t>Mega Charizard X ex Ultra Premium Collection Case</t>
        </is>
      </c>
      <c r="B311" s="3">
        <f>IF(H311&lt;&gt;"",H311,IF(I311&lt;&gt;"",I311,IF(J311&lt;&gt;"",J311,K311)))</f>
        <v>939.13</v>
      </c>
      <c r="C311" s="3">
        <f>MEDIAN(H311:K311)</f>
        <v>939.13</v>
      </c>
      <c r="D311" s="3">
        <f>ROUND(C311*(1-Settings!$B$2),2)</f>
        <v>657.39</v>
      </c>
      <c r="E311" s="2" t="inlineStr">
        <is>
          <t>Pokemon</t>
        </is>
      </c>
      <c r="F311" s="2" t="inlineStr">
        <is>
          <t>Case/Display</t>
        </is>
      </c>
      <c r="G311" s="2" t="inlineStr">
        <is>
          <t>Miscellaneous Cards &amp; Products</t>
        </is>
      </c>
      <c r="H311" s="3" t="n"/>
      <c r="I311" s="3" t="n">
        <v>939.13</v>
      </c>
      <c r="J311" s="3" t="n">
        <v>999.99</v>
      </c>
      <c r="K311" s="3" t="n">
        <v>923.1</v>
      </c>
      <c r="L311" s="2" t="inlineStr">
        <is>
          <t>TCGplayer</t>
        </is>
      </c>
      <c r="N311" s="4" t="inlineStr">
        <is>
          <t>https://www.tcgplayer.com/product/664895</t>
        </is>
      </c>
    </row>
    <row r="312">
      <c r="A312" s="2" t="inlineStr">
        <is>
          <t>Mega Forces Tin Case</t>
        </is>
      </c>
      <c r="B312" s="3">
        <f>IF(H312&lt;&gt;"",H312,IF(I312&lt;&gt;"",I312,IF(J312&lt;&gt;"",J312,K312)))</f>
        <v>199.99</v>
      </c>
      <c r="C312" s="3">
        <f>MEDIAN(H312:K312)</f>
        <v>349.95</v>
      </c>
      <c r="D312" s="3">
        <f>ROUND(C312*(1-Settings!$B$2),2)</f>
        <v>244.97</v>
      </c>
      <c r="E312" s="2" t="inlineStr">
        <is>
          <t>Pokemon</t>
        </is>
      </c>
      <c r="F312" s="2" t="inlineStr">
        <is>
          <t>Case/Display</t>
        </is>
      </c>
      <c r="G312" s="2" t="inlineStr">
        <is>
          <t>Miscellaneous Cards &amp; Products</t>
        </is>
      </c>
      <c r="H312" s="3" t="n"/>
      <c r="I312" s="3" t="n">
        <v>199.99</v>
      </c>
      <c r="J312" s="3" t="n">
        <v>349.95</v>
      </c>
      <c r="K312" s="3" t="n">
        <v>349.95</v>
      </c>
      <c r="L312" s="2" t="inlineStr">
        <is>
          <t>TCGplayer</t>
        </is>
      </c>
      <c r="N312" s="4" t="inlineStr">
        <is>
          <t>https://www.tcgplayer.com/product/702509</t>
        </is>
      </c>
    </row>
    <row r="313">
      <c r="A313" s="2" t="inlineStr">
        <is>
          <t>Mega Greninja ex Premium Collection Case</t>
        </is>
      </c>
      <c r="B313" s="3">
        <f>IF(H313&lt;&gt;"",H313,IF(I313&lt;&gt;"",I313,IF(J313&lt;&gt;"",J313,K313)))</f>
        <v>228.71</v>
      </c>
      <c r="C313" s="3">
        <f>MEDIAN(H313:K313)</f>
        <v>228.71</v>
      </c>
      <c r="D313" s="3">
        <f>ROUND(C313*(1-Settings!$B$2),2)</f>
        <v>160.1</v>
      </c>
      <c r="E313" s="2" t="inlineStr">
        <is>
          <t>Pokemon</t>
        </is>
      </c>
      <c r="F313" s="2" t="inlineStr">
        <is>
          <t>Case/Display</t>
        </is>
      </c>
      <c r="G313" s="2" t="inlineStr">
        <is>
          <t>Miscellaneous Cards &amp; Products</t>
        </is>
      </c>
      <c r="H313" s="3" t="n"/>
      <c r="I313" s="3" t="n">
        <v>228.71</v>
      </c>
      <c r="J313" s="3" t="n">
        <v>289.65</v>
      </c>
      <c r="K313" s="3" t="n">
        <v>220</v>
      </c>
      <c r="L313" s="2" t="inlineStr">
        <is>
          <t>TCGplayer</t>
        </is>
      </c>
      <c r="N313" s="4" t="inlineStr">
        <is>
          <t>https://www.tcgplayer.com/product/690661</t>
        </is>
      </c>
    </row>
    <row r="314">
      <c r="A314" s="2" t="inlineStr">
        <is>
          <t>Mega Lucario ex Premium Figure Collection Case</t>
        </is>
      </c>
      <c r="B314" s="3">
        <f>IF(H314&lt;&gt;"",H314,IF(I314&lt;&gt;"",I314,IF(J314&lt;&gt;"",J314,K314)))</f>
        <v>599.9</v>
      </c>
      <c r="C314" s="3">
        <f>MEDIAN(H314:K314)</f>
        <v>599.9</v>
      </c>
      <c r="D314" s="3">
        <f>ROUND(C314*(1-Settings!$B$2),2)</f>
        <v>419.93</v>
      </c>
      <c r="E314" s="2" t="inlineStr">
        <is>
          <t>Pokemon</t>
        </is>
      </c>
      <c r="F314" s="2" t="inlineStr">
        <is>
          <t>Case/Display</t>
        </is>
      </c>
      <c r="G314" s="2" t="inlineStr">
        <is>
          <t>Miscellaneous Cards &amp; Products</t>
        </is>
      </c>
      <c r="H314" s="3" t="n"/>
      <c r="I314" s="3" t="n"/>
      <c r="J314" s="3" t="n">
        <v>599.9</v>
      </c>
      <c r="K314" s="3" t="n">
        <v>599.9</v>
      </c>
      <c r="L314" s="2" t="inlineStr">
        <is>
          <t>TCGplayer</t>
        </is>
      </c>
      <c r="N314" s="4" t="inlineStr">
        <is>
          <t>https://www.tcgplayer.com/product/656488</t>
        </is>
      </c>
    </row>
    <row r="315">
      <c r="A315" s="2" t="inlineStr">
        <is>
          <t>Mega Moonlit Tin Case</t>
        </is>
      </c>
      <c r="B315" s="3">
        <f>IF(H315&lt;&gt;"",H315,IF(I315&lt;&gt;"",I315,IF(J315&lt;&gt;"",J315,K315)))</f>
        <v>138.43</v>
      </c>
      <c r="C315" s="3">
        <f>MEDIAN(H315:K315)</f>
        <v>152.95</v>
      </c>
      <c r="D315" s="3">
        <f>ROUND(C315*(1-Settings!$B$2),2)</f>
        <v>107.07</v>
      </c>
      <c r="E315" s="2" t="inlineStr">
        <is>
          <t>Pokemon</t>
        </is>
      </c>
      <c r="F315" s="2" t="inlineStr">
        <is>
          <t>Case/Display</t>
        </is>
      </c>
      <c r="G315" s="2" t="inlineStr">
        <is>
          <t>Miscellaneous Cards &amp; Products</t>
        </is>
      </c>
      <c r="H315" s="3" t="n"/>
      <c r="I315" s="3" t="n">
        <v>138.43</v>
      </c>
      <c r="J315" s="3" t="n">
        <v>190</v>
      </c>
      <c r="K315" s="3" t="n">
        <v>152.95</v>
      </c>
      <c r="L315" s="2" t="inlineStr">
        <is>
          <t>TCGplayer</t>
        </is>
      </c>
      <c r="N315" s="4" t="inlineStr">
        <is>
          <t>https://www.tcgplayer.com/product/686439</t>
        </is>
      </c>
    </row>
    <row r="316">
      <c r="A316" s="2" t="inlineStr">
        <is>
          <t>Mega Zygarde ex Premium Collection Case</t>
        </is>
      </c>
      <c r="B316" s="3">
        <f>IF(H316&lt;&gt;"",H316,IF(I316&lt;&gt;"",I316,IF(J316&lt;&gt;"",J316,K316)))</f>
        <v>278.02</v>
      </c>
      <c r="C316" s="3">
        <f>MEDIAN(H316:K316)</f>
        <v>279.0</v>
      </c>
      <c r="D316" s="3">
        <f>ROUND(C316*(1-Settings!$B$2),2)</f>
        <v>195.3</v>
      </c>
      <c r="E316" s="2" t="inlineStr">
        <is>
          <t>Pokemon</t>
        </is>
      </c>
      <c r="F316" s="2" t="inlineStr">
        <is>
          <t>Case/Display</t>
        </is>
      </c>
      <c r="G316" s="2" t="inlineStr">
        <is>
          <t>Miscellaneous Cards &amp; Products</t>
        </is>
      </c>
      <c r="H316" s="3" t="n"/>
      <c r="I316" s="3" t="n">
        <v>278.02</v>
      </c>
      <c r="J316" s="3" t="n">
        <v>314.88</v>
      </c>
      <c r="K316" s="3" t="n">
        <v>279</v>
      </c>
      <c r="L316" s="2" t="inlineStr">
        <is>
          <t>TCGplayer</t>
        </is>
      </c>
      <c r="N316" s="4" t="inlineStr">
        <is>
          <t>https://www.tcgplayer.com/product/682940</t>
        </is>
      </c>
    </row>
    <row r="317">
      <c r="A317" s="2" t="inlineStr">
        <is>
          <t>Paldea Adventure Chest Case</t>
        </is>
      </c>
      <c r="B317" s="3">
        <f>IF(H317&lt;&gt;"",H317,IF(I317&lt;&gt;"",I317,IF(J317&lt;&gt;"",J317,K317)))</f>
        <v>594.95</v>
      </c>
      <c r="C317" s="3">
        <f>MEDIAN(H317:K317)</f>
        <v>584.975</v>
      </c>
      <c r="D317" s="3">
        <f>ROUND(C317*(1-Settings!$B$2),2)</f>
        <v>409.48</v>
      </c>
      <c r="E317" s="2" t="inlineStr">
        <is>
          <t>Pokemon</t>
        </is>
      </c>
      <c r="F317" s="2" t="inlineStr">
        <is>
          <t>Case/Display</t>
        </is>
      </c>
      <c r="G317" s="2" t="inlineStr">
        <is>
          <t>Miscellaneous Cards &amp; Products</t>
        </is>
      </c>
      <c r="H317" s="3" t="n"/>
      <c r="I317" s="3" t="n"/>
      <c r="J317" s="3" t="n">
        <v>594.95</v>
      </c>
      <c r="K317" s="3" t="n">
        <v>575</v>
      </c>
      <c r="L317" s="2" t="inlineStr">
        <is>
          <t>TCGplayer</t>
        </is>
      </c>
      <c r="N317" s="4" t="inlineStr">
        <is>
          <t>https://www.tcgplayer.com/product/621135</t>
        </is>
      </c>
    </row>
    <row r="318">
      <c r="A318" s="2" t="inlineStr">
        <is>
          <t>Paldea Friends Mini Tin Display Case</t>
        </is>
      </c>
      <c r="B318" s="3">
        <f>IF(H318&lt;&gt;"",H318,IF(I318&lt;&gt;"",I318,IF(J318&lt;&gt;"",J318,K318)))</f>
        <v>999.99</v>
      </c>
      <c r="C318" s="3">
        <f>MEDIAN(H318:K318)</f>
        <v>999.99</v>
      </c>
      <c r="D318" s="3">
        <f>ROUND(C318*(1-Settings!$B$2),2)</f>
        <v>699.99</v>
      </c>
      <c r="E318" s="2" t="inlineStr">
        <is>
          <t>Pokemon</t>
        </is>
      </c>
      <c r="F318" s="2" t="inlineStr">
        <is>
          <t>Case/Display</t>
        </is>
      </c>
      <c r="G318" s="2" t="inlineStr">
        <is>
          <t>Miscellaneous Cards &amp; Products</t>
        </is>
      </c>
      <c r="H318" s="3" t="n"/>
      <c r="I318" s="3" t="n"/>
      <c r="J318" s="3" t="n">
        <v>999.99</v>
      </c>
      <c r="K318" s="3" t="n">
        <v>999.99</v>
      </c>
      <c r="L318" s="2" t="inlineStr">
        <is>
          <t>TCGplayer</t>
        </is>
      </c>
      <c r="N318" s="4" t="inlineStr">
        <is>
          <t>https://www.tcgplayer.com/product/496020</t>
        </is>
      </c>
    </row>
    <row r="319">
      <c r="A319" s="2" t="inlineStr">
        <is>
          <t>Poke Ball Tin Display (Q1 2021)</t>
        </is>
      </c>
      <c r="B319" s="3">
        <f>IF(H319&lt;&gt;"",H319,IF(I319&lt;&gt;"",I319,IF(J319&lt;&gt;"",J319,K319)))</f>
        <v>999.99</v>
      </c>
      <c r="C319" s="3">
        <f>MEDIAN(H319:K319)</f>
        <v>999.99</v>
      </c>
      <c r="D319" s="3">
        <f>ROUND(C319*(1-Settings!$B$2),2)</f>
        <v>699.99</v>
      </c>
      <c r="E319" s="2" t="inlineStr">
        <is>
          <t>Pokemon</t>
        </is>
      </c>
      <c r="F319" s="2" t="inlineStr">
        <is>
          <t>Case/Display</t>
        </is>
      </c>
      <c r="G319" s="2" t="inlineStr">
        <is>
          <t>Miscellaneous Cards &amp; Products</t>
        </is>
      </c>
      <c r="H319" s="3" t="n"/>
      <c r="I319" s="3" t="n"/>
      <c r="J319" s="3" t="n">
        <v>999.99</v>
      </c>
      <c r="K319" s="3" t="n">
        <v>999.99</v>
      </c>
      <c r="L319" s="2" t="inlineStr">
        <is>
          <t>TCGplayer</t>
        </is>
      </c>
      <c r="N319" s="4" t="inlineStr">
        <is>
          <t>https://www.tcgplayer.com/product/257717</t>
        </is>
      </c>
    </row>
    <row r="320">
      <c r="A320" s="2" t="inlineStr">
        <is>
          <t>Poke Ball Tin Display (Q2 2022)</t>
        </is>
      </c>
      <c r="B320" s="3">
        <f>IF(H320&lt;&gt;"",H320,IF(I320&lt;&gt;"",I320,IF(J320&lt;&gt;"",J320,K320)))</f>
        <v>998.0</v>
      </c>
      <c r="C320" s="3">
        <f>MEDIAN(H320:K320)</f>
        <v>998.0</v>
      </c>
      <c r="D320" s="3">
        <f>ROUND(C320*(1-Settings!$B$2),2)</f>
        <v>698.6</v>
      </c>
      <c r="E320" s="2" t="inlineStr">
        <is>
          <t>Pokemon</t>
        </is>
      </c>
      <c r="F320" s="2" t="inlineStr">
        <is>
          <t>Case/Display</t>
        </is>
      </c>
      <c r="G320" s="2" t="inlineStr">
        <is>
          <t>Miscellaneous Cards &amp; Products</t>
        </is>
      </c>
      <c r="H320" s="3" t="n"/>
      <c r="I320" s="3" t="n"/>
      <c r="J320" s="3" t="n">
        <v>998</v>
      </c>
      <c r="K320" s="3" t="n">
        <v>998</v>
      </c>
      <c r="L320" s="2" t="inlineStr">
        <is>
          <t>TCGplayer</t>
        </is>
      </c>
      <c r="N320" s="4" t="inlineStr">
        <is>
          <t>https://www.tcgplayer.com/product/265250</t>
        </is>
      </c>
    </row>
    <row r="321">
      <c r="A321" s="2" t="inlineStr">
        <is>
          <t>Poke Ball Tin Display (Q3 2023)</t>
        </is>
      </c>
      <c r="B321" s="3">
        <f>IF(H321&lt;&gt;"",H321,IF(I321&lt;&gt;"",I321,IF(J321&lt;&gt;"",J321,K321)))</f>
        <v>299.84</v>
      </c>
      <c r="C321" s="3">
        <f>MEDIAN(H321:K321)</f>
        <v>274.765</v>
      </c>
      <c r="D321" s="3">
        <f>ROUND(C321*(1-Settings!$B$2),2)</f>
        <v>192.34</v>
      </c>
      <c r="E321" s="2" t="inlineStr">
        <is>
          <t>Pokemon</t>
        </is>
      </c>
      <c r="F321" s="2" t="inlineStr">
        <is>
          <t>Case/Display</t>
        </is>
      </c>
      <c r="G321" s="2" t="inlineStr">
        <is>
          <t>Miscellaneous Cards &amp; Products</t>
        </is>
      </c>
      <c r="H321" s="3" t="n"/>
      <c r="I321" s="3" t="n"/>
      <c r="J321" s="3" t="n">
        <v>299.84</v>
      </c>
      <c r="K321" s="3" t="n">
        <v>249.69</v>
      </c>
      <c r="L321" s="2" t="inlineStr">
        <is>
          <t>TCGplayer</t>
        </is>
      </c>
      <c r="N321" s="4" t="inlineStr">
        <is>
          <t>https://www.tcgplayer.com/product/516946</t>
        </is>
      </c>
    </row>
    <row r="322">
      <c r="A322" s="2" t="inlineStr">
        <is>
          <t>Poke Ball Tin Display (Q4 2021)</t>
        </is>
      </c>
      <c r="B322" s="3">
        <f>IF(H322&lt;&gt;"",H322,IF(I322&lt;&gt;"",I322,IF(J322&lt;&gt;"",J322,K322)))</f>
        <v>315.74</v>
      </c>
      <c r="C322" s="3">
        <f>MEDIAN(H322:K322)</f>
        <v>497.99</v>
      </c>
      <c r="D322" s="3">
        <f>ROUND(C322*(1-Settings!$B$2),2)</f>
        <v>348.59</v>
      </c>
      <c r="E322" s="2" t="inlineStr">
        <is>
          <t>Pokemon</t>
        </is>
      </c>
      <c r="F322" s="2" t="inlineStr">
        <is>
          <t>Case/Display</t>
        </is>
      </c>
      <c r="G322" s="2" t="inlineStr">
        <is>
          <t>Miscellaneous Cards &amp; Products</t>
        </is>
      </c>
      <c r="H322" s="3" t="n"/>
      <c r="I322" s="3" t="n">
        <v>315.74</v>
      </c>
      <c r="J322" s="3" t="n">
        <v>499.99</v>
      </c>
      <c r="K322" s="3" t="n">
        <v>497.99</v>
      </c>
      <c r="L322" s="2" t="inlineStr">
        <is>
          <t>TCGplayer</t>
        </is>
      </c>
      <c r="N322" s="4" t="inlineStr">
        <is>
          <t>https://www.tcgplayer.com/product/257718</t>
        </is>
      </c>
    </row>
    <row r="323">
      <c r="A323" s="2" t="inlineStr">
        <is>
          <t>Poke Ball Tin Display (Q4 2024)</t>
        </is>
      </c>
      <c r="B323" s="3">
        <f>IF(H323&lt;&gt;"",H323,IF(I323&lt;&gt;"",I323,IF(J323&lt;&gt;"",J323,K323)))</f>
        <v>132.89</v>
      </c>
      <c r="C323" s="3">
        <f>MEDIAN(H323:K323)</f>
        <v>174.94</v>
      </c>
      <c r="D323" s="3">
        <f>ROUND(C323*(1-Settings!$B$2),2)</f>
        <v>122.46</v>
      </c>
      <c r="E323" s="2" t="inlineStr">
        <is>
          <t>Pokemon</t>
        </is>
      </c>
      <c r="F323" s="2" t="inlineStr">
        <is>
          <t>Case/Display</t>
        </is>
      </c>
      <c r="G323" s="2" t="inlineStr">
        <is>
          <t>Miscellaneous Cards &amp; Products</t>
        </is>
      </c>
      <c r="H323" s="3" t="n"/>
      <c r="I323" s="3" t="n">
        <v>132.89</v>
      </c>
      <c r="J323" s="3" t="n">
        <v>174.94</v>
      </c>
      <c r="K323" s="3" t="n">
        <v>174.94</v>
      </c>
      <c r="L323" s="2" t="inlineStr">
        <is>
          <t>TCGplayer</t>
        </is>
      </c>
      <c r="N323" s="4" t="inlineStr">
        <is>
          <t>https://www.tcgplayer.com/product/564280</t>
        </is>
      </c>
    </row>
    <row r="324">
      <c r="A324" s="2" t="inlineStr">
        <is>
          <t>Poke Ball Tin Display (Q4 2025)</t>
        </is>
      </c>
      <c r="B324" s="3">
        <f>IF(H324&lt;&gt;"",H324,IF(I324&lt;&gt;"",I324,IF(J324&lt;&gt;"",J324,K324)))</f>
        <v>133.85</v>
      </c>
      <c r="C324" s="3">
        <f>MEDIAN(H324:K324)</f>
        <v>135.0</v>
      </c>
      <c r="D324" s="3">
        <f>ROUND(C324*(1-Settings!$B$2),2)</f>
        <v>94.5</v>
      </c>
      <c r="E324" s="2" t="inlineStr">
        <is>
          <t>Pokemon</t>
        </is>
      </c>
      <c r="F324" s="2" t="inlineStr">
        <is>
          <t>Case/Display</t>
        </is>
      </c>
      <c r="G324" s="2" t="inlineStr">
        <is>
          <t>Miscellaneous Cards &amp; Products</t>
        </is>
      </c>
      <c r="H324" s="3" t="n"/>
      <c r="I324" s="3" t="n">
        <v>133.85</v>
      </c>
      <c r="J324" s="3" t="n">
        <v>149.5</v>
      </c>
      <c r="K324" s="3" t="n">
        <v>135</v>
      </c>
      <c r="L324" s="2" t="inlineStr">
        <is>
          <t>TCGplayer</t>
        </is>
      </c>
      <c r="N324" s="4" t="inlineStr">
        <is>
          <t>https://www.tcgplayer.com/product/654590</t>
        </is>
      </c>
    </row>
    <row r="325">
      <c r="A325" s="2" t="inlineStr">
        <is>
          <t>Pokemon Day 2026 Collection Case</t>
        </is>
      </c>
      <c r="B325" s="3">
        <f>IF(H325&lt;&gt;"",H325,IF(I325&lt;&gt;"",I325,IF(J325&lt;&gt;"",J325,K325)))</f>
        <v>221.24</v>
      </c>
      <c r="C325" s="3">
        <f>MEDIAN(H325:K325)</f>
        <v>221.24</v>
      </c>
      <c r="D325" s="3">
        <f>ROUND(C325*(1-Settings!$B$2),2)</f>
        <v>154.87</v>
      </c>
      <c r="E325" s="2" t="inlineStr">
        <is>
          <t>Pokemon</t>
        </is>
      </c>
      <c r="F325" s="2" t="inlineStr">
        <is>
          <t>Case/Display</t>
        </is>
      </c>
      <c r="G325" s="2" t="inlineStr">
        <is>
          <t>Miscellaneous Cards &amp; Products</t>
        </is>
      </c>
      <c r="H325" s="3" t="n"/>
      <c r="I325" s="3" t="n">
        <v>221.24</v>
      </c>
      <c r="J325" s="3" t="n">
        <v>273.02</v>
      </c>
      <c r="K325" s="3" t="n">
        <v>219.99</v>
      </c>
      <c r="L325" s="2" t="inlineStr">
        <is>
          <t>TCGplayer</t>
        </is>
      </c>
      <c r="N325" s="4" t="inlineStr">
        <is>
          <t>https://www.tcgplayer.com/product/668591</t>
        </is>
      </c>
    </row>
    <row r="326">
      <c r="A326" s="2" t="inlineStr">
        <is>
          <t>Pokemon Stacking Tins: Treasures of Ruin, Paradox Pokemon, Ogerpon Display</t>
        </is>
      </c>
      <c r="B326" s="3">
        <f>IF(H326&lt;&gt;"",H326,IF(I326&lt;&gt;"",I326,IF(J326&lt;&gt;"",J326,K326)))</f>
        <v>248.0</v>
      </c>
      <c r="C326" s="3">
        <f>MEDIAN(H326:K326)</f>
        <v>241.5</v>
      </c>
      <c r="D326" s="3">
        <f>ROUND(C326*(1-Settings!$B$2),2)</f>
        <v>169.05</v>
      </c>
      <c r="E326" s="2" t="inlineStr">
        <is>
          <t>Pokemon</t>
        </is>
      </c>
      <c r="F326" s="2" t="inlineStr">
        <is>
          <t>Case/Display</t>
        </is>
      </c>
      <c r="G326" s="2" t="inlineStr">
        <is>
          <t>Miscellaneous Cards &amp; Products</t>
        </is>
      </c>
      <c r="H326" s="3" t="n"/>
      <c r="I326" s="3" t="n"/>
      <c r="J326" s="3" t="n">
        <v>248</v>
      </c>
      <c r="K326" s="3" t="n">
        <v>235</v>
      </c>
      <c r="L326" s="2" t="inlineStr">
        <is>
          <t>TCGplayer</t>
        </is>
      </c>
      <c r="N326" s="4" t="inlineStr">
        <is>
          <t>https://www.tcgplayer.com/product/616298</t>
        </is>
      </c>
    </row>
    <row r="327">
      <c r="A327" s="2" t="inlineStr">
        <is>
          <t>Pokemon TCG: Back to School Pencil Case</t>
        </is>
      </c>
      <c r="B327" s="3">
        <f>IF(H327&lt;&gt;"",H327,IF(I327&lt;&gt;"",I327,IF(J327&lt;&gt;"",J327,K327)))</f>
        <v>36.9</v>
      </c>
      <c r="C327" s="3">
        <f>MEDIAN(H327:K327)</f>
        <v>51.0</v>
      </c>
      <c r="D327" s="3">
        <f>ROUND(C327*(1-Settings!$B$2),2)</f>
        <v>35.7</v>
      </c>
      <c r="E327" s="2" t="inlineStr">
        <is>
          <t>Pokemon</t>
        </is>
      </c>
      <c r="F327" s="2" t="inlineStr">
        <is>
          <t>Case/Display</t>
        </is>
      </c>
      <c r="G327" s="2" t="inlineStr">
        <is>
          <t>Miscellaneous Cards &amp; Products</t>
        </is>
      </c>
      <c r="H327" s="3" t="n"/>
      <c r="I327" s="3" t="n">
        <v>36.9</v>
      </c>
      <c r="J327" s="3" t="n">
        <v>51.95</v>
      </c>
      <c r="K327" s="3" t="n">
        <v>51</v>
      </c>
      <c r="L327" s="2" t="inlineStr">
        <is>
          <t>TCGplayer</t>
        </is>
      </c>
      <c r="N327" s="4" t="inlineStr">
        <is>
          <t>https://www.tcgplayer.com/product/273613</t>
        </is>
      </c>
    </row>
    <row r="328">
      <c r="A328" s="2" t="inlineStr">
        <is>
          <t>Pokemon TCG: Back to School Pencil Case 2023</t>
        </is>
      </c>
      <c r="B328" s="3">
        <f>IF(H328&lt;&gt;"",H328,IF(I328&lt;&gt;"",I328,IF(J328&lt;&gt;"",J328,K328)))</f>
        <v>23.48</v>
      </c>
      <c r="C328" s="3">
        <f>MEDIAN(H328:K328)</f>
        <v>24.0</v>
      </c>
      <c r="D328" s="3">
        <f>ROUND(C328*(1-Settings!$B$2),2)</f>
        <v>16.8</v>
      </c>
      <c r="E328" s="2" t="inlineStr">
        <is>
          <t>Pokemon</t>
        </is>
      </c>
      <c r="F328" s="2" t="inlineStr">
        <is>
          <t>Case/Display</t>
        </is>
      </c>
      <c r="G328" s="2" t="inlineStr">
        <is>
          <t>Miscellaneous Cards &amp; Products</t>
        </is>
      </c>
      <c r="H328" s="3" t="n"/>
      <c r="I328" s="3" t="n">
        <v>23.48</v>
      </c>
      <c r="J328" s="3" t="n">
        <v>29.99</v>
      </c>
      <c r="K328" s="3" t="n">
        <v>24</v>
      </c>
      <c r="L328" s="2" t="inlineStr">
        <is>
          <t>TCGplayer</t>
        </is>
      </c>
      <c r="N328" s="4" t="inlineStr">
        <is>
          <t>https://www.tcgplayer.com/product/497851</t>
        </is>
      </c>
    </row>
    <row r="329">
      <c r="A329" s="2" t="inlineStr">
        <is>
          <t>Pokemon TCG: Back to School Pencil Case 2024</t>
        </is>
      </c>
      <c r="B329" s="3">
        <f>IF(H329&lt;&gt;"",H329,IF(I329&lt;&gt;"",I329,IF(J329&lt;&gt;"",J329,K329)))</f>
        <v>22.8</v>
      </c>
      <c r="C329" s="3">
        <f>MEDIAN(H329:K329)</f>
        <v>25.05</v>
      </c>
      <c r="D329" s="3">
        <f>ROUND(C329*(1-Settings!$B$2),2)</f>
        <v>17.54</v>
      </c>
      <c r="E329" s="2" t="inlineStr">
        <is>
          <t>Pokemon</t>
        </is>
      </c>
      <c r="F329" s="2" t="inlineStr">
        <is>
          <t>Case/Display</t>
        </is>
      </c>
      <c r="G329" s="2" t="inlineStr">
        <is>
          <t>Miscellaneous Cards &amp; Products</t>
        </is>
      </c>
      <c r="H329" s="3" t="n"/>
      <c r="I329" s="3" t="n">
        <v>22.8</v>
      </c>
      <c r="J329" s="3" t="n">
        <v>34</v>
      </c>
      <c r="K329" s="3" t="n">
        <v>25.05</v>
      </c>
      <c r="L329" s="2" t="inlineStr">
        <is>
          <t>TCGplayer</t>
        </is>
      </c>
      <c r="N329" s="4" t="inlineStr">
        <is>
          <t>https://www.tcgplayer.com/product/549443</t>
        </is>
      </c>
    </row>
    <row r="330">
      <c r="A330" s="2" t="inlineStr">
        <is>
          <t>Pokemon TCG: Trainer's Toolkit (2021) Case</t>
        </is>
      </c>
      <c r="B330" s="3">
        <f>IF(H330&lt;&gt;"",H330,IF(I330&lt;&gt;"",I330,IF(J330&lt;&gt;"",J330,K330)))</f>
        <v>249.69</v>
      </c>
      <c r="C330" s="3">
        <f>MEDIAN(H330:K330)</f>
        <v>249.69</v>
      </c>
      <c r="D330" s="3">
        <f>ROUND(C330*(1-Settings!$B$2),2)</f>
        <v>174.78</v>
      </c>
      <c r="E330" s="2" t="inlineStr">
        <is>
          <t>Pokemon</t>
        </is>
      </c>
      <c r="F330" s="2" t="inlineStr">
        <is>
          <t>Case/Display</t>
        </is>
      </c>
      <c r="G330" s="2" t="inlineStr">
        <is>
          <t>Miscellaneous Cards &amp; Products</t>
        </is>
      </c>
      <c r="H330" s="3" t="n"/>
      <c r="I330" s="3" t="n">
        <v>249.69</v>
      </c>
      <c r="J330" s="3" t="n"/>
      <c r="K330" s="3" t="n"/>
      <c r="L330" s="2" t="inlineStr">
        <is>
          <t>TCGplayer</t>
        </is>
      </c>
      <c r="N330" s="4" t="inlineStr">
        <is>
          <t>https://www.tcgplayer.com/product/277564</t>
        </is>
      </c>
    </row>
    <row r="331">
      <c r="A331" s="2" t="inlineStr">
        <is>
          <t>Pokémon Collector's Chest Plus Pencil Case</t>
        </is>
      </c>
      <c r="B331" s="3">
        <f>IF(H331&lt;&gt;"",H331,IF(I331&lt;&gt;"",I331,IF(J331&lt;&gt;"",J331,K331)))</f>
        <v>87.5</v>
      </c>
      <c r="C331" s="3">
        <f>MEDIAN(H331:K331)</f>
        <v>120.0</v>
      </c>
      <c r="D331" s="3">
        <f>ROUND(C331*(1-Settings!$B$2),2)</f>
        <v>84.0</v>
      </c>
      <c r="E331" s="2" t="inlineStr">
        <is>
          <t>Pokemon</t>
        </is>
      </c>
      <c r="F331" s="2" t="inlineStr">
        <is>
          <t>Case/Display</t>
        </is>
      </c>
      <c r="G331" s="2" t="inlineStr">
        <is>
          <t>Miscellaneous Cards &amp; Products</t>
        </is>
      </c>
      <c r="H331" s="3" t="n"/>
      <c r="I331" s="3" t="n">
        <v>87.5</v>
      </c>
      <c r="J331" s="3" t="n">
        <v>160</v>
      </c>
      <c r="K331" s="3" t="n">
        <v>120</v>
      </c>
      <c r="L331" s="2" t="inlineStr">
        <is>
          <t>TCGplayer</t>
        </is>
      </c>
      <c r="N331" s="4" t="inlineStr">
        <is>
          <t>https://www.tcgplayer.com/product/514256</t>
        </is>
      </c>
    </row>
    <row r="332">
      <c r="A332" s="2" t="inlineStr">
        <is>
          <t>Professor Juniper Premium Tournament Collection Box Case</t>
        </is>
      </c>
      <c r="B332" s="3">
        <f>IF(H332&lt;&gt;"",H332,IF(I332&lt;&gt;"",I332,IF(J332&lt;&gt;"",J332,K332)))</f>
        <v>434.85</v>
      </c>
      <c r="C332" s="3">
        <f>MEDIAN(H332:K332)</f>
        <v>434.85</v>
      </c>
      <c r="D332" s="3">
        <f>ROUND(C332*(1-Settings!$B$2),2)</f>
        <v>304.4</v>
      </c>
      <c r="E332" s="2" t="inlineStr">
        <is>
          <t>Pokemon</t>
        </is>
      </c>
      <c r="F332" s="2" t="inlineStr">
        <is>
          <t>Case/Display</t>
        </is>
      </c>
      <c r="G332" s="2" t="inlineStr">
        <is>
          <t>Miscellaneous Cards &amp; Products</t>
        </is>
      </c>
      <c r="H332" s="3" t="n"/>
      <c r="I332" s="3" t="n">
        <v>434.85</v>
      </c>
      <c r="J332" s="3" t="n">
        <v>500</v>
      </c>
      <c r="K332" s="3" t="n">
        <v>400</v>
      </c>
      <c r="L332" s="2" t="inlineStr">
        <is>
          <t>TCGplayer</t>
        </is>
      </c>
      <c r="N332" s="4" t="inlineStr">
        <is>
          <t>https://www.tcgplayer.com/product/278924</t>
        </is>
      </c>
    </row>
    <row r="333">
      <c r="A333" s="2" t="inlineStr">
        <is>
          <t>Sinnoh Star Mini Tin Display</t>
        </is>
      </c>
      <c r="B333" s="3">
        <f>IF(H333&lt;&gt;"",H333,IF(I333&lt;&gt;"",I333,IF(J333&lt;&gt;"",J333,K333)))</f>
        <v>246.34</v>
      </c>
      <c r="C333" s="3">
        <f>MEDIAN(H333:K333)</f>
        <v>269.95</v>
      </c>
      <c r="D333" s="3">
        <f>ROUND(C333*(1-Settings!$B$2),2)</f>
        <v>188.97</v>
      </c>
      <c r="E333" s="2" t="inlineStr">
        <is>
          <t>Pokemon</t>
        </is>
      </c>
      <c r="F333" s="2" t="inlineStr">
        <is>
          <t>Case/Display</t>
        </is>
      </c>
      <c r="G333" s="2" t="inlineStr">
        <is>
          <t>Miscellaneous Cards &amp; Products</t>
        </is>
      </c>
      <c r="H333" s="3" t="n"/>
      <c r="I333" s="3" t="n">
        <v>246.34</v>
      </c>
      <c r="J333" s="3" t="n">
        <v>269.96</v>
      </c>
      <c r="K333" s="3" t="n">
        <v>269.95</v>
      </c>
      <c r="L333" s="2" t="inlineStr">
        <is>
          <t>TCGplayer</t>
        </is>
      </c>
      <c r="N333" s="4" t="inlineStr">
        <is>
          <t>https://www.tcgplayer.com/product/263259</t>
        </is>
      </c>
    </row>
    <row r="334">
      <c r="A334" s="2" t="inlineStr">
        <is>
          <t>Team Rocket's Mewtwo ex Box Case</t>
        </is>
      </c>
      <c r="B334" s="3">
        <f>IF(H334&lt;&gt;"",H334,IF(I334&lt;&gt;"",I334,IF(J334&lt;&gt;"",J334,K334)))</f>
        <v>394.47</v>
      </c>
      <c r="C334" s="3">
        <f>MEDIAN(H334:K334)</f>
        <v>399.98</v>
      </c>
      <c r="D334" s="3">
        <f>ROUND(C334*(1-Settings!$B$2),2)</f>
        <v>279.99</v>
      </c>
      <c r="E334" s="2" t="inlineStr">
        <is>
          <t>Pokemon</t>
        </is>
      </c>
      <c r="F334" s="2" t="inlineStr">
        <is>
          <t>Case/Display</t>
        </is>
      </c>
      <c r="G334" s="2" t="inlineStr">
        <is>
          <t>Miscellaneous Cards &amp; Products</t>
        </is>
      </c>
      <c r="H334" s="3" t="n"/>
      <c r="I334" s="3" t="n">
        <v>394.47</v>
      </c>
      <c r="J334" s="3" t="n">
        <v>1199.95</v>
      </c>
      <c r="K334" s="3" t="n">
        <v>399.98</v>
      </c>
      <c r="L334" s="2" t="inlineStr">
        <is>
          <t>TCGplayer</t>
        </is>
      </c>
      <c r="N334" s="4" t="inlineStr">
        <is>
          <t>https://www.tcgplayer.com/product/634607</t>
        </is>
      </c>
    </row>
    <row r="335">
      <c r="A335" s="2" t="inlineStr">
        <is>
          <t>Team Rocket’s Moltres ex Ultra-Premium Collection Case</t>
        </is>
      </c>
      <c r="B335" s="3">
        <f>IF(H335&lt;&gt;"",H335,IF(I335&lt;&gt;"",I335,IF(J335&lt;&gt;"",J335,K335)))</f>
        <v>1292.78</v>
      </c>
      <c r="C335" s="3">
        <f>MEDIAN(H335:K335)</f>
        <v>1400.0</v>
      </c>
      <c r="D335" s="3">
        <f>ROUND(C335*(1-Settings!$B$2),2)</f>
        <v>980.0</v>
      </c>
      <c r="E335" s="2" t="inlineStr">
        <is>
          <t>Pokemon</t>
        </is>
      </c>
      <c r="F335" s="2" t="inlineStr">
        <is>
          <t>Case/Display</t>
        </is>
      </c>
      <c r="G335" s="2" t="inlineStr">
        <is>
          <t>Miscellaneous Cards &amp; Products</t>
        </is>
      </c>
      <c r="H335" s="3" t="n"/>
      <c r="I335" s="3" t="n">
        <v>1292.78</v>
      </c>
      <c r="J335" s="3" t="n">
        <v>1499</v>
      </c>
      <c r="K335" s="3" t="n">
        <v>1400</v>
      </c>
      <c r="L335" s="2" t="inlineStr">
        <is>
          <t>TCGplayer</t>
        </is>
      </c>
      <c r="N335" s="4" t="inlineStr">
        <is>
          <t>https://www.tcgplayer.com/product/664898</t>
        </is>
      </c>
    </row>
    <row r="336">
      <c r="A336" s="2" t="inlineStr">
        <is>
          <t>Terapagos ex Ultra-Premium Collection Case</t>
        </is>
      </c>
      <c r="B336" s="3">
        <f>IF(H336&lt;&gt;"",H336,IF(I336&lt;&gt;"",I336,IF(J336&lt;&gt;"",J336,K336)))</f>
        <v>1236.0</v>
      </c>
      <c r="C336" s="3">
        <f>MEDIAN(H336:K336)</f>
        <v>1236.0</v>
      </c>
      <c r="D336" s="3">
        <f>ROUND(C336*(1-Settings!$B$2),2)</f>
        <v>865.2</v>
      </c>
      <c r="E336" s="2" t="inlineStr">
        <is>
          <t>Pokemon</t>
        </is>
      </c>
      <c r="F336" s="2" t="inlineStr">
        <is>
          <t>Case/Display</t>
        </is>
      </c>
      <c r="G336" s="2" t="inlineStr">
        <is>
          <t>Miscellaneous Cards &amp; Products</t>
        </is>
      </c>
      <c r="H336" s="3" t="n"/>
      <c r="I336" s="3" t="n">
        <v>1236</v>
      </c>
      <c r="J336" s="3" t="n"/>
      <c r="K336" s="3" t="n"/>
      <c r="L336" s="2" t="inlineStr">
        <is>
          <t>TCGplayer</t>
        </is>
      </c>
      <c r="N336" s="4" t="inlineStr">
        <is>
          <t>https://www.tcgplayer.com/product/696827</t>
        </is>
      </c>
    </row>
    <row r="337">
      <c r="A337" s="2" t="inlineStr">
        <is>
          <t>Triple Whammy Tin Case</t>
        </is>
      </c>
      <c r="B337" s="3">
        <f>IF(H337&lt;&gt;"",H337,IF(I337&lt;&gt;"",I337,IF(J337&lt;&gt;"",J337,K337)))</f>
        <v>150.0</v>
      </c>
      <c r="C337" s="3">
        <f>MEDIAN(H337:K337)</f>
        <v>149.995</v>
      </c>
      <c r="D337" s="3">
        <f>ROUND(C337*(1-Settings!$B$2),2)</f>
        <v>105.0</v>
      </c>
      <c r="E337" s="2" t="inlineStr">
        <is>
          <t>Pokemon</t>
        </is>
      </c>
      <c r="F337" s="2" t="inlineStr">
        <is>
          <t>Case/Display</t>
        </is>
      </c>
      <c r="G337" s="2" t="inlineStr">
        <is>
          <t>Miscellaneous Cards &amp; Products</t>
        </is>
      </c>
      <c r="H337" s="3" t="n"/>
      <c r="I337" s="3" t="n"/>
      <c r="J337" s="3" t="n">
        <v>150</v>
      </c>
      <c r="K337" s="3" t="n">
        <v>149.99</v>
      </c>
      <c r="L337" s="2" t="inlineStr">
        <is>
          <t>TCGplayer</t>
        </is>
      </c>
      <c r="N337" s="4" t="inlineStr">
        <is>
          <t>https://www.tcgplayer.com/product/692924</t>
        </is>
      </c>
    </row>
    <row r="338">
      <c r="A338" s="2" t="inlineStr">
        <is>
          <t>V Battle Deck Display [Venusaur V/Blastoise V]</t>
        </is>
      </c>
      <c r="B338" s="3">
        <f>IF(H338&lt;&gt;"",H338,IF(I338&lt;&gt;"",I338,IF(J338&lt;&gt;"",J338,K338)))</f>
        <v>158.95</v>
      </c>
      <c r="C338" s="3">
        <f>MEDIAN(H338:K338)</f>
        <v>399.99</v>
      </c>
      <c r="D338" s="3">
        <f>ROUND(C338*(1-Settings!$B$2),2)</f>
        <v>279.99</v>
      </c>
      <c r="E338" s="2" t="inlineStr">
        <is>
          <t>Pokemon</t>
        </is>
      </c>
      <c r="F338" s="2" t="inlineStr">
        <is>
          <t>Case/Display</t>
        </is>
      </c>
      <c r="G338" s="2" t="inlineStr">
        <is>
          <t>Miscellaneous Cards &amp; Products</t>
        </is>
      </c>
      <c r="H338" s="3" t="n"/>
      <c r="I338" s="3" t="n">
        <v>158.95</v>
      </c>
      <c r="J338" s="3" t="n">
        <v>399.99</v>
      </c>
      <c r="K338" s="3" t="n">
        <v>399.99</v>
      </c>
      <c r="L338" s="2" t="inlineStr">
        <is>
          <t>TCGplayer</t>
        </is>
      </c>
      <c r="N338" s="4" t="inlineStr">
        <is>
          <t>https://www.tcgplayer.com/product/230393</t>
        </is>
      </c>
    </row>
    <row r="339">
      <c r="A339" s="2" t="inlineStr">
        <is>
          <t>Vibrant Paldea Mini Tin Collection Display</t>
        </is>
      </c>
      <c r="B339" s="3">
        <f>IF(H339&lt;&gt;"",H339,IF(I339&lt;&gt;"",I339,IF(J339&lt;&gt;"",J339,K339)))</f>
        <v>246.22</v>
      </c>
      <c r="C339" s="3">
        <f>MEDIAN(H339:K339)</f>
        <v>270.0</v>
      </c>
      <c r="D339" s="3">
        <f>ROUND(C339*(1-Settings!$B$2),2)</f>
        <v>189.0</v>
      </c>
      <c r="E339" s="2" t="inlineStr">
        <is>
          <t>Pokemon</t>
        </is>
      </c>
      <c r="F339" s="2" t="inlineStr">
        <is>
          <t>Case/Display</t>
        </is>
      </c>
      <c r="G339" s="2" t="inlineStr">
        <is>
          <t>Miscellaneous Cards &amp; Products</t>
        </is>
      </c>
      <c r="H339" s="3" t="n"/>
      <c r="I339" s="3" t="n">
        <v>246.22</v>
      </c>
      <c r="J339" s="3" t="n">
        <v>349.99</v>
      </c>
      <c r="K339" s="3" t="n">
        <v>270</v>
      </c>
      <c r="L339" s="2" t="inlineStr">
        <is>
          <t>TCGplayer</t>
        </is>
      </c>
      <c r="N339" s="4" t="inlineStr">
        <is>
          <t>https://www.tcgplayer.com/product/554175</t>
        </is>
      </c>
    </row>
    <row r="340">
      <c r="A340" s="2" t="inlineStr">
        <is>
          <t>Paldean Fates Tech Sticker Collection Display</t>
        </is>
      </c>
      <c r="B340" s="3">
        <f>IF(H340&lt;&gt;"",H340,IF(I340&lt;&gt;"",I340,IF(J340&lt;&gt;"",J340,K340)))</f>
        <v>815.5</v>
      </c>
      <c r="C340" s="3">
        <f>MEDIAN(H340:K340)</f>
        <v>815.5</v>
      </c>
      <c r="D340" s="3">
        <f>ROUND(C340*(1-Settings!$B$2),2)</f>
        <v>570.85</v>
      </c>
      <c r="E340" s="2" t="inlineStr">
        <is>
          <t>Pokemon</t>
        </is>
      </c>
      <c r="F340" s="2" t="inlineStr">
        <is>
          <t>Case/Display</t>
        </is>
      </c>
      <c r="G340" s="2" t="inlineStr">
        <is>
          <t>Paldean Fates</t>
        </is>
      </c>
      <c r="H340" s="3" t="n">
        <v>815.5</v>
      </c>
      <c r="I340" s="3" t="n"/>
      <c r="J340" s="3" t="n"/>
      <c r="K340" s="3" t="n"/>
      <c r="L340" s="2" t="inlineStr">
        <is>
          <t>PriceCharting</t>
        </is>
      </c>
      <c r="M340" s="4" t="inlineStr">
        <is>
          <t>https://www.pricecharting.com/game/pokemon-paldean-fates/tech-sticker-collection-display</t>
        </is>
      </c>
    </row>
    <row r="341">
      <c r="A341" s="2" t="inlineStr">
        <is>
          <t>Pokemon GO Pin Collection Case</t>
        </is>
      </c>
      <c r="B341" s="3">
        <f>IF(H341&lt;&gt;"",H341,IF(I341&lt;&gt;"",I341,IF(J341&lt;&gt;"",J341,K341)))</f>
        <v>599.95</v>
      </c>
      <c r="C341" s="3">
        <f>MEDIAN(H341:K341)</f>
        <v>599.95</v>
      </c>
      <c r="D341" s="3">
        <f>ROUND(C341*(1-Settings!$B$2),2)</f>
        <v>419.97</v>
      </c>
      <c r="E341" s="2" t="inlineStr">
        <is>
          <t>Pokemon</t>
        </is>
      </c>
      <c r="F341" s="2" t="inlineStr">
        <is>
          <t>Case/Display</t>
        </is>
      </c>
      <c r="G341" s="2" t="inlineStr">
        <is>
          <t>Pokemon GO</t>
        </is>
      </c>
      <c r="H341" s="3" t="n"/>
      <c r="I341" s="3" t="n"/>
      <c r="J341" s="3" t="n">
        <v>599.95</v>
      </c>
      <c r="K341" s="3" t="n">
        <v>599.95</v>
      </c>
      <c r="L341" s="2" t="inlineStr">
        <is>
          <t>TCGplayer</t>
        </is>
      </c>
      <c r="N341" s="4" t="inlineStr">
        <is>
          <t>https://www.tcgplayer.com/product/692922</t>
        </is>
      </c>
    </row>
    <row r="342">
      <c r="A342" s="2" t="inlineStr">
        <is>
          <t>Pokemon GO Poke Ball Tin Display</t>
        </is>
      </c>
      <c r="B342" s="3">
        <f>IF(H342&lt;&gt;"",H342,IF(I342&lt;&gt;"",I342,IF(J342&lt;&gt;"",J342,K342)))</f>
        <v>275.0</v>
      </c>
      <c r="C342" s="3">
        <f>MEDIAN(H342:K342)</f>
        <v>398.93</v>
      </c>
      <c r="D342" s="3">
        <f>ROUND(C342*(1-Settings!$B$2),2)</f>
        <v>279.25</v>
      </c>
      <c r="E342" s="2" t="inlineStr">
        <is>
          <t>Pokemon</t>
        </is>
      </c>
      <c r="F342" s="2" t="inlineStr">
        <is>
          <t>Case/Display</t>
        </is>
      </c>
      <c r="G342" s="2" t="inlineStr">
        <is>
          <t>Pokemon GO</t>
        </is>
      </c>
      <c r="H342" s="3" t="n"/>
      <c r="I342" s="3" t="n">
        <v>275</v>
      </c>
      <c r="J342" s="3" t="n">
        <v>398.96</v>
      </c>
      <c r="K342" s="3" t="n">
        <v>398.93</v>
      </c>
      <c r="L342" s="2" t="inlineStr">
        <is>
          <t>TCGplayer</t>
        </is>
      </c>
      <c r="N342" s="4" t="inlineStr">
        <is>
          <t>https://www.tcgplayer.com/product/271511</t>
        </is>
      </c>
    </row>
    <row r="343">
      <c r="A343" s="2" t="inlineStr">
        <is>
          <t>Pokemon Go Pokemon Center Elite Trainer Box Plus Case (Exclusive)</t>
        </is>
      </c>
      <c r="B343" s="3">
        <f>IF(H343&lt;&gt;"",H343,IF(I343&lt;&gt;"",I343,IF(J343&lt;&gt;"",J343,K343)))</f>
        <v>900.0</v>
      </c>
      <c r="C343" s="3">
        <f>MEDIAN(H343:K343)</f>
        <v>1299.95</v>
      </c>
      <c r="D343" s="3">
        <f>ROUND(C343*(1-Settings!$B$2),2)</f>
        <v>909.97</v>
      </c>
      <c r="E343" s="2" t="inlineStr">
        <is>
          <t>Pokemon</t>
        </is>
      </c>
      <c r="F343" s="2" t="inlineStr">
        <is>
          <t>Case/Display</t>
        </is>
      </c>
      <c r="G343" s="2" t="inlineStr">
        <is>
          <t>Pokemon GO</t>
        </is>
      </c>
      <c r="H343" s="3" t="n"/>
      <c r="I343" s="3" t="n">
        <v>900</v>
      </c>
      <c r="J343" s="3" t="n">
        <v>1349.95</v>
      </c>
      <c r="K343" s="3" t="n">
        <v>1299.95</v>
      </c>
      <c r="L343" s="2" t="inlineStr">
        <is>
          <t>TCGplayer</t>
        </is>
      </c>
      <c r="N343" s="4" t="inlineStr">
        <is>
          <t>https://www.tcgplayer.com/product/630089</t>
        </is>
      </c>
    </row>
    <row r="344">
      <c r="A344" s="2" t="inlineStr">
        <is>
          <t>Promo Back To School Pencil Case 2024</t>
        </is>
      </c>
      <c r="B344" s="3">
        <f>IF(H344&lt;&gt;"",H344,IF(I344&lt;&gt;"",I344,IF(J344&lt;&gt;"",J344,K344)))</f>
        <v>30.49</v>
      </c>
      <c r="C344" s="3">
        <f>MEDIAN(H344:K344)</f>
        <v>30.49</v>
      </c>
      <c r="D344" s="3">
        <f>ROUND(C344*(1-Settings!$B$2),2)</f>
        <v>21.34</v>
      </c>
      <c r="E344" s="2" t="inlineStr">
        <is>
          <t>Pokemon</t>
        </is>
      </c>
      <c r="F344" s="2" t="inlineStr">
        <is>
          <t>Case/Display</t>
        </is>
      </c>
      <c r="G344" s="2" t="inlineStr">
        <is>
          <t>Promo</t>
        </is>
      </c>
      <c r="H344" s="3" t="n">
        <v>30.49</v>
      </c>
      <c r="I344" s="3" t="n"/>
      <c r="J344" s="3" t="n"/>
      <c r="K344" s="3" t="n"/>
      <c r="L344" s="2" t="inlineStr">
        <is>
          <t>PriceCharting</t>
        </is>
      </c>
      <c r="M344" s="4" t="inlineStr">
        <is>
          <t>https://www.pricecharting.com/game/pokemon-promo/back-to-school-pencil-case-2024</t>
        </is>
      </c>
    </row>
    <row r="345">
      <c r="A345" s="2" t="inlineStr">
        <is>
          <t>Promo Collector's Chest Plus Pencil Case</t>
        </is>
      </c>
      <c r="B345" s="3">
        <f>IF(H345&lt;&gt;"",H345,IF(I345&lt;&gt;"",I345,IF(J345&lt;&gt;"",J345,K345)))</f>
        <v>77.93</v>
      </c>
      <c r="C345" s="3">
        <f>MEDIAN(H345:K345)</f>
        <v>77.93</v>
      </c>
      <c r="D345" s="3">
        <f>ROUND(C345*(1-Settings!$B$2),2)</f>
        <v>54.55</v>
      </c>
      <c r="E345" s="2" t="inlineStr">
        <is>
          <t>Pokemon</t>
        </is>
      </c>
      <c r="F345" s="2" t="inlineStr">
        <is>
          <t>Case/Display</t>
        </is>
      </c>
      <c r="G345" s="2" t="inlineStr">
        <is>
          <t>Promo</t>
        </is>
      </c>
      <c r="H345" s="3" t="n">
        <v>77.93000000000001</v>
      </c>
      <c r="I345" s="3" t="n"/>
      <c r="J345" s="3" t="n"/>
      <c r="K345" s="3" t="n"/>
      <c r="L345" s="2" t="inlineStr">
        <is>
          <t>PriceCharting</t>
        </is>
      </c>
      <c r="M345" s="4" t="inlineStr">
        <is>
          <t>https://www.pricecharting.com/game/pokemon-promo/collector's-chest-plus-pencil-case</t>
        </is>
      </c>
    </row>
    <row r="346">
      <c r="A346" s="2" t="inlineStr">
        <is>
          <t>Promo Lumiose City Mini Tin Display</t>
        </is>
      </c>
      <c r="B346" s="3">
        <f>IF(H346&lt;&gt;"",H346,IF(I346&lt;&gt;"",I346,IF(J346&lt;&gt;"",J346,K346)))</f>
        <v>116.75</v>
      </c>
      <c r="C346" s="3">
        <f>MEDIAN(H346:K346)</f>
        <v>116.75</v>
      </c>
      <c r="D346" s="3">
        <f>ROUND(C346*(1-Settings!$B$2),2)</f>
        <v>81.73</v>
      </c>
      <c r="E346" s="2" t="inlineStr">
        <is>
          <t>Pokemon</t>
        </is>
      </c>
      <c r="F346" s="2" t="inlineStr">
        <is>
          <t>Case/Display</t>
        </is>
      </c>
      <c r="G346" s="2" t="inlineStr">
        <is>
          <t>Promo</t>
        </is>
      </c>
      <c r="H346" s="3" t="n">
        <v>116.75</v>
      </c>
      <c r="I346" s="3" t="n"/>
      <c r="J346" s="3" t="n"/>
      <c r="K346" s="3" t="n"/>
      <c r="L346" s="2" t="inlineStr">
        <is>
          <t>PriceCharting</t>
        </is>
      </c>
      <c r="M346" s="4" t="inlineStr">
        <is>
          <t>https://www.pricecharting.com/game/pokemon-promo/lumiose-city-mini-tin-display</t>
        </is>
      </c>
    </row>
    <row r="347">
      <c r="A347" s="2" t="inlineStr">
        <is>
          <t>Promo Poke Ball Tin Display [Q1 2019]</t>
        </is>
      </c>
      <c r="B347" s="3">
        <f>IF(H347&lt;&gt;"",H347,IF(I347&lt;&gt;"",I347,IF(J347&lt;&gt;"",J347,K347)))</f>
        <v>624.99</v>
      </c>
      <c r="C347" s="3">
        <f>MEDIAN(H347:K347)</f>
        <v>624.99</v>
      </c>
      <c r="D347" s="3">
        <f>ROUND(C347*(1-Settings!$B$2),2)</f>
        <v>437.49</v>
      </c>
      <c r="E347" s="2" t="inlineStr">
        <is>
          <t>Pokemon</t>
        </is>
      </c>
      <c r="F347" s="2" t="inlineStr">
        <is>
          <t>Case/Display</t>
        </is>
      </c>
      <c r="G347" s="2" t="inlineStr">
        <is>
          <t>Promo</t>
        </is>
      </c>
      <c r="H347" s="3" t="n">
        <v>624.99</v>
      </c>
      <c r="I347" s="3" t="n"/>
      <c r="J347" s="3" t="n"/>
      <c r="K347" s="3" t="n"/>
      <c r="L347" s="2" t="inlineStr">
        <is>
          <t>PriceCharting</t>
        </is>
      </c>
      <c r="M347" s="4" t="inlineStr">
        <is>
          <t>https://www.pricecharting.com/game/pokemon-promo/poke-ball-tin-display-q1-2019</t>
        </is>
      </c>
    </row>
    <row r="348">
      <c r="A348" s="2" t="inlineStr">
        <is>
          <t>Promo Poke Ball Tin Display [Q1 2020]</t>
        </is>
      </c>
      <c r="B348" s="3">
        <f>IF(H348&lt;&gt;"",H348,IF(I348&lt;&gt;"",I348,IF(J348&lt;&gt;"",J348,K348)))</f>
        <v>340.0</v>
      </c>
      <c r="C348" s="3">
        <f>MEDIAN(H348:K348)</f>
        <v>340.0</v>
      </c>
      <c r="D348" s="3">
        <f>ROUND(C348*(1-Settings!$B$2),2)</f>
        <v>238.0</v>
      </c>
      <c r="E348" s="2" t="inlineStr">
        <is>
          <t>Pokemon</t>
        </is>
      </c>
      <c r="F348" s="2" t="inlineStr">
        <is>
          <t>Case/Display</t>
        </is>
      </c>
      <c r="G348" s="2" t="inlineStr">
        <is>
          <t>Promo</t>
        </is>
      </c>
      <c r="H348" s="3" t="n">
        <v>340</v>
      </c>
      <c r="I348" s="3" t="n"/>
      <c r="J348" s="3" t="n"/>
      <c r="K348" s="3" t="n"/>
      <c r="L348" s="2" t="inlineStr">
        <is>
          <t>PriceCharting</t>
        </is>
      </c>
      <c r="M348" s="4" t="inlineStr">
        <is>
          <t>https://www.pricecharting.com/game/pokemon-promo/poke-ball-tin-display-q1-2020</t>
        </is>
      </c>
    </row>
    <row r="349">
      <c r="A349" s="2" t="inlineStr">
        <is>
          <t>Promo Poke Ball Tin Display [Q2 2020]</t>
        </is>
      </c>
      <c r="B349" s="3">
        <f>IF(H349&lt;&gt;"",H349,IF(I349&lt;&gt;"",I349,IF(J349&lt;&gt;"",J349,K349)))</f>
        <v>500.0</v>
      </c>
      <c r="C349" s="3">
        <f>MEDIAN(H349:K349)</f>
        <v>500.0</v>
      </c>
      <c r="D349" s="3">
        <f>ROUND(C349*(1-Settings!$B$2),2)</f>
        <v>350.0</v>
      </c>
      <c r="E349" s="2" t="inlineStr">
        <is>
          <t>Pokemon</t>
        </is>
      </c>
      <c r="F349" s="2" t="inlineStr">
        <is>
          <t>Case/Display</t>
        </is>
      </c>
      <c r="G349" s="2" t="inlineStr">
        <is>
          <t>Promo</t>
        </is>
      </c>
      <c r="H349" s="3" t="n">
        <v>500</v>
      </c>
      <c r="I349" s="3" t="n"/>
      <c r="J349" s="3" t="n"/>
      <c r="K349" s="3" t="n"/>
      <c r="L349" s="2" t="inlineStr">
        <is>
          <t>PriceCharting</t>
        </is>
      </c>
      <c r="M349" s="4" t="inlineStr">
        <is>
          <t>https://www.pricecharting.com/game/pokemon-promo/poke-ball-tin-display-q2-2020</t>
        </is>
      </c>
    </row>
    <row r="350">
      <c r="A350" s="2" t="inlineStr">
        <is>
          <t>Promo Poke Ball Tin Display [Q2 2022]</t>
        </is>
      </c>
      <c r="B350" s="3">
        <f>IF(H350&lt;&gt;"",H350,IF(I350&lt;&gt;"",I350,IF(J350&lt;&gt;"",J350,K350)))</f>
        <v>324.99</v>
      </c>
      <c r="C350" s="3">
        <f>MEDIAN(H350:K350)</f>
        <v>324.99</v>
      </c>
      <c r="D350" s="3">
        <f>ROUND(C350*(1-Settings!$B$2),2)</f>
        <v>227.49</v>
      </c>
      <c r="E350" s="2" t="inlineStr">
        <is>
          <t>Pokemon</t>
        </is>
      </c>
      <c r="F350" s="2" t="inlineStr">
        <is>
          <t>Case/Display</t>
        </is>
      </c>
      <c r="G350" s="2" t="inlineStr">
        <is>
          <t>Promo</t>
        </is>
      </c>
      <c r="H350" s="3" t="n">
        <v>324.99</v>
      </c>
      <c r="I350" s="3" t="n"/>
      <c r="J350" s="3" t="n"/>
      <c r="K350" s="3" t="n"/>
      <c r="L350" s="2" t="inlineStr">
        <is>
          <t>PriceCharting</t>
        </is>
      </c>
      <c r="M350" s="4" t="inlineStr">
        <is>
          <t>https://www.pricecharting.com/game/pokemon-promo/poke-ball-tin-display-q2-2022</t>
        </is>
      </c>
    </row>
    <row r="351">
      <c r="A351" s="2" t="inlineStr">
        <is>
          <t>Promo Poke Ball Tin Display [Q2 2026]</t>
        </is>
      </c>
      <c r="B351" s="3">
        <f>IF(H351&lt;&gt;"",H351,IF(I351&lt;&gt;"",I351,IF(J351&lt;&gt;"",J351,K351)))</f>
        <v>125.0</v>
      </c>
      <c r="C351" s="3">
        <f>MEDIAN(H351:K351)</f>
        <v>125.0</v>
      </c>
      <c r="D351" s="3">
        <f>ROUND(C351*(1-Settings!$B$2),2)</f>
        <v>87.5</v>
      </c>
      <c r="E351" s="2" t="inlineStr">
        <is>
          <t>Pokemon</t>
        </is>
      </c>
      <c r="F351" s="2" t="inlineStr">
        <is>
          <t>Case/Display</t>
        </is>
      </c>
      <c r="G351" s="2" t="inlineStr">
        <is>
          <t>Promo</t>
        </is>
      </c>
      <c r="H351" s="3" t="n">
        <v>125</v>
      </c>
      <c r="I351" s="3" t="n"/>
      <c r="J351" s="3" t="n"/>
      <c r="K351" s="3" t="n"/>
      <c r="L351" s="2" t="inlineStr">
        <is>
          <t>PriceCharting</t>
        </is>
      </c>
      <c r="M351" s="4" t="inlineStr">
        <is>
          <t>https://www.pricecharting.com/game/pokemon-promo/poke-ball-tin-display-q2-2026</t>
        </is>
      </c>
    </row>
    <row r="352">
      <c r="A352" s="2" t="inlineStr">
        <is>
          <t>Promo Poke Ball Tin Display [Q3 2023]</t>
        </is>
      </c>
      <c r="B352" s="3">
        <f>IF(H352&lt;&gt;"",H352,IF(I352&lt;&gt;"",I352,IF(J352&lt;&gt;"",J352,K352)))</f>
        <v>149.99</v>
      </c>
      <c r="C352" s="3">
        <f>MEDIAN(H352:K352)</f>
        <v>149.99</v>
      </c>
      <c r="D352" s="3">
        <f>ROUND(C352*(1-Settings!$B$2),2)</f>
        <v>104.99</v>
      </c>
      <c r="E352" s="2" t="inlineStr">
        <is>
          <t>Pokemon</t>
        </is>
      </c>
      <c r="F352" s="2" t="inlineStr">
        <is>
          <t>Case/Display</t>
        </is>
      </c>
      <c r="G352" s="2" t="inlineStr">
        <is>
          <t>Promo</t>
        </is>
      </c>
      <c r="H352" s="3" t="n">
        <v>149.99</v>
      </c>
      <c r="I352" s="3" t="n"/>
      <c r="J352" s="3" t="n"/>
      <c r="K352" s="3" t="n"/>
      <c r="L352" s="2" t="inlineStr">
        <is>
          <t>PriceCharting</t>
        </is>
      </c>
      <c r="M352" s="4" t="inlineStr">
        <is>
          <t>https://www.pricecharting.com/game/pokemon-promo/poke-ball-tin-display-q3-2023</t>
        </is>
      </c>
    </row>
    <row r="353">
      <c r="A353" s="2" t="inlineStr">
        <is>
          <t>Promo Poke Ball Tin Display [Q4 2021]</t>
        </is>
      </c>
      <c r="B353" s="3">
        <f>IF(H353&lt;&gt;"",H353,IF(I353&lt;&gt;"",I353,IF(J353&lt;&gt;"",J353,K353)))</f>
        <v>304.38</v>
      </c>
      <c r="C353" s="3">
        <f>MEDIAN(H353:K353)</f>
        <v>304.38</v>
      </c>
      <c r="D353" s="3">
        <f>ROUND(C353*(1-Settings!$B$2),2)</f>
        <v>213.07</v>
      </c>
      <c r="E353" s="2" t="inlineStr">
        <is>
          <t>Pokemon</t>
        </is>
      </c>
      <c r="F353" s="2" t="inlineStr">
        <is>
          <t>Case/Display</t>
        </is>
      </c>
      <c r="G353" s="2" t="inlineStr">
        <is>
          <t>Promo</t>
        </is>
      </c>
      <c r="H353" s="3" t="n">
        <v>304.38</v>
      </c>
      <c r="I353" s="3" t="n"/>
      <c r="J353" s="3" t="n"/>
      <c r="K353" s="3" t="n"/>
      <c r="L353" s="2" t="inlineStr">
        <is>
          <t>PriceCharting</t>
        </is>
      </c>
      <c r="M353" s="4" t="inlineStr">
        <is>
          <t>https://www.pricecharting.com/game/pokemon-promo/poke-ball-tin-display-q4-2021</t>
        </is>
      </c>
    </row>
    <row r="354">
      <c r="A354" s="2" t="inlineStr">
        <is>
          <t>Promo Poke Ball Tin Display [Q4 2024]</t>
        </is>
      </c>
      <c r="B354" s="3">
        <f>IF(H354&lt;&gt;"",H354,IF(I354&lt;&gt;"",I354,IF(J354&lt;&gt;"",J354,K354)))</f>
        <v>155.5</v>
      </c>
      <c r="C354" s="3">
        <f>MEDIAN(H354:K354)</f>
        <v>155.5</v>
      </c>
      <c r="D354" s="3">
        <f>ROUND(C354*(1-Settings!$B$2),2)</f>
        <v>108.85</v>
      </c>
      <c r="E354" s="2" t="inlineStr">
        <is>
          <t>Pokemon</t>
        </is>
      </c>
      <c r="F354" s="2" t="inlineStr">
        <is>
          <t>Case/Display</t>
        </is>
      </c>
      <c r="G354" s="2" t="inlineStr">
        <is>
          <t>Promo</t>
        </is>
      </c>
      <c r="H354" s="3" t="n">
        <v>155.5</v>
      </c>
      <c r="I354" s="3" t="n"/>
      <c r="J354" s="3" t="n"/>
      <c r="K354" s="3" t="n"/>
      <c r="L354" s="2" t="inlineStr">
        <is>
          <t>PriceCharting</t>
        </is>
      </c>
      <c r="M354" s="4" t="inlineStr">
        <is>
          <t>https://www.pricecharting.com/game/pokemon-promo/poke-ball-tin-display-q4-2024</t>
        </is>
      </c>
    </row>
    <row r="355">
      <c r="A355" s="2" t="inlineStr">
        <is>
          <t>Promo Stacking Tin Display</t>
        </is>
      </c>
      <c r="B355" s="3">
        <f>IF(H355&lt;&gt;"",H355,IF(I355&lt;&gt;"",I355,IF(J355&lt;&gt;"",J355,K355)))</f>
        <v>123.12</v>
      </c>
      <c r="C355" s="3">
        <f>MEDIAN(H355:K355)</f>
        <v>123.12</v>
      </c>
      <c r="D355" s="3">
        <f>ROUND(C355*(1-Settings!$B$2),2)</f>
        <v>86.18</v>
      </c>
      <c r="E355" s="2" t="inlineStr">
        <is>
          <t>Pokemon</t>
        </is>
      </c>
      <c r="F355" s="2" t="inlineStr">
        <is>
          <t>Case/Display</t>
        </is>
      </c>
      <c r="G355" s="2" t="inlineStr">
        <is>
          <t>Promo</t>
        </is>
      </c>
      <c r="H355" s="3" t="n">
        <v>123.12</v>
      </c>
      <c r="I355" s="3" t="n"/>
      <c r="J355" s="3" t="n"/>
      <c r="K355" s="3" t="n"/>
      <c r="L355" s="2" t="inlineStr">
        <is>
          <t>PriceCharting</t>
        </is>
      </c>
      <c r="M355" s="4" t="inlineStr">
        <is>
          <t>https://www.pricecharting.com/game/pokemon-promo/stacking-tin-display</t>
        </is>
      </c>
    </row>
    <row r="356">
      <c r="A356" s="2" t="inlineStr">
        <is>
          <t>Shining Fates Collection Pikachu V Case</t>
        </is>
      </c>
      <c r="B356" s="3">
        <f>IF(H356&lt;&gt;"",H356,IF(I356&lt;&gt;"",I356,IF(J356&lt;&gt;"",J356,K356)))</f>
        <v>372.72</v>
      </c>
      <c r="C356" s="3">
        <f>MEDIAN(H356:K356)</f>
        <v>479.95</v>
      </c>
      <c r="D356" s="3">
        <f>ROUND(C356*(1-Settings!$B$2),2)</f>
        <v>335.97</v>
      </c>
      <c r="E356" s="2" t="inlineStr">
        <is>
          <t>Pokemon</t>
        </is>
      </c>
      <c r="F356" s="2" t="inlineStr">
        <is>
          <t>Case/Display</t>
        </is>
      </c>
      <c r="G356" s="2" t="inlineStr">
        <is>
          <t>Shining Fates</t>
        </is>
      </c>
      <c r="H356" s="3" t="n"/>
      <c r="I356" s="3" t="n">
        <v>372.72</v>
      </c>
      <c r="J356" s="3" t="n">
        <v>479.95</v>
      </c>
      <c r="K356" s="3" t="n">
        <v>479.95</v>
      </c>
      <c r="L356" s="2" t="inlineStr">
        <is>
          <t>TCGplayer</t>
        </is>
      </c>
      <c r="N356" s="4" t="inlineStr">
        <is>
          <t>https://www.tcgplayer.com/product/268484</t>
        </is>
      </c>
    </row>
    <row r="357">
      <c r="A357" s="2" t="inlineStr">
        <is>
          <t>Shining Fates Elite Trainer Box Case</t>
        </is>
      </c>
      <c r="B357" s="3">
        <f>IF(H357&lt;&gt;"",H357,IF(I357&lt;&gt;"",I357,IF(J357&lt;&gt;"",J357,K357)))</f>
        <v>1416.65</v>
      </c>
      <c r="C357" s="3">
        <f>MEDIAN(H357:K357)</f>
        <v>1498.99</v>
      </c>
      <c r="D357" s="3">
        <f>ROUND(C357*(1-Settings!$B$2),2)</f>
        <v>1049.29</v>
      </c>
      <c r="E357" s="2" t="inlineStr">
        <is>
          <t>Pokemon</t>
        </is>
      </c>
      <c r="F357" s="2" t="inlineStr">
        <is>
          <t>Case/Display</t>
        </is>
      </c>
      <c r="G357" s="2" t="inlineStr">
        <is>
          <t>Shining Fates</t>
        </is>
      </c>
      <c r="H357" s="3" t="n"/>
      <c r="I357" s="3" t="n">
        <v>1416.65</v>
      </c>
      <c r="J357" s="3" t="n">
        <v>1549.47</v>
      </c>
      <c r="K357" s="3" t="n">
        <v>1498.99</v>
      </c>
      <c r="L357" s="2" t="inlineStr">
        <is>
          <t>TCGplayer</t>
        </is>
      </c>
      <c r="N357" s="4" t="inlineStr">
        <is>
          <t>https://www.tcgplayer.com/product/266962</t>
        </is>
      </c>
    </row>
    <row r="358">
      <c r="A358" s="2" t="inlineStr">
        <is>
          <t>Shining Fates Mad Party Pin Collection Display</t>
        </is>
      </c>
      <c r="B358" s="3">
        <f>IF(H358&lt;&gt;"",H358,IF(I358&lt;&gt;"",I358,IF(J358&lt;&gt;"",J358,K358)))</f>
        <v>321.92</v>
      </c>
      <c r="C358" s="3">
        <f>MEDIAN(H358:K358)</f>
        <v>429.37</v>
      </c>
      <c r="D358" s="3">
        <f>ROUND(C358*(1-Settings!$B$2),2)</f>
        <v>300.56</v>
      </c>
      <c r="E358" s="2" t="inlineStr">
        <is>
          <t>Pokemon</t>
        </is>
      </c>
      <c r="F358" s="2" t="inlineStr">
        <is>
          <t>Case/Display</t>
        </is>
      </c>
      <c r="G358" s="2" t="inlineStr">
        <is>
          <t>Shining Fates</t>
        </is>
      </c>
      <c r="H358" s="3" t="n">
        <v>321.92</v>
      </c>
      <c r="I358" s="3" t="n">
        <v>409.75</v>
      </c>
      <c r="J358" s="3" t="n">
        <v>472</v>
      </c>
      <c r="K358" s="3" t="n">
        <v>448.99</v>
      </c>
      <c r="L358" s="2" t="inlineStr">
        <is>
          <t>PriceCharting + TCGplayer</t>
        </is>
      </c>
      <c r="M358" s="4" t="inlineStr">
        <is>
          <t>https://www.pricecharting.com/game/pokemon-shining-fates/mad-party-pin-collection-display</t>
        </is>
      </c>
      <c r="N358" s="4" t="inlineStr">
        <is>
          <t>https://www.tcgplayer.com/product/233315</t>
        </is>
      </c>
    </row>
    <row r="359">
      <c r="A359" s="2" t="inlineStr">
        <is>
          <t>Shining Fates Mini Tin Display</t>
        </is>
      </c>
      <c r="B359" s="3">
        <f>IF(H359&lt;&gt;"",H359,IF(I359&lt;&gt;"",I359,IF(J359&lt;&gt;"",J359,K359)))</f>
        <v>291.74</v>
      </c>
      <c r="C359" s="3">
        <f>MEDIAN(H359:K359)</f>
        <v>299.99</v>
      </c>
      <c r="D359" s="3">
        <f>ROUND(C359*(1-Settings!$B$2),2)</f>
        <v>209.99</v>
      </c>
      <c r="E359" s="2" t="inlineStr">
        <is>
          <t>Pokemon</t>
        </is>
      </c>
      <c r="F359" s="2" t="inlineStr">
        <is>
          <t>Case/Display</t>
        </is>
      </c>
      <c r="G359" s="2" t="inlineStr">
        <is>
          <t>Shining Fates</t>
        </is>
      </c>
      <c r="H359" s="3" t="n"/>
      <c r="I359" s="3" t="n">
        <v>291.74</v>
      </c>
      <c r="J359" s="3" t="n">
        <v>345</v>
      </c>
      <c r="K359" s="3" t="n">
        <v>299.99</v>
      </c>
      <c r="L359" s="2" t="inlineStr">
        <is>
          <t>TCGplayer</t>
        </is>
      </c>
      <c r="N359" s="4" t="inlineStr">
        <is>
          <t>https://www.tcgplayer.com/product/230961</t>
        </is>
      </c>
    </row>
    <row r="360">
      <c r="A360" s="2" t="inlineStr">
        <is>
          <t>Shining Fates V Tin Case</t>
        </is>
      </c>
      <c r="B360" s="3">
        <f>IF(H360&lt;&gt;"",H360,IF(I360&lt;&gt;"",I360,IF(J360&lt;&gt;"",J360,K360)))</f>
        <v>501.5</v>
      </c>
      <c r="C360" s="3">
        <f>MEDIAN(H360:K360)</f>
        <v>500.75</v>
      </c>
      <c r="D360" s="3">
        <f>ROUND(C360*(1-Settings!$B$2),2)</f>
        <v>350.53</v>
      </c>
      <c r="E360" s="2" t="inlineStr">
        <is>
          <t>Pokemon</t>
        </is>
      </c>
      <c r="F360" s="2" t="inlineStr">
        <is>
          <t>Case/Display</t>
        </is>
      </c>
      <c r="G360" s="2" t="inlineStr">
        <is>
          <t>Shining Fates</t>
        </is>
      </c>
      <c r="H360" s="3" t="n"/>
      <c r="I360" s="3" t="n"/>
      <c r="J360" s="3" t="n">
        <v>501.5</v>
      </c>
      <c r="K360" s="3" t="n">
        <v>500</v>
      </c>
      <c r="L360" s="2" t="inlineStr">
        <is>
          <t>TCGplayer</t>
        </is>
      </c>
      <c r="N360" s="4" t="inlineStr">
        <is>
          <t>https://www.tcgplayer.com/product/268482</t>
        </is>
      </c>
    </row>
    <row r="361">
      <c r="A361" s="2" t="inlineStr">
        <is>
          <t>Start Deck 100 Display</t>
        </is>
      </c>
      <c r="B361" s="3">
        <f>IF(H361&lt;&gt;"",H361,IF(I361&lt;&gt;"",I361,IF(J361&lt;&gt;"",J361,K361)))</f>
        <v>599.99</v>
      </c>
      <c r="C361" s="3">
        <f>MEDIAN(H361:K361)</f>
        <v>599.99</v>
      </c>
      <c r="D361" s="3">
        <f>ROUND(C361*(1-Settings!$B$2),2)</f>
        <v>419.99</v>
      </c>
      <c r="E361" s="2" t="inlineStr">
        <is>
          <t>Pokemon</t>
        </is>
      </c>
      <c r="F361" s="2" t="inlineStr">
        <is>
          <t>Case/Display</t>
        </is>
      </c>
      <c r="G361" s="2" t="inlineStr">
        <is>
          <t>SI: Start Deck 100</t>
        </is>
      </c>
      <c r="H361" s="3" t="n"/>
      <c r="I361" s="3" t="n"/>
      <c r="J361" s="3" t="n"/>
      <c r="K361" s="3" t="n">
        <v>599.99</v>
      </c>
      <c r="L361" s="2" t="inlineStr">
        <is>
          <t>TCGplayer</t>
        </is>
      </c>
      <c r="N361" s="4" t="inlineStr">
        <is>
          <t>https://www.tcgplayer.com/product/644826</t>
        </is>
      </c>
    </row>
    <row r="362">
      <c r="A362" s="2" t="inlineStr">
        <is>
          <t>Burning Shadows Booster Box Case</t>
        </is>
      </c>
      <c r="B362" s="3">
        <f>IF(H362&lt;&gt;"",H362,IF(I362&lt;&gt;"",I362,IF(J362&lt;&gt;"",J362,K362)))</f>
        <v>188888.88</v>
      </c>
      <c r="C362" s="3">
        <f>MEDIAN(H362:K362)</f>
        <v>188888.88</v>
      </c>
      <c r="D362" s="3">
        <f>ROUND(C362*(1-Settings!$B$2),2)</f>
        <v>132222.22</v>
      </c>
      <c r="E362" s="2" t="inlineStr">
        <is>
          <t>Pokemon</t>
        </is>
      </c>
      <c r="F362" s="2" t="inlineStr">
        <is>
          <t>Case/Display</t>
        </is>
      </c>
      <c r="G362" s="2" t="inlineStr">
        <is>
          <t>SM - Burning Shadows</t>
        </is>
      </c>
      <c r="H362" s="3" t="n"/>
      <c r="I362" s="3" t="n"/>
      <c r="J362" s="3" t="n">
        <v>188888.88</v>
      </c>
      <c r="K362" s="3" t="n">
        <v>188888.88</v>
      </c>
      <c r="L362" s="2" t="inlineStr">
        <is>
          <t>TCGplayer</t>
        </is>
      </c>
      <c r="N362" s="4" t="inlineStr">
        <is>
          <t>https://www.tcgplayer.com/product/475436</t>
        </is>
      </c>
    </row>
    <row r="363">
      <c r="A363" s="2" t="inlineStr">
        <is>
          <t>Cosmic Eclipse Sleeved Booster Case</t>
        </is>
      </c>
      <c r="B363" s="3">
        <f>IF(H363&lt;&gt;"",H363,IF(I363&lt;&gt;"",I363,IF(J363&lt;&gt;"",J363,K363)))</f>
        <v>29999.95</v>
      </c>
      <c r="C363" s="3">
        <f>MEDIAN(H363:K363)</f>
        <v>29999.95</v>
      </c>
      <c r="D363" s="3">
        <f>ROUND(C363*(1-Settings!$B$2),2)</f>
        <v>20999.97</v>
      </c>
      <c r="E363" s="2" t="inlineStr">
        <is>
          <t>Pokemon</t>
        </is>
      </c>
      <c r="F363" s="2" t="inlineStr">
        <is>
          <t>Case/Display</t>
        </is>
      </c>
      <c r="G363" s="2" t="inlineStr">
        <is>
          <t>SM - Cosmic Eclipse</t>
        </is>
      </c>
      <c r="H363" s="3" t="n"/>
      <c r="I363" s="3" t="n"/>
      <c r="J363" s="3" t="n">
        <v>29999.95</v>
      </c>
      <c r="K363" s="3" t="n">
        <v>29999.95</v>
      </c>
      <c r="L363" s="2" t="inlineStr">
        <is>
          <t>TCGplayer</t>
        </is>
      </c>
      <c r="N363" s="4" t="inlineStr">
        <is>
          <t>https://www.tcgplayer.com/product/656706</t>
        </is>
      </c>
    </row>
    <row r="364">
      <c r="A364" s="2" t="inlineStr">
        <is>
          <t>Forbidden Light Prerelease Kit Display</t>
        </is>
      </c>
      <c r="B364" s="3">
        <f>IF(H364&lt;&gt;"",H364,IF(I364&lt;&gt;"",I364,IF(J364&lt;&gt;"",J364,K364)))</f>
        <v>1500.0</v>
      </c>
      <c r="C364" s="3">
        <f>MEDIAN(H364:K364)</f>
        <v>1500.0</v>
      </c>
      <c r="D364" s="3">
        <f>ROUND(C364*(1-Settings!$B$2),2)</f>
        <v>1050.0</v>
      </c>
      <c r="E364" s="2" t="inlineStr">
        <is>
          <t>Pokemon</t>
        </is>
      </c>
      <c r="F364" s="2" t="inlineStr">
        <is>
          <t>Case/Display</t>
        </is>
      </c>
      <c r="G364" s="2" t="inlineStr">
        <is>
          <t>SM - Forbidden Light</t>
        </is>
      </c>
      <c r="H364" s="3" t="n"/>
      <c r="I364" s="3" t="n"/>
      <c r="J364" s="3" t="n">
        <v>1500</v>
      </c>
      <c r="K364" s="3" t="n">
        <v>1500</v>
      </c>
      <c r="L364" s="2" t="inlineStr">
        <is>
          <t>TCGplayer</t>
        </is>
      </c>
      <c r="N364" s="4" t="inlineStr">
        <is>
          <t>https://www.tcgplayer.com/product/591049</t>
        </is>
      </c>
    </row>
    <row r="365">
      <c r="A365" s="2" t="inlineStr">
        <is>
          <t>TAG TEAM Tin Case</t>
        </is>
      </c>
      <c r="B365" s="3">
        <f>IF(H365&lt;&gt;"",H365,IF(I365&lt;&gt;"",I365,IF(J365&lt;&gt;"",J365,K365)))</f>
        <v>6449.95</v>
      </c>
      <c r="C365" s="3">
        <f>MEDIAN(H365:K365)</f>
        <v>7599.95</v>
      </c>
      <c r="D365" s="3">
        <f>ROUND(C365*(1-Settings!$B$2),2)</f>
        <v>5319.97</v>
      </c>
      <c r="E365" s="2" t="inlineStr">
        <is>
          <t>Pokemon</t>
        </is>
      </c>
      <c r="F365" s="2" t="inlineStr">
        <is>
          <t>Case/Display</t>
        </is>
      </c>
      <c r="G365" s="2" t="inlineStr">
        <is>
          <t>SM - Team Up</t>
        </is>
      </c>
      <c r="H365" s="3" t="n"/>
      <c r="I365" s="3" t="n">
        <v>6449.95</v>
      </c>
      <c r="J365" s="3" t="n">
        <v>7599.95</v>
      </c>
      <c r="K365" s="3" t="n">
        <v>7599.95</v>
      </c>
      <c r="L365" s="2" t="inlineStr">
        <is>
          <t>TCGplayer</t>
        </is>
      </c>
      <c r="N365" s="4" t="inlineStr">
        <is>
          <t>https://www.tcgplayer.com/product/595411</t>
        </is>
      </c>
    </row>
    <row r="366">
      <c r="A366" s="2" t="inlineStr">
        <is>
          <t>Team Up Prerelease Kit Display</t>
        </is>
      </c>
      <c r="B366" s="3">
        <f>IF(H366&lt;&gt;"",H366,IF(I366&lt;&gt;"",I366,IF(J366&lt;&gt;"",J366,K366)))</f>
        <v>17500.0</v>
      </c>
      <c r="C366" s="3">
        <f>MEDIAN(H366:K366)</f>
        <v>17500.0</v>
      </c>
      <c r="D366" s="3">
        <f>ROUND(C366*(1-Settings!$B$2),2)</f>
        <v>12250.0</v>
      </c>
      <c r="E366" s="2" t="inlineStr">
        <is>
          <t>Pokemon</t>
        </is>
      </c>
      <c r="F366" s="2" t="inlineStr">
        <is>
          <t>Case/Display</t>
        </is>
      </c>
      <c r="G366" s="2" t="inlineStr">
        <is>
          <t>SM - Team Up</t>
        </is>
      </c>
      <c r="H366" s="3" t="n"/>
      <c r="I366" s="3" t="n"/>
      <c r="J366" s="3" t="n">
        <v>17500</v>
      </c>
      <c r="K366" s="3" t="n">
        <v>17500</v>
      </c>
      <c r="L366" s="2" t="inlineStr">
        <is>
          <t>TCGplayer</t>
        </is>
      </c>
      <c r="N366" s="4" t="inlineStr">
        <is>
          <t>https://www.tcgplayer.com/product/547128</t>
        </is>
      </c>
    </row>
    <row r="367">
      <c r="A367" s="2" t="inlineStr">
        <is>
          <t>Unbroken Bonds Sleeved Booster Case</t>
        </is>
      </c>
      <c r="B367" s="3">
        <f>IF(H367&lt;&gt;"",H367,IF(I367&lt;&gt;"",I367,IF(J367&lt;&gt;"",J367,K367)))</f>
        <v>26000.0</v>
      </c>
      <c r="C367" s="3">
        <f>MEDIAN(H367:K367)</f>
        <v>26000.0</v>
      </c>
      <c r="D367" s="3">
        <f>ROUND(C367*(1-Settings!$B$2),2)</f>
        <v>18200.0</v>
      </c>
      <c r="E367" s="2" t="inlineStr">
        <is>
          <t>Pokemon</t>
        </is>
      </c>
      <c r="F367" s="2" t="inlineStr">
        <is>
          <t>Case/Display</t>
        </is>
      </c>
      <c r="G367" s="2" t="inlineStr">
        <is>
          <t>SM - Unbroken Bonds</t>
        </is>
      </c>
      <c r="H367" s="3" t="n"/>
      <c r="I367" s="3" t="n"/>
      <c r="J367" s="3" t="n">
        <v>26000</v>
      </c>
      <c r="K367" s="3" t="n">
        <v>26000</v>
      </c>
      <c r="L367" s="2" t="inlineStr">
        <is>
          <t>TCGplayer</t>
        </is>
      </c>
      <c r="N367" s="4" t="inlineStr">
        <is>
          <t>https://www.tcgplayer.com/product/656707</t>
        </is>
      </c>
    </row>
    <row r="368">
      <c r="A368" s="2" t="inlineStr">
        <is>
          <t>Sun &amp; Moon Elite Trainer Box Case</t>
        </is>
      </c>
      <c r="B368" s="3">
        <f>IF(H368&lt;&gt;"",H368,IF(I368&lt;&gt;"",I368,IF(J368&lt;&gt;"",J368,K368)))</f>
        <v>2999.99</v>
      </c>
      <c r="C368" s="3">
        <f>MEDIAN(H368:K368)</f>
        <v>4997.97</v>
      </c>
      <c r="D368" s="3">
        <f>ROUND(C368*(1-Settings!$B$2),2)</f>
        <v>3498.58</v>
      </c>
      <c r="E368" s="2" t="inlineStr">
        <is>
          <t>Pokemon</t>
        </is>
      </c>
      <c r="F368" s="2" t="inlineStr">
        <is>
          <t>Case/Display</t>
        </is>
      </c>
      <c r="G368" s="2" t="inlineStr">
        <is>
          <t>SM Base Set</t>
        </is>
      </c>
      <c r="H368" s="3" t="n"/>
      <c r="I368" s="3" t="n">
        <v>2999.99</v>
      </c>
      <c r="J368" s="3" t="n">
        <v>4997.97</v>
      </c>
      <c r="K368" s="3" t="n">
        <v>4997.97</v>
      </c>
      <c r="L368" s="2" t="inlineStr">
        <is>
          <t>TCGplayer</t>
        </is>
      </c>
      <c r="N368" s="4" t="inlineStr">
        <is>
          <t>https://www.tcgplayer.com/product/243052</t>
        </is>
      </c>
    </row>
    <row r="369">
      <c r="A369" s="2" t="inlineStr">
        <is>
          <t>Sun &amp; Moon Trainer Kit: Alolan Sandslash &amp; Alolan Ninetales Display</t>
        </is>
      </c>
      <c r="B369" s="3">
        <f>IF(H369&lt;&gt;"",H369,IF(I369&lt;&gt;"",I369,IF(J369&lt;&gt;"",J369,K369)))</f>
        <v>220.0</v>
      </c>
      <c r="C369" s="3">
        <f>MEDIAN(H369:K369)</f>
        <v>220.0</v>
      </c>
      <c r="D369" s="3">
        <f>ROUND(C369*(1-Settings!$B$2),2)</f>
        <v>154.0</v>
      </c>
      <c r="E369" s="2" t="inlineStr">
        <is>
          <t>Pokemon</t>
        </is>
      </c>
      <c r="F369" s="2" t="inlineStr">
        <is>
          <t>Case/Display</t>
        </is>
      </c>
      <c r="G369" s="2" t="inlineStr">
        <is>
          <t>SM Trainer Kit: Alolan Sandslash &amp; Alolan Ninetales</t>
        </is>
      </c>
      <c r="H369" s="3" t="n"/>
      <c r="I369" s="3" t="n">
        <v>220</v>
      </c>
      <c r="J369" s="3" t="n"/>
      <c r="K369" s="3" t="n"/>
      <c r="L369" s="2" t="inlineStr">
        <is>
          <t>TCGplayer</t>
        </is>
      </c>
      <c r="N369" s="4" t="inlineStr">
        <is>
          <t>https://www.tcgplayer.com/product/253837</t>
        </is>
      </c>
    </row>
    <row r="370">
      <c r="A370" s="2" t="inlineStr">
        <is>
          <t>Scarlet &amp; Violet Booster Box Case</t>
        </is>
      </c>
      <c r="B370" s="3">
        <f>IF(H370&lt;&gt;"",H370,IF(I370&lt;&gt;"",I370,IF(J370&lt;&gt;"",J370,K370)))</f>
        <v>1710.62</v>
      </c>
      <c r="C370" s="3">
        <f>MEDIAN(H370:K370)</f>
        <v>1849.99</v>
      </c>
      <c r="D370" s="3">
        <f>ROUND(C370*(1-Settings!$B$2),2)</f>
        <v>1294.99</v>
      </c>
      <c r="E370" s="2" t="inlineStr">
        <is>
          <t>Pokemon</t>
        </is>
      </c>
      <c r="F370" s="2" t="inlineStr">
        <is>
          <t>Case/Display</t>
        </is>
      </c>
      <c r="G370" s="2" t="inlineStr">
        <is>
          <t>SV01: Scarlet &amp; Violet Base Set</t>
        </is>
      </c>
      <c r="H370" s="3" t="n"/>
      <c r="I370" s="3" t="n">
        <v>1710.62</v>
      </c>
      <c r="J370" s="3" t="n">
        <v>1974.83</v>
      </c>
      <c r="K370" s="3" t="n">
        <v>1849.99</v>
      </c>
      <c r="L370" s="2" t="inlineStr">
        <is>
          <t>TCGplayer</t>
        </is>
      </c>
      <c r="N370" s="4" t="inlineStr">
        <is>
          <t>https://www.tcgplayer.com/product/476453</t>
        </is>
      </c>
    </row>
    <row r="371">
      <c r="A371" s="2" t="inlineStr">
        <is>
          <t>Scarlet &amp; Violet Build &amp; Battle Box Display</t>
        </is>
      </c>
      <c r="B371" s="3">
        <f>IF(H371&lt;&gt;"",H371,IF(I371&lt;&gt;"",I371,IF(J371&lt;&gt;"",J371,K371)))</f>
        <v>389.9</v>
      </c>
      <c r="C371" s="3">
        <f>MEDIAN(H371:K371)</f>
        <v>386.95</v>
      </c>
      <c r="D371" s="3">
        <f>ROUND(C371*(1-Settings!$B$2),2)</f>
        <v>270.87</v>
      </c>
      <c r="E371" s="2" t="inlineStr">
        <is>
          <t>Pokemon</t>
        </is>
      </c>
      <c r="F371" s="2" t="inlineStr">
        <is>
          <t>Case/Display</t>
        </is>
      </c>
      <c r="G371" s="2" t="inlineStr">
        <is>
          <t>SV01: Scarlet &amp; Violet Base Set</t>
        </is>
      </c>
      <c r="H371" s="3" t="n"/>
      <c r="I371" s="3" t="n">
        <v>389.9</v>
      </c>
      <c r="J371" s="3" t="n">
        <v>386.95</v>
      </c>
      <c r="K371" s="3" t="n">
        <v>375</v>
      </c>
      <c r="L371" s="2" t="inlineStr">
        <is>
          <t>TCGplayer</t>
        </is>
      </c>
      <c r="N371" s="4" t="inlineStr">
        <is>
          <t>https://www.tcgplayer.com/product/478254</t>
        </is>
      </c>
    </row>
    <row r="372">
      <c r="A372" s="2" t="inlineStr">
        <is>
          <t>Scarlet &amp; Violet Elite Trainer Box Case</t>
        </is>
      </c>
      <c r="B372" s="3">
        <f>IF(H372&lt;&gt;"",H372,IF(I372&lt;&gt;"",I372,IF(J372&lt;&gt;"",J372,K372)))</f>
        <v>1371.76</v>
      </c>
      <c r="C372" s="3">
        <f>MEDIAN(H372:K372)</f>
        <v>2497.0</v>
      </c>
      <c r="D372" s="3">
        <f>ROUND(C372*(1-Settings!$B$2),2)</f>
        <v>1747.9</v>
      </c>
      <c r="E372" s="2" t="inlineStr">
        <is>
          <t>Pokemon</t>
        </is>
      </c>
      <c r="F372" s="2" t="inlineStr">
        <is>
          <t>Case/Display</t>
        </is>
      </c>
      <c r="G372" s="2" t="inlineStr">
        <is>
          <t>SV01: Scarlet &amp; Violet Base Set</t>
        </is>
      </c>
      <c r="H372" s="3" t="n"/>
      <c r="I372" s="3" t="n">
        <v>1371.76</v>
      </c>
      <c r="J372" s="3" t="n">
        <v>2748.49</v>
      </c>
      <c r="K372" s="3" t="n">
        <v>2497</v>
      </c>
      <c r="L372" s="2" t="inlineStr">
        <is>
          <t>TCGplayer</t>
        </is>
      </c>
      <c r="N372" s="4" t="inlineStr">
        <is>
          <t>https://www.tcgplayer.com/product/488776</t>
        </is>
      </c>
    </row>
    <row r="373">
      <c r="A373" s="2" t="inlineStr">
        <is>
          <t>Paldea Evolved Booster Box Case</t>
        </is>
      </c>
      <c r="B373" s="3">
        <f>IF(H373&lt;&gt;"",H373,IF(I373&lt;&gt;"",I373,IF(J373&lt;&gt;"",J373,K373)))</f>
        <v>2821.47</v>
      </c>
      <c r="C373" s="3">
        <f>MEDIAN(H373:K373)</f>
        <v>2821.47</v>
      </c>
      <c r="D373" s="3">
        <f>ROUND(C373*(1-Settings!$B$2),2)</f>
        <v>1975.03</v>
      </c>
      <c r="E373" s="2" t="inlineStr">
        <is>
          <t>Pokemon</t>
        </is>
      </c>
      <c r="F373" s="2" t="inlineStr">
        <is>
          <t>Case/Display</t>
        </is>
      </c>
      <c r="G373" s="2" t="inlineStr">
        <is>
          <t>SV02: Paldea Evolved</t>
        </is>
      </c>
      <c r="H373" s="3" t="n"/>
      <c r="I373" s="3" t="n">
        <v>2821.47</v>
      </c>
      <c r="J373" s="3" t="n">
        <v>3268.99</v>
      </c>
      <c r="K373" s="3" t="n">
        <v>2739</v>
      </c>
      <c r="L373" s="2" t="inlineStr">
        <is>
          <t>TCGplayer</t>
        </is>
      </c>
      <c r="N373" s="4" t="inlineStr">
        <is>
          <t>https://www.tcgplayer.com/product/496905</t>
        </is>
      </c>
    </row>
    <row r="374">
      <c r="A374" s="2" t="inlineStr">
        <is>
          <t>Paldea Evolved Booster Bundle Case</t>
        </is>
      </c>
      <c r="B374" s="3">
        <f>IF(H374&lt;&gt;"",H374,IF(I374&lt;&gt;"",I374,IF(J374&lt;&gt;"",J374,K374)))</f>
        <v>3399.99</v>
      </c>
      <c r="C374" s="3">
        <f>MEDIAN(H374:K374)</f>
        <v>3324.995</v>
      </c>
      <c r="D374" s="3">
        <f>ROUND(C374*(1-Settings!$B$2),2)</f>
        <v>2327.5</v>
      </c>
      <c r="E374" s="2" t="inlineStr">
        <is>
          <t>Pokemon</t>
        </is>
      </c>
      <c r="F374" s="2" t="inlineStr">
        <is>
          <t>Case/Display</t>
        </is>
      </c>
      <c r="G374" s="2" t="inlineStr">
        <is>
          <t>SV02: Paldea Evolved</t>
        </is>
      </c>
      <c r="H374" s="3" t="n"/>
      <c r="I374" s="3" t="n"/>
      <c r="J374" s="3" t="n">
        <v>3399.99</v>
      </c>
      <c r="K374" s="3" t="n">
        <v>3250</v>
      </c>
      <c r="L374" s="2" t="inlineStr">
        <is>
          <t>TCGplayer</t>
        </is>
      </c>
      <c r="N374" s="4" t="inlineStr">
        <is>
          <t>https://www.tcgplayer.com/product/656928</t>
        </is>
      </c>
    </row>
    <row r="375">
      <c r="A375" s="2" t="inlineStr">
        <is>
          <t>Paldea Evolved Build &amp; Battle Box Display</t>
        </is>
      </c>
      <c r="B375" s="3">
        <f>IF(H375&lt;&gt;"",H375,IF(I375&lt;&gt;"",I375,IF(J375&lt;&gt;"",J375,K375)))</f>
        <v>543.59</v>
      </c>
      <c r="C375" s="3">
        <f>MEDIAN(H375:K375)</f>
        <v>645.0</v>
      </c>
      <c r="D375" s="3">
        <f>ROUND(C375*(1-Settings!$B$2),2)</f>
        <v>451.5</v>
      </c>
      <c r="E375" s="2" t="inlineStr">
        <is>
          <t>Pokemon</t>
        </is>
      </c>
      <c r="F375" s="2" t="inlineStr">
        <is>
          <t>Case/Display</t>
        </is>
      </c>
      <c r="G375" s="2" t="inlineStr">
        <is>
          <t>SV02: Paldea Evolved</t>
        </is>
      </c>
      <c r="H375" s="3" t="n"/>
      <c r="I375" s="3" t="n">
        <v>543.59</v>
      </c>
      <c r="J375" s="3" t="n">
        <v>649.98</v>
      </c>
      <c r="K375" s="3" t="n">
        <v>645</v>
      </c>
      <c r="L375" s="2" t="inlineStr">
        <is>
          <t>TCGplayer</t>
        </is>
      </c>
      <c r="N375" s="4" t="inlineStr">
        <is>
          <t>https://www.tcgplayer.com/product/496931</t>
        </is>
      </c>
    </row>
    <row r="376">
      <c r="A376" s="2" t="inlineStr">
        <is>
          <t>Paldea Evolved Elite Trainer Box Case</t>
        </is>
      </c>
      <c r="B376" s="3">
        <f>IF(H376&lt;&gt;"",H376,IF(I376&lt;&gt;"",I376,IF(J376&lt;&gt;"",J376,K376)))</f>
        <v>1929.9</v>
      </c>
      <c r="C376" s="3">
        <f>MEDIAN(H376:K376)</f>
        <v>1929.9</v>
      </c>
      <c r="D376" s="3">
        <f>ROUND(C376*(1-Settings!$B$2),2)</f>
        <v>1350.93</v>
      </c>
      <c r="E376" s="2" t="inlineStr">
        <is>
          <t>Pokemon</t>
        </is>
      </c>
      <c r="F376" s="2" t="inlineStr">
        <is>
          <t>Case/Display</t>
        </is>
      </c>
      <c r="G376" s="2" t="inlineStr">
        <is>
          <t>SV02: Paldea Evolved</t>
        </is>
      </c>
      <c r="H376" s="3" t="n"/>
      <c r="I376" s="3" t="n">
        <v>1929.9</v>
      </c>
      <c r="J376" s="3" t="n"/>
      <c r="K376" s="3" t="n"/>
      <c r="L376" s="2" t="inlineStr">
        <is>
          <t>TCGplayer</t>
        </is>
      </c>
      <c r="N376" s="4" t="inlineStr">
        <is>
          <t>https://www.tcgplayer.com/product/496911</t>
        </is>
      </c>
    </row>
    <row r="377">
      <c r="A377" s="2" t="inlineStr">
        <is>
          <t>Paldea Evolved Pokemon Center Elite Trainer Box (Exclusive) Case</t>
        </is>
      </c>
      <c r="B377" s="3">
        <f>IF(H377&lt;&gt;"",H377,IF(I377&lt;&gt;"",I377,IF(J377&lt;&gt;"",J377,K377)))</f>
        <v>2999.99</v>
      </c>
      <c r="C377" s="3">
        <f>MEDIAN(H377:K377)</f>
        <v>2874.97</v>
      </c>
      <c r="D377" s="3">
        <f>ROUND(C377*(1-Settings!$B$2),2)</f>
        <v>2012.48</v>
      </c>
      <c r="E377" s="2" t="inlineStr">
        <is>
          <t>Pokemon</t>
        </is>
      </c>
      <c r="F377" s="2" t="inlineStr">
        <is>
          <t>Case/Display</t>
        </is>
      </c>
      <c r="G377" s="2" t="inlineStr">
        <is>
          <t>SV02: Paldea Evolved</t>
        </is>
      </c>
      <c r="H377" s="3" t="n"/>
      <c r="I377" s="3" t="n"/>
      <c r="J377" s="3" t="n">
        <v>2999.99</v>
      </c>
      <c r="K377" s="3" t="n">
        <v>2749.95</v>
      </c>
      <c r="L377" s="2" t="inlineStr">
        <is>
          <t>TCGplayer</t>
        </is>
      </c>
      <c r="N377" s="4" t="inlineStr">
        <is>
          <t>https://www.tcgplayer.com/product/537410</t>
        </is>
      </c>
    </row>
    <row r="378">
      <c r="A378" s="2" t="inlineStr">
        <is>
          <t>Paldea Evolved Sleeved Booster Case</t>
        </is>
      </c>
      <c r="B378" s="3">
        <f>IF(H378&lt;&gt;"",H378,IF(I378&lt;&gt;"",I378,IF(J378&lt;&gt;"",J378,K378)))</f>
        <v>1937.36</v>
      </c>
      <c r="C378" s="3">
        <f>MEDIAN(H378:K378)</f>
        <v>2299.99</v>
      </c>
      <c r="D378" s="3">
        <f>ROUND(C378*(1-Settings!$B$2),2)</f>
        <v>1609.99</v>
      </c>
      <c r="E378" s="2" t="inlineStr">
        <is>
          <t>Pokemon</t>
        </is>
      </c>
      <c r="F378" s="2" t="inlineStr">
        <is>
          <t>Case/Display</t>
        </is>
      </c>
      <c r="G378" s="2" t="inlineStr">
        <is>
          <t>SV02: Paldea Evolved</t>
        </is>
      </c>
      <c r="H378" s="3" t="n"/>
      <c r="I378" s="3" t="n">
        <v>1937.36</v>
      </c>
      <c r="J378" s="3" t="n">
        <v>2379.97</v>
      </c>
      <c r="K378" s="3" t="n">
        <v>2299.99</v>
      </c>
      <c r="L378" s="2" t="inlineStr">
        <is>
          <t>TCGplayer</t>
        </is>
      </c>
      <c r="N378" s="4" t="inlineStr">
        <is>
          <t>https://www.tcgplayer.com/product/609027</t>
        </is>
      </c>
    </row>
    <row r="379">
      <c r="A379" s="2" t="inlineStr">
        <is>
          <t>Obsidian Flames Booster Box Case</t>
        </is>
      </c>
      <c r="B379" s="3">
        <f>IF(H379&lt;&gt;"",H379,IF(I379&lt;&gt;"",I379,IF(J379&lt;&gt;"",J379,K379)))</f>
        <v>2432.63</v>
      </c>
      <c r="C379" s="3">
        <f>MEDIAN(H379:K379)</f>
        <v>2439.84</v>
      </c>
      <c r="D379" s="3">
        <f>ROUND(C379*(1-Settings!$B$2),2)</f>
        <v>1707.89</v>
      </c>
      <c r="E379" s="2" t="inlineStr">
        <is>
          <t>Pokemon</t>
        </is>
      </c>
      <c r="F379" s="2" t="inlineStr">
        <is>
          <t>Case/Display</t>
        </is>
      </c>
      <c r="G379" s="2" t="inlineStr">
        <is>
          <t>SV03: Obsidian Flames</t>
        </is>
      </c>
      <c r="H379" s="3" t="n"/>
      <c r="I379" s="3" t="n">
        <v>2432.63</v>
      </c>
      <c r="J379" s="3" t="n">
        <v>2499</v>
      </c>
      <c r="K379" s="3" t="n">
        <v>2439.84</v>
      </c>
      <c r="L379" s="2" t="inlineStr">
        <is>
          <t>TCGplayer</t>
        </is>
      </c>
      <c r="N379" s="4" t="inlineStr">
        <is>
          <t>https://www.tcgplayer.com/product/501258</t>
        </is>
      </c>
    </row>
    <row r="380">
      <c r="A380" s="2" t="inlineStr">
        <is>
          <t>Obsidian Flames Build &amp; Battle Box Display</t>
        </is>
      </c>
      <c r="B380" s="3">
        <f>IF(H380&lt;&gt;"",H380,IF(I380&lt;&gt;"",I380,IF(J380&lt;&gt;"",J380,K380)))</f>
        <v>391.56</v>
      </c>
      <c r="C380" s="3">
        <f>MEDIAN(H380:K380)</f>
        <v>475.0</v>
      </c>
      <c r="D380" s="3">
        <f>ROUND(C380*(1-Settings!$B$2),2)</f>
        <v>332.5</v>
      </c>
      <c r="E380" s="2" t="inlineStr">
        <is>
          <t>Pokemon</t>
        </is>
      </c>
      <c r="F380" s="2" t="inlineStr">
        <is>
          <t>Case/Display</t>
        </is>
      </c>
      <c r="G380" s="2" t="inlineStr">
        <is>
          <t>SV03: Obsidian Flames</t>
        </is>
      </c>
      <c r="H380" s="3" t="n"/>
      <c r="I380" s="3" t="n">
        <v>391.56</v>
      </c>
      <c r="J380" s="3" t="n">
        <v>544.6900000000001</v>
      </c>
      <c r="K380" s="3" t="n">
        <v>475</v>
      </c>
      <c r="L380" s="2" t="inlineStr">
        <is>
          <t>TCGplayer</t>
        </is>
      </c>
      <c r="N380" s="4" t="inlineStr">
        <is>
          <t>https://www.tcgplayer.com/product/514193</t>
        </is>
      </c>
    </row>
    <row r="381">
      <c r="A381" s="2" t="inlineStr">
        <is>
          <t>Obsidian Flames Elite Trainer Box Case</t>
        </is>
      </c>
      <c r="B381" s="3">
        <f>IF(H381&lt;&gt;"",H381,IF(I381&lt;&gt;"",I381,IF(J381&lt;&gt;"",J381,K381)))</f>
        <v>2721.31</v>
      </c>
      <c r="C381" s="3">
        <f>MEDIAN(H381:K381)</f>
        <v>3196.0</v>
      </c>
      <c r="D381" s="3">
        <f>ROUND(C381*(1-Settings!$B$2),2)</f>
        <v>2237.2</v>
      </c>
      <c r="E381" s="2" t="inlineStr">
        <is>
          <t>Pokemon</t>
        </is>
      </c>
      <c r="F381" s="2" t="inlineStr">
        <is>
          <t>Case/Display</t>
        </is>
      </c>
      <c r="G381" s="2" t="inlineStr">
        <is>
          <t>SV03: Obsidian Flames</t>
        </is>
      </c>
      <c r="H381" s="3" t="n"/>
      <c r="I381" s="3" t="n">
        <v>2721.31</v>
      </c>
      <c r="J381" s="3" t="n">
        <v>3199.99</v>
      </c>
      <c r="K381" s="3" t="n">
        <v>3196</v>
      </c>
      <c r="L381" s="2" t="inlineStr">
        <is>
          <t>TCGplayer</t>
        </is>
      </c>
      <c r="N381" s="4" t="inlineStr">
        <is>
          <t>https://www.tcgplayer.com/product/501265</t>
        </is>
      </c>
    </row>
    <row r="382">
      <c r="A382" s="2" t="inlineStr">
        <is>
          <t>Obsidian Flames Sleeved Booster Pack Case</t>
        </is>
      </c>
      <c r="B382" s="3">
        <f>IF(H382&lt;&gt;"",H382,IF(I382&lt;&gt;"",I382,IF(J382&lt;&gt;"",J382,K382)))</f>
        <v>1509.94</v>
      </c>
      <c r="C382" s="3">
        <f>MEDIAN(H382:K382)</f>
        <v>1895.96</v>
      </c>
      <c r="D382" s="3">
        <f>ROUND(C382*(1-Settings!$B$2),2)</f>
        <v>1327.17</v>
      </c>
      <c r="E382" s="2" t="inlineStr">
        <is>
          <t>Pokemon</t>
        </is>
      </c>
      <c r="F382" s="2" t="inlineStr">
        <is>
          <t>Case/Display</t>
        </is>
      </c>
      <c r="G382" s="2" t="inlineStr">
        <is>
          <t>SV03: Obsidian Flames</t>
        </is>
      </c>
      <c r="H382" s="3" t="n"/>
      <c r="I382" s="3" t="n">
        <v>1509.94</v>
      </c>
      <c r="J382" s="3" t="n">
        <v>1942.96</v>
      </c>
      <c r="K382" s="3" t="n">
        <v>1895.96</v>
      </c>
      <c r="L382" s="2" t="inlineStr">
        <is>
          <t>TCGplayer</t>
        </is>
      </c>
      <c r="N382" s="4" t="inlineStr">
        <is>
          <t>https://www.tcgplayer.com/product/606743</t>
        </is>
      </c>
    </row>
    <row r="383">
      <c r="A383" s="2" t="inlineStr">
        <is>
          <t>Paradox Rift Booster Box Case</t>
        </is>
      </c>
      <c r="B383" s="3">
        <f>IF(H383&lt;&gt;"",H383,IF(I383&lt;&gt;"",I383,IF(J383&lt;&gt;"",J383,K383)))</f>
        <v>1849.68</v>
      </c>
      <c r="C383" s="3">
        <f>MEDIAN(H383:K383)</f>
        <v>1799.99</v>
      </c>
      <c r="D383" s="3">
        <f>ROUND(C383*(1-Settings!$B$2),2)</f>
        <v>1259.99</v>
      </c>
      <c r="E383" s="2" t="inlineStr">
        <is>
          <t>Pokemon</t>
        </is>
      </c>
      <c r="F383" s="2" t="inlineStr">
        <is>
          <t>Case/Display</t>
        </is>
      </c>
      <c r="G383" s="2" t="inlineStr">
        <is>
          <t>SV04: Paradox Rift</t>
        </is>
      </c>
      <c r="H383" s="3" t="n"/>
      <c r="I383" s="3" t="n">
        <v>1849.68</v>
      </c>
      <c r="J383" s="3" t="n">
        <v>1799.99</v>
      </c>
      <c r="K383" s="3" t="n">
        <v>1634.2</v>
      </c>
      <c r="L383" s="2" t="inlineStr">
        <is>
          <t>TCGplayer</t>
        </is>
      </c>
      <c r="N383" s="4" t="inlineStr">
        <is>
          <t>https://www.tcgplayer.com/product/512828</t>
        </is>
      </c>
    </row>
    <row r="384">
      <c r="A384" s="2" t="inlineStr">
        <is>
          <t>Paradox Rift Build &amp; Battle Box Display</t>
        </is>
      </c>
      <c r="B384" s="3">
        <f>IF(H384&lt;&gt;"",H384,IF(I384&lt;&gt;"",I384,IF(J384&lt;&gt;"",J384,K384)))</f>
        <v>374.69</v>
      </c>
      <c r="C384" s="3">
        <f>MEDIAN(H384:K384)</f>
        <v>374.69</v>
      </c>
      <c r="D384" s="3">
        <f>ROUND(C384*(1-Settings!$B$2),2)</f>
        <v>262.28</v>
      </c>
      <c r="E384" s="2" t="inlineStr">
        <is>
          <t>Pokemon</t>
        </is>
      </c>
      <c r="F384" s="2" t="inlineStr">
        <is>
          <t>Case/Display</t>
        </is>
      </c>
      <c r="G384" s="2" t="inlineStr">
        <is>
          <t>SV04: Paradox Rift</t>
        </is>
      </c>
      <c r="H384" s="3" t="n"/>
      <c r="I384" s="3" t="n">
        <v>374.69</v>
      </c>
      <c r="J384" s="3" t="n">
        <v>399.99</v>
      </c>
      <c r="K384" s="3" t="n">
        <v>366.7</v>
      </c>
      <c r="L384" s="2" t="inlineStr">
        <is>
          <t>TCGplayer</t>
        </is>
      </c>
      <c r="N384" s="4" t="inlineStr">
        <is>
          <t>https://www.tcgplayer.com/product/514069</t>
        </is>
      </c>
    </row>
    <row r="385">
      <c r="A385" s="2" t="inlineStr">
        <is>
          <t>Paradox Rift Build &amp; Battle Stadium Case</t>
        </is>
      </c>
      <c r="B385" s="3">
        <f>IF(H385&lt;&gt;"",H385,IF(I385&lt;&gt;"",I385,IF(J385&lt;&gt;"",J385,K385)))</f>
        <v>632.35</v>
      </c>
      <c r="C385" s="3">
        <f>MEDIAN(H385:K385)</f>
        <v>588.52</v>
      </c>
      <c r="D385" s="3">
        <f>ROUND(C385*(1-Settings!$B$2),2)</f>
        <v>411.96</v>
      </c>
      <c r="E385" s="2" t="inlineStr">
        <is>
          <t>Pokemon</t>
        </is>
      </c>
      <c r="F385" s="2" t="inlineStr">
        <is>
          <t>Case/Display</t>
        </is>
      </c>
      <c r="G385" s="2" t="inlineStr">
        <is>
          <t>SV04: Paradox Rift</t>
        </is>
      </c>
      <c r="H385" s="3" t="n"/>
      <c r="I385" s="3" t="n"/>
      <c r="J385" s="3" t="n">
        <v>632.35</v>
      </c>
      <c r="K385" s="3" t="n">
        <v>544.6900000000001</v>
      </c>
      <c r="L385" s="2" t="inlineStr">
        <is>
          <t>TCGplayer</t>
        </is>
      </c>
      <c r="N385" s="4" t="inlineStr">
        <is>
          <t>https://www.tcgplayer.com/product/514071</t>
        </is>
      </c>
    </row>
    <row r="386">
      <c r="A386" s="2" t="inlineStr">
        <is>
          <t>Paradox Rift Pokemon Center Elite Trainer Box (Exclusive) Case [Iron Valiant]</t>
        </is>
      </c>
      <c r="B386" s="3">
        <f>IF(H386&lt;&gt;"",H386,IF(I386&lt;&gt;"",I386,IF(J386&lt;&gt;"",J386,K386)))</f>
        <v>1400.0</v>
      </c>
      <c r="C386" s="3">
        <f>MEDIAN(H386:K386)</f>
        <v>1400.0</v>
      </c>
      <c r="D386" s="3">
        <f>ROUND(C386*(1-Settings!$B$2),2)</f>
        <v>980.0</v>
      </c>
      <c r="E386" s="2" t="inlineStr">
        <is>
          <t>Pokemon</t>
        </is>
      </c>
      <c r="F386" s="2" t="inlineStr">
        <is>
          <t>Case/Display</t>
        </is>
      </c>
      <c r="G386" s="2" t="inlineStr">
        <is>
          <t>SV04: Paradox Rift</t>
        </is>
      </c>
      <c r="H386" s="3" t="n"/>
      <c r="I386" s="3" t="n"/>
      <c r="J386" s="3" t="n">
        <v>1400</v>
      </c>
      <c r="K386" s="3" t="n">
        <v>1400</v>
      </c>
      <c r="L386" s="2" t="inlineStr">
        <is>
          <t>TCGplayer</t>
        </is>
      </c>
      <c r="N386" s="4" t="inlineStr">
        <is>
          <t>https://www.tcgplayer.com/product/657210</t>
        </is>
      </c>
    </row>
    <row r="387">
      <c r="A387" s="2" t="inlineStr">
        <is>
          <t>Paradox Rift Sleeved Booster Case</t>
        </is>
      </c>
      <c r="B387" s="3">
        <f>IF(H387&lt;&gt;"",H387,IF(I387&lt;&gt;"",I387,IF(J387&lt;&gt;"",J387,K387)))</f>
        <v>1238.26</v>
      </c>
      <c r="C387" s="3">
        <f>MEDIAN(H387:K387)</f>
        <v>1249.68</v>
      </c>
      <c r="D387" s="3">
        <f>ROUND(C387*(1-Settings!$B$2),2)</f>
        <v>874.78</v>
      </c>
      <c r="E387" s="2" t="inlineStr">
        <is>
          <t>Pokemon</t>
        </is>
      </c>
      <c r="F387" s="2" t="inlineStr">
        <is>
          <t>Case/Display</t>
        </is>
      </c>
      <c r="G387" s="2" t="inlineStr">
        <is>
          <t>SV04: Paradox Rift</t>
        </is>
      </c>
      <c r="H387" s="3" t="n"/>
      <c r="I387" s="3" t="n">
        <v>1238.26</v>
      </c>
      <c r="J387" s="3" t="n">
        <v>1249.69</v>
      </c>
      <c r="K387" s="3" t="n">
        <v>1249.68</v>
      </c>
      <c r="L387" s="2" t="inlineStr">
        <is>
          <t>TCGplayer</t>
        </is>
      </c>
      <c r="N387" s="4" t="inlineStr">
        <is>
          <t>https://www.tcgplayer.com/product/641808</t>
        </is>
      </c>
    </row>
    <row r="388">
      <c r="A388" s="2" t="inlineStr">
        <is>
          <t>Temporal Forces Booster Box Case</t>
        </is>
      </c>
      <c r="B388" s="3">
        <f>IF(H388&lt;&gt;"",H388,IF(I388&lt;&gt;"",I388,IF(J388&lt;&gt;"",J388,K388)))</f>
        <v>2266.77</v>
      </c>
      <c r="C388" s="3">
        <f>MEDIAN(H388:K388)</f>
        <v>2033.97</v>
      </c>
      <c r="D388" s="3">
        <f>ROUND(C388*(1-Settings!$B$2),2)</f>
        <v>1423.78</v>
      </c>
      <c r="E388" s="2" t="inlineStr">
        <is>
          <t>Pokemon</t>
        </is>
      </c>
      <c r="F388" s="2" t="inlineStr">
        <is>
          <t>Case/Display</t>
        </is>
      </c>
      <c r="G388" s="2" t="inlineStr">
        <is>
          <t>SV05: Temporal Forces</t>
        </is>
      </c>
      <c r="H388" s="3" t="n"/>
      <c r="I388" s="3" t="n">
        <v>2266.77</v>
      </c>
      <c r="J388" s="3" t="n">
        <v>2033.97</v>
      </c>
      <c r="K388" s="3" t="n">
        <v>1968.51</v>
      </c>
      <c r="L388" s="2" t="inlineStr">
        <is>
          <t>TCGplayer</t>
        </is>
      </c>
      <c r="N388" s="4" t="inlineStr">
        <is>
          <t>https://www.tcgplayer.com/product/537417</t>
        </is>
      </c>
    </row>
    <row r="389">
      <c r="A389" s="2" t="inlineStr">
        <is>
          <t>Temporal Forces Build &amp; Battle Box Display</t>
        </is>
      </c>
      <c r="B389" s="3">
        <f>IF(H389&lt;&gt;"",H389,IF(I389&lt;&gt;"",I389,IF(J389&lt;&gt;"",J389,K389)))</f>
        <v>362.9</v>
      </c>
      <c r="C389" s="3">
        <f>MEDIAN(H389:K389)</f>
        <v>499.95</v>
      </c>
      <c r="D389" s="3">
        <f>ROUND(C389*(1-Settings!$B$2),2)</f>
        <v>349.97</v>
      </c>
      <c r="E389" s="2" t="inlineStr">
        <is>
          <t>Pokemon</t>
        </is>
      </c>
      <c r="F389" s="2" t="inlineStr">
        <is>
          <t>Case/Display</t>
        </is>
      </c>
      <c r="G389" s="2" t="inlineStr">
        <is>
          <t>SV05: Temporal Forces</t>
        </is>
      </c>
      <c r="H389" s="3" t="n"/>
      <c r="I389" s="3" t="n">
        <v>362.9</v>
      </c>
      <c r="J389" s="3" t="n">
        <v>499.95</v>
      </c>
      <c r="K389" s="3" t="n">
        <v>499.95</v>
      </c>
      <c r="L389" s="2" t="inlineStr">
        <is>
          <t>TCGplayer</t>
        </is>
      </c>
      <c r="N389" s="4" t="inlineStr">
        <is>
          <t>https://www.tcgplayer.com/product/537409</t>
        </is>
      </c>
    </row>
    <row r="390">
      <c r="A390" s="2" t="inlineStr">
        <is>
          <t>Temporal Forces Elite Trainer Box Case</t>
        </is>
      </c>
      <c r="B390" s="3">
        <f>IF(H390&lt;&gt;"",H390,IF(I390&lt;&gt;"",I390,IF(J390&lt;&gt;"",J390,K390)))</f>
        <v>1950.0</v>
      </c>
      <c r="C390" s="3">
        <f>MEDIAN(H390:K390)</f>
        <v>1779.97</v>
      </c>
      <c r="D390" s="3">
        <f>ROUND(C390*(1-Settings!$B$2),2)</f>
        <v>1245.98</v>
      </c>
      <c r="E390" s="2" t="inlineStr">
        <is>
          <t>Pokemon</t>
        </is>
      </c>
      <c r="F390" s="2" t="inlineStr">
        <is>
          <t>Case/Display</t>
        </is>
      </c>
      <c r="G390" s="2" t="inlineStr">
        <is>
          <t>SV05: Temporal Forces</t>
        </is>
      </c>
      <c r="H390" s="3" t="n"/>
      <c r="I390" s="3" t="n">
        <v>1950</v>
      </c>
      <c r="J390" s="3" t="n">
        <v>1779.97</v>
      </c>
      <c r="K390" s="3" t="n">
        <v>1750</v>
      </c>
      <c r="L390" s="2" t="inlineStr">
        <is>
          <t>TCGplayer</t>
        </is>
      </c>
      <c r="N390" s="4" t="inlineStr">
        <is>
          <t>https://www.tcgplayer.com/product/537418</t>
        </is>
      </c>
    </row>
    <row r="391">
      <c r="A391" s="2" t="inlineStr">
        <is>
          <t>Temporal Forces Pokemon Center Elite Trainer Box Case (Exclusive) [Iron Leaves]</t>
        </is>
      </c>
      <c r="B391" s="3">
        <f>IF(H391&lt;&gt;"",H391,IF(I391&lt;&gt;"",I391,IF(J391&lt;&gt;"",J391,K391)))</f>
        <v>1373.99</v>
      </c>
      <c r="C391" s="3">
        <f>MEDIAN(H391:K391)</f>
        <v>1360.99</v>
      </c>
      <c r="D391" s="3">
        <f>ROUND(C391*(1-Settings!$B$2),2)</f>
        <v>952.69</v>
      </c>
      <c r="E391" s="2" t="inlineStr">
        <is>
          <t>Pokemon</t>
        </is>
      </c>
      <c r="F391" s="2" t="inlineStr">
        <is>
          <t>Case/Display</t>
        </is>
      </c>
      <c r="G391" s="2" t="inlineStr">
        <is>
          <t>SV05: Temporal Forces</t>
        </is>
      </c>
      <c r="H391" s="3" t="n"/>
      <c r="I391" s="3" t="n"/>
      <c r="J391" s="3" t="n">
        <v>1373.99</v>
      </c>
      <c r="K391" s="3" t="n">
        <v>1347.99</v>
      </c>
      <c r="L391" s="2" t="inlineStr">
        <is>
          <t>TCGplayer</t>
        </is>
      </c>
      <c r="N391" s="4" t="inlineStr">
        <is>
          <t>https://www.tcgplayer.com/product/550822</t>
        </is>
      </c>
    </row>
    <row r="392">
      <c r="A392" s="2" t="inlineStr">
        <is>
          <t>Temporal Forces Pokemon Center Elite Trainer Box Case (Exclusive) [Walking Wake]</t>
        </is>
      </c>
      <c r="B392" s="3">
        <f>IF(H392&lt;&gt;"",H392,IF(I392&lt;&gt;"",I392,IF(J392&lt;&gt;"",J392,K392)))</f>
        <v>1434.95</v>
      </c>
      <c r="C392" s="3">
        <f>MEDIAN(H392:K392)</f>
        <v>967.475</v>
      </c>
      <c r="D392" s="3">
        <f>ROUND(C392*(1-Settings!$B$2),2)</f>
        <v>677.23</v>
      </c>
      <c r="E392" s="2" t="inlineStr">
        <is>
          <t>Pokemon</t>
        </is>
      </c>
      <c r="F392" s="2" t="inlineStr">
        <is>
          <t>Case/Display</t>
        </is>
      </c>
      <c r="G392" s="2" t="inlineStr">
        <is>
          <t>SV05: Temporal Forces</t>
        </is>
      </c>
      <c r="H392" s="3" t="n"/>
      <c r="I392" s="3" t="n"/>
      <c r="J392" s="3" t="n">
        <v>1434.95</v>
      </c>
      <c r="K392" s="3" t="n">
        <v>500</v>
      </c>
      <c r="L392" s="2" t="inlineStr">
        <is>
          <t>TCGplayer</t>
        </is>
      </c>
      <c r="N392" s="4" t="inlineStr">
        <is>
          <t>https://www.tcgplayer.com/product/550823</t>
        </is>
      </c>
    </row>
    <row r="393">
      <c r="A393" s="2" t="inlineStr">
        <is>
          <t>Twilight Masquerade Booster Box Case</t>
        </is>
      </c>
      <c r="B393" s="3">
        <f>IF(H393&lt;&gt;"",H393,IF(I393&lt;&gt;"",I393,IF(J393&lt;&gt;"",J393,K393)))</f>
        <v>2195.27</v>
      </c>
      <c r="C393" s="3">
        <f>MEDIAN(H393:K393)</f>
        <v>2195.27</v>
      </c>
      <c r="D393" s="3">
        <f>ROUND(C393*(1-Settings!$B$2),2)</f>
        <v>1536.69</v>
      </c>
      <c r="E393" s="2" t="inlineStr">
        <is>
          <t>Pokemon</t>
        </is>
      </c>
      <c r="F393" s="2" t="inlineStr">
        <is>
          <t>Case/Display</t>
        </is>
      </c>
      <c r="G393" s="2" t="inlineStr">
        <is>
          <t>SV06: Twilight Masquerade</t>
        </is>
      </c>
      <c r="H393" s="3" t="n"/>
      <c r="I393" s="3" t="n">
        <v>2195.27</v>
      </c>
      <c r="J393" s="3" t="n">
        <v>2320</v>
      </c>
      <c r="K393" s="3" t="n">
        <v>2100</v>
      </c>
      <c r="L393" s="2" t="inlineStr">
        <is>
          <t>TCGplayer</t>
        </is>
      </c>
      <c r="N393" s="4" t="inlineStr">
        <is>
          <t>https://www.tcgplayer.com/product/544384</t>
        </is>
      </c>
    </row>
    <row r="394">
      <c r="A394" s="2" t="inlineStr">
        <is>
          <t>Twilight Masquerade Build &amp; Battle Box Display</t>
        </is>
      </c>
      <c r="B394" s="3">
        <f>IF(H394&lt;&gt;"",H394,IF(I394&lt;&gt;"",I394,IF(J394&lt;&gt;"",J394,K394)))</f>
        <v>398.97</v>
      </c>
      <c r="C394" s="3">
        <f>MEDIAN(H394:K394)</f>
        <v>589.0</v>
      </c>
      <c r="D394" s="3">
        <f>ROUND(C394*(1-Settings!$B$2),2)</f>
        <v>412.3</v>
      </c>
      <c r="E394" s="2" t="inlineStr">
        <is>
          <t>Pokemon</t>
        </is>
      </c>
      <c r="F394" s="2" t="inlineStr">
        <is>
          <t>Case/Display</t>
        </is>
      </c>
      <c r="G394" s="2" t="inlineStr">
        <is>
          <t>SV06: Twilight Masquerade</t>
        </is>
      </c>
      <c r="H394" s="3" t="n"/>
      <c r="I394" s="3" t="n">
        <v>398.97</v>
      </c>
      <c r="J394" s="3" t="n">
        <v>644.5</v>
      </c>
      <c r="K394" s="3" t="n">
        <v>589</v>
      </c>
      <c r="L394" s="2" t="inlineStr">
        <is>
          <t>TCGplayer</t>
        </is>
      </c>
      <c r="N394" s="4" t="inlineStr">
        <is>
          <t>https://www.tcgplayer.com/product/549489</t>
        </is>
      </c>
    </row>
    <row r="395">
      <c r="A395" s="2" t="inlineStr">
        <is>
          <t>Twilight Masquerade Sleeved Booster Pack Case</t>
        </is>
      </c>
      <c r="B395" s="3">
        <f>IF(H395&lt;&gt;"",H395,IF(I395&lt;&gt;"",I395,IF(J395&lt;&gt;"",J395,K395)))</f>
        <v>1459.98</v>
      </c>
      <c r="C395" s="3">
        <f>MEDIAN(H395:K395)</f>
        <v>1459.98</v>
      </c>
      <c r="D395" s="3">
        <f>ROUND(C395*(1-Settings!$B$2),2)</f>
        <v>1021.99</v>
      </c>
      <c r="E395" s="2" t="inlineStr">
        <is>
          <t>Pokemon</t>
        </is>
      </c>
      <c r="F395" s="2" t="inlineStr">
        <is>
          <t>Case/Display</t>
        </is>
      </c>
      <c r="G395" s="2" t="inlineStr">
        <is>
          <t>SV06: Twilight Masquerade</t>
        </is>
      </c>
      <c r="H395" s="3" t="n"/>
      <c r="I395" s="3" t="n">
        <v>1459.98</v>
      </c>
      <c r="J395" s="3" t="n">
        <v>1468.94</v>
      </c>
      <c r="K395" s="3" t="n">
        <v>1458.98</v>
      </c>
      <c r="L395" s="2" t="inlineStr">
        <is>
          <t>TCGplayer</t>
        </is>
      </c>
      <c r="N395" s="4" t="inlineStr">
        <is>
          <t>https://www.tcgplayer.com/product/593672</t>
        </is>
      </c>
    </row>
    <row r="396">
      <c r="A396" s="2" t="inlineStr">
        <is>
          <t>Stellar Crown Booster Box Case</t>
        </is>
      </c>
      <c r="B396" s="3">
        <f>IF(H396&lt;&gt;"",H396,IF(I396&lt;&gt;"",I396,IF(J396&lt;&gt;"",J396,K396)))</f>
        <v>1842.7</v>
      </c>
      <c r="C396" s="3">
        <f>MEDIAN(H396:K396)</f>
        <v>1842.7</v>
      </c>
      <c r="D396" s="3">
        <f>ROUND(C396*(1-Settings!$B$2),2)</f>
        <v>1289.89</v>
      </c>
      <c r="E396" s="2" t="inlineStr">
        <is>
          <t>Pokemon</t>
        </is>
      </c>
      <c r="F396" s="2" t="inlineStr">
        <is>
          <t>Case/Display</t>
        </is>
      </c>
      <c r="G396" s="2" t="inlineStr">
        <is>
          <t>SV07: Stellar Crown</t>
        </is>
      </c>
      <c r="H396" s="3" t="n"/>
      <c r="I396" s="3" t="n">
        <v>1842.7</v>
      </c>
      <c r="J396" s="3" t="n">
        <v>1983.49</v>
      </c>
      <c r="K396" s="3" t="n">
        <v>1169.69</v>
      </c>
      <c r="L396" s="2" t="inlineStr">
        <is>
          <t>TCGplayer</t>
        </is>
      </c>
      <c r="N396" s="4" t="inlineStr">
        <is>
          <t>https://www.tcgplayer.com/product/557365</t>
        </is>
      </c>
    </row>
    <row r="397">
      <c r="A397" s="2" t="inlineStr">
        <is>
          <t>Stellar Crown Elite Trainer Box Case</t>
        </is>
      </c>
      <c r="B397" s="3">
        <f>IF(H397&lt;&gt;"",H397,IF(I397&lt;&gt;"",I397,IF(J397&lt;&gt;"",J397,K397)))</f>
        <v>1489.98</v>
      </c>
      <c r="C397" s="3">
        <f>MEDIAN(H397:K397)</f>
        <v>1679.97</v>
      </c>
      <c r="D397" s="3">
        <f>ROUND(C397*(1-Settings!$B$2),2)</f>
        <v>1175.98</v>
      </c>
      <c r="E397" s="2" t="inlineStr">
        <is>
          <t>Pokemon</t>
        </is>
      </c>
      <c r="F397" s="2" t="inlineStr">
        <is>
          <t>Case/Display</t>
        </is>
      </c>
      <c r="G397" s="2" t="inlineStr">
        <is>
          <t>SV07: Stellar Crown</t>
        </is>
      </c>
      <c r="H397" s="3" t="n"/>
      <c r="I397" s="3" t="n">
        <v>1489.98</v>
      </c>
      <c r="J397" s="3" t="n">
        <v>1789.98</v>
      </c>
      <c r="K397" s="3" t="n">
        <v>1679.97</v>
      </c>
      <c r="L397" s="2" t="inlineStr">
        <is>
          <t>TCGplayer</t>
        </is>
      </c>
      <c r="N397" s="4" t="inlineStr">
        <is>
          <t>https://www.tcgplayer.com/product/559102</t>
        </is>
      </c>
    </row>
    <row r="398">
      <c r="A398" s="2" t="inlineStr">
        <is>
          <t>Stellar Crown Sleeved Booster Master Carton</t>
        </is>
      </c>
      <c r="B398" s="3">
        <f>IF(H398&lt;&gt;"",H398,IF(I398&lt;&gt;"",I398,IF(J398&lt;&gt;"",J398,K398)))</f>
        <v>1152.29</v>
      </c>
      <c r="C398" s="3">
        <f>MEDIAN(H398:K398)</f>
        <v>1152.29</v>
      </c>
      <c r="D398" s="3">
        <f>ROUND(C398*(1-Settings!$B$2),2)</f>
        <v>806.6</v>
      </c>
      <c r="E398" s="2" t="inlineStr">
        <is>
          <t>Pokemon</t>
        </is>
      </c>
      <c r="F398" s="2" t="inlineStr">
        <is>
          <t>Case/Display</t>
        </is>
      </c>
      <c r="G398" s="2" t="inlineStr">
        <is>
          <t>SV07: Stellar Crown</t>
        </is>
      </c>
      <c r="H398" s="3" t="n"/>
      <c r="I398" s="3" t="n">
        <v>1152.29</v>
      </c>
      <c r="J398" s="3" t="n">
        <v>1229.97</v>
      </c>
      <c r="K398" s="3" t="n">
        <v>1149.99</v>
      </c>
      <c r="L398" s="2" t="inlineStr">
        <is>
          <t>TCGplayer</t>
        </is>
      </c>
      <c r="N398" s="4" t="inlineStr">
        <is>
          <t>https://www.tcgplayer.com/product/559530</t>
        </is>
      </c>
    </row>
    <row r="399">
      <c r="A399" s="2" t="inlineStr">
        <is>
          <t>Surging Sparks 3 Pack Blisters Case</t>
        </is>
      </c>
      <c r="B399" s="3">
        <f>IF(H399&lt;&gt;"",H399,IF(I399&lt;&gt;"",I399,IF(J399&lt;&gt;"",J399,K399)))</f>
        <v>1500.0</v>
      </c>
      <c r="C399" s="3">
        <f>MEDIAN(H399:K399)</f>
        <v>1500.0</v>
      </c>
      <c r="D399" s="3">
        <f>ROUND(C399*(1-Settings!$B$2),2)</f>
        <v>1050.0</v>
      </c>
      <c r="E399" s="2" t="inlineStr">
        <is>
          <t>Pokemon</t>
        </is>
      </c>
      <c r="F399" s="2" t="inlineStr">
        <is>
          <t>Case/Display</t>
        </is>
      </c>
      <c r="G399" s="2" t="inlineStr">
        <is>
          <t>SV08: Surging Sparks</t>
        </is>
      </c>
      <c r="H399" s="3" t="n"/>
      <c r="I399" s="3" t="n"/>
      <c r="J399" s="3" t="n">
        <v>1500</v>
      </c>
      <c r="K399" s="3" t="n">
        <v>1500</v>
      </c>
      <c r="L399" s="2" t="inlineStr">
        <is>
          <t>TCGplayer</t>
        </is>
      </c>
      <c r="N399" s="4" t="inlineStr">
        <is>
          <t>https://www.tcgplayer.com/product/711388</t>
        </is>
      </c>
    </row>
    <row r="400">
      <c r="A400" s="2" t="inlineStr">
        <is>
          <t>Surging Sparks Booster Box Case</t>
        </is>
      </c>
      <c r="B400" s="3">
        <f>IF(H400&lt;&gt;"",H400,IF(I400&lt;&gt;"",I400,IF(J400&lt;&gt;"",J400,K400)))</f>
        <v>2034.51</v>
      </c>
      <c r="C400" s="3">
        <f>MEDIAN(H400:K400)</f>
        <v>2034.51</v>
      </c>
      <c r="D400" s="3">
        <f>ROUND(C400*(1-Settings!$B$2),2)</f>
        <v>1424.16</v>
      </c>
      <c r="E400" s="2" t="inlineStr">
        <is>
          <t>Pokemon</t>
        </is>
      </c>
      <c r="F400" s="2" t="inlineStr">
        <is>
          <t>Case/Display</t>
        </is>
      </c>
      <c r="G400" s="2" t="inlineStr">
        <is>
          <t>SV08: Surging Sparks</t>
        </is>
      </c>
      <c r="H400" s="3" t="n"/>
      <c r="I400" s="3" t="n">
        <v>2034.51</v>
      </c>
      <c r="J400" s="3" t="n">
        <v>2100</v>
      </c>
      <c r="K400" s="3" t="n">
        <v>1825</v>
      </c>
      <c r="L400" s="2" t="inlineStr">
        <is>
          <t>TCGplayer</t>
        </is>
      </c>
      <c r="N400" s="4" t="inlineStr">
        <is>
          <t>https://www.tcgplayer.com/product/580708</t>
        </is>
      </c>
    </row>
    <row r="401">
      <c r="A401" s="2" t="inlineStr">
        <is>
          <t>Surging Sparks Booster Bundle Case (LGS)</t>
        </is>
      </c>
      <c r="B401" s="3">
        <f>IF(H401&lt;&gt;"",H401,IF(I401&lt;&gt;"",I401,IF(J401&lt;&gt;"",J401,K401)))</f>
        <v>1162.85</v>
      </c>
      <c r="C401" s="3">
        <f>MEDIAN(H401:K401)</f>
        <v>1399.99</v>
      </c>
      <c r="D401" s="3">
        <f>ROUND(C401*(1-Settings!$B$2),2)</f>
        <v>979.99</v>
      </c>
      <c r="E401" s="2" t="inlineStr">
        <is>
          <t>Pokemon</t>
        </is>
      </c>
      <c r="F401" s="2" t="inlineStr">
        <is>
          <t>Case/Display</t>
        </is>
      </c>
      <c r="G401" s="2" t="inlineStr">
        <is>
          <t>SV08: Surging Sparks</t>
        </is>
      </c>
      <c r="H401" s="3" t="n"/>
      <c r="I401" s="3" t="n">
        <v>1162.85</v>
      </c>
      <c r="J401" s="3" t="n">
        <v>1540</v>
      </c>
      <c r="K401" s="3" t="n">
        <v>1399.99</v>
      </c>
      <c r="L401" s="2" t="inlineStr">
        <is>
          <t>TCGplayer</t>
        </is>
      </c>
      <c r="N401" s="4" t="inlineStr">
        <is>
          <t>https://www.tcgplayer.com/product/594269</t>
        </is>
      </c>
    </row>
    <row r="402">
      <c r="A402" s="2" t="inlineStr">
        <is>
          <t>Surging Sparks Build &amp; Battle Box Display</t>
        </is>
      </c>
      <c r="B402" s="3">
        <f>IF(H402&lt;&gt;"",H402,IF(I402&lt;&gt;"",I402,IF(J402&lt;&gt;"",J402,K402)))</f>
        <v>494.98</v>
      </c>
      <c r="C402" s="3">
        <f>MEDIAN(H402:K402)</f>
        <v>650.0</v>
      </c>
      <c r="D402" s="3">
        <f>ROUND(C402*(1-Settings!$B$2),2)</f>
        <v>455.0</v>
      </c>
      <c r="E402" s="2" t="inlineStr">
        <is>
          <t>Pokemon</t>
        </is>
      </c>
      <c r="F402" s="2" t="inlineStr">
        <is>
          <t>Case/Display</t>
        </is>
      </c>
      <c r="G402" s="2" t="inlineStr">
        <is>
          <t>SV08: Surging Sparks</t>
        </is>
      </c>
      <c r="H402" s="3" t="n"/>
      <c r="I402" s="3" t="n">
        <v>494.98</v>
      </c>
      <c r="J402" s="3" t="n">
        <v>724.48</v>
      </c>
      <c r="K402" s="3" t="n">
        <v>650</v>
      </c>
      <c r="L402" s="2" t="inlineStr">
        <is>
          <t>TCGplayer</t>
        </is>
      </c>
      <c r="N402" s="4" t="inlineStr">
        <is>
          <t>https://www.tcgplayer.com/product/565600</t>
        </is>
      </c>
    </row>
    <row r="403">
      <c r="A403" s="2" t="inlineStr">
        <is>
          <t>Surging Sparks Elite Trainer Box Case</t>
        </is>
      </c>
      <c r="B403" s="3">
        <f>IF(H403&lt;&gt;"",H403,IF(I403&lt;&gt;"",I403,IF(J403&lt;&gt;"",J403,K403)))</f>
        <v>1298.68</v>
      </c>
      <c r="C403" s="3">
        <f>MEDIAN(H403:K403)</f>
        <v>1319.0</v>
      </c>
      <c r="D403" s="3">
        <f>ROUND(C403*(1-Settings!$B$2),2)</f>
        <v>923.3</v>
      </c>
      <c r="E403" s="2" t="inlineStr">
        <is>
          <t>Pokemon</t>
        </is>
      </c>
      <c r="F403" s="2" t="inlineStr">
        <is>
          <t>Case/Display</t>
        </is>
      </c>
      <c r="G403" s="2" t="inlineStr">
        <is>
          <t>SV08: Surging Sparks</t>
        </is>
      </c>
      <c r="H403" s="3" t="n"/>
      <c r="I403" s="3" t="n">
        <v>1298.68</v>
      </c>
      <c r="J403" s="3" t="n">
        <v>1412.78</v>
      </c>
      <c r="K403" s="3" t="n">
        <v>1319</v>
      </c>
      <c r="L403" s="2" t="inlineStr">
        <is>
          <t>TCGplayer</t>
        </is>
      </c>
      <c r="N403" s="4" t="inlineStr">
        <is>
          <t>https://www.tcgplayer.com/product/565631</t>
        </is>
      </c>
    </row>
    <row r="404">
      <c r="A404" s="2" t="inlineStr">
        <is>
          <t>Surging Sparks Pokemon Center Elite Trainer Box (Exclusive) Case</t>
        </is>
      </c>
      <c r="B404" s="3">
        <f>IF(H404&lt;&gt;"",H404,IF(I404&lt;&gt;"",I404,IF(J404&lt;&gt;"",J404,K404)))</f>
        <v>1183.1</v>
      </c>
      <c r="C404" s="3">
        <f>MEDIAN(H404:K404)</f>
        <v>1183.1</v>
      </c>
      <c r="D404" s="3">
        <f>ROUND(C404*(1-Settings!$B$2),2)</f>
        <v>828.17</v>
      </c>
      <c r="E404" s="2" t="inlineStr">
        <is>
          <t>Pokemon</t>
        </is>
      </c>
      <c r="F404" s="2" t="inlineStr">
        <is>
          <t>Case/Display</t>
        </is>
      </c>
      <c r="G404" s="2" t="inlineStr">
        <is>
          <t>SV08: Surging Sparks</t>
        </is>
      </c>
      <c r="H404" s="3" t="n"/>
      <c r="I404" s="3" t="n">
        <v>1183.1</v>
      </c>
      <c r="J404" s="3" t="n">
        <v>1593.42</v>
      </c>
      <c r="K404" s="3" t="n">
        <v>1100</v>
      </c>
      <c r="L404" s="2" t="inlineStr">
        <is>
          <t>TCGplayer</t>
        </is>
      </c>
      <c r="N404" s="4" t="inlineStr">
        <is>
          <t>https://www.tcgplayer.com/product/565633</t>
        </is>
      </c>
    </row>
    <row r="405">
      <c r="A405" s="2" t="inlineStr">
        <is>
          <t>Surging Sparks Sleeved Booster Pack Case</t>
        </is>
      </c>
      <c r="B405" s="3">
        <f>IF(H405&lt;&gt;"",H405,IF(I405&lt;&gt;"",I405,IF(J405&lt;&gt;"",J405,K405)))</f>
        <v>1471.47</v>
      </c>
      <c r="C405" s="3">
        <f>MEDIAN(H405:K405)</f>
        <v>1499.99</v>
      </c>
      <c r="D405" s="3">
        <f>ROUND(C405*(1-Settings!$B$2),2)</f>
        <v>1049.99</v>
      </c>
      <c r="E405" s="2" t="inlineStr">
        <is>
          <t>Pokemon</t>
        </is>
      </c>
      <c r="F405" s="2" t="inlineStr">
        <is>
          <t>Case/Display</t>
        </is>
      </c>
      <c r="G405" s="2" t="inlineStr">
        <is>
          <t>SV08: Surging Sparks</t>
        </is>
      </c>
      <c r="H405" s="3" t="n"/>
      <c r="I405" s="3" t="n">
        <v>1471.47</v>
      </c>
      <c r="J405" s="3" t="n">
        <v>2249.99</v>
      </c>
      <c r="K405" s="3" t="n">
        <v>1499.99</v>
      </c>
      <c r="L405" s="2" t="inlineStr">
        <is>
          <t>TCGplayer</t>
        </is>
      </c>
      <c r="N405" s="4" t="inlineStr">
        <is>
          <t>https://www.tcgplayer.com/product/593687</t>
        </is>
      </c>
    </row>
    <row r="406">
      <c r="A406" s="2" t="inlineStr">
        <is>
          <t>Journey Together Booster Box Case</t>
        </is>
      </c>
      <c r="B406" s="3">
        <f>IF(H406&lt;&gt;"",H406,IF(I406&lt;&gt;"",I406,IF(J406&lt;&gt;"",J406,K406)))</f>
        <v>1515.36</v>
      </c>
      <c r="C406" s="3">
        <f>MEDIAN(H406:K406)</f>
        <v>1449.23</v>
      </c>
      <c r="D406" s="3">
        <f>ROUND(C406*(1-Settings!$B$2),2)</f>
        <v>1014.46</v>
      </c>
      <c r="E406" s="2" t="inlineStr">
        <is>
          <t>Pokemon</t>
        </is>
      </c>
      <c r="F406" s="2" t="inlineStr">
        <is>
          <t>Case/Display</t>
        </is>
      </c>
      <c r="G406" s="2" t="inlineStr">
        <is>
          <t>SV09: Journey Together</t>
        </is>
      </c>
      <c r="H406" s="3" t="n"/>
      <c r="I406" s="3" t="n">
        <v>1515.36</v>
      </c>
      <c r="J406" s="3" t="n">
        <v>1449.23</v>
      </c>
      <c r="K406" s="3" t="n">
        <v>1196.94</v>
      </c>
      <c r="L406" s="2" t="inlineStr">
        <is>
          <t>TCGplayer</t>
        </is>
      </c>
      <c r="N406" s="4" t="inlineStr">
        <is>
          <t>https://www.tcgplayer.com/product/614449</t>
        </is>
      </c>
    </row>
    <row r="407">
      <c r="A407" s="2" t="inlineStr">
        <is>
          <t>Journey Together Booster Bundle Case</t>
        </is>
      </c>
      <c r="B407" s="3">
        <f>IF(H407&lt;&gt;"",H407,IF(I407&lt;&gt;"",I407,IF(J407&lt;&gt;"",J407,K407)))</f>
        <v>981.95</v>
      </c>
      <c r="C407" s="3">
        <f>MEDIAN(H407:K407)</f>
        <v>1034.99</v>
      </c>
      <c r="D407" s="3">
        <f>ROUND(C407*(1-Settings!$B$2),2)</f>
        <v>724.49</v>
      </c>
      <c r="E407" s="2" t="inlineStr">
        <is>
          <t>Pokemon</t>
        </is>
      </c>
      <c r="F407" s="2" t="inlineStr">
        <is>
          <t>Case/Display</t>
        </is>
      </c>
      <c r="G407" s="2" t="inlineStr">
        <is>
          <t>SV09: Journey Together</t>
        </is>
      </c>
      <c r="H407" s="3" t="n"/>
      <c r="I407" s="3" t="n">
        <v>981.95</v>
      </c>
      <c r="J407" s="3" t="n">
        <v>1149.99</v>
      </c>
      <c r="K407" s="3" t="n">
        <v>1034.99</v>
      </c>
      <c r="L407" s="2" t="inlineStr">
        <is>
          <t>TCGplayer</t>
        </is>
      </c>
      <c r="N407" s="4" t="inlineStr">
        <is>
          <t>https://www.tcgplayer.com/product/625584</t>
        </is>
      </c>
    </row>
    <row r="408">
      <c r="A408" s="2" t="inlineStr">
        <is>
          <t>Journey Together Build &amp; Battle Box Display</t>
        </is>
      </c>
      <c r="B408" s="3">
        <f>IF(H408&lt;&gt;"",H408,IF(I408&lt;&gt;"",I408,IF(J408&lt;&gt;"",J408,K408)))</f>
        <v>320.35</v>
      </c>
      <c r="C408" s="3">
        <f>MEDIAN(H408:K408)</f>
        <v>329.0</v>
      </c>
      <c r="D408" s="3">
        <f>ROUND(C408*(1-Settings!$B$2),2)</f>
        <v>230.3</v>
      </c>
      <c r="E408" s="2" t="inlineStr">
        <is>
          <t>Pokemon</t>
        </is>
      </c>
      <c r="F408" s="2" t="inlineStr">
        <is>
          <t>Case/Display</t>
        </is>
      </c>
      <c r="G408" s="2" t="inlineStr">
        <is>
          <t>SV09: Journey Together</t>
        </is>
      </c>
      <c r="H408" s="3" t="n"/>
      <c r="I408" s="3" t="n">
        <v>320.35</v>
      </c>
      <c r="J408" s="3" t="n">
        <v>349.95</v>
      </c>
      <c r="K408" s="3" t="n">
        <v>329</v>
      </c>
      <c r="L408" s="2" t="inlineStr">
        <is>
          <t>TCGplayer</t>
        </is>
      </c>
      <c r="N408" s="4" t="inlineStr">
        <is>
          <t>https://www.tcgplayer.com/product/629568</t>
        </is>
      </c>
    </row>
    <row r="409">
      <c r="A409" s="2" t="inlineStr">
        <is>
          <t>Journey Together Elite Trainer Box Case</t>
        </is>
      </c>
      <c r="B409" s="3">
        <f>IF(H409&lt;&gt;"",H409,IF(I409&lt;&gt;"",I409,IF(J409&lt;&gt;"",J409,K409)))</f>
        <v>1343.3</v>
      </c>
      <c r="C409" s="3">
        <f>MEDIAN(H409:K409)</f>
        <v>1479.97</v>
      </c>
      <c r="D409" s="3">
        <f>ROUND(C409*(1-Settings!$B$2),2)</f>
        <v>1035.98</v>
      </c>
      <c r="E409" s="2" t="inlineStr">
        <is>
          <t>Pokemon</t>
        </is>
      </c>
      <c r="F409" s="2" t="inlineStr">
        <is>
          <t>Case/Display</t>
        </is>
      </c>
      <c r="G409" s="2" t="inlineStr">
        <is>
          <t>SV09: Journey Together</t>
        </is>
      </c>
      <c r="H409" s="3" t="n"/>
      <c r="I409" s="3" t="n">
        <v>1343.3</v>
      </c>
      <c r="J409" s="3" t="n">
        <v>1499.94</v>
      </c>
      <c r="K409" s="3" t="n">
        <v>1479.97</v>
      </c>
      <c r="L409" s="2" t="inlineStr">
        <is>
          <t>TCGplayer</t>
        </is>
      </c>
      <c r="N409" s="4" t="inlineStr">
        <is>
          <t>https://www.tcgplayer.com/product/614450</t>
        </is>
      </c>
    </row>
    <row r="410">
      <c r="A410" s="2" t="inlineStr">
        <is>
          <t>Journey Together Enhanced Booster Box Case</t>
        </is>
      </c>
      <c r="B410" s="3">
        <f>IF(H410&lt;&gt;"",H410,IF(I410&lt;&gt;"",I410,IF(J410&lt;&gt;"",J410,K410)))</f>
        <v>1590.69</v>
      </c>
      <c r="C410" s="3">
        <f>MEDIAN(H410:K410)</f>
        <v>1562.24</v>
      </c>
      <c r="D410" s="3">
        <f>ROUND(C410*(1-Settings!$B$2),2)</f>
        <v>1093.57</v>
      </c>
      <c r="E410" s="2" t="inlineStr">
        <is>
          <t>Pokemon</t>
        </is>
      </c>
      <c r="F410" s="2" t="inlineStr">
        <is>
          <t>Case/Display</t>
        </is>
      </c>
      <c r="G410" s="2" t="inlineStr">
        <is>
          <t>SV09: Journey Together</t>
        </is>
      </c>
      <c r="H410" s="3" t="n"/>
      <c r="I410" s="3" t="n">
        <v>1590.69</v>
      </c>
      <c r="J410" s="3" t="n">
        <v>1562.24</v>
      </c>
      <c r="K410" s="3" t="n">
        <v>1450</v>
      </c>
      <c r="L410" s="2" t="inlineStr">
        <is>
          <t>TCGplayer</t>
        </is>
      </c>
      <c r="N410" s="4" t="inlineStr">
        <is>
          <t>https://www.tcgplayer.com/product/625583</t>
        </is>
      </c>
    </row>
    <row r="411">
      <c r="A411" s="2" t="inlineStr">
        <is>
          <t>Journey Together Sleeved Booster Case</t>
        </is>
      </c>
      <c r="B411" s="3">
        <f>IF(H411&lt;&gt;"",H411,IF(I411&lt;&gt;"",I411,IF(J411&lt;&gt;"",J411,K411)))</f>
        <v>1079.49</v>
      </c>
      <c r="C411" s="3">
        <f>MEDIAN(H411:K411)</f>
        <v>1199.87</v>
      </c>
      <c r="D411" s="3">
        <f>ROUND(C411*(1-Settings!$B$2),2)</f>
        <v>839.91</v>
      </c>
      <c r="E411" s="2" t="inlineStr">
        <is>
          <t>Pokemon</t>
        </is>
      </c>
      <c r="F411" s="2" t="inlineStr">
        <is>
          <t>Case/Display</t>
        </is>
      </c>
      <c r="G411" s="2" t="inlineStr">
        <is>
          <t>SV09: Journey Together</t>
        </is>
      </c>
      <c r="H411" s="3" t="n"/>
      <c r="I411" s="3" t="n">
        <v>1079.49</v>
      </c>
      <c r="J411" s="3" t="n">
        <v>1199.89</v>
      </c>
      <c r="K411" s="3" t="n">
        <v>1199.87</v>
      </c>
      <c r="L411" s="2" t="inlineStr">
        <is>
          <t>TCGplayer</t>
        </is>
      </c>
      <c r="N411" s="4" t="inlineStr">
        <is>
          <t>https://www.tcgplayer.com/product/624925</t>
        </is>
      </c>
    </row>
    <row r="412">
      <c r="A412" s="2" t="inlineStr">
        <is>
          <t>Destined Rivals Booster Box Case</t>
        </is>
      </c>
      <c r="B412" s="3">
        <f>IF(H412&lt;&gt;"",H412,IF(I412&lt;&gt;"",I412,IF(J412&lt;&gt;"",J412,K412)))</f>
        <v>2575.17</v>
      </c>
      <c r="C412" s="3">
        <f>MEDIAN(H412:K412)</f>
        <v>2575.17</v>
      </c>
      <c r="D412" s="3">
        <f>ROUND(C412*(1-Settings!$B$2),2)</f>
        <v>1802.62</v>
      </c>
      <c r="E412" s="2" t="inlineStr">
        <is>
          <t>Pokemon</t>
        </is>
      </c>
      <c r="F412" s="2" t="inlineStr">
        <is>
          <t>Case/Display</t>
        </is>
      </c>
      <c r="G412" s="2" t="inlineStr">
        <is>
          <t>SV10: Destined Rivals</t>
        </is>
      </c>
      <c r="H412" s="3" t="n"/>
      <c r="I412" s="3" t="n">
        <v>2575.17</v>
      </c>
      <c r="J412" s="3" t="n">
        <v>2964.97</v>
      </c>
      <c r="K412" s="3" t="n">
        <v>2474.91</v>
      </c>
      <c r="L412" s="2" t="inlineStr">
        <is>
          <t>TCGplayer</t>
        </is>
      </c>
      <c r="N412" s="4" t="inlineStr">
        <is>
          <t>https://www.tcgplayer.com/product/624678</t>
        </is>
      </c>
    </row>
    <row r="413">
      <c r="A413" s="2" t="inlineStr">
        <is>
          <t>Destined Rivals Booster Bundle Case</t>
        </is>
      </c>
      <c r="B413" s="3">
        <f>IF(H413&lt;&gt;"",H413,IF(I413&lt;&gt;"",I413,IF(J413&lt;&gt;"",J413,K413)))</f>
        <v>1802.28</v>
      </c>
      <c r="C413" s="3">
        <f>MEDIAN(H413:K413)</f>
        <v>1802.28</v>
      </c>
      <c r="D413" s="3">
        <f>ROUND(C413*(1-Settings!$B$2),2)</f>
        <v>1261.6</v>
      </c>
      <c r="E413" s="2" t="inlineStr">
        <is>
          <t>Pokemon</t>
        </is>
      </c>
      <c r="F413" s="2" t="inlineStr">
        <is>
          <t>Case/Display</t>
        </is>
      </c>
      <c r="G413" s="2" t="inlineStr">
        <is>
          <t>SV10: Destined Rivals</t>
        </is>
      </c>
      <c r="H413" s="3" t="n"/>
      <c r="I413" s="3" t="n">
        <v>1802.28</v>
      </c>
      <c r="J413" s="3" t="n">
        <v>2000</v>
      </c>
      <c r="K413" s="3" t="n">
        <v>1793.27</v>
      </c>
      <c r="L413" s="2" t="inlineStr">
        <is>
          <t>TCGplayer</t>
        </is>
      </c>
      <c r="N413" s="4" t="inlineStr">
        <is>
          <t>https://www.tcgplayer.com/product/628428</t>
        </is>
      </c>
    </row>
    <row r="414">
      <c r="A414" s="2" t="inlineStr">
        <is>
          <t>Destined Rivals Build &amp; Battle Box Display</t>
        </is>
      </c>
      <c r="B414" s="3">
        <f>IF(H414&lt;&gt;"",H414,IF(I414&lt;&gt;"",I414,IF(J414&lt;&gt;"",J414,K414)))</f>
        <v>547.99</v>
      </c>
      <c r="C414" s="3">
        <f>MEDIAN(H414:K414)</f>
        <v>594.0</v>
      </c>
      <c r="D414" s="3">
        <f>ROUND(C414*(1-Settings!$B$2),2)</f>
        <v>415.8</v>
      </c>
      <c r="E414" s="2" t="inlineStr">
        <is>
          <t>Pokemon</t>
        </is>
      </c>
      <c r="F414" s="2" t="inlineStr">
        <is>
          <t>Case/Display</t>
        </is>
      </c>
      <c r="G414" s="2" t="inlineStr">
        <is>
          <t>SV10: Destined Rivals</t>
        </is>
      </c>
      <c r="H414" s="3" t="n"/>
      <c r="I414" s="3" t="n">
        <v>547.99</v>
      </c>
      <c r="J414" s="3" t="n">
        <v>620</v>
      </c>
      <c r="K414" s="3" t="n">
        <v>594</v>
      </c>
      <c r="L414" s="2" t="inlineStr">
        <is>
          <t>TCGplayer</t>
        </is>
      </c>
      <c r="N414" s="4" t="inlineStr">
        <is>
          <t>https://www.tcgplayer.com/product/634383</t>
        </is>
      </c>
    </row>
    <row r="415">
      <c r="A415" s="2" t="inlineStr">
        <is>
          <t>Destined Rivals Elite Trainer Box Case</t>
        </is>
      </c>
      <c r="B415" s="3">
        <f>IF(H415&lt;&gt;"",H415,IF(I415&lt;&gt;"",I415,IF(J415&lt;&gt;"",J415,K415)))</f>
        <v>1211.84</v>
      </c>
      <c r="C415" s="3">
        <f>MEDIAN(H415:K415)</f>
        <v>1249.89</v>
      </c>
      <c r="D415" s="3">
        <f>ROUND(C415*(1-Settings!$B$2),2)</f>
        <v>874.92</v>
      </c>
      <c r="E415" s="2" t="inlineStr">
        <is>
          <t>Pokemon</t>
        </is>
      </c>
      <c r="F415" s="2" t="inlineStr">
        <is>
          <t>Case/Display</t>
        </is>
      </c>
      <c r="G415" s="2" t="inlineStr">
        <is>
          <t>SV10: Destined Rivals</t>
        </is>
      </c>
      <c r="H415" s="3" t="n"/>
      <c r="I415" s="3" t="n">
        <v>1211.84</v>
      </c>
      <c r="J415" s="3" t="n">
        <v>1399.99</v>
      </c>
      <c r="K415" s="3" t="n">
        <v>1249.89</v>
      </c>
      <c r="L415" s="2" t="inlineStr">
        <is>
          <t>TCGplayer</t>
        </is>
      </c>
      <c r="N415" s="4" t="inlineStr">
        <is>
          <t>https://www.tcgplayer.com/product/628398</t>
        </is>
      </c>
    </row>
    <row r="416">
      <c r="A416" s="2" t="inlineStr">
        <is>
          <t>Destined Rivals Sleeved Booster Case</t>
        </is>
      </c>
      <c r="B416" s="3">
        <f>IF(H416&lt;&gt;"",H416,IF(I416&lt;&gt;"",I416,IF(J416&lt;&gt;"",J416,K416)))</f>
        <v>1589.85</v>
      </c>
      <c r="C416" s="3">
        <f>MEDIAN(H416:K416)</f>
        <v>1589.85</v>
      </c>
      <c r="D416" s="3">
        <f>ROUND(C416*(1-Settings!$B$2),2)</f>
        <v>1112.9</v>
      </c>
      <c r="E416" s="2" t="inlineStr">
        <is>
          <t>Pokemon</t>
        </is>
      </c>
      <c r="F416" s="2" t="inlineStr">
        <is>
          <t>Case/Display</t>
        </is>
      </c>
      <c r="G416" s="2" t="inlineStr">
        <is>
          <t>SV10: Destined Rivals</t>
        </is>
      </c>
      <c r="H416" s="3" t="n"/>
      <c r="I416" s="3" t="n">
        <v>1589.85</v>
      </c>
      <c r="J416" s="3" t="n">
        <v>1650</v>
      </c>
      <c r="K416" s="3" t="n">
        <v>1340.69</v>
      </c>
      <c r="L416" s="2" t="inlineStr">
        <is>
          <t>TCGplayer</t>
        </is>
      </c>
      <c r="N416" s="4" t="inlineStr">
        <is>
          <t>https://www.tcgplayer.com/product/628413</t>
        </is>
      </c>
    </row>
    <row r="417">
      <c r="A417" s="2" t="inlineStr">
        <is>
          <t>Crimson Haze Booster Box Case</t>
        </is>
      </c>
      <c r="B417" s="3">
        <f>IF(H417&lt;&gt;"",H417,IF(I417&lt;&gt;"",I417,IF(J417&lt;&gt;"",J417,K417)))</f>
        <v>1399.0</v>
      </c>
      <c r="C417" s="3">
        <f>MEDIAN(H417:K417)</f>
        <v>1399.0</v>
      </c>
      <c r="D417" s="3">
        <f>ROUND(C417*(1-Settings!$B$2),2)</f>
        <v>979.3</v>
      </c>
      <c r="E417" s="2" t="inlineStr">
        <is>
          <t>Pokemon</t>
        </is>
      </c>
      <c r="F417" s="2" t="inlineStr">
        <is>
          <t>Case/Display</t>
        </is>
      </c>
      <c r="G417" s="2" t="inlineStr">
        <is>
          <t>SV5a: Crimson Haze</t>
        </is>
      </c>
      <c r="H417" s="3" t="n"/>
      <c r="I417" s="3" t="n"/>
      <c r="J417" s="3" t="n"/>
      <c r="K417" s="3" t="n">
        <v>1399</v>
      </c>
      <c r="L417" s="2" t="inlineStr">
        <is>
          <t>TCGplayer</t>
        </is>
      </c>
      <c r="N417" s="4" t="inlineStr">
        <is>
          <t>https://www.tcgplayer.com/product/625585</t>
        </is>
      </c>
    </row>
    <row r="418">
      <c r="A418" s="2" t="inlineStr">
        <is>
          <t>Black Bolt  Binder Collection Case</t>
        </is>
      </c>
      <c r="B418" s="3">
        <f>IF(H418&lt;&gt;"",H418,IF(I418&lt;&gt;"",I418,IF(J418&lt;&gt;"",J418,K418)))</f>
        <v>419.33</v>
      </c>
      <c r="C418" s="3">
        <f>MEDIAN(H418:K418)</f>
        <v>419.33</v>
      </c>
      <c r="D418" s="3">
        <f>ROUND(C418*(1-Settings!$B$2),2)</f>
        <v>293.53</v>
      </c>
      <c r="E418" s="2" t="inlineStr">
        <is>
          <t>Pokemon</t>
        </is>
      </c>
      <c r="F418" s="2" t="inlineStr">
        <is>
          <t>Case/Display</t>
        </is>
      </c>
      <c r="G418" s="2" t="inlineStr">
        <is>
          <t>SV: Black Bolt</t>
        </is>
      </c>
      <c r="H418" s="3" t="n"/>
      <c r="I418" s="3" t="n">
        <v>419.33</v>
      </c>
      <c r="J418" s="3" t="n"/>
      <c r="K418" s="3" t="n"/>
      <c r="L418" s="2" t="inlineStr">
        <is>
          <t>TCGplayer</t>
        </is>
      </c>
      <c r="N418" s="4" t="inlineStr">
        <is>
          <t>https://www.tcgplayer.com/product/630429</t>
        </is>
      </c>
    </row>
    <row r="419">
      <c r="A419" s="2" t="inlineStr">
        <is>
          <t>Black Bolt Booster Bundle Case</t>
        </is>
      </c>
      <c r="B419" s="3">
        <f>IF(H419&lt;&gt;"",H419,IF(I419&lt;&gt;"",I419,IF(J419&lt;&gt;"",J419,K419)))</f>
        <v>2514.85</v>
      </c>
      <c r="C419" s="3">
        <f>MEDIAN(H419:K419)</f>
        <v>3199.99</v>
      </c>
      <c r="D419" s="3">
        <f>ROUND(C419*(1-Settings!$B$2),2)</f>
        <v>2239.99</v>
      </c>
      <c r="E419" s="2" t="inlineStr">
        <is>
          <t>Pokemon</t>
        </is>
      </c>
      <c r="F419" s="2" t="inlineStr">
        <is>
          <t>Case/Display</t>
        </is>
      </c>
      <c r="G419" s="2" t="inlineStr">
        <is>
          <t>SV: Black Bolt</t>
        </is>
      </c>
      <c r="H419" s="3" t="n"/>
      <c r="I419" s="3" t="n">
        <v>2514.85</v>
      </c>
      <c r="J419" s="3" t="n">
        <v>3330.97</v>
      </c>
      <c r="K419" s="3" t="n">
        <v>3199.99</v>
      </c>
      <c r="L419" s="2" t="inlineStr">
        <is>
          <t>TCGplayer</t>
        </is>
      </c>
      <c r="N419" s="4" t="inlineStr">
        <is>
          <t>https://www.tcgplayer.com/product/630432</t>
        </is>
      </c>
    </row>
    <row r="420">
      <c r="A420" s="2" t="inlineStr">
        <is>
          <t>Black Bolt Booster Bundle Display</t>
        </is>
      </c>
      <c r="B420" s="3">
        <f>IF(H420&lt;&gt;"",H420,IF(I420&lt;&gt;"",I420,IF(J420&lt;&gt;"",J420,K420)))</f>
        <v>1636.73</v>
      </c>
      <c r="C420" s="3">
        <f>MEDIAN(H420:K420)</f>
        <v>1899.95</v>
      </c>
      <c r="D420" s="3">
        <f>ROUND(C420*(1-Settings!$B$2),2)</f>
        <v>1329.97</v>
      </c>
      <c r="E420" s="2" t="inlineStr">
        <is>
          <t>Pokemon</t>
        </is>
      </c>
      <c r="F420" s="2" t="inlineStr">
        <is>
          <t>Case/Display</t>
        </is>
      </c>
      <c r="G420" s="2" t="inlineStr">
        <is>
          <t>SV: Black Bolt</t>
        </is>
      </c>
      <c r="H420" s="3" t="n"/>
      <c r="I420" s="3" t="n">
        <v>1636.73</v>
      </c>
      <c r="J420" s="3" t="n">
        <v>2049.94</v>
      </c>
      <c r="K420" s="3" t="n">
        <v>1899.95</v>
      </c>
      <c r="L420" s="2" t="inlineStr">
        <is>
          <t>TCGplayer</t>
        </is>
      </c>
      <c r="N420" s="4" t="inlineStr">
        <is>
          <t>https://www.tcgplayer.com/product/630433</t>
        </is>
      </c>
    </row>
    <row r="421">
      <c r="A421" s="2" t="inlineStr">
        <is>
          <t>Unova Mini Tin Display</t>
        </is>
      </c>
      <c r="B421" s="3">
        <f>IF(H421&lt;&gt;"",H421,IF(I421&lt;&gt;"",I421,IF(J421&lt;&gt;"",J421,K421)))</f>
        <v>251.74</v>
      </c>
      <c r="C421" s="3">
        <f>MEDIAN(H421:K421)</f>
        <v>250.98000000000002</v>
      </c>
      <c r="D421" s="3">
        <f>ROUND(C421*(1-Settings!$B$2),2)</f>
        <v>175.69</v>
      </c>
      <c r="E421" s="2" t="inlineStr">
        <is>
          <t>Pokemon</t>
        </is>
      </c>
      <c r="F421" s="2" t="inlineStr">
        <is>
          <t>Case/Display</t>
        </is>
      </c>
      <c r="G421" s="2" t="inlineStr">
        <is>
          <t>SV: Black Bolt</t>
        </is>
      </c>
      <c r="H421" s="3" t="n">
        <v>251.74</v>
      </c>
      <c r="I421" s="3" t="n">
        <v>250.22</v>
      </c>
      <c r="J421" s="3" t="n">
        <v>265.99</v>
      </c>
      <c r="K421" s="3" t="n">
        <v>49.99</v>
      </c>
      <c r="L421" s="2" t="inlineStr">
        <is>
          <t>PriceCharting + TCGplayer</t>
        </is>
      </c>
      <c r="M421" s="4" t="inlineStr">
        <is>
          <t>https://www.pricecharting.com/game/pokemon-black-bolt/unova-mini-tin-display</t>
        </is>
      </c>
      <c r="N421" s="4" t="inlineStr">
        <is>
          <t>https://www.tcgplayer.com/product/630446</t>
        </is>
      </c>
    </row>
    <row r="422">
      <c r="A422" s="2" t="inlineStr">
        <is>
          <t>Unova Mini Tin Display Case</t>
        </is>
      </c>
      <c r="B422" s="3">
        <f>IF(H422&lt;&gt;"",H422,IF(I422&lt;&gt;"",I422,IF(J422&lt;&gt;"",J422,K422)))</f>
        <v>1043.3</v>
      </c>
      <c r="C422" s="3">
        <f>MEDIAN(H422:K422)</f>
        <v>1299.99</v>
      </c>
      <c r="D422" s="3">
        <f>ROUND(C422*(1-Settings!$B$2),2)</f>
        <v>909.99</v>
      </c>
      <c r="E422" s="2" t="inlineStr">
        <is>
          <t>Pokemon</t>
        </is>
      </c>
      <c r="F422" s="2" t="inlineStr">
        <is>
          <t>Case/Display</t>
        </is>
      </c>
      <c r="G422" s="2" t="inlineStr">
        <is>
          <t>SV: Black Bolt</t>
        </is>
      </c>
      <c r="H422" s="3" t="n"/>
      <c r="I422" s="3" t="n">
        <v>1043.3</v>
      </c>
      <c r="J422" s="3" t="n">
        <v>1499.97</v>
      </c>
      <c r="K422" s="3" t="n">
        <v>1299.99</v>
      </c>
      <c r="L422" s="2" t="inlineStr">
        <is>
          <t>TCGplayer</t>
        </is>
      </c>
      <c r="N422" s="4" t="inlineStr">
        <is>
          <t>https://www.tcgplayer.com/product/630447</t>
        </is>
      </c>
    </row>
    <row r="423">
      <c r="A423" s="2" t="inlineStr">
        <is>
          <t>Unova Poster Collection Case</t>
        </is>
      </c>
      <c r="B423" s="3">
        <f>IF(H423&lt;&gt;"",H423,IF(I423&lt;&gt;"",I423,IF(J423&lt;&gt;"",J423,K423)))</f>
        <v>283.96</v>
      </c>
      <c r="C423" s="3">
        <f>MEDIAN(H423:K423)</f>
        <v>289.99</v>
      </c>
      <c r="D423" s="3">
        <f>ROUND(C423*(1-Settings!$B$2),2)</f>
        <v>202.99</v>
      </c>
      <c r="E423" s="2" t="inlineStr">
        <is>
          <t>Pokemon</t>
        </is>
      </c>
      <c r="F423" s="2" t="inlineStr">
        <is>
          <t>Case/Display</t>
        </is>
      </c>
      <c r="G423" s="2" t="inlineStr">
        <is>
          <t>SV: Black Bolt</t>
        </is>
      </c>
      <c r="H423" s="3" t="n"/>
      <c r="I423" s="3" t="n">
        <v>283.96</v>
      </c>
      <c r="J423" s="3" t="n">
        <v>302.49</v>
      </c>
      <c r="K423" s="3" t="n">
        <v>289.99</v>
      </c>
      <c r="L423" s="2" t="inlineStr">
        <is>
          <t>TCGplayer</t>
        </is>
      </c>
      <c r="N423" s="4" t="inlineStr">
        <is>
          <t>https://www.tcgplayer.com/product/630613</t>
        </is>
      </c>
    </row>
    <row r="424">
      <c r="A424" s="2" t="inlineStr">
        <is>
          <t>Unova Victini Illustration Collection Case</t>
        </is>
      </c>
      <c r="B424" s="3">
        <f>IF(H424&lt;&gt;"",H424,IF(I424&lt;&gt;"",I424,IF(J424&lt;&gt;"",J424,K424)))</f>
        <v>505.74</v>
      </c>
      <c r="C424" s="3">
        <f>MEDIAN(H424:K424)</f>
        <v>505.74</v>
      </c>
      <c r="D424" s="3">
        <f>ROUND(C424*(1-Settings!$B$2),2)</f>
        <v>354.02</v>
      </c>
      <c r="E424" s="2" t="inlineStr">
        <is>
          <t>Pokemon</t>
        </is>
      </c>
      <c r="F424" s="2" t="inlineStr">
        <is>
          <t>Case/Display</t>
        </is>
      </c>
      <c r="G424" s="2" t="inlineStr">
        <is>
          <t>SV: Black Bolt</t>
        </is>
      </c>
      <c r="H424" s="3" t="n"/>
      <c r="I424" s="3" t="n">
        <v>505.74</v>
      </c>
      <c r="J424" s="3" t="n">
        <v>531.5</v>
      </c>
      <c r="K424" s="3" t="n">
        <v>498</v>
      </c>
      <c r="L424" s="2" t="inlineStr">
        <is>
          <t>TCGplayer</t>
        </is>
      </c>
      <c r="N424" s="4" t="inlineStr">
        <is>
          <t>https://www.tcgplayer.com/product/649220</t>
        </is>
      </c>
    </row>
    <row r="425">
      <c r="A425" s="2" t="inlineStr">
        <is>
          <t>Paldean Fates Booster Bundle Display</t>
        </is>
      </c>
      <c r="B425" s="3">
        <f>IF(H425&lt;&gt;"",H425,IF(I425&lt;&gt;"",I425,IF(J425&lt;&gt;"",J425,K425)))</f>
        <v>1600.0</v>
      </c>
      <c r="C425" s="3">
        <f>MEDIAN(H425:K425)</f>
        <v>1585.725</v>
      </c>
      <c r="D425" s="3">
        <f>ROUND(C425*(1-Settings!$B$2),2)</f>
        <v>1110.01</v>
      </c>
      <c r="E425" s="2" t="inlineStr">
        <is>
          <t>Pokemon</t>
        </is>
      </c>
      <c r="F425" s="2" t="inlineStr">
        <is>
          <t>Case/Display</t>
        </is>
      </c>
      <c r="G425" s="2" t="inlineStr">
        <is>
          <t>SV: Paldean Fates</t>
        </is>
      </c>
      <c r="H425" s="3" t="n">
        <v>1600</v>
      </c>
      <c r="I425" s="3" t="n">
        <v>1571.45</v>
      </c>
      <c r="J425" s="3" t="n">
        <v>1936.99</v>
      </c>
      <c r="K425" s="3" t="n">
        <v>1225.67</v>
      </c>
      <c r="L425" s="2" t="inlineStr">
        <is>
          <t>PriceCharting + TCGplayer</t>
        </is>
      </c>
      <c r="M425" s="4" t="inlineStr">
        <is>
          <t>https://www.pricecharting.com/game/pokemon-paldean-fates/booster-bundle-display</t>
        </is>
      </c>
      <c r="N425" s="4" t="inlineStr">
        <is>
          <t>https://www.tcgplayer.com/product/530704</t>
        </is>
      </c>
    </row>
    <row r="426">
      <c r="A426" s="2" t="inlineStr">
        <is>
          <t>Paldean Fates Elite Trainer Box Case</t>
        </is>
      </c>
      <c r="B426" s="3">
        <f>IF(H426&lt;&gt;"",H426,IF(I426&lt;&gt;"",I426,IF(J426&lt;&gt;"",J426,K426)))</f>
        <v>3922.82</v>
      </c>
      <c r="C426" s="3">
        <f>MEDIAN(H426:K426)</f>
        <v>4998.22</v>
      </c>
      <c r="D426" s="3">
        <f>ROUND(C426*(1-Settings!$B$2),2)</f>
        <v>3498.75</v>
      </c>
      <c r="E426" s="2" t="inlineStr">
        <is>
          <t>Pokemon</t>
        </is>
      </c>
      <c r="F426" s="2" t="inlineStr">
        <is>
          <t>Case/Display</t>
        </is>
      </c>
      <c r="G426" s="2" t="inlineStr">
        <is>
          <t>SV: Paldean Fates</t>
        </is>
      </c>
      <c r="H426" s="3" t="n"/>
      <c r="I426" s="3" t="n">
        <v>3922.82</v>
      </c>
      <c r="J426" s="3" t="n">
        <v>5449.49</v>
      </c>
      <c r="K426" s="3" t="n">
        <v>4998.22</v>
      </c>
      <c r="L426" s="2" t="inlineStr">
        <is>
          <t>TCGplayer</t>
        </is>
      </c>
      <c r="N426" s="4" t="inlineStr">
        <is>
          <t>https://www.tcgplayer.com/product/530700</t>
        </is>
      </c>
    </row>
    <row r="427">
      <c r="A427" s="2" t="inlineStr">
        <is>
          <t>Paldean Fates Mini Tin Display</t>
        </is>
      </c>
      <c r="B427" s="3">
        <f>IF(H427&lt;&gt;"",H427,IF(I427&lt;&gt;"",I427,IF(J427&lt;&gt;"",J427,K427)))</f>
        <v>497.53</v>
      </c>
      <c r="C427" s="3">
        <f>MEDIAN(H427:K427)</f>
        <v>515.0</v>
      </c>
      <c r="D427" s="3">
        <f>ROUND(C427*(1-Settings!$B$2),2)</f>
        <v>360.5</v>
      </c>
      <c r="E427" s="2" t="inlineStr">
        <is>
          <t>Pokemon</t>
        </is>
      </c>
      <c r="F427" s="2" t="inlineStr">
        <is>
          <t>Case/Display</t>
        </is>
      </c>
      <c r="G427" s="2" t="inlineStr">
        <is>
          <t>SV: Paldean Fates</t>
        </is>
      </c>
      <c r="H427" s="3" t="n"/>
      <c r="I427" s="3" t="n">
        <v>497.53</v>
      </c>
      <c r="J427" s="3" t="n">
        <v>569.99</v>
      </c>
      <c r="K427" s="3" t="n">
        <v>515</v>
      </c>
      <c r="L427" s="2" t="inlineStr">
        <is>
          <t>TCGplayer</t>
        </is>
      </c>
      <c r="N427" s="4" t="inlineStr">
        <is>
          <t>https://www.tcgplayer.com/product/528047</t>
        </is>
      </c>
    </row>
    <row r="428">
      <c r="A428" s="2" t="inlineStr">
        <is>
          <t>Paldean Fates Mini Tin Display Case</t>
        </is>
      </c>
      <c r="B428" s="3">
        <f>IF(H428&lt;&gt;"",H428,IF(I428&lt;&gt;"",I428,IF(J428&lt;&gt;"",J428,K428)))</f>
        <v>1999.0</v>
      </c>
      <c r="C428" s="3">
        <f>MEDIAN(H428:K428)</f>
        <v>1999.0</v>
      </c>
      <c r="D428" s="3">
        <f>ROUND(C428*(1-Settings!$B$2),2)</f>
        <v>1399.3</v>
      </c>
      <c r="E428" s="2" t="inlineStr">
        <is>
          <t>Pokemon</t>
        </is>
      </c>
      <c r="F428" s="2" t="inlineStr">
        <is>
          <t>Case/Display</t>
        </is>
      </c>
      <c r="G428" s="2" t="inlineStr">
        <is>
          <t>SV: Paldean Fates</t>
        </is>
      </c>
      <c r="H428" s="3" t="n"/>
      <c r="I428" s="3" t="n"/>
      <c r="J428" s="3" t="n">
        <v>1999</v>
      </c>
      <c r="K428" s="3" t="n">
        <v>1999</v>
      </c>
      <c r="L428" s="2" t="inlineStr">
        <is>
          <t>TCGplayer</t>
        </is>
      </c>
      <c r="N428" s="4" t="inlineStr">
        <is>
          <t>https://www.tcgplayer.com/product/693612</t>
        </is>
      </c>
    </row>
    <row r="429">
      <c r="A429" s="2" t="inlineStr">
        <is>
          <t>Paldean Fates Pokemon Center Elite Trainer Box (Exclusive) Case</t>
        </is>
      </c>
      <c r="B429" s="3">
        <f>IF(H429&lt;&gt;"",H429,IF(I429&lt;&gt;"",I429,IF(J429&lt;&gt;"",J429,K429)))</f>
        <v>2639.62</v>
      </c>
      <c r="C429" s="3">
        <f>MEDIAN(H429:K429)</f>
        <v>3489.99</v>
      </c>
      <c r="D429" s="3">
        <f>ROUND(C429*(1-Settings!$B$2),2)</f>
        <v>2442.99</v>
      </c>
      <c r="E429" s="2" t="inlineStr">
        <is>
          <t>Pokemon</t>
        </is>
      </c>
      <c r="F429" s="2" t="inlineStr">
        <is>
          <t>Case/Display</t>
        </is>
      </c>
      <c r="G429" s="2" t="inlineStr">
        <is>
          <t>SV: Paldean Fates</t>
        </is>
      </c>
      <c r="H429" s="3" t="n"/>
      <c r="I429" s="3" t="n">
        <v>2639.62</v>
      </c>
      <c r="J429" s="3" t="n">
        <v>6488.88</v>
      </c>
      <c r="K429" s="3" t="n">
        <v>3489.99</v>
      </c>
      <c r="L429" s="2" t="inlineStr">
        <is>
          <t>TCGplayer</t>
        </is>
      </c>
      <c r="N429" s="4" t="inlineStr">
        <is>
          <t>https://www.tcgplayer.com/product/536266</t>
        </is>
      </c>
    </row>
    <row r="430">
      <c r="A430" s="2" t="inlineStr">
        <is>
          <t>Paldean Fates Tech Sticker Collection Case</t>
        </is>
      </c>
      <c r="B430" s="3">
        <f>IF(H430&lt;&gt;"",H430,IF(I430&lt;&gt;"",I430,IF(J430&lt;&gt;"",J430,K430)))</f>
        <v>605.85</v>
      </c>
      <c r="C430" s="3">
        <f>MEDIAN(H430:K430)</f>
        <v>839.95</v>
      </c>
      <c r="D430" s="3">
        <f>ROUND(C430*(1-Settings!$B$2),2)</f>
        <v>587.97</v>
      </c>
      <c r="E430" s="2" t="inlineStr">
        <is>
          <t>Pokemon</t>
        </is>
      </c>
      <c r="F430" s="2" t="inlineStr">
        <is>
          <t>Case/Display</t>
        </is>
      </c>
      <c r="G430" s="2" t="inlineStr">
        <is>
          <t>SV: Paldean Fates</t>
        </is>
      </c>
      <c r="H430" s="3" t="n"/>
      <c r="I430" s="3" t="n">
        <v>605.85</v>
      </c>
      <c r="J430" s="3" t="n">
        <v>839.98</v>
      </c>
      <c r="K430" s="3" t="n">
        <v>839.95</v>
      </c>
      <c r="L430" s="2" t="inlineStr">
        <is>
          <t>TCGplayer</t>
        </is>
      </c>
      <c r="N430" s="4" t="inlineStr">
        <is>
          <t>https://www.tcgplayer.com/product/654599</t>
        </is>
      </c>
    </row>
    <row r="431">
      <c r="A431" s="2" t="inlineStr">
        <is>
          <t>Paldean Fates Tin Case</t>
        </is>
      </c>
      <c r="B431" s="3">
        <f>IF(H431&lt;&gt;"",H431,IF(I431&lt;&gt;"",I431,IF(J431&lt;&gt;"",J431,K431)))</f>
        <v>1599.99</v>
      </c>
      <c r="C431" s="3">
        <f>MEDIAN(H431:K431)</f>
        <v>1599.99</v>
      </c>
      <c r="D431" s="3">
        <f>ROUND(C431*(1-Settings!$B$2),2)</f>
        <v>1119.99</v>
      </c>
      <c r="E431" s="2" t="inlineStr">
        <is>
          <t>Pokemon</t>
        </is>
      </c>
      <c r="F431" s="2" t="inlineStr">
        <is>
          <t>Case/Display</t>
        </is>
      </c>
      <c r="G431" s="2" t="inlineStr">
        <is>
          <t>SV: Paldean Fates</t>
        </is>
      </c>
      <c r="H431" s="3" t="n"/>
      <c r="I431" s="3" t="n"/>
      <c r="J431" s="3" t="n">
        <v>1599.99</v>
      </c>
      <c r="K431" s="3" t="n">
        <v>1599.99</v>
      </c>
      <c r="L431" s="2" t="inlineStr">
        <is>
          <t>TCGplayer</t>
        </is>
      </c>
      <c r="N431" s="4" t="inlineStr">
        <is>
          <t>https://www.tcgplayer.com/product/688258</t>
        </is>
      </c>
    </row>
    <row r="432">
      <c r="A432" s="2" t="inlineStr">
        <is>
          <t>Prismatic Evolution Booster Bundle Display Case</t>
        </is>
      </c>
      <c r="B432" s="3">
        <f>IF(H432&lt;&gt;"",H432,IF(I432&lt;&gt;"",I432,IF(J432&lt;&gt;"",J432,K432)))</f>
        <v>13000.0</v>
      </c>
      <c r="C432" s="3">
        <f>MEDIAN(H432:K432)</f>
        <v>13000.0</v>
      </c>
      <c r="D432" s="3">
        <f>ROUND(C432*(1-Settings!$B$2),2)</f>
        <v>9100.0</v>
      </c>
      <c r="E432" s="2" t="inlineStr">
        <is>
          <t>Pokemon</t>
        </is>
      </c>
      <c r="F432" s="2" t="inlineStr">
        <is>
          <t>Case/Display</t>
        </is>
      </c>
      <c r="G432" s="2" t="inlineStr">
        <is>
          <t>SV: Prismatic Evolutions</t>
        </is>
      </c>
      <c r="H432" s="3" t="n"/>
      <c r="I432" s="3" t="n"/>
      <c r="J432" s="3" t="n">
        <v>13000</v>
      </c>
      <c r="K432" s="3" t="n"/>
      <c r="L432" s="2" t="inlineStr">
        <is>
          <t>TCGplayer</t>
        </is>
      </c>
      <c r="N432" s="4" t="inlineStr">
        <is>
          <t>https://www.tcgplayer.com/product/635011</t>
        </is>
      </c>
    </row>
    <row r="433">
      <c r="A433" s="2" t="inlineStr">
        <is>
          <t>Prismatic Evolutions  Binder Collection Case</t>
        </is>
      </c>
      <c r="B433" s="3">
        <f>IF(H433&lt;&gt;"",H433,IF(I433&lt;&gt;"",I433,IF(J433&lt;&gt;"",J433,K433)))</f>
        <v>530.0</v>
      </c>
      <c r="C433" s="3">
        <f>MEDIAN(H433:K433)</f>
        <v>610.0</v>
      </c>
      <c r="D433" s="3">
        <f>ROUND(C433*(1-Settings!$B$2),2)</f>
        <v>427.0</v>
      </c>
      <c r="E433" s="2" t="inlineStr">
        <is>
          <t>Pokemon</t>
        </is>
      </c>
      <c r="F433" s="2" t="inlineStr">
        <is>
          <t>Case/Display</t>
        </is>
      </c>
      <c r="G433" s="2" t="inlineStr">
        <is>
          <t>SV: Prismatic Evolutions</t>
        </is>
      </c>
      <c r="H433" s="3" t="n"/>
      <c r="I433" s="3" t="n">
        <v>530</v>
      </c>
      <c r="J433" s="3" t="n"/>
      <c r="K433" s="3" t="n">
        <v>690</v>
      </c>
      <c r="L433" s="2" t="inlineStr">
        <is>
          <t>TCGplayer</t>
        </is>
      </c>
      <c r="N433" s="4" t="inlineStr">
        <is>
          <t>https://www.tcgplayer.com/product/598488</t>
        </is>
      </c>
    </row>
    <row r="434">
      <c r="A434" s="2" t="inlineStr">
        <is>
          <t>Prismatic Evolutions 2-Pack Blister Case</t>
        </is>
      </c>
      <c r="B434" s="3">
        <f>IF(H434&lt;&gt;"",H434,IF(I434&lt;&gt;"",I434,IF(J434&lt;&gt;"",J434,K434)))</f>
        <v>836.18</v>
      </c>
      <c r="C434" s="3">
        <f>MEDIAN(H434:K434)</f>
        <v>836.18</v>
      </c>
      <c r="D434" s="3">
        <f>ROUND(C434*(1-Settings!$B$2),2)</f>
        <v>585.33</v>
      </c>
      <c r="E434" s="2" t="inlineStr">
        <is>
          <t>Pokemon</t>
        </is>
      </c>
      <c r="F434" s="2" t="inlineStr">
        <is>
          <t>Case/Display</t>
        </is>
      </c>
      <c r="G434" s="2" t="inlineStr">
        <is>
          <t>SV: Prismatic Evolutions</t>
        </is>
      </c>
      <c r="H434" s="3" t="n"/>
      <c r="I434" s="3" t="n">
        <v>836.1799999999999</v>
      </c>
      <c r="J434" s="3" t="n">
        <v>995.97</v>
      </c>
      <c r="K434" s="3" t="n">
        <v>789.99</v>
      </c>
      <c r="L434" s="2" t="inlineStr">
        <is>
          <t>TCGplayer</t>
        </is>
      </c>
      <c r="N434" s="4" t="inlineStr">
        <is>
          <t>https://www.tcgplayer.com/product/620024</t>
        </is>
      </c>
    </row>
    <row r="435">
      <c r="A435" s="2" t="inlineStr">
        <is>
          <t>Prismatic Evolutions Accessory Pouch Special Collection Case</t>
        </is>
      </c>
      <c r="B435" s="3">
        <f>IF(H435&lt;&gt;"",H435,IF(I435&lt;&gt;"",I435,IF(J435&lt;&gt;"",J435,K435)))</f>
        <v>797.5</v>
      </c>
      <c r="C435" s="3">
        <f>MEDIAN(H435:K435)</f>
        <v>636.25</v>
      </c>
      <c r="D435" s="3">
        <f>ROUND(C435*(1-Settings!$B$2),2)</f>
        <v>445.38</v>
      </c>
      <c r="E435" s="2" t="inlineStr">
        <is>
          <t>Pokemon</t>
        </is>
      </c>
      <c r="F435" s="2" t="inlineStr">
        <is>
          <t>Case/Display</t>
        </is>
      </c>
      <c r="G435" s="2" t="inlineStr">
        <is>
          <t>SV: Prismatic Evolutions</t>
        </is>
      </c>
      <c r="H435" s="3" t="n"/>
      <c r="I435" s="3" t="n"/>
      <c r="J435" s="3" t="n">
        <v>797.5</v>
      </c>
      <c r="K435" s="3" t="n">
        <v>475</v>
      </c>
      <c r="L435" s="2" t="inlineStr">
        <is>
          <t>TCGplayer</t>
        </is>
      </c>
      <c r="N435" s="4" t="inlineStr">
        <is>
          <t>https://www.tcgplayer.com/product/629828</t>
        </is>
      </c>
    </row>
    <row r="436">
      <c r="A436" s="2" t="inlineStr">
        <is>
          <t>Prismatic Evolutions Booster Bundle Case</t>
        </is>
      </c>
      <c r="B436" s="3">
        <f>IF(H436&lt;&gt;"",H436,IF(I436&lt;&gt;"",I436,IF(J436&lt;&gt;"",J436,K436)))</f>
        <v>2266.12</v>
      </c>
      <c r="C436" s="3">
        <f>MEDIAN(H436:K436)</f>
        <v>2266.12</v>
      </c>
      <c r="D436" s="3">
        <f>ROUND(C436*(1-Settings!$B$2),2)</f>
        <v>1586.28</v>
      </c>
      <c r="E436" s="2" t="inlineStr">
        <is>
          <t>Pokemon</t>
        </is>
      </c>
      <c r="F436" s="2" t="inlineStr">
        <is>
          <t>Case/Display</t>
        </is>
      </c>
      <c r="G436" s="2" t="inlineStr">
        <is>
          <t>SV: Prismatic Evolutions</t>
        </is>
      </c>
      <c r="H436" s="3" t="n"/>
      <c r="I436" s="3" t="n">
        <v>2266.12</v>
      </c>
      <c r="J436" s="3" t="n">
        <v>2349.49</v>
      </c>
      <c r="K436" s="3" t="n">
        <v>2216.99</v>
      </c>
      <c r="L436" s="2" t="inlineStr">
        <is>
          <t>TCGplayer</t>
        </is>
      </c>
      <c r="N436" s="4" t="inlineStr">
        <is>
          <t>https://www.tcgplayer.com/product/615027</t>
        </is>
      </c>
    </row>
    <row r="437">
      <c r="A437" s="2" t="inlineStr">
        <is>
          <t>Prismatic Evolutions Booster Bundle Display</t>
        </is>
      </c>
      <c r="B437" s="3">
        <f>IF(H437&lt;&gt;"",H437,IF(I437&lt;&gt;"",I437,IF(J437&lt;&gt;"",J437,K437)))</f>
        <v>1917.98</v>
      </c>
      <c r="C437" s="3">
        <f>MEDIAN(H437:K437)</f>
        <v>1917.98</v>
      </c>
      <c r="D437" s="3">
        <f>ROUND(C437*(1-Settings!$B$2),2)</f>
        <v>1342.59</v>
      </c>
      <c r="E437" s="2" t="inlineStr">
        <is>
          <t>Pokemon</t>
        </is>
      </c>
      <c r="F437" s="2" t="inlineStr">
        <is>
          <t>Case/Display</t>
        </is>
      </c>
      <c r="G437" s="2" t="inlineStr">
        <is>
          <t>SV: Prismatic Evolutions</t>
        </is>
      </c>
      <c r="H437" s="3" t="n"/>
      <c r="I437" s="3" t="n">
        <v>1917.98</v>
      </c>
      <c r="J437" s="3" t="n">
        <v>2587.98</v>
      </c>
      <c r="K437" s="3" t="n">
        <v>85</v>
      </c>
      <c r="L437" s="2" t="inlineStr">
        <is>
          <t>TCGplayer</t>
        </is>
      </c>
      <c r="N437" s="4" t="inlineStr">
        <is>
          <t>https://www.tcgplayer.com/product/610317</t>
        </is>
      </c>
    </row>
    <row r="438">
      <c r="A438" s="2" t="inlineStr">
        <is>
          <t>Prismatic Evolutions Elite Trainer Box Case</t>
        </is>
      </c>
      <c r="B438" s="3">
        <f>IF(H438&lt;&gt;"",H438,IF(I438&lt;&gt;"",I438,IF(J438&lt;&gt;"",J438,K438)))</f>
        <v>1685.67</v>
      </c>
      <c r="C438" s="3">
        <f>MEDIAN(H438:K438)</f>
        <v>1685.67</v>
      </c>
      <c r="D438" s="3">
        <f>ROUND(C438*(1-Settings!$B$2),2)</f>
        <v>1179.97</v>
      </c>
      <c r="E438" s="2" t="inlineStr">
        <is>
          <t>Pokemon</t>
        </is>
      </c>
      <c r="F438" s="2" t="inlineStr">
        <is>
          <t>Case/Display</t>
        </is>
      </c>
      <c r="G438" s="2" t="inlineStr">
        <is>
          <t>SV: Prismatic Evolutions</t>
        </is>
      </c>
      <c r="H438" s="3" t="n"/>
      <c r="I438" s="3" t="n">
        <v>1685.67</v>
      </c>
      <c r="J438" s="3" t="n">
        <v>1922.29</v>
      </c>
      <c r="K438" s="3" t="n">
        <v>1475</v>
      </c>
      <c r="L438" s="2" t="inlineStr">
        <is>
          <t>TCGplayer</t>
        </is>
      </c>
      <c r="N438" s="4" t="inlineStr">
        <is>
          <t>https://www.tcgplayer.com/product/598487</t>
        </is>
      </c>
    </row>
    <row r="439">
      <c r="A439" s="2" t="inlineStr">
        <is>
          <t>Prismatic Evolutions Elite Trainer Box Case (Dollar General Exclusive)</t>
        </is>
      </c>
      <c r="B439" s="3">
        <f>IF(H439&lt;&gt;"",H439,IF(I439&lt;&gt;"",I439,IF(J439&lt;&gt;"",J439,K439)))</f>
        <v>1750.0</v>
      </c>
      <c r="C439" s="3">
        <f>MEDIAN(H439:K439)</f>
        <v>1299.995</v>
      </c>
      <c r="D439" s="3">
        <f>ROUND(C439*(1-Settings!$B$2),2)</f>
        <v>910.0</v>
      </c>
      <c r="E439" s="2" t="inlineStr">
        <is>
          <t>Pokemon</t>
        </is>
      </c>
      <c r="F439" s="2" t="inlineStr">
        <is>
          <t>Case/Display</t>
        </is>
      </c>
      <c r="G439" s="2" t="inlineStr">
        <is>
          <t>SV: Prismatic Evolutions</t>
        </is>
      </c>
      <c r="H439" s="3" t="n"/>
      <c r="I439" s="3" t="n"/>
      <c r="J439" s="3" t="n">
        <v>1750</v>
      </c>
      <c r="K439" s="3" t="n">
        <v>849.99</v>
      </c>
      <c r="L439" s="2" t="inlineStr">
        <is>
          <t>TCGplayer</t>
        </is>
      </c>
      <c r="N439" s="4" t="inlineStr">
        <is>
          <t>https://www.tcgplayer.com/product/670608</t>
        </is>
      </c>
    </row>
    <row r="440">
      <c r="A440" s="2" t="inlineStr">
        <is>
          <t>Prismatic Evolutions Mini Tin Display</t>
        </is>
      </c>
      <c r="B440" s="3">
        <f>IF(H440&lt;&gt;"",H440,IF(I440&lt;&gt;"",I440,IF(J440&lt;&gt;"",J440,K440)))</f>
        <v>237.41</v>
      </c>
      <c r="C440" s="3">
        <f>MEDIAN(H440:K440)</f>
        <v>237.405</v>
      </c>
      <c r="D440" s="3">
        <f>ROUND(C440*(1-Settings!$B$2),2)</f>
        <v>166.18</v>
      </c>
      <c r="E440" s="2" t="inlineStr">
        <is>
          <t>Pokemon</t>
        </is>
      </c>
      <c r="F440" s="2" t="inlineStr">
        <is>
          <t>Case/Display</t>
        </is>
      </c>
      <c r="G440" s="2" t="inlineStr">
        <is>
          <t>SV: Prismatic Evolutions</t>
        </is>
      </c>
      <c r="H440" s="3" t="n">
        <v>237.41</v>
      </c>
      <c r="I440" s="3" t="n">
        <v>237.4</v>
      </c>
      <c r="J440" s="3" t="n">
        <v>253.99</v>
      </c>
      <c r="K440" s="3" t="n">
        <v>224.69</v>
      </c>
      <c r="L440" s="2" t="inlineStr">
        <is>
          <t>PriceCharting + TCGplayer</t>
        </is>
      </c>
      <c r="M440" s="4" t="inlineStr">
        <is>
          <t>https://www.pricecharting.com/game/pokemon-prismatic-evolutions/mini-tin-display</t>
        </is>
      </c>
      <c r="N440" s="4" t="inlineStr">
        <is>
          <t>https://www.tcgplayer.com/product/593463</t>
        </is>
      </c>
    </row>
    <row r="441">
      <c r="A441" s="2" t="inlineStr">
        <is>
          <t>Prismatic Evolutions Mini Tin Display Case</t>
        </is>
      </c>
      <c r="B441" s="3">
        <f>IF(H441&lt;&gt;"",H441,IF(I441&lt;&gt;"",I441,IF(J441&lt;&gt;"",J441,K441)))</f>
        <v>1029.17</v>
      </c>
      <c r="C441" s="3">
        <f>MEDIAN(H441:K441)</f>
        <v>1049.99</v>
      </c>
      <c r="D441" s="3">
        <f>ROUND(C441*(1-Settings!$B$2),2)</f>
        <v>734.99</v>
      </c>
      <c r="E441" s="2" t="inlineStr">
        <is>
          <t>Pokemon</t>
        </is>
      </c>
      <c r="F441" s="2" t="inlineStr">
        <is>
          <t>Case/Display</t>
        </is>
      </c>
      <c r="G441" s="2" t="inlineStr">
        <is>
          <t>SV: Prismatic Evolutions</t>
        </is>
      </c>
      <c r="H441" s="3" t="n"/>
      <c r="I441" s="3" t="n">
        <v>1029.17</v>
      </c>
      <c r="J441" s="3" t="n">
        <v>1150</v>
      </c>
      <c r="K441" s="3" t="n">
        <v>1049.99</v>
      </c>
      <c r="L441" s="2" t="inlineStr">
        <is>
          <t>TCGplayer</t>
        </is>
      </c>
      <c r="N441" s="4" t="inlineStr">
        <is>
          <t>https://www.tcgplayer.com/product/614356</t>
        </is>
      </c>
    </row>
    <row r="442">
      <c r="A442" s="2" t="inlineStr">
        <is>
          <t>Prismatic Evolutions Pokemon Center Elite Trainer Box (Exclusive) Case</t>
        </is>
      </c>
      <c r="B442" s="3">
        <f>IF(H442&lt;&gt;"",H442,IF(I442&lt;&gt;"",I442,IF(J442&lt;&gt;"",J442,K442)))</f>
        <v>2748.62</v>
      </c>
      <c r="C442" s="3">
        <f>MEDIAN(H442:K442)</f>
        <v>2748.62</v>
      </c>
      <c r="D442" s="3">
        <f>ROUND(C442*(1-Settings!$B$2),2)</f>
        <v>1924.03</v>
      </c>
      <c r="E442" s="2" t="inlineStr">
        <is>
          <t>Pokemon</t>
        </is>
      </c>
      <c r="F442" s="2" t="inlineStr">
        <is>
          <t>Case/Display</t>
        </is>
      </c>
      <c r="G442" s="2" t="inlineStr">
        <is>
          <t>SV: Prismatic Evolutions</t>
        </is>
      </c>
      <c r="H442" s="3" t="n"/>
      <c r="I442" s="3" t="n">
        <v>2748.62</v>
      </c>
      <c r="J442" s="3" t="n">
        <v>3674.95</v>
      </c>
      <c r="K442" s="3" t="n">
        <v>2575</v>
      </c>
      <c r="L442" s="2" t="inlineStr">
        <is>
          <t>TCGplayer</t>
        </is>
      </c>
      <c r="N442" s="4" t="inlineStr">
        <is>
          <t>https://www.tcgplayer.com/product/600697</t>
        </is>
      </c>
    </row>
    <row r="443">
      <c r="A443" s="2" t="inlineStr">
        <is>
          <t>Prismatic Evolutions Poster Collection Case</t>
        </is>
      </c>
      <c r="B443" s="3">
        <f>IF(H443&lt;&gt;"",H443,IF(I443&lt;&gt;"",I443,IF(J443&lt;&gt;"",J443,K443)))</f>
        <v>239.53</v>
      </c>
      <c r="C443" s="3">
        <f>MEDIAN(H443:K443)</f>
        <v>239.53</v>
      </c>
      <c r="D443" s="3">
        <f>ROUND(C443*(1-Settings!$B$2),2)</f>
        <v>167.67</v>
      </c>
      <c r="E443" s="2" t="inlineStr">
        <is>
          <t>Pokemon</t>
        </is>
      </c>
      <c r="F443" s="2" t="inlineStr">
        <is>
          <t>Case/Display</t>
        </is>
      </c>
      <c r="G443" s="2" t="inlineStr">
        <is>
          <t>SV: Prismatic Evolutions</t>
        </is>
      </c>
      <c r="H443" s="3" t="n"/>
      <c r="I443" s="3" t="n">
        <v>239.53</v>
      </c>
      <c r="J443" s="3" t="n">
        <v>299.99</v>
      </c>
      <c r="K443" s="3" t="n">
        <v>239.53</v>
      </c>
      <c r="L443" s="2" t="inlineStr">
        <is>
          <t>TCGplayer</t>
        </is>
      </c>
      <c r="N443" s="4" t="inlineStr">
        <is>
          <t>https://www.tcgplayer.com/product/598486</t>
        </is>
      </c>
    </row>
    <row r="444">
      <c r="A444" s="2" t="inlineStr">
        <is>
          <t>Prismatic Evolutions Premium Figure Collection Case</t>
        </is>
      </c>
      <c r="B444" s="3">
        <f>IF(H444&lt;&gt;"",H444,IF(I444&lt;&gt;"",I444,IF(J444&lt;&gt;"",J444,K444)))</f>
        <v>1318.2</v>
      </c>
      <c r="C444" s="3">
        <f>MEDIAN(H444:K444)</f>
        <v>2100.0</v>
      </c>
      <c r="D444" s="3">
        <f>ROUND(C444*(1-Settings!$B$2),2)</f>
        <v>1470.0</v>
      </c>
      <c r="E444" s="2" t="inlineStr">
        <is>
          <t>Pokemon</t>
        </is>
      </c>
      <c r="F444" s="2" t="inlineStr">
        <is>
          <t>Case/Display</t>
        </is>
      </c>
      <c r="G444" s="2" t="inlineStr">
        <is>
          <t>SV: Prismatic Evolutions</t>
        </is>
      </c>
      <c r="H444" s="3" t="n"/>
      <c r="I444" s="3" t="n">
        <v>1318.2</v>
      </c>
      <c r="J444" s="3" t="n">
        <v>2120</v>
      </c>
      <c r="K444" s="3" t="n">
        <v>2100</v>
      </c>
      <c r="L444" s="2" t="inlineStr">
        <is>
          <t>TCGplayer</t>
        </is>
      </c>
      <c r="N444" s="4" t="inlineStr">
        <is>
          <t>https://www.tcgplayer.com/product/650804</t>
        </is>
      </c>
    </row>
    <row r="445">
      <c r="A445" s="2" t="inlineStr">
        <is>
          <t>Prismatic Evolutions Super-Premium Collection Case</t>
        </is>
      </c>
      <c r="B445" s="3">
        <f>IF(H445&lt;&gt;"",H445,IF(I445&lt;&gt;"",I445,IF(J445&lt;&gt;"",J445,K445)))</f>
        <v>1099.2</v>
      </c>
      <c r="C445" s="3">
        <f>MEDIAN(H445:K445)</f>
        <v>1099.2</v>
      </c>
      <c r="D445" s="3">
        <f>ROUND(C445*(1-Settings!$B$2),2)</f>
        <v>769.44</v>
      </c>
      <c r="E445" s="2" t="inlineStr">
        <is>
          <t>Pokemon</t>
        </is>
      </c>
      <c r="F445" s="2" t="inlineStr">
        <is>
          <t>Case/Display</t>
        </is>
      </c>
      <c r="G445" s="2" t="inlineStr">
        <is>
          <t>SV: Prismatic Evolutions</t>
        </is>
      </c>
      <c r="H445" s="3" t="n"/>
      <c r="I445" s="3" t="n">
        <v>1099.2</v>
      </c>
      <c r="J445" s="3" t="n">
        <v>1349.97</v>
      </c>
      <c r="K445" s="3" t="n">
        <v>1067</v>
      </c>
      <c r="L445" s="2" t="inlineStr">
        <is>
          <t>TCGplayer</t>
        </is>
      </c>
      <c r="N445" s="4" t="inlineStr">
        <is>
          <t>https://www.tcgplayer.com/product/638058</t>
        </is>
      </c>
    </row>
    <row r="446">
      <c r="A446" s="2" t="inlineStr">
        <is>
          <t>Prismatic Evolutions Surprise Box Case</t>
        </is>
      </c>
      <c r="B446" s="3">
        <f>IF(H446&lt;&gt;"",H446,IF(I446&lt;&gt;"",I446,IF(J446&lt;&gt;"",J446,K446)))</f>
        <v>411.07</v>
      </c>
      <c r="C446" s="3">
        <f>MEDIAN(H446:K446)</f>
        <v>424.99</v>
      </c>
      <c r="D446" s="3">
        <f>ROUND(C446*(1-Settings!$B$2),2)</f>
        <v>297.49</v>
      </c>
      <c r="E446" s="2" t="inlineStr">
        <is>
          <t>Pokemon</t>
        </is>
      </c>
      <c r="F446" s="2" t="inlineStr">
        <is>
          <t>Case/Display</t>
        </is>
      </c>
      <c r="G446" s="2" t="inlineStr">
        <is>
          <t>SV: Prismatic Evolutions</t>
        </is>
      </c>
      <c r="H446" s="3" t="n"/>
      <c r="I446" s="3" t="n">
        <v>411.07</v>
      </c>
      <c r="J446" s="3" t="n">
        <v>519.85</v>
      </c>
      <c r="K446" s="3" t="n">
        <v>424.99</v>
      </c>
      <c r="L446" s="2" t="inlineStr">
        <is>
          <t>TCGplayer</t>
        </is>
      </c>
      <c r="N446" s="4" t="inlineStr">
        <is>
          <t>https://www.tcgplayer.com/product/598470</t>
        </is>
      </c>
    </row>
    <row r="447">
      <c r="A447" s="2" t="inlineStr">
        <is>
          <t>Prismatic Evolutions Tech Sticker Collection Case</t>
        </is>
      </c>
      <c r="B447" s="3">
        <f>IF(H447&lt;&gt;"",H447,IF(I447&lt;&gt;"",I447,IF(J447&lt;&gt;"",J447,K447)))</f>
        <v>462.63</v>
      </c>
      <c r="C447" s="3">
        <f>MEDIAN(H447:K447)</f>
        <v>520.0</v>
      </c>
      <c r="D447" s="3">
        <f>ROUND(C447*(1-Settings!$B$2),2)</f>
        <v>364.0</v>
      </c>
      <c r="E447" s="2" t="inlineStr">
        <is>
          <t>Pokemon</t>
        </is>
      </c>
      <c r="F447" s="2" t="inlineStr">
        <is>
          <t>Case/Display</t>
        </is>
      </c>
      <c r="G447" s="2" t="inlineStr">
        <is>
          <t>SV: Prismatic Evolutions</t>
        </is>
      </c>
      <c r="H447" s="3" t="n"/>
      <c r="I447" s="3" t="n">
        <v>462.63</v>
      </c>
      <c r="J447" s="3" t="n">
        <v>600</v>
      </c>
      <c r="K447" s="3" t="n">
        <v>520</v>
      </c>
      <c r="L447" s="2" t="inlineStr">
        <is>
          <t>TCGplayer</t>
        </is>
      </c>
      <c r="N447" s="4" t="inlineStr">
        <is>
          <t>https://www.tcgplayer.com/product/598489</t>
        </is>
      </c>
    </row>
    <row r="448">
      <c r="A448" s="2" t="inlineStr">
        <is>
          <t>151 Binder Collection Case</t>
        </is>
      </c>
      <c r="B448" s="3">
        <f>IF(H448&lt;&gt;"",H448,IF(I448&lt;&gt;"",I448,IF(J448&lt;&gt;"",J448,K448)))</f>
        <v>1244.94</v>
      </c>
      <c r="C448" s="3">
        <f>MEDIAN(H448:K448)</f>
        <v>1244.915</v>
      </c>
      <c r="D448" s="3">
        <f>ROUND(C448*(1-Settings!$B$2),2)</f>
        <v>871.44</v>
      </c>
      <c r="E448" s="2" t="inlineStr">
        <is>
          <t>Pokemon</t>
        </is>
      </c>
      <c r="F448" s="2" t="inlineStr">
        <is>
          <t>Case/Display</t>
        </is>
      </c>
      <c r="G448" s="2" t="inlineStr">
        <is>
          <t>SV: Scarlet &amp; Violet 151</t>
        </is>
      </c>
      <c r="H448" s="3" t="n"/>
      <c r="I448" s="3" t="n"/>
      <c r="J448" s="3" t="n">
        <v>1244.94</v>
      </c>
      <c r="K448" s="3" t="n">
        <v>1244.89</v>
      </c>
      <c r="L448" s="2" t="inlineStr">
        <is>
          <t>TCGplayer</t>
        </is>
      </c>
      <c r="N448" s="4" t="inlineStr">
        <is>
          <t>https://www.tcgplayer.com/product/502003</t>
        </is>
      </c>
    </row>
    <row r="449">
      <c r="A449" s="2" t="inlineStr">
        <is>
          <t>151 Booster Bundle Bulk Case</t>
        </is>
      </c>
      <c r="B449" s="3">
        <f>IF(H449&lt;&gt;"",H449,IF(I449&lt;&gt;"",I449,IF(J449&lt;&gt;"",J449,K449)))</f>
        <v>4480.0</v>
      </c>
      <c r="C449" s="3">
        <f>MEDIAN(H449:K449)</f>
        <v>5500.0</v>
      </c>
      <c r="D449" s="3">
        <f>ROUND(C449*(1-Settings!$B$2),2)</f>
        <v>3850.0</v>
      </c>
      <c r="E449" s="2" t="inlineStr">
        <is>
          <t>Pokemon</t>
        </is>
      </c>
      <c r="F449" s="2" t="inlineStr">
        <is>
          <t>Case/Display</t>
        </is>
      </c>
      <c r="G449" s="2" t="inlineStr">
        <is>
          <t>SV: Scarlet &amp; Violet 151</t>
        </is>
      </c>
      <c r="H449" s="3" t="n"/>
      <c r="I449" s="3" t="n">
        <v>4480</v>
      </c>
      <c r="J449" s="3" t="n">
        <v>7999.99</v>
      </c>
      <c r="K449" s="3" t="n">
        <v>5500</v>
      </c>
      <c r="L449" s="2" t="inlineStr">
        <is>
          <t>TCGplayer</t>
        </is>
      </c>
      <c r="N449" s="4" t="inlineStr">
        <is>
          <t>https://www.tcgplayer.com/product/530105</t>
        </is>
      </c>
    </row>
    <row r="450">
      <c r="A450" s="2" t="inlineStr">
        <is>
          <t>151 Booster Bundle Display</t>
        </is>
      </c>
      <c r="B450" s="3">
        <f>IF(H450&lt;&gt;"",H450,IF(I450&lt;&gt;"",I450,IF(J450&lt;&gt;"",J450,K450)))</f>
        <v>1890.49</v>
      </c>
      <c r="C450" s="3">
        <f>MEDIAN(H450:K450)</f>
        <v>1890.49</v>
      </c>
      <c r="D450" s="3">
        <f>ROUND(C450*(1-Settings!$B$2),2)</f>
        <v>1323.34</v>
      </c>
      <c r="E450" s="2" t="inlineStr">
        <is>
          <t>Pokemon</t>
        </is>
      </c>
      <c r="F450" s="2" t="inlineStr">
        <is>
          <t>Case/Display</t>
        </is>
      </c>
      <c r="G450" s="2" t="inlineStr">
        <is>
          <t>SV: Scarlet &amp; Violet 151</t>
        </is>
      </c>
      <c r="H450" s="3" t="n"/>
      <c r="I450" s="3" t="n">
        <v>1890.49</v>
      </c>
      <c r="J450" s="3" t="n">
        <v>2198</v>
      </c>
      <c r="K450" s="3" t="n">
        <v>1790</v>
      </c>
      <c r="L450" s="2" t="inlineStr">
        <is>
          <t>TCGplayer</t>
        </is>
      </c>
      <c r="N450" s="4" t="inlineStr">
        <is>
          <t>https://www.tcgplayer.com/product/513405</t>
        </is>
      </c>
    </row>
    <row r="451">
      <c r="A451" s="2" t="inlineStr">
        <is>
          <t>151 Collection Zapdos ex Case</t>
        </is>
      </c>
      <c r="B451" s="3">
        <f>IF(H451&lt;&gt;"",H451,IF(I451&lt;&gt;"",I451,IF(J451&lt;&gt;"",J451,K451)))</f>
        <v>1071.14</v>
      </c>
      <c r="C451" s="3">
        <f>MEDIAN(H451:K451)</f>
        <v>1199.99</v>
      </c>
      <c r="D451" s="3">
        <f>ROUND(C451*(1-Settings!$B$2),2)</f>
        <v>839.99</v>
      </c>
      <c r="E451" s="2" t="inlineStr">
        <is>
          <t>Pokemon</t>
        </is>
      </c>
      <c r="F451" s="2" t="inlineStr">
        <is>
          <t>Case/Display</t>
        </is>
      </c>
      <c r="G451" s="2" t="inlineStr">
        <is>
          <t>SV: Scarlet &amp; Violet 151</t>
        </is>
      </c>
      <c r="H451" s="3" t="n"/>
      <c r="I451" s="3" t="n">
        <v>1071.14</v>
      </c>
      <c r="J451" s="3" t="n">
        <v>1249.99</v>
      </c>
      <c r="K451" s="3" t="n">
        <v>1199.99</v>
      </c>
      <c r="L451" s="2" t="inlineStr">
        <is>
          <t>TCGplayer</t>
        </is>
      </c>
      <c r="N451" s="4" t="inlineStr">
        <is>
          <t>https://www.tcgplayer.com/product/518782</t>
        </is>
      </c>
    </row>
    <row r="452">
      <c r="A452" s="2" t="inlineStr">
        <is>
          <t>151 Elite Trainer Box Case</t>
        </is>
      </c>
      <c r="B452" s="3">
        <f>IF(H452&lt;&gt;"",H452,IF(I452&lt;&gt;"",I452,IF(J452&lt;&gt;"",J452,K452)))</f>
        <v>6183.33</v>
      </c>
      <c r="C452" s="3">
        <f>MEDIAN(H452:K452)</f>
        <v>6699.99</v>
      </c>
      <c r="D452" s="3">
        <f>ROUND(C452*(1-Settings!$B$2),2)</f>
        <v>4689.99</v>
      </c>
      <c r="E452" s="2" t="inlineStr">
        <is>
          <t>Pokemon</t>
        </is>
      </c>
      <c r="F452" s="2" t="inlineStr">
        <is>
          <t>Case/Display</t>
        </is>
      </c>
      <c r="G452" s="2" t="inlineStr">
        <is>
          <t>SV: Scarlet &amp; Violet 151</t>
        </is>
      </c>
      <c r="H452" s="3" t="n"/>
      <c r="I452" s="3" t="n">
        <v>6183.33</v>
      </c>
      <c r="J452" s="3" t="n">
        <v>7649.99</v>
      </c>
      <c r="K452" s="3" t="n">
        <v>6699.99</v>
      </c>
      <c r="L452" s="2" t="inlineStr">
        <is>
          <t>TCGplayer</t>
        </is>
      </c>
      <c r="N452" s="4" t="inlineStr">
        <is>
          <t>https://www.tcgplayer.com/product/506640</t>
        </is>
      </c>
    </row>
    <row r="453">
      <c r="A453" s="2" t="inlineStr">
        <is>
          <t>151 Mini Tin Display</t>
        </is>
      </c>
      <c r="B453" s="3">
        <f>IF(H453&lt;&gt;"",H453,IF(I453&lt;&gt;"",I453,IF(J453&lt;&gt;"",J453,K453)))</f>
        <v>536.67</v>
      </c>
      <c r="C453" s="3">
        <f>MEDIAN(H453:K453)</f>
        <v>539.99</v>
      </c>
      <c r="D453" s="3">
        <f>ROUND(C453*(1-Settings!$B$2),2)</f>
        <v>377.99</v>
      </c>
      <c r="E453" s="2" t="inlineStr">
        <is>
          <t>Pokemon</t>
        </is>
      </c>
      <c r="F453" s="2" t="inlineStr">
        <is>
          <t>Case/Display</t>
        </is>
      </c>
      <c r="G453" s="2" t="inlineStr">
        <is>
          <t>SV: Scarlet &amp; Violet 151</t>
        </is>
      </c>
      <c r="H453" s="3" t="n"/>
      <c r="I453" s="3" t="n">
        <v>536.67</v>
      </c>
      <c r="J453" s="3" t="n">
        <v>685</v>
      </c>
      <c r="K453" s="3" t="n">
        <v>539.99</v>
      </c>
      <c r="L453" s="2" t="inlineStr">
        <is>
          <t>TCGplayer</t>
        </is>
      </c>
      <c r="N453" s="4" t="inlineStr">
        <is>
          <t>https://www.tcgplayer.com/product/502008</t>
        </is>
      </c>
    </row>
    <row r="454">
      <c r="A454" s="2" t="inlineStr">
        <is>
          <t>151 Mini Tin Display Case</t>
        </is>
      </c>
      <c r="B454" s="3">
        <f>IF(H454&lt;&gt;"",H454,IF(I454&lt;&gt;"",I454,IF(J454&lt;&gt;"",J454,K454)))</f>
        <v>2265.93</v>
      </c>
      <c r="C454" s="3">
        <f>MEDIAN(H454:K454)</f>
        <v>2295.96</v>
      </c>
      <c r="D454" s="3">
        <f>ROUND(C454*(1-Settings!$B$2),2)</f>
        <v>1607.17</v>
      </c>
      <c r="E454" s="2" t="inlineStr">
        <is>
          <t>Pokemon</t>
        </is>
      </c>
      <c r="F454" s="2" t="inlineStr">
        <is>
          <t>Case/Display</t>
        </is>
      </c>
      <c r="G454" s="2" t="inlineStr">
        <is>
          <t>SV: Scarlet &amp; Violet 151</t>
        </is>
      </c>
      <c r="H454" s="3" t="n"/>
      <c r="I454" s="3" t="n">
        <v>2265.93</v>
      </c>
      <c r="J454" s="3" t="n">
        <v>2489.02</v>
      </c>
      <c r="K454" s="3" t="n">
        <v>2295.96</v>
      </c>
      <c r="L454" s="2" t="inlineStr">
        <is>
          <t>TCGplayer</t>
        </is>
      </c>
      <c r="N454" s="4" t="inlineStr">
        <is>
          <t>https://www.tcgplayer.com/product/668357</t>
        </is>
      </c>
    </row>
    <row r="455">
      <c r="A455" s="2" t="inlineStr">
        <is>
          <t>151 Pokemon Center Elite Trainer Box (Exclusive) Case</t>
        </is>
      </c>
      <c r="B455" s="3">
        <f>IF(H455&lt;&gt;"",H455,IF(I455&lt;&gt;"",I455,IF(J455&lt;&gt;"",J455,K455)))</f>
        <v>5800.0</v>
      </c>
      <c r="C455" s="3">
        <f>MEDIAN(H455:K455)</f>
        <v>5800.0</v>
      </c>
      <c r="D455" s="3">
        <f>ROUND(C455*(1-Settings!$B$2),2)</f>
        <v>4060.0</v>
      </c>
      <c r="E455" s="2" t="inlineStr">
        <is>
          <t>Pokemon</t>
        </is>
      </c>
      <c r="F455" s="2" t="inlineStr">
        <is>
          <t>Case/Display</t>
        </is>
      </c>
      <c r="G455" s="2" t="inlineStr">
        <is>
          <t>SV: Scarlet &amp; Violet 151</t>
        </is>
      </c>
      <c r="H455" s="3" t="n"/>
      <c r="I455" s="3" t="n">
        <v>5800</v>
      </c>
      <c r="J455" s="3" t="n">
        <v>5899.99</v>
      </c>
      <c r="K455" s="3" t="n">
        <v>5292.79</v>
      </c>
      <c r="L455" s="2" t="inlineStr">
        <is>
          <t>TCGplayer</t>
        </is>
      </c>
      <c r="N455" s="4" t="inlineStr">
        <is>
          <t>https://www.tcgplayer.com/product/528030</t>
        </is>
      </c>
    </row>
    <row r="456">
      <c r="A456" s="2" t="inlineStr">
        <is>
          <t>151 Poster Collection Case</t>
        </is>
      </c>
      <c r="B456" s="3">
        <f>IF(H456&lt;&gt;"",H456,IF(I456&lt;&gt;"",I456,IF(J456&lt;&gt;"",J456,K456)))</f>
        <v>574.96</v>
      </c>
      <c r="C456" s="3">
        <f>MEDIAN(H456:K456)</f>
        <v>597.0</v>
      </c>
      <c r="D456" s="3">
        <f>ROUND(C456*(1-Settings!$B$2),2)</f>
        <v>417.9</v>
      </c>
      <c r="E456" s="2" t="inlineStr">
        <is>
          <t>Pokemon</t>
        </is>
      </c>
      <c r="F456" s="2" t="inlineStr">
        <is>
          <t>Case/Display</t>
        </is>
      </c>
      <c r="G456" s="2" t="inlineStr">
        <is>
          <t>SV: Scarlet &amp; Violet 151</t>
        </is>
      </c>
      <c r="H456" s="3" t="n"/>
      <c r="I456" s="3" t="n">
        <v>574.96</v>
      </c>
      <c r="J456" s="3" t="n">
        <v>724.5</v>
      </c>
      <c r="K456" s="3" t="n">
        <v>597</v>
      </c>
      <c r="L456" s="2" t="inlineStr">
        <is>
          <t>TCGplayer</t>
        </is>
      </c>
      <c r="N456" s="4" t="inlineStr">
        <is>
          <t>https://www.tcgplayer.com/product/502002</t>
        </is>
      </c>
    </row>
    <row r="457">
      <c r="A457" s="2" t="inlineStr">
        <is>
          <t>151 Ultra-Premium Collection Case</t>
        </is>
      </c>
      <c r="B457" s="3">
        <f>IF(H457&lt;&gt;"",H457,IF(I457&lt;&gt;"",I457,IF(J457&lt;&gt;"",J457,K457)))</f>
        <v>3749.98</v>
      </c>
      <c r="C457" s="3">
        <f>MEDIAN(H457:K457)</f>
        <v>3749.98</v>
      </c>
      <c r="D457" s="3">
        <f>ROUND(C457*(1-Settings!$B$2),2)</f>
        <v>2624.99</v>
      </c>
      <c r="E457" s="2" t="inlineStr">
        <is>
          <t>Pokemon</t>
        </is>
      </c>
      <c r="F457" s="2" t="inlineStr">
        <is>
          <t>Case/Display</t>
        </is>
      </c>
      <c r="G457" s="2" t="inlineStr">
        <is>
          <t>SV: Scarlet &amp; Violet 151</t>
        </is>
      </c>
      <c r="H457" s="3" t="n"/>
      <c r="I457" s="3" t="n">
        <v>3749.98</v>
      </c>
      <c r="J457" s="3" t="n">
        <v>4569.96</v>
      </c>
      <c r="K457" s="3" t="n">
        <v>3700</v>
      </c>
      <c r="L457" s="2" t="inlineStr">
        <is>
          <t>TCGplayer</t>
        </is>
      </c>
      <c r="N457" s="4" t="inlineStr">
        <is>
          <t>https://www.tcgplayer.com/product/515970</t>
        </is>
      </c>
    </row>
    <row r="458">
      <c r="A458" s="2" t="inlineStr">
        <is>
          <t>Kingambit Illustration Collection Case</t>
        </is>
      </c>
      <c r="B458" s="3">
        <f>IF(H458&lt;&gt;"",H458,IF(I458&lt;&gt;"",I458,IF(J458&lt;&gt;"",J458,K458)))</f>
        <v>284.85</v>
      </c>
      <c r="C458" s="3">
        <f>MEDIAN(H458:K458)</f>
        <v>325.0</v>
      </c>
      <c r="D458" s="3">
        <f>ROUND(C458*(1-Settings!$B$2),2)</f>
        <v>227.5</v>
      </c>
      <c r="E458" s="2" t="inlineStr">
        <is>
          <t>Pokemon</t>
        </is>
      </c>
      <c r="F458" s="2" t="inlineStr">
        <is>
          <t>Case/Display</t>
        </is>
      </c>
      <c r="G458" s="2" t="inlineStr">
        <is>
          <t>SV: Shrouded Fable</t>
        </is>
      </c>
      <c r="H458" s="3" t="n"/>
      <c r="I458" s="3" t="n">
        <v>284.85</v>
      </c>
      <c r="J458" s="3" t="n">
        <v>325</v>
      </c>
      <c r="K458" s="3" t="n">
        <v>325</v>
      </c>
      <c r="L458" s="2" t="inlineStr">
        <is>
          <t>TCGplayer</t>
        </is>
      </c>
      <c r="N458" s="4" t="inlineStr">
        <is>
          <t>https://www.tcgplayer.com/product/553094</t>
        </is>
      </c>
    </row>
    <row r="459">
      <c r="A459" s="2" t="inlineStr">
        <is>
          <t>Shrouded Fable Booster Bundle Case</t>
        </is>
      </c>
      <c r="B459" s="3">
        <f>IF(H459&lt;&gt;"",H459,IF(I459&lt;&gt;"",I459,IF(J459&lt;&gt;"",J459,K459)))</f>
        <v>1149.95</v>
      </c>
      <c r="C459" s="3">
        <f>MEDIAN(H459:K459)</f>
        <v>1350.0</v>
      </c>
      <c r="D459" s="3">
        <f>ROUND(C459*(1-Settings!$B$2),2)</f>
        <v>945.0</v>
      </c>
      <c r="E459" s="2" t="inlineStr">
        <is>
          <t>Pokemon</t>
        </is>
      </c>
      <c r="F459" s="2" t="inlineStr">
        <is>
          <t>Case/Display</t>
        </is>
      </c>
      <c r="G459" s="2" t="inlineStr">
        <is>
          <t>SV: Shrouded Fable</t>
        </is>
      </c>
      <c r="H459" s="3" t="n"/>
      <c r="I459" s="3" t="n">
        <v>1149.95</v>
      </c>
      <c r="J459" s="3" t="n">
        <v>1394.69</v>
      </c>
      <c r="K459" s="3" t="n">
        <v>1350</v>
      </c>
      <c r="L459" s="2" t="inlineStr">
        <is>
          <t>TCGplayer</t>
        </is>
      </c>
      <c r="N459" s="4" t="inlineStr">
        <is>
          <t>https://www.tcgplayer.com/product/635736</t>
        </is>
      </c>
    </row>
    <row r="460">
      <c r="A460" s="2" t="inlineStr">
        <is>
          <t>Shrouded Fable Booster Bundle Display</t>
        </is>
      </c>
      <c r="B460" s="3">
        <f>IF(H460&lt;&gt;"",H460,IF(I460&lt;&gt;"",I460,IF(J460&lt;&gt;"",J460,K460)))</f>
        <v>890.0</v>
      </c>
      <c r="C460" s="3">
        <f>MEDIAN(H460:K460)</f>
        <v>885.0</v>
      </c>
      <c r="D460" s="3">
        <f>ROUND(C460*(1-Settings!$B$2),2)</f>
        <v>619.5</v>
      </c>
      <c r="E460" s="2" t="inlineStr">
        <is>
          <t>Pokemon</t>
        </is>
      </c>
      <c r="F460" s="2" t="inlineStr">
        <is>
          <t>Case/Display</t>
        </is>
      </c>
      <c r="G460" s="2" t="inlineStr">
        <is>
          <t>SV: Shrouded Fable</t>
        </is>
      </c>
      <c r="H460" s="3" t="n"/>
      <c r="I460" s="3" t="n"/>
      <c r="J460" s="3" t="n">
        <v>890</v>
      </c>
      <c r="K460" s="3" t="n">
        <v>880</v>
      </c>
      <c r="L460" s="2" t="inlineStr">
        <is>
          <t>TCGplayer</t>
        </is>
      </c>
      <c r="N460" s="4" t="inlineStr">
        <is>
          <t>https://www.tcgplayer.com/product/618355</t>
        </is>
      </c>
    </row>
    <row r="461">
      <c r="A461" s="2" t="inlineStr">
        <is>
          <t>Shrouded Fable Mini Tin Display</t>
        </is>
      </c>
      <c r="B461" s="3">
        <f>IF(H461&lt;&gt;"",H461,IF(I461&lt;&gt;"",I461,IF(J461&lt;&gt;"",J461,K461)))</f>
        <v>208.13</v>
      </c>
      <c r="C461" s="3">
        <f>MEDIAN(H461:K461)</f>
        <v>207.06</v>
      </c>
      <c r="D461" s="3">
        <f>ROUND(C461*(1-Settings!$B$2),2)</f>
        <v>144.94</v>
      </c>
      <c r="E461" s="2" t="inlineStr">
        <is>
          <t>Pokemon</t>
        </is>
      </c>
      <c r="F461" s="2" t="inlineStr">
        <is>
          <t>Case/Display</t>
        </is>
      </c>
      <c r="G461" s="2" t="inlineStr">
        <is>
          <t>SV: Shrouded Fable</t>
        </is>
      </c>
      <c r="H461" s="3" t="n">
        <v>208.13</v>
      </c>
      <c r="I461" s="3" t="n">
        <v>202.1</v>
      </c>
      <c r="J461" s="3" t="n">
        <v>244.69</v>
      </c>
      <c r="K461" s="3" t="n">
        <v>205.99</v>
      </c>
      <c r="L461" s="2" t="inlineStr">
        <is>
          <t>PriceCharting + TCGplayer</t>
        </is>
      </c>
      <c r="M461" s="4" t="inlineStr">
        <is>
          <t>https://www.pricecharting.com/game/pokemon-shrouded-fable/mini-tin-display</t>
        </is>
      </c>
      <c r="N461" s="4" t="inlineStr">
        <is>
          <t>https://www.tcgplayer.com/product/553008</t>
        </is>
      </c>
    </row>
    <row r="462">
      <c r="A462" s="2" t="inlineStr">
        <is>
          <t>Shrouded Fable Pokemon Center Elite Trainer Box (Exclusive) Case</t>
        </is>
      </c>
      <c r="B462" s="3">
        <f>IF(H462&lt;&gt;"",H462,IF(I462&lt;&gt;"",I462,IF(J462&lt;&gt;"",J462,K462)))</f>
        <v>653.12</v>
      </c>
      <c r="C462" s="3">
        <f>MEDIAN(H462:K462)</f>
        <v>690.0</v>
      </c>
      <c r="D462" s="3">
        <f>ROUND(C462*(1-Settings!$B$2),2)</f>
        <v>483.0</v>
      </c>
      <c r="E462" s="2" t="inlineStr">
        <is>
          <t>Pokemon</t>
        </is>
      </c>
      <c r="F462" s="2" t="inlineStr">
        <is>
          <t>Case/Display</t>
        </is>
      </c>
      <c r="G462" s="2" t="inlineStr">
        <is>
          <t>SV: Shrouded Fable</t>
        </is>
      </c>
      <c r="H462" s="3" t="n"/>
      <c r="I462" s="3" t="n">
        <v>653.12</v>
      </c>
      <c r="J462" s="3" t="n">
        <v>809.95</v>
      </c>
      <c r="K462" s="3" t="n">
        <v>690</v>
      </c>
      <c r="L462" s="2" t="inlineStr">
        <is>
          <t>TCGplayer</t>
        </is>
      </c>
      <c r="N462" s="4" t="inlineStr">
        <is>
          <t>https://www.tcgplayer.com/product/553102</t>
        </is>
      </c>
    </row>
    <row r="463">
      <c r="A463" s="2" t="inlineStr">
        <is>
          <t>Shrouded Fable Special Illustration Collection Case</t>
        </is>
      </c>
      <c r="B463" s="3">
        <f>IF(H463&lt;&gt;"",H463,IF(I463&lt;&gt;"",I463,IF(J463&lt;&gt;"",J463,K463)))</f>
        <v>1016.52</v>
      </c>
      <c r="C463" s="3">
        <f>MEDIAN(H463:K463)</f>
        <v>1299.99</v>
      </c>
      <c r="D463" s="3">
        <f>ROUND(C463*(1-Settings!$B$2),2)</f>
        <v>909.99</v>
      </c>
      <c r="E463" s="2" t="inlineStr">
        <is>
          <t>Pokemon</t>
        </is>
      </c>
      <c r="F463" s="2" t="inlineStr">
        <is>
          <t>Case/Display</t>
        </is>
      </c>
      <c r="G463" s="2" t="inlineStr">
        <is>
          <t>SV: Shrouded Fable</t>
        </is>
      </c>
      <c r="H463" s="3" t="n"/>
      <c r="I463" s="3" t="n">
        <v>1016.52</v>
      </c>
      <c r="J463" s="3" t="n">
        <v>1469.49</v>
      </c>
      <c r="K463" s="3" t="n">
        <v>1299.99</v>
      </c>
      <c r="L463" s="2" t="inlineStr">
        <is>
          <t>TCGplayer</t>
        </is>
      </c>
      <c r="N463" s="4" t="inlineStr">
        <is>
          <t>https://www.tcgplayer.com/product/553075</t>
        </is>
      </c>
    </row>
    <row r="464">
      <c r="A464" s="2" t="inlineStr">
        <is>
          <t>White Flare  Binder Collection Case</t>
        </is>
      </c>
      <c r="B464" s="3">
        <f>IF(H464&lt;&gt;"",H464,IF(I464&lt;&gt;"",I464,IF(J464&lt;&gt;"",J464,K464)))</f>
        <v>366.66</v>
      </c>
      <c r="C464" s="3">
        <f>MEDIAN(H464:K464)</f>
        <v>540.0</v>
      </c>
      <c r="D464" s="3">
        <f>ROUND(C464*(1-Settings!$B$2),2)</f>
        <v>378.0</v>
      </c>
      <c r="E464" s="2" t="inlineStr">
        <is>
          <t>Pokemon</t>
        </is>
      </c>
      <c r="F464" s="2" t="inlineStr">
        <is>
          <t>Case/Display</t>
        </is>
      </c>
      <c r="G464" s="2" t="inlineStr">
        <is>
          <t>SV: White Flare</t>
        </is>
      </c>
      <c r="H464" s="3" t="n"/>
      <c r="I464" s="3" t="n">
        <v>366.66</v>
      </c>
      <c r="J464" s="3" t="n">
        <v>540</v>
      </c>
      <c r="K464" s="3" t="n">
        <v>540</v>
      </c>
      <c r="L464" s="2" t="inlineStr">
        <is>
          <t>TCGplayer</t>
        </is>
      </c>
      <c r="N464" s="4" t="inlineStr">
        <is>
          <t>https://www.tcgplayer.com/product/630694</t>
        </is>
      </c>
    </row>
    <row r="465">
      <c r="A465" s="2" t="inlineStr">
        <is>
          <t>White Flare Booster Bundle Case</t>
        </is>
      </c>
      <c r="B465" s="3">
        <f>IF(H465&lt;&gt;"",H465,IF(I465&lt;&gt;"",I465,IF(J465&lt;&gt;"",J465,K465)))</f>
        <v>2216.93</v>
      </c>
      <c r="C465" s="3">
        <f>MEDIAN(H465:K465)</f>
        <v>2216.93</v>
      </c>
      <c r="D465" s="3">
        <f>ROUND(C465*(1-Settings!$B$2),2)</f>
        <v>1551.85</v>
      </c>
      <c r="E465" s="2" t="inlineStr">
        <is>
          <t>Pokemon</t>
        </is>
      </c>
      <c r="F465" s="2" t="inlineStr">
        <is>
          <t>Case/Display</t>
        </is>
      </c>
      <c r="G465" s="2" t="inlineStr">
        <is>
          <t>SV: White Flare</t>
        </is>
      </c>
      <c r="H465" s="3" t="n"/>
      <c r="I465" s="3" t="n">
        <v>2216.93</v>
      </c>
      <c r="J465" s="3" t="n"/>
      <c r="K465" s="3" t="n"/>
      <c r="L465" s="2" t="inlineStr">
        <is>
          <t>TCGplayer</t>
        </is>
      </c>
      <c r="N465" s="4" t="inlineStr">
        <is>
          <t>https://www.tcgplayer.com/product/630697</t>
        </is>
      </c>
    </row>
    <row r="466">
      <c r="A466" s="2" t="inlineStr">
        <is>
          <t>White Flare Booster Bundle Display</t>
        </is>
      </c>
      <c r="B466" s="3">
        <f>IF(H466&lt;&gt;"",H466,IF(I466&lt;&gt;"",I466,IF(J466&lt;&gt;"",J466,K466)))</f>
        <v>1624.86</v>
      </c>
      <c r="C466" s="3">
        <f>MEDIAN(H466:K466)</f>
        <v>1899.98</v>
      </c>
      <c r="D466" s="3">
        <f>ROUND(C466*(1-Settings!$B$2),2)</f>
        <v>1329.99</v>
      </c>
      <c r="E466" s="2" t="inlineStr">
        <is>
          <t>Pokemon</t>
        </is>
      </c>
      <c r="F466" s="2" t="inlineStr">
        <is>
          <t>Case/Display</t>
        </is>
      </c>
      <c r="G466" s="2" t="inlineStr">
        <is>
          <t>SV: White Flare</t>
        </is>
      </c>
      <c r="H466" s="3" t="n"/>
      <c r="I466" s="3" t="n">
        <v>1624.86</v>
      </c>
      <c r="J466" s="3" t="n">
        <v>2449.95</v>
      </c>
      <c r="K466" s="3" t="n">
        <v>1899.98</v>
      </c>
      <c r="L466" s="2" t="inlineStr">
        <is>
          <t>TCGplayer</t>
        </is>
      </c>
      <c r="N466" s="4" t="inlineStr">
        <is>
          <t>https://www.tcgplayer.com/product/630698</t>
        </is>
      </c>
    </row>
    <row r="467">
      <c r="A467" s="2" t="inlineStr">
        <is>
          <t>White Flare Elite Trainer Box Case</t>
        </is>
      </c>
      <c r="B467" s="3">
        <f>IF(H467&lt;&gt;"",H467,IF(I467&lt;&gt;"",I467,IF(J467&lt;&gt;"",J467,K467)))</f>
        <v>1631.67</v>
      </c>
      <c r="C467" s="3">
        <f>MEDIAN(H467:K467)</f>
        <v>1631.67</v>
      </c>
      <c r="D467" s="3">
        <f>ROUND(C467*(1-Settings!$B$2),2)</f>
        <v>1142.17</v>
      </c>
      <c r="E467" s="2" t="inlineStr">
        <is>
          <t>Pokemon</t>
        </is>
      </c>
      <c r="F467" s="2" t="inlineStr">
        <is>
          <t>Case/Display</t>
        </is>
      </c>
      <c r="G467" s="2" t="inlineStr">
        <is>
          <t>SV: White Flare</t>
        </is>
      </c>
      <c r="H467" s="3" t="n"/>
      <c r="I467" s="3" t="n">
        <v>1631.67</v>
      </c>
      <c r="J467" s="3" t="n">
        <v>1924.99</v>
      </c>
      <c r="K467" s="3" t="n">
        <v>1599.99</v>
      </c>
      <c r="L467" s="2" t="inlineStr">
        <is>
          <t>TCGplayer</t>
        </is>
      </c>
      <c r="N467" s="4" t="inlineStr">
        <is>
          <t>https://www.tcgplayer.com/product/630693</t>
        </is>
      </c>
    </row>
    <row r="468">
      <c r="A468" s="2" t="inlineStr">
        <is>
          <t>Sword &amp; Shield Booster Box Case</t>
        </is>
      </c>
      <c r="B468" s="3">
        <f>IF(H468&lt;&gt;"",H468,IF(I468&lt;&gt;"",I468,IF(J468&lt;&gt;"",J468,K468)))</f>
        <v>16499.5</v>
      </c>
      <c r="C468" s="3">
        <f>MEDIAN(H468:K468)</f>
        <v>12249.25</v>
      </c>
      <c r="D468" s="3">
        <f>ROUND(C468*(1-Settings!$B$2),2)</f>
        <v>8574.48</v>
      </c>
      <c r="E468" s="2" t="inlineStr">
        <is>
          <t>Pokemon</t>
        </is>
      </c>
      <c r="F468" s="2" t="inlineStr">
        <is>
          <t>Case/Display</t>
        </is>
      </c>
      <c r="G468" s="2" t="inlineStr">
        <is>
          <t>SWSH01: Sword &amp; Shield Base Set</t>
        </is>
      </c>
      <c r="H468" s="3" t="n"/>
      <c r="I468" s="3" t="n"/>
      <c r="J468" s="3" t="n">
        <v>16499.5</v>
      </c>
      <c r="K468" s="3" t="n">
        <v>7999</v>
      </c>
      <c r="L468" s="2" t="inlineStr">
        <is>
          <t>TCGplayer</t>
        </is>
      </c>
      <c r="N468" s="4" t="inlineStr">
        <is>
          <t>https://www.tcgplayer.com/product/530142</t>
        </is>
      </c>
    </row>
    <row r="469">
      <c r="A469" s="2" t="inlineStr">
        <is>
          <t>Sword &amp; Shield Theme Deck Display</t>
        </is>
      </c>
      <c r="B469" s="3">
        <f>IF(H469&lt;&gt;"",H469,IF(I469&lt;&gt;"",I469,IF(J469&lt;&gt;"",J469,K469)))</f>
        <v>979.98</v>
      </c>
      <c r="C469" s="3">
        <f>MEDIAN(H469:K469)</f>
        <v>979.98</v>
      </c>
      <c r="D469" s="3">
        <f>ROUND(C469*(1-Settings!$B$2),2)</f>
        <v>685.99</v>
      </c>
      <c r="E469" s="2" t="inlineStr">
        <is>
          <t>Pokemon</t>
        </is>
      </c>
      <c r="F469" s="2" t="inlineStr">
        <is>
          <t>Case/Display</t>
        </is>
      </c>
      <c r="G469" s="2" t="inlineStr">
        <is>
          <t>SWSH01: Sword &amp; Shield Base Set</t>
        </is>
      </c>
      <c r="H469" s="3" t="n"/>
      <c r="I469" s="3" t="n"/>
      <c r="J469" s="3" t="n">
        <v>979.98</v>
      </c>
      <c r="K469" s="3" t="n">
        <v>979.98</v>
      </c>
      <c r="L469" s="2" t="inlineStr">
        <is>
          <t>TCGplayer</t>
        </is>
      </c>
      <c r="N469" s="4" t="inlineStr">
        <is>
          <t>https://www.tcgplayer.com/product/206034</t>
        </is>
      </c>
    </row>
    <row r="470">
      <c r="A470" s="2" t="inlineStr">
        <is>
          <t>Rebel Clash Build &amp; Battle Display</t>
        </is>
      </c>
      <c r="B470" s="3">
        <f>IF(H470&lt;&gt;"",H470,IF(I470&lt;&gt;"",I470,IF(J470&lt;&gt;"",J470,K470)))</f>
        <v>1999.95</v>
      </c>
      <c r="C470" s="3">
        <f>MEDIAN(H470:K470)</f>
        <v>1999.95</v>
      </c>
      <c r="D470" s="3">
        <f>ROUND(C470*(1-Settings!$B$2),2)</f>
        <v>1399.97</v>
      </c>
      <c r="E470" s="2" t="inlineStr">
        <is>
          <t>Pokemon</t>
        </is>
      </c>
      <c r="F470" s="2" t="inlineStr">
        <is>
          <t>Case/Display</t>
        </is>
      </c>
      <c r="G470" s="2" t="inlineStr">
        <is>
          <t>SWSH02: Rebel Clash</t>
        </is>
      </c>
      <c r="H470" s="3" t="n"/>
      <c r="I470" s="3" t="n"/>
      <c r="J470" s="3" t="n">
        <v>1999.95</v>
      </c>
      <c r="K470" s="3" t="n">
        <v>1999.95</v>
      </c>
      <c r="L470" s="2" t="inlineStr">
        <is>
          <t>TCGplayer</t>
        </is>
      </c>
      <c r="N470" s="4" t="inlineStr">
        <is>
          <t>https://www.tcgplayer.com/product/212820</t>
        </is>
      </c>
    </row>
    <row r="471">
      <c r="A471" s="2" t="inlineStr">
        <is>
          <t>Darkness Ablaze Booster Box Case</t>
        </is>
      </c>
      <c r="B471" s="3">
        <f>IF(H471&lt;&gt;"",H471,IF(I471&lt;&gt;"",I471,IF(J471&lt;&gt;"",J471,K471)))</f>
        <v>2249.99</v>
      </c>
      <c r="C471" s="3">
        <f>MEDIAN(H471:K471)</f>
        <v>2249.99</v>
      </c>
      <c r="D471" s="3">
        <f>ROUND(C471*(1-Settings!$B$2),2)</f>
        <v>1574.99</v>
      </c>
      <c r="E471" s="2" t="inlineStr">
        <is>
          <t>Pokemon</t>
        </is>
      </c>
      <c r="F471" s="2" t="inlineStr">
        <is>
          <t>Case/Display</t>
        </is>
      </c>
      <c r="G471" s="2" t="inlineStr">
        <is>
          <t>SWSH03: Darkness Ablaze</t>
        </is>
      </c>
      <c r="H471" s="3" t="n"/>
      <c r="I471" s="3" t="n">
        <v>2249.99</v>
      </c>
      <c r="J471" s="3" t="n">
        <v>3284.88</v>
      </c>
      <c r="K471" s="3" t="n">
        <v>2200</v>
      </c>
      <c r="L471" s="2" t="inlineStr">
        <is>
          <t>TCGplayer</t>
        </is>
      </c>
      <c r="N471" s="4" t="inlineStr">
        <is>
          <t>https://www.tcgplayer.com/product/256971</t>
        </is>
      </c>
    </row>
    <row r="472">
      <c r="A472" s="2" t="inlineStr">
        <is>
          <t>Darkness Ablaze Build &amp; Battle Box Display</t>
        </is>
      </c>
      <c r="B472" s="3">
        <f>IF(H472&lt;&gt;"",H472,IF(I472&lt;&gt;"",I472,IF(J472&lt;&gt;"",J472,K472)))</f>
        <v>595.0</v>
      </c>
      <c r="C472" s="3">
        <f>MEDIAN(H472:K472)</f>
        <v>1000.0</v>
      </c>
      <c r="D472" s="3">
        <f>ROUND(C472*(1-Settings!$B$2),2)</f>
        <v>700.0</v>
      </c>
      <c r="E472" s="2" t="inlineStr">
        <is>
          <t>Pokemon</t>
        </is>
      </c>
      <c r="F472" s="2" t="inlineStr">
        <is>
          <t>Case/Display</t>
        </is>
      </c>
      <c r="G472" s="2" t="inlineStr">
        <is>
          <t>SWSH03: Darkness Ablaze</t>
        </is>
      </c>
      <c r="H472" s="3" t="n"/>
      <c r="I472" s="3" t="n">
        <v>595</v>
      </c>
      <c r="J472" s="3" t="n">
        <v>1999.5</v>
      </c>
      <c r="K472" s="3" t="n">
        <v>1000</v>
      </c>
      <c r="L472" s="2" t="inlineStr">
        <is>
          <t>TCGplayer</t>
        </is>
      </c>
      <c r="N472" s="4" t="inlineStr">
        <is>
          <t>https://www.tcgplayer.com/product/216862</t>
        </is>
      </c>
    </row>
    <row r="473">
      <c r="A473" s="2" t="inlineStr">
        <is>
          <t>Darkness Ablaze Elite Trainer Box Case</t>
        </is>
      </c>
      <c r="B473" s="3">
        <f>IF(H473&lt;&gt;"",H473,IF(I473&lt;&gt;"",I473,IF(J473&lt;&gt;"",J473,K473)))</f>
        <v>1250.0</v>
      </c>
      <c r="C473" s="3">
        <f>MEDIAN(H473:K473)</f>
        <v>1799.89</v>
      </c>
      <c r="D473" s="3">
        <f>ROUND(C473*(1-Settings!$B$2),2)</f>
        <v>1259.92</v>
      </c>
      <c r="E473" s="2" t="inlineStr">
        <is>
          <t>Pokemon</t>
        </is>
      </c>
      <c r="F473" s="2" t="inlineStr">
        <is>
          <t>Case/Display</t>
        </is>
      </c>
      <c r="G473" s="2" t="inlineStr">
        <is>
          <t>SWSH03: Darkness Ablaze</t>
        </is>
      </c>
      <c r="H473" s="3" t="n"/>
      <c r="I473" s="3" t="n">
        <v>1250</v>
      </c>
      <c r="J473" s="3" t="n">
        <v>1899.92</v>
      </c>
      <c r="K473" s="3" t="n">
        <v>1799.89</v>
      </c>
      <c r="L473" s="2" t="inlineStr">
        <is>
          <t>TCGplayer</t>
        </is>
      </c>
      <c r="N473" s="4" t="inlineStr">
        <is>
          <t>https://www.tcgplayer.com/product/266951</t>
        </is>
      </c>
    </row>
    <row r="474">
      <c r="A474" s="2" t="inlineStr">
        <is>
          <t>Alakazam V Box Case</t>
        </is>
      </c>
      <c r="B474" s="3">
        <f>IF(H474&lt;&gt;"",H474,IF(I474&lt;&gt;"",I474,IF(J474&lt;&gt;"",J474,K474)))</f>
        <v>599.95</v>
      </c>
      <c r="C474" s="3">
        <f>MEDIAN(H474:K474)</f>
        <v>599.95</v>
      </c>
      <c r="D474" s="3">
        <f>ROUND(C474*(1-Settings!$B$2),2)</f>
        <v>419.97</v>
      </c>
      <c r="E474" s="2" t="inlineStr">
        <is>
          <t>Pokemon</t>
        </is>
      </c>
      <c r="F474" s="2" t="inlineStr">
        <is>
          <t>Case/Display</t>
        </is>
      </c>
      <c r="G474" s="2" t="inlineStr">
        <is>
          <t>SWSH04: Vivid Voltage</t>
        </is>
      </c>
      <c r="H474" s="3" t="n"/>
      <c r="I474" s="3" t="n"/>
      <c r="J474" s="3" t="n">
        <v>599.95</v>
      </c>
      <c r="K474" s="3" t="n">
        <v>599.95</v>
      </c>
      <c r="L474" s="2" t="inlineStr">
        <is>
          <t>TCGplayer</t>
        </is>
      </c>
      <c r="N474" s="4" t="inlineStr">
        <is>
          <t>https://www.tcgplayer.com/product/683003</t>
        </is>
      </c>
    </row>
    <row r="475">
      <c r="A475" s="2" t="inlineStr">
        <is>
          <t>Vivid Voltage Booster Box Case</t>
        </is>
      </c>
      <c r="B475" s="3">
        <f>IF(H475&lt;&gt;"",H475,IF(I475&lt;&gt;"",I475,IF(J475&lt;&gt;"",J475,K475)))</f>
        <v>1895.11</v>
      </c>
      <c r="C475" s="3">
        <f>MEDIAN(H475:K475)</f>
        <v>2180.0</v>
      </c>
      <c r="D475" s="3">
        <f>ROUND(C475*(1-Settings!$B$2),2)</f>
        <v>1526.0</v>
      </c>
      <c r="E475" s="2" t="inlineStr">
        <is>
          <t>Pokemon</t>
        </is>
      </c>
      <c r="F475" s="2" t="inlineStr">
        <is>
          <t>Case/Display</t>
        </is>
      </c>
      <c r="G475" s="2" t="inlineStr">
        <is>
          <t>SWSH04: Vivid Voltage</t>
        </is>
      </c>
      <c r="H475" s="3" t="n"/>
      <c r="I475" s="3" t="n">
        <v>1895.11</v>
      </c>
      <c r="J475" s="3" t="n">
        <v>2273</v>
      </c>
      <c r="K475" s="3" t="n">
        <v>2180</v>
      </c>
      <c r="L475" s="2" t="inlineStr">
        <is>
          <t>TCGplayer</t>
        </is>
      </c>
      <c r="N475" s="4" t="inlineStr">
        <is>
          <t>https://www.tcgplayer.com/product/243051</t>
        </is>
      </c>
    </row>
    <row r="476">
      <c r="A476" s="2" t="inlineStr">
        <is>
          <t>Vivid Voltage Build &amp; Battle Box Display</t>
        </is>
      </c>
      <c r="B476" s="3">
        <f>IF(H476&lt;&gt;"",H476,IF(I476&lt;&gt;"",I476,IF(J476&lt;&gt;"",J476,K476)))</f>
        <v>625.8</v>
      </c>
      <c r="C476" s="3">
        <f>MEDIAN(H476:K476)</f>
        <v>669.99</v>
      </c>
      <c r="D476" s="3">
        <f>ROUND(C476*(1-Settings!$B$2),2)</f>
        <v>468.99</v>
      </c>
      <c r="E476" s="2" t="inlineStr">
        <is>
          <t>Pokemon</t>
        </is>
      </c>
      <c r="F476" s="2" t="inlineStr">
        <is>
          <t>Case/Display</t>
        </is>
      </c>
      <c r="G476" s="2" t="inlineStr">
        <is>
          <t>SWSH04: Vivid Voltage</t>
        </is>
      </c>
      <c r="H476" s="3" t="n"/>
      <c r="I476" s="3" t="n">
        <v>625.8</v>
      </c>
      <c r="J476" s="3" t="n">
        <v>699.6900000000001</v>
      </c>
      <c r="K476" s="3" t="n">
        <v>669.99</v>
      </c>
      <c r="L476" s="2" t="inlineStr">
        <is>
          <t>TCGplayer</t>
        </is>
      </c>
      <c r="N476" s="4" t="inlineStr">
        <is>
          <t>https://www.tcgplayer.com/product/221749</t>
        </is>
      </c>
    </row>
    <row r="477">
      <c r="A477" s="2" t="inlineStr">
        <is>
          <t>Vivid Voltage Elite Trainer Box Case</t>
        </is>
      </c>
      <c r="B477" s="3">
        <f>IF(H477&lt;&gt;"",H477,IF(I477&lt;&gt;"",I477,IF(J477&lt;&gt;"",J477,K477)))</f>
        <v>1497.0</v>
      </c>
      <c r="C477" s="3">
        <f>MEDIAN(H477:K477)</f>
        <v>1999.99</v>
      </c>
      <c r="D477" s="3">
        <f>ROUND(C477*(1-Settings!$B$2),2)</f>
        <v>1399.99</v>
      </c>
      <c r="E477" s="2" t="inlineStr">
        <is>
          <t>Pokemon</t>
        </is>
      </c>
      <c r="F477" s="2" t="inlineStr">
        <is>
          <t>Case/Display</t>
        </is>
      </c>
      <c r="G477" s="2" t="inlineStr">
        <is>
          <t>SWSH04: Vivid Voltage</t>
        </is>
      </c>
      <c r="H477" s="3" t="n"/>
      <c r="I477" s="3" t="n">
        <v>1497</v>
      </c>
      <c r="J477" s="3" t="n">
        <v>1999.99</v>
      </c>
      <c r="K477" s="3" t="n">
        <v>1999.99</v>
      </c>
      <c r="L477" s="2" t="inlineStr">
        <is>
          <t>TCGplayer</t>
        </is>
      </c>
      <c r="N477" s="4" t="inlineStr">
        <is>
          <t>https://www.tcgplayer.com/product/278642</t>
        </is>
      </c>
    </row>
    <row r="478">
      <c r="A478" s="2" t="inlineStr">
        <is>
          <t>Battle Styles Booster Box Case</t>
        </is>
      </c>
      <c r="B478" s="3">
        <f>IF(H478&lt;&gt;"",H478,IF(I478&lt;&gt;"",I478,IF(J478&lt;&gt;"",J478,K478)))</f>
        <v>1789.4</v>
      </c>
      <c r="C478" s="3">
        <f>MEDIAN(H478:K478)</f>
        <v>1819.99</v>
      </c>
      <c r="D478" s="3">
        <f>ROUND(C478*(1-Settings!$B$2),2)</f>
        <v>1273.99</v>
      </c>
      <c r="E478" s="2" t="inlineStr">
        <is>
          <t>Pokemon</t>
        </is>
      </c>
      <c r="F478" s="2" t="inlineStr">
        <is>
          <t>Case/Display</t>
        </is>
      </c>
      <c r="G478" s="2" t="inlineStr">
        <is>
          <t>SWSH05: Battle Styles</t>
        </is>
      </c>
      <c r="H478" s="3" t="n"/>
      <c r="I478" s="3" t="n">
        <v>1789.4</v>
      </c>
      <c r="J478" s="3" t="n">
        <v>1869.79</v>
      </c>
      <c r="K478" s="3" t="n">
        <v>1819.99</v>
      </c>
      <c r="L478" s="2" t="inlineStr">
        <is>
          <t>TCGplayer</t>
        </is>
      </c>
      <c r="N478" s="4" t="inlineStr">
        <is>
          <t>https://www.tcgplayer.com/product/233335</t>
        </is>
      </c>
    </row>
    <row r="479">
      <c r="A479" s="2" t="inlineStr">
        <is>
          <t>Battle Styles Build &amp; Battle Box Display</t>
        </is>
      </c>
      <c r="B479" s="3">
        <f>IF(H479&lt;&gt;"",H479,IF(I479&lt;&gt;"",I479,IF(J479&lt;&gt;"",J479,K479)))</f>
        <v>500.0</v>
      </c>
      <c r="C479" s="3">
        <f>MEDIAN(H479:K479)</f>
        <v>500.0</v>
      </c>
      <c r="D479" s="3">
        <f>ROUND(C479*(1-Settings!$B$2),2)</f>
        <v>350.0</v>
      </c>
      <c r="E479" s="2" t="inlineStr">
        <is>
          <t>Pokemon</t>
        </is>
      </c>
      <c r="F479" s="2" t="inlineStr">
        <is>
          <t>Case/Display</t>
        </is>
      </c>
      <c r="G479" s="2" t="inlineStr">
        <is>
          <t>SWSH05: Battle Styles</t>
        </is>
      </c>
      <c r="H479" s="3" t="n"/>
      <c r="I479" s="3" t="n"/>
      <c r="J479" s="3" t="n">
        <v>500</v>
      </c>
      <c r="K479" s="3" t="n">
        <v>500</v>
      </c>
      <c r="L479" s="2" t="inlineStr">
        <is>
          <t>TCGplayer</t>
        </is>
      </c>
      <c r="N479" s="4" t="inlineStr">
        <is>
          <t>https://www.tcgplayer.com/product/229279</t>
        </is>
      </c>
    </row>
    <row r="480">
      <c r="A480" s="2" t="inlineStr">
        <is>
          <t>Battle Styles Elite Trainer Box Case</t>
        </is>
      </c>
      <c r="B480" s="3">
        <f>IF(H480&lt;&gt;"",H480,IF(I480&lt;&gt;"",I480,IF(J480&lt;&gt;"",J480,K480)))</f>
        <v>1131.73</v>
      </c>
      <c r="C480" s="3">
        <f>MEDIAN(H480:K480)</f>
        <v>1499.95</v>
      </c>
      <c r="D480" s="3">
        <f>ROUND(C480*(1-Settings!$B$2),2)</f>
        <v>1049.97</v>
      </c>
      <c r="E480" s="2" t="inlineStr">
        <is>
          <t>Pokemon</t>
        </is>
      </c>
      <c r="F480" s="2" t="inlineStr">
        <is>
          <t>Case/Display</t>
        </is>
      </c>
      <c r="G480" s="2" t="inlineStr">
        <is>
          <t>SWSH05: Battle Styles</t>
        </is>
      </c>
      <c r="H480" s="3" t="n"/>
      <c r="I480" s="3" t="n">
        <v>1131.73</v>
      </c>
      <c r="J480" s="3" t="n">
        <v>1499.95</v>
      </c>
      <c r="K480" s="3" t="n">
        <v>1499.95</v>
      </c>
      <c r="L480" s="2" t="inlineStr">
        <is>
          <t>TCGplayer</t>
        </is>
      </c>
      <c r="N480" s="4" t="inlineStr">
        <is>
          <t>https://www.tcgplayer.com/product/235284</t>
        </is>
      </c>
    </row>
    <row r="481">
      <c r="A481" s="2" t="inlineStr">
        <is>
          <t>Chilling Reign Booster Box Case</t>
        </is>
      </c>
      <c r="B481" s="3">
        <f>IF(H481&lt;&gt;"",H481,IF(I481&lt;&gt;"",I481,IF(J481&lt;&gt;"",J481,K481)))</f>
        <v>3312.49</v>
      </c>
      <c r="C481" s="3">
        <f>MEDIAN(H481:K481)</f>
        <v>3312.49</v>
      </c>
      <c r="D481" s="3">
        <f>ROUND(C481*(1-Settings!$B$2),2)</f>
        <v>2318.74</v>
      </c>
      <c r="E481" s="2" t="inlineStr">
        <is>
          <t>Pokemon</t>
        </is>
      </c>
      <c r="F481" s="2" t="inlineStr">
        <is>
          <t>Case/Display</t>
        </is>
      </c>
      <c r="G481" s="2" t="inlineStr">
        <is>
          <t>SWSH06: Chilling Reign</t>
        </is>
      </c>
      <c r="H481" s="3" t="n"/>
      <c r="I481" s="3" t="n">
        <v>3312.49</v>
      </c>
      <c r="J481" s="3" t="n">
        <v>4499.95</v>
      </c>
      <c r="K481" s="3" t="n">
        <v>2971.99</v>
      </c>
      <c r="L481" s="2" t="inlineStr">
        <is>
          <t>TCGplayer</t>
        </is>
      </c>
      <c r="N481" s="4" t="inlineStr">
        <is>
          <t>https://www.tcgplayer.com/product/236259</t>
        </is>
      </c>
    </row>
    <row r="482">
      <c r="A482" s="2" t="inlineStr">
        <is>
          <t>Chilling Reign Build &amp; Battle Box Display</t>
        </is>
      </c>
      <c r="B482" s="3">
        <f>IF(H482&lt;&gt;"",H482,IF(I482&lt;&gt;"",I482,IF(J482&lt;&gt;"",J482,K482)))</f>
        <v>587.5</v>
      </c>
      <c r="C482" s="3">
        <f>MEDIAN(H482:K482)</f>
        <v>583.9</v>
      </c>
      <c r="D482" s="3">
        <f>ROUND(C482*(1-Settings!$B$2),2)</f>
        <v>408.73</v>
      </c>
      <c r="E482" s="2" t="inlineStr">
        <is>
          <t>Pokemon</t>
        </is>
      </c>
      <c r="F482" s="2" t="inlineStr">
        <is>
          <t>Case/Display</t>
        </is>
      </c>
      <c r="G482" s="2" t="inlineStr">
        <is>
          <t>SWSH06: Chilling Reign</t>
        </is>
      </c>
      <c r="H482" s="3" t="n"/>
      <c r="I482" s="3" t="n">
        <v>587.5</v>
      </c>
      <c r="J482" s="3" t="n">
        <v>583.9</v>
      </c>
      <c r="K482" s="3" t="n">
        <v>569.85</v>
      </c>
      <c r="L482" s="2" t="inlineStr">
        <is>
          <t>TCGplayer</t>
        </is>
      </c>
      <c r="N482" s="4" t="inlineStr">
        <is>
          <t>https://www.tcgplayer.com/product/236266</t>
        </is>
      </c>
    </row>
    <row r="483">
      <c r="A483" s="2" t="inlineStr">
        <is>
          <t>Chilling Reign Elite Trainer Box Case</t>
        </is>
      </c>
      <c r="B483" s="3">
        <f>IF(H483&lt;&gt;"",H483,IF(I483&lt;&gt;"",I483,IF(J483&lt;&gt;"",J483,K483)))</f>
        <v>2099.95</v>
      </c>
      <c r="C483" s="3">
        <f>MEDIAN(H483:K483)</f>
        <v>2049.475</v>
      </c>
      <c r="D483" s="3">
        <f>ROUND(C483*(1-Settings!$B$2),2)</f>
        <v>1434.63</v>
      </c>
      <c r="E483" s="2" t="inlineStr">
        <is>
          <t>Pokemon</t>
        </is>
      </c>
      <c r="F483" s="2" t="inlineStr">
        <is>
          <t>Case/Display</t>
        </is>
      </c>
      <c r="G483" s="2" t="inlineStr">
        <is>
          <t>SWSH06: Chilling Reign</t>
        </is>
      </c>
      <c r="H483" s="3" t="n"/>
      <c r="I483" s="3" t="n"/>
      <c r="J483" s="3" t="n">
        <v>2099.95</v>
      </c>
      <c r="K483" s="3" t="n">
        <v>1999</v>
      </c>
      <c r="L483" s="2" t="inlineStr">
        <is>
          <t>TCGplayer</t>
        </is>
      </c>
      <c r="N483" s="4" t="inlineStr">
        <is>
          <t>https://www.tcgplayer.com/product/236263</t>
        </is>
      </c>
    </row>
    <row r="484">
      <c r="A484" s="2" t="inlineStr">
        <is>
          <t>Chilling Reign Sleeved Booster Case</t>
        </is>
      </c>
      <c r="B484" s="3">
        <f>IF(H484&lt;&gt;"",H484,IF(I484&lt;&gt;"",I484,IF(J484&lt;&gt;"",J484,K484)))</f>
        <v>3584.01</v>
      </c>
      <c r="C484" s="3">
        <f>MEDIAN(H484:K484)</f>
        <v>3584.01</v>
      </c>
      <c r="D484" s="3">
        <f>ROUND(C484*(1-Settings!$B$2),2)</f>
        <v>2508.81</v>
      </c>
      <c r="E484" s="2" t="inlineStr">
        <is>
          <t>Pokemon</t>
        </is>
      </c>
      <c r="F484" s="2" t="inlineStr">
        <is>
          <t>Case/Display</t>
        </is>
      </c>
      <c r="G484" s="2" t="inlineStr">
        <is>
          <t>SWSH06: Chilling Reign</t>
        </is>
      </c>
      <c r="H484" s="3" t="n"/>
      <c r="I484" s="3" t="n"/>
      <c r="J484" s="3" t="n">
        <v>3584.01</v>
      </c>
      <c r="K484" s="3" t="n">
        <v>3584.01</v>
      </c>
      <c r="L484" s="2" t="inlineStr">
        <is>
          <t>TCGplayer</t>
        </is>
      </c>
      <c r="N484" s="4" t="inlineStr">
        <is>
          <t>https://www.tcgplayer.com/product/657836</t>
        </is>
      </c>
    </row>
    <row r="485">
      <c r="A485" s="2" t="inlineStr">
        <is>
          <t>Evolving Skies Booster Box Case</t>
        </is>
      </c>
      <c r="B485" s="3">
        <f>IF(H485&lt;&gt;"",H485,IF(I485&lt;&gt;"",I485,IF(J485&lt;&gt;"",J485,K485)))</f>
        <v>24749.99</v>
      </c>
      <c r="C485" s="3">
        <f>MEDIAN(H485:K485)</f>
        <v>19374.995000000003</v>
      </c>
      <c r="D485" s="3">
        <f>ROUND(C485*(1-Settings!$B$2),2)</f>
        <v>13562.5</v>
      </c>
      <c r="E485" s="2" t="inlineStr">
        <is>
          <t>Pokemon</t>
        </is>
      </c>
      <c r="F485" s="2" t="inlineStr">
        <is>
          <t>Case/Display</t>
        </is>
      </c>
      <c r="G485" s="2" t="inlineStr">
        <is>
          <t>SWSH07: Evolving Skies</t>
        </is>
      </c>
      <c r="H485" s="3" t="n"/>
      <c r="I485" s="3" t="n"/>
      <c r="J485" s="3" t="n">
        <v>24749.99</v>
      </c>
      <c r="K485" s="3" t="n">
        <v>14000</v>
      </c>
      <c r="L485" s="2" t="inlineStr">
        <is>
          <t>TCGplayer</t>
        </is>
      </c>
      <c r="N485" s="4" t="inlineStr">
        <is>
          <t>https://www.tcgplayer.com/product/248124</t>
        </is>
      </c>
    </row>
    <row r="486">
      <c r="A486" s="2" t="inlineStr">
        <is>
          <t>Evolving Skies Build &amp; Battle Box Display</t>
        </is>
      </c>
      <c r="B486" s="3">
        <f>IF(H486&lt;&gt;"",H486,IF(I486&lt;&gt;"",I486,IF(J486&lt;&gt;"",J486,K486)))</f>
        <v>3924.97</v>
      </c>
      <c r="C486" s="3">
        <f>MEDIAN(H486:K486)</f>
        <v>3887.4799999999996</v>
      </c>
      <c r="D486" s="3">
        <f>ROUND(C486*(1-Settings!$B$2),2)</f>
        <v>2721.24</v>
      </c>
      <c r="E486" s="2" t="inlineStr">
        <is>
          <t>Pokemon</t>
        </is>
      </c>
      <c r="F486" s="2" t="inlineStr">
        <is>
          <t>Case/Display</t>
        </is>
      </c>
      <c r="G486" s="2" t="inlineStr">
        <is>
          <t>SWSH07: Evolving Skies</t>
        </is>
      </c>
      <c r="H486" s="3" t="n"/>
      <c r="I486" s="3" t="n"/>
      <c r="J486" s="3" t="n">
        <v>3924.97</v>
      </c>
      <c r="K486" s="3" t="n">
        <v>3849.99</v>
      </c>
      <c r="L486" s="2" t="inlineStr">
        <is>
          <t>TCGplayer</t>
        </is>
      </c>
      <c r="N486" s="4" t="inlineStr">
        <is>
          <t>https://www.tcgplayer.com/product/242450</t>
        </is>
      </c>
    </row>
    <row r="487">
      <c r="A487" s="2" t="inlineStr">
        <is>
          <t>Evolving Skies Elite Trainer Box Case</t>
        </is>
      </c>
      <c r="B487" s="3">
        <f>IF(H487&lt;&gt;"",H487,IF(I487&lt;&gt;"",I487,IF(J487&lt;&gt;"",J487,K487)))</f>
        <v>5700.0</v>
      </c>
      <c r="C487" s="3">
        <f>MEDIAN(H487:K487)</f>
        <v>5650.0</v>
      </c>
      <c r="D487" s="3">
        <f>ROUND(C487*(1-Settings!$B$2),2)</f>
        <v>3955.0</v>
      </c>
      <c r="E487" s="2" t="inlineStr">
        <is>
          <t>Pokemon</t>
        </is>
      </c>
      <c r="F487" s="2" t="inlineStr">
        <is>
          <t>Case/Display</t>
        </is>
      </c>
      <c r="G487" s="2" t="inlineStr">
        <is>
          <t>SWSH07: Evolving Skies</t>
        </is>
      </c>
      <c r="H487" s="3" t="n"/>
      <c r="I487" s="3" t="n"/>
      <c r="J487" s="3" t="n">
        <v>5700</v>
      </c>
      <c r="K487" s="3" t="n">
        <v>5600</v>
      </c>
      <c r="L487" s="2" t="inlineStr">
        <is>
          <t>TCGplayer</t>
        </is>
      </c>
      <c r="N487" s="4" t="inlineStr">
        <is>
          <t>https://www.tcgplayer.com/product/243722</t>
        </is>
      </c>
    </row>
    <row r="488">
      <c r="A488" s="2" t="inlineStr">
        <is>
          <t>Evolving Skies Pokemon Center Elite Trainer Box Case [Glaceon/Vaporeon/Sylveon/Espeon] (Exclusive)</t>
        </is>
      </c>
      <c r="B488" s="3">
        <f>IF(H488&lt;&gt;"",H488,IF(I488&lt;&gt;"",I488,IF(J488&lt;&gt;"",J488,K488)))</f>
        <v>9999.95</v>
      </c>
      <c r="C488" s="3">
        <f>MEDIAN(H488:K488)</f>
        <v>9999.95</v>
      </c>
      <c r="D488" s="3">
        <f>ROUND(C488*(1-Settings!$B$2),2)</f>
        <v>6999.97</v>
      </c>
      <c r="E488" s="2" t="inlineStr">
        <is>
          <t>Pokemon</t>
        </is>
      </c>
      <c r="F488" s="2" t="inlineStr">
        <is>
          <t>Case/Display</t>
        </is>
      </c>
      <c r="G488" s="2" t="inlineStr">
        <is>
          <t>SWSH07: Evolving Skies</t>
        </is>
      </c>
      <c r="H488" s="3" t="n"/>
      <c r="I488" s="3" t="n"/>
      <c r="J488" s="3" t="n">
        <v>9999.950000000001</v>
      </c>
      <c r="K488" s="3" t="n">
        <v>9999.950000000001</v>
      </c>
      <c r="L488" s="2" t="inlineStr">
        <is>
          <t>TCGplayer</t>
        </is>
      </c>
      <c r="N488" s="4" t="inlineStr">
        <is>
          <t>https://www.tcgplayer.com/product/628319</t>
        </is>
      </c>
    </row>
    <row r="489">
      <c r="A489" s="2" t="inlineStr">
        <is>
          <t>Fusion Strike Booster Box Case</t>
        </is>
      </c>
      <c r="B489" s="3">
        <f>IF(H489&lt;&gt;"",H489,IF(I489&lt;&gt;"",I489,IF(J489&lt;&gt;"",J489,K489)))</f>
        <v>6538.79</v>
      </c>
      <c r="C489" s="3">
        <f>MEDIAN(H489:K489)</f>
        <v>6538.79</v>
      </c>
      <c r="D489" s="3">
        <f>ROUND(C489*(1-Settings!$B$2),2)</f>
        <v>4577.15</v>
      </c>
      <c r="E489" s="2" t="inlineStr">
        <is>
          <t>Pokemon</t>
        </is>
      </c>
      <c r="F489" s="2" t="inlineStr">
        <is>
          <t>Case/Display</t>
        </is>
      </c>
      <c r="G489" s="2" t="inlineStr">
        <is>
          <t>SWSH08: Fusion Strike</t>
        </is>
      </c>
      <c r="H489" s="3" t="n"/>
      <c r="I489" s="3" t="n">
        <v>6538.79</v>
      </c>
      <c r="J489" s="3" t="n">
        <v>8800</v>
      </c>
      <c r="K489" s="3" t="n">
        <v>5900</v>
      </c>
      <c r="L489" s="2" t="inlineStr">
        <is>
          <t>TCGplayer</t>
        </is>
      </c>
      <c r="N489" s="4" t="inlineStr">
        <is>
          <t>https://www.tcgplayer.com/product/247655</t>
        </is>
      </c>
    </row>
    <row r="490">
      <c r="A490" s="2" t="inlineStr">
        <is>
          <t>Fusion Strike Build &amp; Battle Box Display</t>
        </is>
      </c>
      <c r="B490" s="3">
        <f>IF(H490&lt;&gt;"",H490,IF(I490&lt;&gt;"",I490,IF(J490&lt;&gt;"",J490,K490)))</f>
        <v>829.82</v>
      </c>
      <c r="C490" s="3">
        <f>MEDIAN(H490:K490)</f>
        <v>921.095</v>
      </c>
      <c r="D490" s="3">
        <f>ROUND(C490*(1-Settings!$B$2),2)</f>
        <v>644.77</v>
      </c>
      <c r="E490" s="2" t="inlineStr">
        <is>
          <t>Pokemon</t>
        </is>
      </c>
      <c r="F490" s="2" t="inlineStr">
        <is>
          <t>Case/Display</t>
        </is>
      </c>
      <c r="G490" s="2" t="inlineStr">
        <is>
          <t>SWSH08: Fusion Strike</t>
        </is>
      </c>
      <c r="H490" s="3" t="n">
        <v>829.8200000000001</v>
      </c>
      <c r="I490" s="3" t="n">
        <v>923.29</v>
      </c>
      <c r="J490" s="3" t="n">
        <v>1026.49</v>
      </c>
      <c r="K490" s="3" t="n">
        <v>918.9</v>
      </c>
      <c r="L490" s="2" t="inlineStr">
        <is>
          <t>PriceCharting + TCGplayer</t>
        </is>
      </c>
      <c r="M490" s="4" t="inlineStr">
        <is>
          <t>https://www.pricecharting.com/game/pokemon-fusion-strike/build-&amp;-battle-box-display</t>
        </is>
      </c>
      <c r="N490" s="4" t="inlineStr">
        <is>
          <t>https://www.tcgplayer.com/product/247660</t>
        </is>
      </c>
    </row>
    <row r="491">
      <c r="A491" s="2" t="inlineStr">
        <is>
          <t>Fusion Strike Pokemon Center Elite Trainer Box Case (Exclusive)</t>
        </is>
      </c>
      <c r="B491" s="3">
        <f>IF(H491&lt;&gt;"",H491,IF(I491&lt;&gt;"",I491,IF(J491&lt;&gt;"",J491,K491)))</f>
        <v>2475.72</v>
      </c>
      <c r="C491" s="3">
        <f>MEDIAN(H491:K491)</f>
        <v>3500.0</v>
      </c>
      <c r="D491" s="3">
        <f>ROUND(C491*(1-Settings!$B$2),2)</f>
        <v>2450.0</v>
      </c>
      <c r="E491" s="2" t="inlineStr">
        <is>
          <t>Pokemon</t>
        </is>
      </c>
      <c r="F491" s="2" t="inlineStr">
        <is>
          <t>Case/Display</t>
        </is>
      </c>
      <c r="G491" s="2" t="inlineStr">
        <is>
          <t>SWSH08: Fusion Strike</t>
        </is>
      </c>
      <c r="H491" s="3" t="n"/>
      <c r="I491" s="3" t="n">
        <v>2475.72</v>
      </c>
      <c r="J491" s="3" t="n">
        <v>3747</v>
      </c>
      <c r="K491" s="3" t="n">
        <v>3500</v>
      </c>
      <c r="L491" s="2" t="inlineStr">
        <is>
          <t>TCGplayer</t>
        </is>
      </c>
      <c r="N491" s="4" t="inlineStr">
        <is>
          <t>https://www.tcgplayer.com/product/557076</t>
        </is>
      </c>
    </row>
    <row r="492">
      <c r="A492" s="2" t="inlineStr">
        <is>
          <t>Fusion Strike Sleeved Booster Case</t>
        </is>
      </c>
      <c r="B492" s="3">
        <f>IF(H492&lt;&gt;"",H492,IF(I492&lt;&gt;"",I492,IF(J492&lt;&gt;"",J492,K492)))</f>
        <v>3209.7</v>
      </c>
      <c r="C492" s="3">
        <f>MEDIAN(H492:K492)</f>
        <v>3498.99</v>
      </c>
      <c r="D492" s="3">
        <f>ROUND(C492*(1-Settings!$B$2),2)</f>
        <v>2449.29</v>
      </c>
      <c r="E492" s="2" t="inlineStr">
        <is>
          <t>Pokemon</t>
        </is>
      </c>
      <c r="F492" s="2" t="inlineStr">
        <is>
          <t>Case/Display</t>
        </is>
      </c>
      <c r="G492" s="2" t="inlineStr">
        <is>
          <t>SWSH08: Fusion Strike</t>
        </is>
      </c>
      <c r="H492" s="3" t="n"/>
      <c r="I492" s="3" t="n">
        <v>3209.7</v>
      </c>
      <c r="J492" s="3" t="n">
        <v>3999.94</v>
      </c>
      <c r="K492" s="3" t="n">
        <v>3498.99</v>
      </c>
      <c r="L492" s="2" t="inlineStr">
        <is>
          <t>TCGplayer</t>
        </is>
      </c>
      <c r="N492" s="4" t="inlineStr">
        <is>
          <t>https://www.tcgplayer.com/product/547703</t>
        </is>
      </c>
    </row>
    <row r="493">
      <c r="A493" s="2" t="inlineStr">
        <is>
          <t>Arceus V Figure Collection Case</t>
        </is>
      </c>
      <c r="B493" s="3">
        <f>IF(H493&lt;&gt;"",H493,IF(I493&lt;&gt;"",I493,IF(J493&lt;&gt;"",J493,K493)))</f>
        <v>894.0</v>
      </c>
      <c r="C493" s="3">
        <f>MEDIAN(H493:K493)</f>
        <v>1000.0</v>
      </c>
      <c r="D493" s="3">
        <f>ROUND(C493*(1-Settings!$B$2),2)</f>
        <v>700.0</v>
      </c>
      <c r="E493" s="2" t="inlineStr">
        <is>
          <t>Pokemon</t>
        </is>
      </c>
      <c r="F493" s="2" t="inlineStr">
        <is>
          <t>Case/Display</t>
        </is>
      </c>
      <c r="G493" s="2" t="inlineStr">
        <is>
          <t>SWSH09: Brilliant Stars</t>
        </is>
      </c>
      <c r="H493" s="3" t="n"/>
      <c r="I493" s="3" t="n">
        <v>894</v>
      </c>
      <c r="J493" s="3" t="n">
        <v>1000</v>
      </c>
      <c r="K493" s="3" t="n">
        <v>1000</v>
      </c>
      <c r="L493" s="2" t="inlineStr">
        <is>
          <t>TCGplayer</t>
        </is>
      </c>
      <c r="N493" s="4" t="inlineStr">
        <is>
          <t>https://www.tcgplayer.com/product/651285</t>
        </is>
      </c>
    </row>
    <row r="494">
      <c r="A494" s="2" t="inlineStr">
        <is>
          <t>Brilliant Stars Build &amp; Battle Box Display</t>
        </is>
      </c>
      <c r="B494" s="3">
        <f>IF(H494&lt;&gt;"",H494,IF(I494&lt;&gt;"",I494,IF(J494&lt;&gt;"",J494,K494)))</f>
        <v>629.28</v>
      </c>
      <c r="C494" s="3">
        <f>MEDIAN(H494:K494)</f>
        <v>688.0</v>
      </c>
      <c r="D494" s="3">
        <f>ROUND(C494*(1-Settings!$B$2),2)</f>
        <v>481.6</v>
      </c>
      <c r="E494" s="2" t="inlineStr">
        <is>
          <t>Pokemon</t>
        </is>
      </c>
      <c r="F494" s="2" t="inlineStr">
        <is>
          <t>Case/Display</t>
        </is>
      </c>
      <c r="G494" s="2" t="inlineStr">
        <is>
          <t>SWSH09: Brilliant Stars</t>
        </is>
      </c>
      <c r="H494" s="3" t="n"/>
      <c r="I494" s="3" t="n">
        <v>629.28</v>
      </c>
      <c r="J494" s="3" t="n">
        <v>769.99</v>
      </c>
      <c r="K494" s="3" t="n">
        <v>688</v>
      </c>
      <c r="L494" s="2" t="inlineStr">
        <is>
          <t>TCGplayer</t>
        </is>
      </c>
      <c r="N494" s="4" t="inlineStr">
        <is>
          <t>https://www.tcgplayer.com/product/256144</t>
        </is>
      </c>
    </row>
    <row r="495">
      <c r="A495" s="2" t="inlineStr">
        <is>
          <t>Brilliant Stars Elite Trainer Box Case</t>
        </is>
      </c>
      <c r="B495" s="3">
        <f>IF(H495&lt;&gt;"",H495,IF(I495&lt;&gt;"",I495,IF(J495&lt;&gt;"",J495,K495)))</f>
        <v>1682.98</v>
      </c>
      <c r="C495" s="3">
        <f>MEDIAN(H495:K495)</f>
        <v>1918.79</v>
      </c>
      <c r="D495" s="3">
        <f>ROUND(C495*(1-Settings!$B$2),2)</f>
        <v>1343.15</v>
      </c>
      <c r="E495" s="2" t="inlineStr">
        <is>
          <t>Pokemon</t>
        </is>
      </c>
      <c r="F495" s="2" t="inlineStr">
        <is>
          <t>Case/Display</t>
        </is>
      </c>
      <c r="G495" s="2" t="inlineStr">
        <is>
          <t>SWSH09: Brilliant Stars</t>
        </is>
      </c>
      <c r="H495" s="3" t="n"/>
      <c r="I495" s="3" t="n">
        <v>1682.98</v>
      </c>
      <c r="J495" s="3" t="n">
        <v>1918.85</v>
      </c>
      <c r="K495" s="3" t="n">
        <v>1918.79</v>
      </c>
      <c r="L495" s="2" t="inlineStr">
        <is>
          <t>TCGplayer</t>
        </is>
      </c>
      <c r="N495" s="4" t="inlineStr">
        <is>
          <t>https://www.tcgplayer.com/product/264269</t>
        </is>
      </c>
    </row>
    <row r="496">
      <c r="A496" s="2" t="inlineStr">
        <is>
          <t>Brilliant Stars Sleeved Booster Pack Case</t>
        </is>
      </c>
      <c r="B496" s="3">
        <f>IF(H496&lt;&gt;"",H496,IF(I496&lt;&gt;"",I496,IF(J496&lt;&gt;"",J496,K496)))</f>
        <v>2219.96</v>
      </c>
      <c r="C496" s="3">
        <f>MEDIAN(H496:K496)</f>
        <v>2479.89</v>
      </c>
      <c r="D496" s="3">
        <f>ROUND(C496*(1-Settings!$B$2),2)</f>
        <v>1735.92</v>
      </c>
      <c r="E496" s="2" t="inlineStr">
        <is>
          <t>Pokemon</t>
        </is>
      </c>
      <c r="F496" s="2" t="inlineStr">
        <is>
          <t>Case/Display</t>
        </is>
      </c>
      <c r="G496" s="2" t="inlineStr">
        <is>
          <t>SWSH09: Brilliant Stars</t>
        </is>
      </c>
      <c r="H496" s="3" t="n"/>
      <c r="I496" s="3" t="n">
        <v>2219.96</v>
      </c>
      <c r="J496" s="3" t="n">
        <v>2499.86</v>
      </c>
      <c r="K496" s="3" t="n">
        <v>2479.89</v>
      </c>
      <c r="L496" s="2" t="inlineStr">
        <is>
          <t>TCGplayer</t>
        </is>
      </c>
      <c r="N496" s="4" t="inlineStr">
        <is>
          <t>https://www.tcgplayer.com/product/599964</t>
        </is>
      </c>
    </row>
    <row r="497">
      <c r="A497" s="2" t="inlineStr">
        <is>
          <t>Astral Radiance 3 Pack Blister Case</t>
        </is>
      </c>
      <c r="B497" s="3">
        <f>IF(H497&lt;&gt;"",H497,IF(I497&lt;&gt;"",I497,IF(J497&lt;&gt;"",J497,K497)))</f>
        <v>920.32</v>
      </c>
      <c r="C497" s="3">
        <f>MEDIAN(H497:K497)</f>
        <v>920.32</v>
      </c>
      <c r="D497" s="3">
        <f>ROUND(C497*(1-Settings!$B$2),2)</f>
        <v>644.22</v>
      </c>
      <c r="E497" s="2" t="inlineStr">
        <is>
          <t>Pokemon</t>
        </is>
      </c>
      <c r="F497" s="2" t="inlineStr">
        <is>
          <t>Case/Display</t>
        </is>
      </c>
      <c r="G497" s="2" t="inlineStr">
        <is>
          <t>SWSH10: Astral Radiance</t>
        </is>
      </c>
      <c r="H497" s="3" t="n"/>
      <c r="I497" s="3" t="n">
        <v>920.3200000000001</v>
      </c>
      <c r="J497" s="3" t="n"/>
      <c r="K497" s="3" t="n"/>
      <c r="L497" s="2" t="inlineStr">
        <is>
          <t>TCGplayer</t>
        </is>
      </c>
      <c r="N497" s="4" t="inlineStr">
        <is>
          <t>https://www.tcgplayer.com/product/679043</t>
        </is>
      </c>
    </row>
    <row r="498">
      <c r="A498" s="2" t="inlineStr">
        <is>
          <t>Astral Radiance Booster Box Case</t>
        </is>
      </c>
      <c r="B498" s="3">
        <f>IF(H498&lt;&gt;"",H498,IF(I498&lt;&gt;"",I498,IF(J498&lt;&gt;"",J498,K498)))</f>
        <v>2509.86</v>
      </c>
      <c r="C498" s="3">
        <f>MEDIAN(H498:K498)</f>
        <v>3499.95</v>
      </c>
      <c r="D498" s="3">
        <f>ROUND(C498*(1-Settings!$B$2),2)</f>
        <v>2449.97</v>
      </c>
      <c r="E498" s="2" t="inlineStr">
        <is>
          <t>Pokemon</t>
        </is>
      </c>
      <c r="F498" s="2" t="inlineStr">
        <is>
          <t>Case/Display</t>
        </is>
      </c>
      <c r="G498" s="2" t="inlineStr">
        <is>
          <t>SWSH10: Astral Radiance</t>
        </is>
      </c>
      <c r="H498" s="3" t="n"/>
      <c r="I498" s="3" t="n">
        <v>2509.86</v>
      </c>
      <c r="J498" s="3" t="n">
        <v>3990</v>
      </c>
      <c r="K498" s="3" t="n">
        <v>3499.95</v>
      </c>
      <c r="L498" s="2" t="inlineStr">
        <is>
          <t>TCGplayer</t>
        </is>
      </c>
      <c r="N498" s="4" t="inlineStr">
        <is>
          <t>https://www.tcgplayer.com/product/265520</t>
        </is>
      </c>
    </row>
    <row r="499">
      <c r="A499" s="2" t="inlineStr">
        <is>
          <t>Astral Radiance Build &amp; Battle Box Display</t>
        </is>
      </c>
      <c r="B499" s="3">
        <f>IF(H499&lt;&gt;"",H499,IF(I499&lt;&gt;"",I499,IF(J499&lt;&gt;"",J499,K499)))</f>
        <v>430.27</v>
      </c>
      <c r="C499" s="3">
        <f>MEDIAN(H499:K499)</f>
        <v>589.99</v>
      </c>
      <c r="D499" s="3">
        <f>ROUND(C499*(1-Settings!$B$2),2)</f>
        <v>412.99</v>
      </c>
      <c r="E499" s="2" t="inlineStr">
        <is>
          <t>Pokemon</t>
        </is>
      </c>
      <c r="F499" s="2" t="inlineStr">
        <is>
          <t>Case/Display</t>
        </is>
      </c>
      <c r="G499" s="2" t="inlineStr">
        <is>
          <t>SWSH10: Astral Radiance</t>
        </is>
      </c>
      <c r="H499" s="3" t="n"/>
      <c r="I499" s="3" t="n">
        <v>430.27</v>
      </c>
      <c r="J499" s="3" t="n">
        <v>795</v>
      </c>
      <c r="K499" s="3" t="n">
        <v>589.99</v>
      </c>
      <c r="L499" s="2" t="inlineStr">
        <is>
          <t>TCGplayer</t>
        </is>
      </c>
      <c r="N499" s="4" t="inlineStr">
        <is>
          <t>https://www.tcgplayer.com/product/272137</t>
        </is>
      </c>
    </row>
    <row r="500">
      <c r="A500" s="2" t="inlineStr">
        <is>
          <t>Astral Radiance Pokemon Center Elite Trainer Box Case (Exclusive)</t>
        </is>
      </c>
      <c r="B500" s="3">
        <f>IF(H500&lt;&gt;"",H500,IF(I500&lt;&gt;"",I500,IF(J500&lt;&gt;"",J500,K500)))</f>
        <v>1146.0</v>
      </c>
      <c r="C500" s="3">
        <f>MEDIAN(H500:K500)</f>
        <v>1170.0</v>
      </c>
      <c r="D500" s="3">
        <f>ROUND(C500*(1-Settings!$B$2),2)</f>
        <v>819.0</v>
      </c>
      <c r="E500" s="2" t="inlineStr">
        <is>
          <t>Pokemon</t>
        </is>
      </c>
      <c r="F500" s="2" t="inlineStr">
        <is>
          <t>Case/Display</t>
        </is>
      </c>
      <c r="G500" s="2" t="inlineStr">
        <is>
          <t>SWSH10: Astral Radiance</t>
        </is>
      </c>
      <c r="H500" s="3" t="n"/>
      <c r="I500" s="3" t="n">
        <v>1146</v>
      </c>
      <c r="J500" s="3" t="n">
        <v>1460</v>
      </c>
      <c r="K500" s="3" t="n">
        <v>1170</v>
      </c>
      <c r="L500" s="2" t="inlineStr">
        <is>
          <t>TCGplayer</t>
        </is>
      </c>
      <c r="N500" s="4" t="inlineStr">
        <is>
          <t>https://www.tcgplayer.com/product/279424</t>
        </is>
      </c>
    </row>
    <row r="501">
      <c r="A501" s="2" t="inlineStr">
        <is>
          <t>Astral Radiance Sleeved Booster Pack Case</t>
        </is>
      </c>
      <c r="B501" s="3">
        <f>IF(H501&lt;&gt;"",H501,IF(I501&lt;&gt;"",I501,IF(J501&lt;&gt;"",J501,K501)))</f>
        <v>1376.42</v>
      </c>
      <c r="C501" s="3">
        <f>MEDIAN(H501:K501)</f>
        <v>1724.99</v>
      </c>
      <c r="D501" s="3">
        <f>ROUND(C501*(1-Settings!$B$2),2)</f>
        <v>1207.49</v>
      </c>
      <c r="E501" s="2" t="inlineStr">
        <is>
          <t>Pokemon</t>
        </is>
      </c>
      <c r="F501" s="2" t="inlineStr">
        <is>
          <t>Case/Display</t>
        </is>
      </c>
      <c r="G501" s="2" t="inlineStr">
        <is>
          <t>SWSH10: Astral Radiance</t>
        </is>
      </c>
      <c r="H501" s="3" t="n"/>
      <c r="I501" s="3" t="n">
        <v>1376.42</v>
      </c>
      <c r="J501" s="3" t="n">
        <v>1734.84</v>
      </c>
      <c r="K501" s="3" t="n">
        <v>1724.99</v>
      </c>
      <c r="L501" s="2" t="inlineStr">
        <is>
          <t>TCGplayer</t>
        </is>
      </c>
      <c r="N501" s="4" t="inlineStr">
        <is>
          <t>https://www.tcgplayer.com/product/496130</t>
        </is>
      </c>
    </row>
    <row r="502">
      <c r="A502" s="2" t="inlineStr">
        <is>
          <t>Lost Origin Booster Box Case</t>
        </is>
      </c>
      <c r="B502" s="3">
        <f>IF(H502&lt;&gt;"",H502,IF(I502&lt;&gt;"",I502,IF(J502&lt;&gt;"",J502,K502)))</f>
        <v>4565.9</v>
      </c>
      <c r="C502" s="3">
        <f>MEDIAN(H502:K502)</f>
        <v>4599.5</v>
      </c>
      <c r="D502" s="3">
        <f>ROUND(C502*(1-Settings!$B$2),2)</f>
        <v>3219.65</v>
      </c>
      <c r="E502" s="2" t="inlineStr">
        <is>
          <t>Pokemon</t>
        </is>
      </c>
      <c r="F502" s="2" t="inlineStr">
        <is>
          <t>Case/Display</t>
        </is>
      </c>
      <c r="G502" s="2" t="inlineStr">
        <is>
          <t>SWSH11: Lost Origin</t>
        </is>
      </c>
      <c r="H502" s="3" t="n"/>
      <c r="I502" s="3" t="n">
        <v>4565.9</v>
      </c>
      <c r="J502" s="3" t="n">
        <v>5999.99</v>
      </c>
      <c r="K502" s="3" t="n">
        <v>4599.5</v>
      </c>
      <c r="L502" s="2" t="inlineStr">
        <is>
          <t>TCGplayer</t>
        </is>
      </c>
      <c r="N502" s="4" t="inlineStr">
        <is>
          <t>https://www.tcgplayer.com/product/278793</t>
        </is>
      </c>
    </row>
    <row r="503">
      <c r="A503" s="2" t="inlineStr">
        <is>
          <t>Lost Origin Booster Bundle Case</t>
        </is>
      </c>
      <c r="B503" s="3">
        <f>IF(H503&lt;&gt;"",H503,IF(I503&lt;&gt;"",I503,IF(J503&lt;&gt;"",J503,K503)))</f>
        <v>20998.95</v>
      </c>
      <c r="C503" s="3">
        <f>MEDIAN(H503:K503)</f>
        <v>20498.95</v>
      </c>
      <c r="D503" s="3">
        <f>ROUND(C503*(1-Settings!$B$2),2)</f>
        <v>14349.27</v>
      </c>
      <c r="E503" s="2" t="inlineStr">
        <is>
          <t>Pokemon</t>
        </is>
      </c>
      <c r="F503" s="2" t="inlineStr">
        <is>
          <t>Case/Display</t>
        </is>
      </c>
      <c r="G503" s="2" t="inlineStr">
        <is>
          <t>SWSH11: Lost Origin</t>
        </is>
      </c>
      <c r="H503" s="3" t="n"/>
      <c r="I503" s="3" t="n"/>
      <c r="J503" s="3" t="n">
        <v>20998.95</v>
      </c>
      <c r="K503" s="3" t="n">
        <v>19998.95</v>
      </c>
      <c r="L503" s="2" t="inlineStr">
        <is>
          <t>TCGplayer</t>
        </is>
      </c>
      <c r="N503" s="4" t="inlineStr">
        <is>
          <t>https://www.tcgplayer.com/product/479361</t>
        </is>
      </c>
    </row>
    <row r="504">
      <c r="A504" s="2" t="inlineStr">
        <is>
          <t>Lost Origin Build &amp; Battle Box Display</t>
        </is>
      </c>
      <c r="B504" s="3">
        <f>IF(H504&lt;&gt;"",H504,IF(I504&lt;&gt;"",I504,IF(J504&lt;&gt;"",J504,K504)))</f>
        <v>903.55</v>
      </c>
      <c r="C504" s="3">
        <f>MEDIAN(H504:K504)</f>
        <v>859.99</v>
      </c>
      <c r="D504" s="3">
        <f>ROUND(C504*(1-Settings!$B$2),2)</f>
        <v>601.99</v>
      </c>
      <c r="E504" s="2" t="inlineStr">
        <is>
          <t>Pokemon</t>
        </is>
      </c>
      <c r="F504" s="2" t="inlineStr">
        <is>
          <t>Case/Display</t>
        </is>
      </c>
      <c r="G504" s="2" t="inlineStr">
        <is>
          <t>SWSH11: Lost Origin</t>
        </is>
      </c>
      <c r="H504" s="3" t="n"/>
      <c r="I504" s="3" t="n">
        <v>903.55</v>
      </c>
      <c r="J504" s="3" t="n">
        <v>859.99</v>
      </c>
      <c r="K504" s="3" t="n">
        <v>849.25</v>
      </c>
      <c r="L504" s="2" t="inlineStr">
        <is>
          <t>TCGplayer</t>
        </is>
      </c>
      <c r="N504" s="4" t="inlineStr">
        <is>
          <t>https://www.tcgplayer.com/product/278795</t>
        </is>
      </c>
    </row>
    <row r="505">
      <c r="A505" s="2" t="inlineStr">
        <is>
          <t>Lost Origin Build &amp; Battle Stadium Case</t>
        </is>
      </c>
      <c r="B505" s="3">
        <f>IF(H505&lt;&gt;"",H505,IF(I505&lt;&gt;"",I505,IF(J505&lt;&gt;"",J505,K505)))</f>
        <v>1499.99</v>
      </c>
      <c r="C505" s="3">
        <f>MEDIAN(H505:K505)</f>
        <v>1217.7350000000001</v>
      </c>
      <c r="D505" s="3">
        <f>ROUND(C505*(1-Settings!$B$2),2)</f>
        <v>852.41</v>
      </c>
      <c r="E505" s="2" t="inlineStr">
        <is>
          <t>Pokemon</t>
        </is>
      </c>
      <c r="F505" s="2" t="inlineStr">
        <is>
          <t>Case/Display</t>
        </is>
      </c>
      <c r="G505" s="2" t="inlineStr">
        <is>
          <t>SWSH11: Lost Origin</t>
        </is>
      </c>
      <c r="H505" s="3" t="n"/>
      <c r="I505" s="3" t="n"/>
      <c r="J505" s="3" t="n">
        <v>1499.99</v>
      </c>
      <c r="K505" s="3" t="n">
        <v>935.48</v>
      </c>
      <c r="L505" s="2" t="inlineStr">
        <is>
          <t>TCGplayer</t>
        </is>
      </c>
      <c r="N505" s="4" t="inlineStr">
        <is>
          <t>https://www.tcgplayer.com/product/648474</t>
        </is>
      </c>
    </row>
    <row r="506">
      <c r="A506" s="2" t="inlineStr">
        <is>
          <t>Lost Origin Elite Trainer Box Case</t>
        </is>
      </c>
      <c r="B506" s="3">
        <f>IF(H506&lt;&gt;"",H506,IF(I506&lt;&gt;"",I506,IF(J506&lt;&gt;"",J506,K506)))</f>
        <v>1953.94</v>
      </c>
      <c r="C506" s="3">
        <f>MEDIAN(H506:K506)</f>
        <v>1998.0</v>
      </c>
      <c r="D506" s="3">
        <f>ROUND(C506*(1-Settings!$B$2),2)</f>
        <v>1398.6</v>
      </c>
      <c r="E506" s="2" t="inlineStr">
        <is>
          <t>Pokemon</t>
        </is>
      </c>
      <c r="F506" s="2" t="inlineStr">
        <is>
          <t>Case/Display</t>
        </is>
      </c>
      <c r="G506" s="2" t="inlineStr">
        <is>
          <t>SWSH11: Lost Origin</t>
        </is>
      </c>
      <c r="H506" s="3" t="n"/>
      <c r="I506" s="3" t="n">
        <v>1953.94</v>
      </c>
      <c r="J506" s="3" t="n">
        <v>2697.89</v>
      </c>
      <c r="K506" s="3" t="n">
        <v>1998</v>
      </c>
      <c r="L506" s="2" t="inlineStr">
        <is>
          <t>TCGplayer</t>
        </is>
      </c>
      <c r="N506" s="4" t="inlineStr">
        <is>
          <t>https://www.tcgplayer.com/product/278796</t>
        </is>
      </c>
    </row>
    <row r="507">
      <c r="A507" s="2" t="inlineStr">
        <is>
          <t>Lost Origin Pokemon Center Elite Trainer Box Case (Exclusive)</t>
        </is>
      </c>
      <c r="B507" s="3">
        <f>IF(H507&lt;&gt;"",H507,IF(I507&lt;&gt;"",I507,IF(J507&lt;&gt;"",J507,K507)))</f>
        <v>4999.99</v>
      </c>
      <c r="C507" s="3">
        <f>MEDIAN(H507:K507)</f>
        <v>3349.995</v>
      </c>
      <c r="D507" s="3">
        <f>ROUND(C507*(1-Settings!$B$2),2)</f>
        <v>2345.0</v>
      </c>
      <c r="E507" s="2" t="inlineStr">
        <is>
          <t>Pokemon</t>
        </is>
      </c>
      <c r="F507" s="2" t="inlineStr">
        <is>
          <t>Case/Display</t>
        </is>
      </c>
      <c r="G507" s="2" t="inlineStr">
        <is>
          <t>SWSH11: Lost Origin</t>
        </is>
      </c>
      <c r="H507" s="3" t="n"/>
      <c r="I507" s="3" t="n"/>
      <c r="J507" s="3" t="n">
        <v>4999.99</v>
      </c>
      <c r="K507" s="3" t="n">
        <v>1700</v>
      </c>
      <c r="L507" s="2" t="inlineStr">
        <is>
          <t>TCGplayer</t>
        </is>
      </c>
      <c r="N507" s="4" t="inlineStr">
        <is>
          <t>https://www.tcgplayer.com/product/652759</t>
        </is>
      </c>
    </row>
    <row r="508">
      <c r="A508" s="2" t="inlineStr">
        <is>
          <t>Lost Origin Sleeved Booster Pack Case</t>
        </is>
      </c>
      <c r="B508" s="3">
        <f>IF(H508&lt;&gt;"",H508,IF(I508&lt;&gt;"",I508,IF(J508&lt;&gt;"",J508,K508)))</f>
        <v>2860.12</v>
      </c>
      <c r="C508" s="3">
        <f>MEDIAN(H508:K508)</f>
        <v>2879.74</v>
      </c>
      <c r="D508" s="3">
        <f>ROUND(C508*(1-Settings!$B$2),2)</f>
        <v>2015.82</v>
      </c>
      <c r="E508" s="2" t="inlineStr">
        <is>
          <t>Pokemon</t>
        </is>
      </c>
      <c r="F508" s="2" t="inlineStr">
        <is>
          <t>Case/Display</t>
        </is>
      </c>
      <c r="G508" s="2" t="inlineStr">
        <is>
          <t>SWSH11: Lost Origin</t>
        </is>
      </c>
      <c r="H508" s="3" t="n"/>
      <c r="I508" s="3" t="n">
        <v>2860.12</v>
      </c>
      <c r="J508" s="3" t="n">
        <v>3000</v>
      </c>
      <c r="K508" s="3" t="n">
        <v>2879.74</v>
      </c>
      <c r="L508" s="2" t="inlineStr">
        <is>
          <t>TCGplayer</t>
        </is>
      </c>
      <c r="N508" s="4" t="inlineStr">
        <is>
          <t>https://www.tcgplayer.com/product/496131</t>
        </is>
      </c>
    </row>
    <row r="509">
      <c r="A509" s="2" t="inlineStr">
        <is>
          <t>Pokemon Stacking Tins: Fighting-Fire-Darkness Display</t>
        </is>
      </c>
      <c r="B509" s="3">
        <f>IF(H509&lt;&gt;"",H509,IF(I509&lt;&gt;"",I509,IF(J509&lt;&gt;"",J509,K509)))</f>
        <v>500.0</v>
      </c>
      <c r="C509" s="3">
        <f>MEDIAN(H509:K509)</f>
        <v>398.505</v>
      </c>
      <c r="D509" s="3">
        <f>ROUND(C509*(1-Settings!$B$2),2)</f>
        <v>278.95</v>
      </c>
      <c r="E509" s="2" t="inlineStr">
        <is>
          <t>Pokemon</t>
        </is>
      </c>
      <c r="F509" s="2" t="inlineStr">
        <is>
          <t>Case/Display</t>
        </is>
      </c>
      <c r="G509" s="2" t="inlineStr">
        <is>
          <t>SWSH11: Lost Origin</t>
        </is>
      </c>
      <c r="H509" s="3" t="n"/>
      <c r="I509" s="3" t="n"/>
      <c r="J509" s="3" t="n">
        <v>500</v>
      </c>
      <c r="K509" s="3" t="n">
        <v>297.01</v>
      </c>
      <c r="L509" s="2" t="inlineStr">
        <is>
          <t>TCGplayer</t>
        </is>
      </c>
      <c r="N509" s="4" t="inlineStr">
        <is>
          <t>https://www.tcgplayer.com/product/282407</t>
        </is>
      </c>
    </row>
    <row r="510">
      <c r="A510" s="2" t="inlineStr">
        <is>
          <t>Sword &amp; Shield Ultra-Premium Collection: Charizard Case</t>
        </is>
      </c>
      <c r="B510" s="3">
        <f>IF(H510&lt;&gt;"",H510,IF(I510&lt;&gt;"",I510,IF(J510&lt;&gt;"",J510,K510)))</f>
        <v>2734.45</v>
      </c>
      <c r="C510" s="3">
        <f>MEDIAN(H510:K510)</f>
        <v>2734.45</v>
      </c>
      <c r="D510" s="3">
        <f>ROUND(C510*(1-Settings!$B$2),2)</f>
        <v>1914.12</v>
      </c>
      <c r="E510" s="2" t="inlineStr">
        <is>
          <t>Pokemon</t>
        </is>
      </c>
      <c r="F510" s="2" t="inlineStr">
        <is>
          <t>Case/Display</t>
        </is>
      </c>
      <c r="G510" s="2" t="inlineStr">
        <is>
          <t>SWSH11: Lost Origin</t>
        </is>
      </c>
      <c r="H510" s="3" t="n"/>
      <c r="I510" s="3" t="n">
        <v>2734.45</v>
      </c>
      <c r="J510" s="3" t="n">
        <v>3100</v>
      </c>
      <c r="K510" s="3" t="n">
        <v>2399.95</v>
      </c>
      <c r="L510" s="2" t="inlineStr">
        <is>
          <t>TCGplayer</t>
        </is>
      </c>
      <c r="N510" s="4" t="inlineStr">
        <is>
          <t>https://www.tcgplayer.com/product/454377</t>
        </is>
      </c>
    </row>
    <row r="511">
      <c r="A511" s="2" t="inlineStr">
        <is>
          <t>Silver Tempest Booster Box Case</t>
        </is>
      </c>
      <c r="B511" s="3">
        <f>IF(H511&lt;&gt;"",H511,IF(I511&lt;&gt;"",I511,IF(J511&lt;&gt;"",J511,K511)))</f>
        <v>3235.49</v>
      </c>
      <c r="C511" s="3">
        <f>MEDIAN(H511:K511)</f>
        <v>3235.49</v>
      </c>
      <c r="D511" s="3">
        <f>ROUND(C511*(1-Settings!$B$2),2)</f>
        <v>2264.84</v>
      </c>
      <c r="E511" s="2" t="inlineStr">
        <is>
          <t>Pokemon</t>
        </is>
      </c>
      <c r="F511" s="2" t="inlineStr">
        <is>
          <t>Case/Display</t>
        </is>
      </c>
      <c r="G511" s="2" t="inlineStr">
        <is>
          <t>SWSH12: Silver Tempest</t>
        </is>
      </c>
      <c r="H511" s="3" t="n"/>
      <c r="I511" s="3" t="n">
        <v>3235.49</v>
      </c>
      <c r="J511" s="3" t="n">
        <v>3549.95</v>
      </c>
      <c r="K511" s="3" t="n">
        <v>3099.83</v>
      </c>
      <c r="L511" s="2" t="inlineStr">
        <is>
          <t>TCGplayer</t>
        </is>
      </c>
      <c r="N511" s="4" t="inlineStr">
        <is>
          <t>https://www.tcgplayer.com/product/283391</t>
        </is>
      </c>
    </row>
    <row r="512">
      <c r="A512" s="2" t="inlineStr">
        <is>
          <t>Silver Tempest Booster Bundle Case</t>
        </is>
      </c>
      <c r="B512" s="3">
        <f>IF(H512&lt;&gt;"",H512,IF(I512&lt;&gt;"",I512,IF(J512&lt;&gt;"",J512,K512)))</f>
        <v>1799.99</v>
      </c>
      <c r="C512" s="3">
        <f>MEDIAN(H512:K512)</f>
        <v>2965.0</v>
      </c>
      <c r="D512" s="3">
        <f>ROUND(C512*(1-Settings!$B$2),2)</f>
        <v>2075.5</v>
      </c>
      <c r="E512" s="2" t="inlineStr">
        <is>
          <t>Pokemon</t>
        </is>
      </c>
      <c r="F512" s="2" t="inlineStr">
        <is>
          <t>Case/Display</t>
        </is>
      </c>
      <c r="G512" s="2" t="inlineStr">
        <is>
          <t>SWSH12: Silver Tempest</t>
        </is>
      </c>
      <c r="H512" s="3" t="n"/>
      <c r="I512" s="3" t="n">
        <v>1799.99</v>
      </c>
      <c r="J512" s="3" t="n">
        <v>2972.49</v>
      </c>
      <c r="K512" s="3" t="n">
        <v>2965</v>
      </c>
      <c r="L512" s="2" t="inlineStr">
        <is>
          <t>TCGplayer</t>
        </is>
      </c>
      <c r="N512" s="4" t="inlineStr">
        <is>
          <t>https://www.tcgplayer.com/product/562366</t>
        </is>
      </c>
    </row>
    <row r="513">
      <c r="A513" s="2" t="inlineStr">
        <is>
          <t>Silver Tempest Build &amp; Battle Box Display</t>
        </is>
      </c>
      <c r="B513" s="3">
        <f>IF(H513&lt;&gt;"",H513,IF(I513&lt;&gt;"",I513,IF(J513&lt;&gt;"",J513,K513)))</f>
        <v>496.38</v>
      </c>
      <c r="C513" s="3">
        <f>MEDIAN(H513:K513)</f>
        <v>699.99</v>
      </c>
      <c r="D513" s="3">
        <f>ROUND(C513*(1-Settings!$B$2),2)</f>
        <v>489.99</v>
      </c>
      <c r="E513" s="2" t="inlineStr">
        <is>
          <t>Pokemon</t>
        </is>
      </c>
      <c r="F513" s="2" t="inlineStr">
        <is>
          <t>Case/Display</t>
        </is>
      </c>
      <c r="G513" s="2" t="inlineStr">
        <is>
          <t>SWSH12: Silver Tempest</t>
        </is>
      </c>
      <c r="H513" s="3" t="n"/>
      <c r="I513" s="3" t="n">
        <v>496.38</v>
      </c>
      <c r="J513" s="3" t="n">
        <v>799.64</v>
      </c>
      <c r="K513" s="3" t="n">
        <v>699.99</v>
      </c>
      <c r="L513" s="2" t="inlineStr">
        <is>
          <t>TCGplayer</t>
        </is>
      </c>
      <c r="N513" s="4" t="inlineStr">
        <is>
          <t>https://www.tcgplayer.com/product/285775</t>
        </is>
      </c>
    </row>
    <row r="514">
      <c r="A514" s="2" t="inlineStr">
        <is>
          <t>Silver Tempest Elite Trainer Box Case</t>
        </is>
      </c>
      <c r="B514" s="3">
        <f>IF(H514&lt;&gt;"",H514,IF(I514&lt;&gt;"",I514,IF(J514&lt;&gt;"",J514,K514)))</f>
        <v>1449.97</v>
      </c>
      <c r="C514" s="3">
        <f>MEDIAN(H514:K514)</f>
        <v>1674.99</v>
      </c>
      <c r="D514" s="3">
        <f>ROUND(C514*(1-Settings!$B$2),2)</f>
        <v>1172.49</v>
      </c>
      <c r="E514" s="2" t="inlineStr">
        <is>
          <t>Pokemon</t>
        </is>
      </c>
      <c r="F514" s="2" t="inlineStr">
        <is>
          <t>Case/Display</t>
        </is>
      </c>
      <c r="G514" s="2" t="inlineStr">
        <is>
          <t>SWSH12: Silver Tempest</t>
        </is>
      </c>
      <c r="H514" s="3" t="n"/>
      <c r="I514" s="3" t="n">
        <v>1449.97</v>
      </c>
      <c r="J514" s="3" t="n">
        <v>1797.49</v>
      </c>
      <c r="K514" s="3" t="n">
        <v>1674.99</v>
      </c>
      <c r="L514" s="2" t="inlineStr">
        <is>
          <t>TCGplayer</t>
        </is>
      </c>
      <c r="N514" s="4" t="inlineStr">
        <is>
          <t>https://www.tcgplayer.com/product/285777</t>
        </is>
      </c>
    </row>
    <row r="515">
      <c r="A515" s="2" t="inlineStr">
        <is>
          <t>Silver Tempest Sleeved Booster Pack Case</t>
        </is>
      </c>
      <c r="B515" s="3">
        <f>IF(H515&lt;&gt;"",H515,IF(I515&lt;&gt;"",I515,IF(J515&lt;&gt;"",J515,K515)))</f>
        <v>1976.52</v>
      </c>
      <c r="C515" s="3">
        <f>MEDIAN(H515:K515)</f>
        <v>2279.84</v>
      </c>
      <c r="D515" s="3">
        <f>ROUND(C515*(1-Settings!$B$2),2)</f>
        <v>1595.89</v>
      </c>
      <c r="E515" s="2" t="inlineStr">
        <is>
          <t>Pokemon</t>
        </is>
      </c>
      <c r="F515" s="2" t="inlineStr">
        <is>
          <t>Case/Display</t>
        </is>
      </c>
      <c r="G515" s="2" t="inlineStr">
        <is>
          <t>SWSH12: Silver Tempest</t>
        </is>
      </c>
      <c r="H515" s="3" t="n"/>
      <c r="I515" s="3" t="n">
        <v>1976.52</v>
      </c>
      <c r="J515" s="3" t="n">
        <v>2299.63</v>
      </c>
      <c r="K515" s="3" t="n">
        <v>2279.84</v>
      </c>
      <c r="L515" s="2" t="inlineStr">
        <is>
          <t>TCGplayer</t>
        </is>
      </c>
      <c r="N515" s="4" t="inlineStr">
        <is>
          <t>https://www.tcgplayer.com/product/550837</t>
        </is>
      </c>
    </row>
    <row r="516">
      <c r="A516" s="2" t="inlineStr">
        <is>
          <t>Crown Zenith Booster Bundle Case</t>
        </is>
      </c>
      <c r="B516" s="3">
        <f>IF(H516&lt;&gt;"",H516,IF(I516&lt;&gt;"",I516,IF(J516&lt;&gt;"",J516,K516)))</f>
        <v>5549.0</v>
      </c>
      <c r="C516" s="3">
        <f>MEDIAN(H516:K516)</f>
        <v>5549.0</v>
      </c>
      <c r="D516" s="3">
        <f>ROUND(C516*(1-Settings!$B$2),2)</f>
        <v>3884.3</v>
      </c>
      <c r="E516" s="2" t="inlineStr">
        <is>
          <t>Pokemon</t>
        </is>
      </c>
      <c r="F516" s="2" t="inlineStr">
        <is>
          <t>Case/Display</t>
        </is>
      </c>
      <c r="G516" s="2" t="inlineStr">
        <is>
          <t>SWSH: Crown Zenith</t>
        </is>
      </c>
      <c r="H516" s="3" t="n"/>
      <c r="I516" s="3" t="n">
        <v>5549</v>
      </c>
      <c r="J516" s="3" t="n">
        <v>6749.99</v>
      </c>
      <c r="K516" s="3" t="n">
        <v>5499.99</v>
      </c>
      <c r="L516" s="2" t="inlineStr">
        <is>
          <t>TCGplayer</t>
        </is>
      </c>
      <c r="N516" s="4" t="inlineStr">
        <is>
          <t>https://www.tcgplayer.com/product/609238</t>
        </is>
      </c>
    </row>
    <row r="517">
      <c r="A517" s="2" t="inlineStr">
        <is>
          <t>Crown Zenith Elite Trainer Box Case</t>
        </is>
      </c>
      <c r="B517" s="3">
        <f>IF(H517&lt;&gt;"",H517,IF(I517&lt;&gt;"",I517,IF(J517&lt;&gt;"",J517,K517)))</f>
        <v>3627.56</v>
      </c>
      <c r="C517" s="3">
        <f>MEDIAN(H517:K517)</f>
        <v>3627.56</v>
      </c>
      <c r="D517" s="3">
        <f>ROUND(C517*(1-Settings!$B$2),2)</f>
        <v>2539.29</v>
      </c>
      <c r="E517" s="2" t="inlineStr">
        <is>
          <t>Pokemon</t>
        </is>
      </c>
      <c r="F517" s="2" t="inlineStr">
        <is>
          <t>Case/Display</t>
        </is>
      </c>
      <c r="G517" s="2" t="inlineStr">
        <is>
          <t>SWSH: Crown Zenith</t>
        </is>
      </c>
      <c r="H517" s="3" t="n"/>
      <c r="I517" s="3" t="n">
        <v>3627.56</v>
      </c>
      <c r="J517" s="3" t="n">
        <v>4289.96</v>
      </c>
      <c r="K517" s="3" t="n">
        <v>3475</v>
      </c>
      <c r="L517" s="2" t="inlineStr">
        <is>
          <t>TCGplayer</t>
        </is>
      </c>
      <c r="N517" s="4" t="inlineStr">
        <is>
          <t>https://www.tcgplayer.com/product/453471</t>
        </is>
      </c>
    </row>
    <row r="518">
      <c r="A518" s="2" t="inlineStr">
        <is>
          <t>Crown Zenith Mini Tin Display</t>
        </is>
      </c>
      <c r="B518" s="3">
        <f>IF(H518&lt;&gt;"",H518,IF(I518&lt;&gt;"",I518,IF(J518&lt;&gt;"",J518,K518)))</f>
        <v>515.98</v>
      </c>
      <c r="C518" s="3">
        <f>MEDIAN(H518:K518)</f>
        <v>525.0</v>
      </c>
      <c r="D518" s="3">
        <f>ROUND(C518*(1-Settings!$B$2),2)</f>
        <v>367.5</v>
      </c>
      <c r="E518" s="2" t="inlineStr">
        <is>
          <t>Pokemon</t>
        </is>
      </c>
      <c r="F518" s="2" t="inlineStr">
        <is>
          <t>Case/Display</t>
        </is>
      </c>
      <c r="G518" s="2" t="inlineStr">
        <is>
          <t>SWSH: Crown Zenith</t>
        </is>
      </c>
      <c r="H518" s="3" t="n"/>
      <c r="I518" s="3" t="n">
        <v>515.98</v>
      </c>
      <c r="J518" s="3" t="n">
        <v>566.5</v>
      </c>
      <c r="K518" s="3" t="n">
        <v>525</v>
      </c>
      <c r="L518" s="2" t="inlineStr">
        <is>
          <t>TCGplayer</t>
        </is>
      </c>
      <c r="N518" s="4" t="inlineStr">
        <is>
          <t>https://www.tcgplayer.com/product/453493</t>
        </is>
      </c>
    </row>
    <row r="519">
      <c r="A519" s="2" t="inlineStr">
        <is>
          <t>Crown Zenith Mini Tin Display Case</t>
        </is>
      </c>
      <c r="B519" s="3">
        <f>IF(H519&lt;&gt;"",H519,IF(I519&lt;&gt;"",I519,IF(J519&lt;&gt;"",J519,K519)))</f>
        <v>1999.99</v>
      </c>
      <c r="C519" s="3">
        <f>MEDIAN(H519:K519)</f>
        <v>2975.0</v>
      </c>
      <c r="D519" s="3">
        <f>ROUND(C519*(1-Settings!$B$2),2)</f>
        <v>2082.5</v>
      </c>
      <c r="E519" s="2" t="inlineStr">
        <is>
          <t>Pokemon</t>
        </is>
      </c>
      <c r="F519" s="2" t="inlineStr">
        <is>
          <t>Case/Display</t>
        </is>
      </c>
      <c r="G519" s="2" t="inlineStr">
        <is>
          <t>SWSH: Crown Zenith</t>
        </is>
      </c>
      <c r="H519" s="3" t="n"/>
      <c r="I519" s="3" t="n">
        <v>1999.99</v>
      </c>
      <c r="J519" s="3" t="n">
        <v>2975</v>
      </c>
      <c r="K519" s="3" t="n">
        <v>2975</v>
      </c>
      <c r="L519" s="2" t="inlineStr">
        <is>
          <t>TCGplayer</t>
        </is>
      </c>
      <c r="N519" s="4" t="inlineStr">
        <is>
          <t>https://www.tcgplayer.com/product/631791</t>
        </is>
      </c>
    </row>
    <row r="520">
      <c r="A520" s="2" t="inlineStr">
        <is>
          <t>Crown Zenith Pin Collection Case</t>
        </is>
      </c>
      <c r="B520" s="3">
        <f>IF(H520&lt;&gt;"",H520,IF(I520&lt;&gt;"",I520,IF(J520&lt;&gt;"",J520,K520)))</f>
        <v>999.0</v>
      </c>
      <c r="C520" s="3">
        <f>MEDIAN(H520:K520)</f>
        <v>999.0</v>
      </c>
      <c r="D520" s="3">
        <f>ROUND(C520*(1-Settings!$B$2),2)</f>
        <v>699.3</v>
      </c>
      <c r="E520" s="2" t="inlineStr">
        <is>
          <t>Pokemon</t>
        </is>
      </c>
      <c r="F520" s="2" t="inlineStr">
        <is>
          <t>Case/Display</t>
        </is>
      </c>
      <c r="G520" s="2" t="inlineStr">
        <is>
          <t>SWSH: Crown Zenith</t>
        </is>
      </c>
      <c r="H520" s="3" t="n"/>
      <c r="I520" s="3" t="n"/>
      <c r="J520" s="3" t="n">
        <v>999</v>
      </c>
      <c r="K520" s="3" t="n">
        <v>999</v>
      </c>
      <c r="L520" s="2" t="inlineStr">
        <is>
          <t>TCGplayer</t>
        </is>
      </c>
      <c r="N520" s="4" t="inlineStr">
        <is>
          <t>https://www.tcgplayer.com/product/711447</t>
        </is>
      </c>
    </row>
    <row r="521">
      <c r="A521" s="2" t="inlineStr">
        <is>
          <t>Crown Zenith Pokemon Center Elite Trainer Box Plus Case</t>
        </is>
      </c>
      <c r="B521" s="3">
        <f>IF(H521&lt;&gt;"",H521,IF(I521&lt;&gt;"",I521,IF(J521&lt;&gt;"",J521,K521)))</f>
        <v>2499.99</v>
      </c>
      <c r="C521" s="3">
        <f>MEDIAN(H521:K521)</f>
        <v>4498.99</v>
      </c>
      <c r="D521" s="3">
        <f>ROUND(C521*(1-Settings!$B$2),2)</f>
        <v>3149.29</v>
      </c>
      <c r="E521" s="2" t="inlineStr">
        <is>
          <t>Pokemon</t>
        </is>
      </c>
      <c r="F521" s="2" t="inlineStr">
        <is>
          <t>Case/Display</t>
        </is>
      </c>
      <c r="G521" s="2" t="inlineStr">
        <is>
          <t>SWSH: Crown Zenith</t>
        </is>
      </c>
      <c r="H521" s="3" t="n"/>
      <c r="I521" s="3" t="n">
        <v>2499.99</v>
      </c>
      <c r="J521" s="3" t="n">
        <v>5000</v>
      </c>
      <c r="K521" s="3" t="n">
        <v>4498.99</v>
      </c>
      <c r="L521" s="2" t="inlineStr">
        <is>
          <t>TCGplayer</t>
        </is>
      </c>
      <c r="N521" s="4" t="inlineStr">
        <is>
          <t>https://www.tcgplayer.com/product/454247</t>
        </is>
      </c>
    </row>
    <row r="522">
      <c r="A522" s="2" t="inlineStr">
        <is>
          <t>Crown Zenith Premium Figure Collection Case</t>
        </is>
      </c>
      <c r="B522" s="3">
        <f>IF(H522&lt;&gt;"",H522,IF(I522&lt;&gt;"",I522,IF(J522&lt;&gt;"",J522,K522)))</f>
        <v>1998.99</v>
      </c>
      <c r="C522" s="3">
        <f>MEDIAN(H522:K522)</f>
        <v>1998.99</v>
      </c>
      <c r="D522" s="3">
        <f>ROUND(C522*(1-Settings!$B$2),2)</f>
        <v>1399.29</v>
      </c>
      <c r="E522" s="2" t="inlineStr">
        <is>
          <t>Pokemon</t>
        </is>
      </c>
      <c r="F522" s="2" t="inlineStr">
        <is>
          <t>Case/Display</t>
        </is>
      </c>
      <c r="G522" s="2" t="inlineStr">
        <is>
          <t>SWSH: Crown Zenith</t>
        </is>
      </c>
      <c r="H522" s="3" t="n"/>
      <c r="I522" s="3" t="n"/>
      <c r="J522" s="3" t="n">
        <v>1998.99</v>
      </c>
      <c r="K522" s="3" t="n">
        <v>1998.99</v>
      </c>
      <c r="L522" s="2" t="inlineStr">
        <is>
          <t>TCGplayer</t>
        </is>
      </c>
      <c r="N522" s="4" t="inlineStr">
        <is>
          <t>https://www.tcgplayer.com/product/664978</t>
        </is>
      </c>
    </row>
    <row r="523">
      <c r="A523" s="2" t="inlineStr">
        <is>
          <t>Crown Zenith Tin Case</t>
        </is>
      </c>
      <c r="B523" s="3">
        <f>IF(H523&lt;&gt;"",H523,IF(I523&lt;&gt;"",I523,IF(J523&lt;&gt;"",J523,K523)))</f>
        <v>1028.14</v>
      </c>
      <c r="C523" s="3">
        <f>MEDIAN(H523:K523)</f>
        <v>1028.14</v>
      </c>
      <c r="D523" s="3">
        <f>ROUND(C523*(1-Settings!$B$2),2)</f>
        <v>719.7</v>
      </c>
      <c r="E523" s="2" t="inlineStr">
        <is>
          <t>Pokemon</t>
        </is>
      </c>
      <c r="F523" s="2" t="inlineStr">
        <is>
          <t>Case/Display</t>
        </is>
      </c>
      <c r="G523" s="2" t="inlineStr">
        <is>
          <t>SWSH: Crown Zenith</t>
        </is>
      </c>
      <c r="H523" s="3" t="n"/>
      <c r="I523" s="3" t="n">
        <v>1028.14</v>
      </c>
      <c r="J523" s="3" t="n">
        <v>1359.99</v>
      </c>
      <c r="K523" s="3" t="n">
        <v>889.99</v>
      </c>
      <c r="L523" s="2" t="inlineStr">
        <is>
          <t>TCGplayer</t>
        </is>
      </c>
      <c r="N523" s="4" t="inlineStr">
        <is>
          <t>https://www.tcgplayer.com/product/616290</t>
        </is>
      </c>
    </row>
    <row r="524">
      <c r="A524" s="2" t="inlineStr">
        <is>
          <t>Pikachu VMAX Special Collection Case</t>
        </is>
      </c>
      <c r="B524" s="3">
        <f>IF(H524&lt;&gt;"",H524,IF(I524&lt;&gt;"",I524,IF(J524&lt;&gt;"",J524,K524)))</f>
        <v>1470.83</v>
      </c>
      <c r="C524" s="3">
        <f>MEDIAN(H524:K524)</f>
        <v>1397.5</v>
      </c>
      <c r="D524" s="3">
        <f>ROUND(C524*(1-Settings!$B$2),2)</f>
        <v>978.25</v>
      </c>
      <c r="E524" s="2" t="inlineStr">
        <is>
          <t>Pokemon</t>
        </is>
      </c>
      <c r="F524" s="2" t="inlineStr">
        <is>
          <t>Case/Display</t>
        </is>
      </c>
      <c r="G524" s="2" t="inlineStr">
        <is>
          <t>SWSH: Crown Zenith</t>
        </is>
      </c>
      <c r="H524" s="3" t="n"/>
      <c r="I524" s="3" t="n">
        <v>1470.83</v>
      </c>
      <c r="J524" s="3" t="n">
        <v>1397.5</v>
      </c>
      <c r="K524" s="3" t="n">
        <v>1395</v>
      </c>
      <c r="L524" s="2" t="inlineStr">
        <is>
          <t>TCGplayer</t>
        </is>
      </c>
      <c r="N524" s="4" t="inlineStr">
        <is>
          <t>https://www.tcgplayer.com/product/485423</t>
        </is>
      </c>
    </row>
    <row r="525">
      <c r="A525" s="2" t="inlineStr">
        <is>
          <t>Trick or Trade BOOster Bundle 2024 Case</t>
        </is>
      </c>
      <c r="B525" s="3">
        <f>IF(H525&lt;&gt;"",H525,IF(I525&lt;&gt;"",I525,IF(J525&lt;&gt;"",J525,K525)))</f>
        <v>538.0</v>
      </c>
      <c r="C525" s="3">
        <f>MEDIAN(H525:K525)</f>
        <v>538.0</v>
      </c>
      <c r="D525" s="3">
        <f>ROUND(C525*(1-Settings!$B$2),2)</f>
        <v>376.6</v>
      </c>
      <c r="E525" s="2" t="inlineStr">
        <is>
          <t>Pokemon</t>
        </is>
      </c>
      <c r="F525" s="2" t="inlineStr">
        <is>
          <t>Case/Display</t>
        </is>
      </c>
      <c r="G525" s="2" t="inlineStr">
        <is>
          <t>Trick or Trade BOOster Bundle 2024</t>
        </is>
      </c>
      <c r="H525" s="3" t="n"/>
      <c r="I525" s="3" t="n">
        <v>538</v>
      </c>
      <c r="J525" s="3" t="n"/>
      <c r="K525" s="3" t="n"/>
      <c r="L525" s="2" t="inlineStr">
        <is>
          <t>TCGplayer</t>
        </is>
      </c>
      <c r="N525" s="4" t="inlineStr">
        <is>
          <t>https://www.tcgplayer.com/product/558714</t>
        </is>
      </c>
    </row>
    <row r="526">
      <c r="A526" s="2" t="inlineStr">
        <is>
          <t>Vivid Voltage Theme Deck Display</t>
        </is>
      </c>
      <c r="B526" s="3">
        <f>IF(H526&lt;&gt;"",H526,IF(I526&lt;&gt;"",I526,IF(J526&lt;&gt;"",J526,K526)))</f>
        <v>159.07</v>
      </c>
      <c r="C526" s="3">
        <f>MEDIAN(H526:K526)</f>
        <v>159.07</v>
      </c>
      <c r="D526" s="3">
        <f>ROUND(C526*(1-Settings!$B$2),2)</f>
        <v>111.35</v>
      </c>
      <c r="E526" s="2" t="inlineStr">
        <is>
          <t>Pokemon</t>
        </is>
      </c>
      <c r="F526" s="2" t="inlineStr">
        <is>
          <t>Case/Display</t>
        </is>
      </c>
      <c r="G526" s="2" t="inlineStr">
        <is>
          <t>Vivid Voltage</t>
        </is>
      </c>
      <c r="H526" s="3" t="n">
        <v>159.07</v>
      </c>
      <c r="I526" s="3" t="n"/>
      <c r="J526" s="3" t="n"/>
      <c r="K526" s="3" t="n"/>
      <c r="L526" s="2" t="inlineStr">
        <is>
          <t>PriceCharting</t>
        </is>
      </c>
      <c r="M526" s="4" t="inlineStr">
        <is>
          <t>https://www.pricecharting.com/game/pokemon-vivid-voltage/theme-deck-display</t>
        </is>
      </c>
    </row>
    <row r="527">
      <c r="A527" s="2" t="inlineStr">
        <is>
          <t>XY Evolutions Booster Box Case</t>
        </is>
      </c>
      <c r="B527" s="3">
        <f>IF(H527&lt;&gt;"",H527,IF(I527&lt;&gt;"",I527,IF(J527&lt;&gt;"",J527,K527)))</f>
        <v>15444.44</v>
      </c>
      <c r="C527" s="3">
        <f>MEDIAN(H527:K527)</f>
        <v>23999.95</v>
      </c>
      <c r="D527" s="3">
        <f>ROUND(C527*(1-Settings!$B$2),2)</f>
        <v>16799.97</v>
      </c>
      <c r="E527" s="2" t="inlineStr">
        <is>
          <t>Pokemon</t>
        </is>
      </c>
      <c r="F527" s="2" t="inlineStr">
        <is>
          <t>Case/Display</t>
        </is>
      </c>
      <c r="G527" s="2" t="inlineStr">
        <is>
          <t>XY - Evolutions</t>
        </is>
      </c>
      <c r="H527" s="3" t="n"/>
      <c r="I527" s="3" t="n">
        <v>15444.44</v>
      </c>
      <c r="J527" s="3" t="n">
        <v>23999.95</v>
      </c>
      <c r="K527" s="3" t="n">
        <v>23999.95</v>
      </c>
      <c r="L527" s="2" t="inlineStr">
        <is>
          <t>TCGplayer</t>
        </is>
      </c>
      <c r="N527" s="4" t="inlineStr">
        <is>
          <t>https://www.tcgplayer.com/product/226363</t>
        </is>
      </c>
    </row>
    <row r="528">
      <c r="A528" s="2" t="inlineStr">
        <is>
          <t>Fates Collide Sleeved Booster Case</t>
        </is>
      </c>
      <c r="B528" s="3">
        <f>IF(H528&lt;&gt;"",H528,IF(I528&lt;&gt;"",I528,IF(J528&lt;&gt;"",J528,K528)))</f>
        <v>24999.0</v>
      </c>
      <c r="C528" s="3">
        <f>MEDIAN(H528:K528)</f>
        <v>24999.0</v>
      </c>
      <c r="D528" s="3">
        <f>ROUND(C528*(1-Settings!$B$2),2)</f>
        <v>17499.3</v>
      </c>
      <c r="E528" s="2" t="inlineStr">
        <is>
          <t>Pokemon</t>
        </is>
      </c>
      <c r="F528" s="2" t="inlineStr">
        <is>
          <t>Case/Display</t>
        </is>
      </c>
      <c r="G528" s="2" t="inlineStr">
        <is>
          <t>XY - Fates Collide</t>
        </is>
      </c>
      <c r="H528" s="3" t="n"/>
      <c r="I528" s="3" t="n"/>
      <c r="J528" s="3" t="n">
        <v>24999</v>
      </c>
      <c r="K528" s="3" t="n">
        <v>24999</v>
      </c>
      <c r="L528" s="2" t="inlineStr">
        <is>
          <t>TCGplayer</t>
        </is>
      </c>
      <c r="N528" s="4" t="inlineStr">
        <is>
          <t>https://www.tcgplayer.com/product/656708</t>
        </is>
      </c>
    </row>
    <row r="529">
      <c r="A529" s="2" t="inlineStr">
        <is>
          <t>Steam Siege Sleeved Booster Case</t>
        </is>
      </c>
      <c r="B529" s="3">
        <f>IF(H529&lt;&gt;"",H529,IF(I529&lt;&gt;"",I529,IF(J529&lt;&gt;"",J529,K529)))</f>
        <v>24999.0</v>
      </c>
      <c r="C529" s="3">
        <f>MEDIAN(H529:K529)</f>
        <v>24999.0</v>
      </c>
      <c r="D529" s="3">
        <f>ROUND(C529*(1-Settings!$B$2),2)</f>
        <v>17499.3</v>
      </c>
      <c r="E529" s="2" t="inlineStr">
        <is>
          <t>Pokemon</t>
        </is>
      </c>
      <c r="F529" s="2" t="inlineStr">
        <is>
          <t>Case/Display</t>
        </is>
      </c>
      <c r="G529" s="2" t="inlineStr">
        <is>
          <t>XY - Steam Siege</t>
        </is>
      </c>
      <c r="H529" s="3" t="n"/>
      <c r="I529" s="3" t="n"/>
      <c r="J529" s="3" t="n">
        <v>24999</v>
      </c>
      <c r="K529" s="3" t="n">
        <v>24999</v>
      </c>
      <c r="L529" s="2" t="inlineStr">
        <is>
          <t>TCGplayer</t>
        </is>
      </c>
      <c r="N529" s="4" t="inlineStr">
        <is>
          <t>https://www.tcgplayer.com/product/656718</t>
        </is>
      </c>
    </row>
    <row r="530">
      <c r="A530" s="2" t="inlineStr">
        <is>
          <t>2020 Battle Academy Battle Academy Box</t>
        </is>
      </c>
      <c r="B530" s="3">
        <f>IF(H530&lt;&gt;"",H530,IF(I530&lt;&gt;"",I530,IF(J530&lt;&gt;"",J530,K530)))</f>
        <v>55.0</v>
      </c>
      <c r="C530" s="3">
        <f>MEDIAN(H530:K530)</f>
        <v>55.0</v>
      </c>
      <c r="D530" s="3">
        <f>ROUND(C530*(1-Settings!$B$2),2)</f>
        <v>38.5</v>
      </c>
      <c r="E530" s="2" t="inlineStr">
        <is>
          <t>Pokemon</t>
        </is>
      </c>
      <c r="F530" s="2" t="inlineStr">
        <is>
          <t>Deck</t>
        </is>
      </c>
      <c r="G530" s="2" t="inlineStr">
        <is>
          <t>2020 Battle Academy</t>
        </is>
      </c>
      <c r="H530" s="3" t="n">
        <v>55</v>
      </c>
      <c r="I530" s="3" t="n"/>
      <c r="J530" s="3" t="n"/>
      <c r="K530" s="3" t="n"/>
      <c r="L530" s="2" t="inlineStr">
        <is>
          <t>PriceCharting</t>
        </is>
      </c>
      <c r="M530" s="4" t="inlineStr">
        <is>
          <t>https://www.pricecharting.com/game/pokemon-2020-battle-academy/battle-academy-box</t>
        </is>
      </c>
    </row>
    <row r="531">
      <c r="A531" s="2" t="inlineStr">
        <is>
          <t>Arceus Theme Deck - "Flamemaster"</t>
        </is>
      </c>
      <c r="B531" s="3">
        <f>IF(H531&lt;&gt;"",H531,IF(I531&lt;&gt;"",I531,IF(J531&lt;&gt;"",J531,K531)))</f>
        <v>500.0</v>
      </c>
      <c r="C531" s="3">
        <f>MEDIAN(H531:K531)</f>
        <v>500.0</v>
      </c>
      <c r="D531" s="3">
        <f>ROUND(C531*(1-Settings!$B$2),2)</f>
        <v>350.0</v>
      </c>
      <c r="E531" s="2" t="inlineStr">
        <is>
          <t>Pokemon</t>
        </is>
      </c>
      <c r="F531" s="2" t="inlineStr">
        <is>
          <t>Deck</t>
        </is>
      </c>
      <c r="G531" s="2" t="inlineStr">
        <is>
          <t>Arceus</t>
        </is>
      </c>
      <c r="H531" s="3" t="n"/>
      <c r="I531" s="3" t="n"/>
      <c r="J531" s="3" t="n">
        <v>500</v>
      </c>
      <c r="K531" s="3" t="n">
        <v>500</v>
      </c>
      <c r="L531" s="2" t="inlineStr">
        <is>
          <t>TCGplayer</t>
        </is>
      </c>
      <c r="N531" s="4" t="inlineStr">
        <is>
          <t>https://www.tcgplayer.com/product/678179</t>
        </is>
      </c>
    </row>
    <row r="532">
      <c r="A532" s="2" t="inlineStr">
        <is>
          <t>Arceus Theme Deck - "Stormshaper"</t>
        </is>
      </c>
      <c r="B532" s="3">
        <f>IF(H532&lt;&gt;"",H532,IF(I532&lt;&gt;"",I532,IF(J532&lt;&gt;"",J532,K532)))</f>
        <v>500.0</v>
      </c>
      <c r="C532" s="3">
        <f>MEDIAN(H532:K532)</f>
        <v>500.0</v>
      </c>
      <c r="D532" s="3">
        <f>ROUND(C532*(1-Settings!$B$2),2)</f>
        <v>350.0</v>
      </c>
      <c r="E532" s="2" t="inlineStr">
        <is>
          <t>Pokemon</t>
        </is>
      </c>
      <c r="F532" s="2" t="inlineStr">
        <is>
          <t>Deck</t>
        </is>
      </c>
      <c r="G532" s="2" t="inlineStr">
        <is>
          <t>Arceus</t>
        </is>
      </c>
      <c r="H532" s="3" t="n"/>
      <c r="I532" s="3" t="n"/>
      <c r="J532" s="3" t="n">
        <v>500</v>
      </c>
      <c r="K532" s="3" t="n">
        <v>500</v>
      </c>
      <c r="L532" s="2" t="inlineStr">
        <is>
          <t>TCGplayer</t>
        </is>
      </c>
      <c r="N532" s="4" t="inlineStr">
        <is>
          <t>https://www.tcgplayer.com/product/678178</t>
        </is>
      </c>
    </row>
    <row r="533">
      <c r="A533" s="2" t="inlineStr">
        <is>
          <t>Base Set 2-Player Starter Set</t>
        </is>
      </c>
      <c r="B533" s="3">
        <f>IF(H533&lt;&gt;"",H533,IF(I533&lt;&gt;"",I533,IF(J533&lt;&gt;"",J533,K533)))</f>
        <v>272.99</v>
      </c>
      <c r="C533" s="3">
        <f>MEDIAN(H533:K533)</f>
        <v>272.99</v>
      </c>
      <c r="D533" s="3">
        <f>ROUND(C533*(1-Settings!$B$2),2)</f>
        <v>191.09</v>
      </c>
      <c r="E533" s="2" t="inlineStr">
        <is>
          <t>Pokemon</t>
        </is>
      </c>
      <c r="F533" s="2" t="inlineStr">
        <is>
          <t>Deck</t>
        </is>
      </c>
      <c r="G533" s="2" t="inlineStr">
        <is>
          <t>Base Set</t>
        </is>
      </c>
      <c r="H533" s="3" t="n">
        <v>272.99</v>
      </c>
      <c r="I533" s="3" t="n"/>
      <c r="J533" s="3" t="n"/>
      <c r="K533" s="3" t="n"/>
      <c r="L533" s="2" t="inlineStr">
        <is>
          <t>PriceCharting</t>
        </is>
      </c>
      <c r="M533" s="4" t="inlineStr">
        <is>
          <t>https://www.pricecharting.com/game/pokemon-base-set/2-player-starter-set</t>
        </is>
      </c>
    </row>
    <row r="534">
      <c r="A534" s="2" t="inlineStr">
        <is>
          <t>Base Set Starter Gift Box</t>
        </is>
      </c>
      <c r="B534" s="3">
        <f>IF(H534&lt;&gt;"",H534,IF(I534&lt;&gt;"",I534,IF(J534&lt;&gt;"",J534,K534)))</f>
        <v>850.0</v>
      </c>
      <c r="C534" s="3">
        <f>MEDIAN(H534:K534)</f>
        <v>850.0</v>
      </c>
      <c r="D534" s="3">
        <f>ROUND(C534*(1-Settings!$B$2),2)</f>
        <v>595.0</v>
      </c>
      <c r="E534" s="2" t="inlineStr">
        <is>
          <t>Pokemon</t>
        </is>
      </c>
      <c r="F534" s="2" t="inlineStr">
        <is>
          <t>Deck</t>
        </is>
      </c>
      <c r="G534" s="2" t="inlineStr">
        <is>
          <t>Base Set</t>
        </is>
      </c>
      <c r="H534" s="3" t="n">
        <v>850</v>
      </c>
      <c r="I534" s="3" t="n"/>
      <c r="J534" s="3" t="n"/>
      <c r="K534" s="3" t="n"/>
      <c r="L534" s="2" t="inlineStr">
        <is>
          <t>PriceCharting</t>
        </is>
      </c>
      <c r="M534" s="4" t="inlineStr">
        <is>
          <t>https://www.pricecharting.com/game/pokemon-base-set/starter-gift-box</t>
        </is>
      </c>
    </row>
    <row r="535">
      <c r="A535" s="2" t="inlineStr">
        <is>
          <t>Base Set Theme Deck - "Blackout" (Revised Base Set Reprint Run)</t>
        </is>
      </c>
      <c r="B535" s="3">
        <f>IF(H535&lt;&gt;"",H535,IF(I535&lt;&gt;"",I535,IF(J535&lt;&gt;"",J535,K535)))</f>
        <v>424.95</v>
      </c>
      <c r="C535" s="3">
        <f>MEDIAN(H535:K535)</f>
        <v>450.0</v>
      </c>
      <c r="D535" s="3">
        <f>ROUND(C535*(1-Settings!$B$2),2)</f>
        <v>315.0</v>
      </c>
      <c r="E535" s="2" t="inlineStr">
        <is>
          <t>Pokemon</t>
        </is>
      </c>
      <c r="F535" s="2" t="inlineStr">
        <is>
          <t>Deck</t>
        </is>
      </c>
      <c r="G535" s="2" t="inlineStr">
        <is>
          <t>Base Set</t>
        </is>
      </c>
      <c r="H535" s="3" t="n"/>
      <c r="I535" s="3" t="n">
        <v>424.95</v>
      </c>
      <c r="J535" s="3" t="n">
        <v>692</v>
      </c>
      <c r="K535" s="3" t="n">
        <v>450</v>
      </c>
      <c r="L535" s="2" t="inlineStr">
        <is>
          <t>TCGplayer</t>
        </is>
      </c>
      <c r="N535" s="4" t="inlineStr">
        <is>
          <t>https://www.tcgplayer.com/product/136401</t>
        </is>
      </c>
    </row>
    <row r="536">
      <c r="A536" s="2" t="inlineStr">
        <is>
          <t>Base Set Theme Deck - "Brushfire" (Revised Base Set Reprint Run)</t>
        </is>
      </c>
      <c r="B536" s="3">
        <f>IF(H536&lt;&gt;"",H536,IF(I536&lt;&gt;"",I536,IF(J536&lt;&gt;"",J536,K536)))</f>
        <v>374.89</v>
      </c>
      <c r="C536" s="3">
        <f>MEDIAN(H536:K536)</f>
        <v>374.89</v>
      </c>
      <c r="D536" s="3">
        <f>ROUND(C536*(1-Settings!$B$2),2)</f>
        <v>262.42</v>
      </c>
      <c r="E536" s="2" t="inlineStr">
        <is>
          <t>Pokemon</t>
        </is>
      </c>
      <c r="F536" s="2" t="inlineStr">
        <is>
          <t>Deck</t>
        </is>
      </c>
      <c r="G536" s="2" t="inlineStr">
        <is>
          <t>Base Set</t>
        </is>
      </c>
      <c r="H536" s="3" t="n"/>
      <c r="I536" s="3" t="n">
        <v>374.89</v>
      </c>
      <c r="J536" s="3" t="n">
        <v>475</v>
      </c>
      <c r="K536" s="3" t="n">
        <v>350</v>
      </c>
      <c r="L536" s="2" t="inlineStr">
        <is>
          <t>TCGplayer</t>
        </is>
      </c>
      <c r="N536" s="4" t="inlineStr">
        <is>
          <t>https://www.tcgplayer.com/product/136403</t>
        </is>
      </c>
    </row>
    <row r="537">
      <c r="A537" s="2" t="inlineStr">
        <is>
          <t>Base Set Theme Deck - "Overgrowth" (Revised Base Set Reprint Run)</t>
        </is>
      </c>
      <c r="B537" s="3">
        <f>IF(H537&lt;&gt;"",H537,IF(I537&lt;&gt;"",I537,IF(J537&lt;&gt;"",J537,K537)))</f>
        <v>567.48</v>
      </c>
      <c r="C537" s="3">
        <f>MEDIAN(H537:K537)</f>
        <v>567.48</v>
      </c>
      <c r="D537" s="3">
        <f>ROUND(C537*(1-Settings!$B$2),2)</f>
        <v>397.24</v>
      </c>
      <c r="E537" s="2" t="inlineStr">
        <is>
          <t>Pokemon</t>
        </is>
      </c>
      <c r="F537" s="2" t="inlineStr">
        <is>
          <t>Deck</t>
        </is>
      </c>
      <c r="G537" s="2" t="inlineStr">
        <is>
          <t>Base Set</t>
        </is>
      </c>
      <c r="H537" s="3" t="n"/>
      <c r="I537" s="3" t="n">
        <v>567.48</v>
      </c>
      <c r="J537" s="3" t="n">
        <v>633.24</v>
      </c>
      <c r="K537" s="3" t="n">
        <v>567.47</v>
      </c>
      <c r="L537" s="2" t="inlineStr">
        <is>
          <t>TCGplayer</t>
        </is>
      </c>
      <c r="N537" s="4" t="inlineStr">
        <is>
          <t>https://www.tcgplayer.com/product/136404</t>
        </is>
      </c>
    </row>
    <row r="538">
      <c r="A538" s="2" t="inlineStr">
        <is>
          <t>Base Set Theme Deck - "Zap!" (Revised Base Set Reprint Run)</t>
        </is>
      </c>
      <c r="B538" s="3">
        <f>IF(H538&lt;&gt;"",H538,IF(I538&lt;&gt;"",I538,IF(J538&lt;&gt;"",J538,K538)))</f>
        <v>499.95</v>
      </c>
      <c r="C538" s="3">
        <f>MEDIAN(H538:K538)</f>
        <v>499.95</v>
      </c>
      <c r="D538" s="3">
        <f>ROUND(C538*(1-Settings!$B$2),2)</f>
        <v>349.97</v>
      </c>
      <c r="E538" s="2" t="inlineStr">
        <is>
          <t>Pokemon</t>
        </is>
      </c>
      <c r="F538" s="2" t="inlineStr">
        <is>
          <t>Deck</t>
        </is>
      </c>
      <c r="G538" s="2" t="inlineStr">
        <is>
          <t>Base Set</t>
        </is>
      </c>
      <c r="H538" s="3" t="n"/>
      <c r="I538" s="3" t="n">
        <v>499.95</v>
      </c>
      <c r="J538" s="3" t="n"/>
      <c r="K538" s="3" t="n"/>
      <c r="L538" s="2" t="inlineStr">
        <is>
          <t>TCGplayer</t>
        </is>
      </c>
      <c r="N538" s="4" t="inlineStr">
        <is>
          <t>https://www.tcgplayer.com/product/136402</t>
        </is>
      </c>
    </row>
    <row r="539">
      <c r="A539" s="2" t="inlineStr">
        <is>
          <t>Pokemon 2-Player Starter Set (Revised Base Set Reprint Run)</t>
        </is>
      </c>
      <c r="B539" s="3">
        <f>IF(H539&lt;&gt;"",H539,IF(I539&lt;&gt;"",I539,IF(J539&lt;&gt;"",J539,K539)))</f>
        <v>257.66</v>
      </c>
      <c r="C539" s="3">
        <f>MEDIAN(H539:K539)</f>
        <v>300.0</v>
      </c>
      <c r="D539" s="3">
        <f>ROUND(C539*(1-Settings!$B$2),2)</f>
        <v>210.0</v>
      </c>
      <c r="E539" s="2" t="inlineStr">
        <is>
          <t>Pokemon</t>
        </is>
      </c>
      <c r="F539" s="2" t="inlineStr">
        <is>
          <t>Deck</t>
        </is>
      </c>
      <c r="G539" s="2" t="inlineStr">
        <is>
          <t>Base Set</t>
        </is>
      </c>
      <c r="H539" s="3" t="n"/>
      <c r="I539" s="3" t="n">
        <v>257.66</v>
      </c>
      <c r="J539" s="3" t="n">
        <v>499</v>
      </c>
      <c r="K539" s="3" t="n">
        <v>300</v>
      </c>
      <c r="L539" s="2" t="inlineStr">
        <is>
          <t>TCGplayer</t>
        </is>
      </c>
      <c r="N539" s="4" t="inlineStr">
        <is>
          <t>https://www.tcgplayer.com/product/136400</t>
        </is>
      </c>
    </row>
    <row r="540">
      <c r="A540" s="2" t="inlineStr">
        <is>
          <t>Base Set Theme Deck - "Brushfire"</t>
        </is>
      </c>
      <c r="B540" s="3">
        <f>IF(H540&lt;&gt;"",H540,IF(I540&lt;&gt;"",I540,IF(J540&lt;&gt;"",J540,K540)))</f>
        <v>699.99</v>
      </c>
      <c r="C540" s="3">
        <f>MEDIAN(H540:K540)</f>
        <v>699.99</v>
      </c>
      <c r="D540" s="3">
        <f>ROUND(C540*(1-Settings!$B$2),2)</f>
        <v>489.99</v>
      </c>
      <c r="E540" s="2" t="inlineStr">
        <is>
          <t>Pokemon</t>
        </is>
      </c>
      <c r="F540" s="2" t="inlineStr">
        <is>
          <t>Deck</t>
        </is>
      </c>
      <c r="G540" s="2" t="inlineStr">
        <is>
          <t>Base Set (Shadowless)</t>
        </is>
      </c>
      <c r="H540" s="3" t="n"/>
      <c r="I540" s="3" t="n">
        <v>699.99</v>
      </c>
      <c r="J540" s="3" t="n"/>
      <c r="K540" s="3" t="n"/>
      <c r="L540" s="2" t="inlineStr">
        <is>
          <t>TCGplayer</t>
        </is>
      </c>
      <c r="N540" s="4" t="inlineStr">
        <is>
          <t>https://www.tcgplayer.com/product/107604</t>
        </is>
      </c>
    </row>
    <row r="541">
      <c r="A541" s="2" t="inlineStr">
        <is>
          <t>Base Set Theme Deck - "Overgrowth"</t>
        </is>
      </c>
      <c r="B541" s="3">
        <f>IF(H541&lt;&gt;"",H541,IF(I541&lt;&gt;"",I541,IF(J541&lt;&gt;"",J541,K541)))</f>
        <v>650.0</v>
      </c>
      <c r="C541" s="3">
        <f>MEDIAN(H541:K541)</f>
        <v>650.0</v>
      </c>
      <c r="D541" s="3">
        <f>ROUND(C541*(1-Settings!$B$2),2)</f>
        <v>455.0</v>
      </c>
      <c r="E541" s="2" t="inlineStr">
        <is>
          <t>Pokemon</t>
        </is>
      </c>
      <c r="F541" s="2" t="inlineStr">
        <is>
          <t>Deck</t>
        </is>
      </c>
      <c r="G541" s="2" t="inlineStr">
        <is>
          <t>Base Set (Shadowless)</t>
        </is>
      </c>
      <c r="H541" s="3" t="n"/>
      <c r="I541" s="3" t="n">
        <v>650</v>
      </c>
      <c r="J541" s="3" t="n"/>
      <c r="K541" s="3" t="n"/>
      <c r="L541" s="2" t="inlineStr">
        <is>
          <t>TCGplayer</t>
        </is>
      </c>
      <c r="N541" s="4" t="inlineStr">
        <is>
          <t>https://www.tcgplayer.com/product/107605</t>
        </is>
      </c>
    </row>
    <row r="542">
      <c r="A542" s="2" t="inlineStr">
        <is>
          <t>Base Set Theme Deck - "Zap!"</t>
        </is>
      </c>
      <c r="B542" s="3">
        <f>IF(H542&lt;&gt;"",H542,IF(I542&lt;&gt;"",I542,IF(J542&lt;&gt;"",J542,K542)))</f>
        <v>699.99</v>
      </c>
      <c r="C542" s="3">
        <f>MEDIAN(H542:K542)</f>
        <v>699.99</v>
      </c>
      <c r="D542" s="3">
        <f>ROUND(C542*(1-Settings!$B$2),2)</f>
        <v>489.99</v>
      </c>
      <c r="E542" s="2" t="inlineStr">
        <is>
          <t>Pokemon</t>
        </is>
      </c>
      <c r="F542" s="2" t="inlineStr">
        <is>
          <t>Deck</t>
        </is>
      </c>
      <c r="G542" s="2" t="inlineStr">
        <is>
          <t>Base Set (Shadowless)</t>
        </is>
      </c>
      <c r="H542" s="3" t="n"/>
      <c r="I542" s="3" t="n">
        <v>699.99</v>
      </c>
      <c r="J542" s="3" t="n"/>
      <c r="K542" s="3" t="n"/>
      <c r="L542" s="2" t="inlineStr">
        <is>
          <t>TCGplayer</t>
        </is>
      </c>
      <c r="N542" s="4" t="inlineStr">
        <is>
          <t>https://www.tcgplayer.com/product/107606</t>
        </is>
      </c>
    </row>
    <row r="543">
      <c r="A543" s="2" t="inlineStr">
        <is>
          <t>Base Set 2 - 2-Player CD-ROM Starter Set</t>
        </is>
      </c>
      <c r="B543" s="3">
        <f>IF(H543&lt;&gt;"",H543,IF(I543&lt;&gt;"",I543,IF(J543&lt;&gt;"",J543,K543)))</f>
        <v>151.96</v>
      </c>
      <c r="C543" s="3">
        <f>MEDIAN(H543:K543)</f>
        <v>168.375</v>
      </c>
      <c r="D543" s="3">
        <f>ROUND(C543*(1-Settings!$B$2),2)</f>
        <v>117.86</v>
      </c>
      <c r="E543" s="2" t="inlineStr">
        <is>
          <t>Pokemon</t>
        </is>
      </c>
      <c r="F543" s="2" t="inlineStr">
        <is>
          <t>Deck</t>
        </is>
      </c>
      <c r="G543" s="2" t="inlineStr">
        <is>
          <t>Base Set 2</t>
        </is>
      </c>
      <c r="H543" s="3" t="n">
        <v>151.96</v>
      </c>
      <c r="I543" s="3" t="n">
        <v>170.76</v>
      </c>
      <c r="J543" s="3" t="n">
        <v>583</v>
      </c>
      <c r="K543" s="3" t="n">
        <v>165.99</v>
      </c>
      <c r="L543" s="2" t="inlineStr">
        <is>
          <t>PriceCharting + TCGplayer</t>
        </is>
      </c>
      <c r="M543" s="4" t="inlineStr">
        <is>
          <t>https://www.pricecharting.com/game/pokemon-base-set-2/2-player-cd-rom-starter-set</t>
        </is>
      </c>
      <c r="N543" s="4" t="inlineStr">
        <is>
          <t>https://www.tcgplayer.com/product/107609</t>
        </is>
      </c>
    </row>
    <row r="544">
      <c r="A544" s="2" t="inlineStr">
        <is>
          <t>Base Set 2 Grass Chopper Theme Deck</t>
        </is>
      </c>
      <c r="B544" s="3">
        <f>IF(H544&lt;&gt;"",H544,IF(I544&lt;&gt;"",I544,IF(J544&lt;&gt;"",J544,K544)))</f>
        <v>175.0</v>
      </c>
      <c r="C544" s="3">
        <f>MEDIAN(H544:K544)</f>
        <v>175.0</v>
      </c>
      <c r="D544" s="3">
        <f>ROUND(C544*(1-Settings!$B$2),2)</f>
        <v>122.5</v>
      </c>
      <c r="E544" s="2" t="inlineStr">
        <is>
          <t>Pokemon</t>
        </is>
      </c>
      <c r="F544" s="2" t="inlineStr">
        <is>
          <t>Deck</t>
        </is>
      </c>
      <c r="G544" s="2" t="inlineStr">
        <is>
          <t>Base Set 2</t>
        </is>
      </c>
      <c r="H544" s="3" t="n">
        <v>175</v>
      </c>
      <c r="I544" s="3" t="n"/>
      <c r="J544" s="3" t="n"/>
      <c r="K544" s="3" t="n"/>
      <c r="L544" s="2" t="inlineStr">
        <is>
          <t>PriceCharting</t>
        </is>
      </c>
      <c r="M544" s="4" t="inlineStr">
        <is>
          <t>https://www.pricecharting.com/game/pokemon-base-set-2/grass-chopper-theme-deck</t>
        </is>
      </c>
    </row>
    <row r="545">
      <c r="A545" s="2" t="inlineStr">
        <is>
          <t>Base Set 2 Hot Water Theme Deck</t>
        </is>
      </c>
      <c r="B545" s="3">
        <f>IF(H545&lt;&gt;"",H545,IF(I545&lt;&gt;"",I545,IF(J545&lt;&gt;"",J545,K545)))</f>
        <v>200.0</v>
      </c>
      <c r="C545" s="3">
        <f>MEDIAN(H545:K545)</f>
        <v>200.0</v>
      </c>
      <c r="D545" s="3">
        <f>ROUND(C545*(1-Settings!$B$2),2)</f>
        <v>140.0</v>
      </c>
      <c r="E545" s="2" t="inlineStr">
        <is>
          <t>Pokemon</t>
        </is>
      </c>
      <c r="F545" s="2" t="inlineStr">
        <is>
          <t>Deck</t>
        </is>
      </c>
      <c r="G545" s="2" t="inlineStr">
        <is>
          <t>Base Set 2</t>
        </is>
      </c>
      <c r="H545" s="3" t="n">
        <v>200</v>
      </c>
      <c r="I545" s="3" t="n"/>
      <c r="J545" s="3" t="n"/>
      <c r="K545" s="3" t="n"/>
      <c r="L545" s="2" t="inlineStr">
        <is>
          <t>PriceCharting</t>
        </is>
      </c>
      <c r="M545" s="4" t="inlineStr">
        <is>
          <t>https://www.pricecharting.com/game/pokemon-base-set-2/hot-water-theme-deck</t>
        </is>
      </c>
    </row>
    <row r="546">
      <c r="A546" s="2" t="inlineStr">
        <is>
          <t>Base Set 2 Lightning Bug Theme Deck</t>
        </is>
      </c>
      <c r="B546" s="3">
        <f>IF(H546&lt;&gt;"",H546,IF(I546&lt;&gt;"",I546,IF(J546&lt;&gt;"",J546,K546)))</f>
        <v>235.0</v>
      </c>
      <c r="C546" s="3">
        <f>MEDIAN(H546:K546)</f>
        <v>235.0</v>
      </c>
      <c r="D546" s="3">
        <f>ROUND(C546*(1-Settings!$B$2),2)</f>
        <v>164.5</v>
      </c>
      <c r="E546" s="2" t="inlineStr">
        <is>
          <t>Pokemon</t>
        </is>
      </c>
      <c r="F546" s="2" t="inlineStr">
        <is>
          <t>Deck</t>
        </is>
      </c>
      <c r="G546" s="2" t="inlineStr">
        <is>
          <t>Base Set 2</t>
        </is>
      </c>
      <c r="H546" s="3" t="n">
        <v>235</v>
      </c>
      <c r="I546" s="3" t="n"/>
      <c r="J546" s="3" t="n"/>
      <c r="K546" s="3" t="n"/>
      <c r="L546" s="2" t="inlineStr">
        <is>
          <t>PriceCharting</t>
        </is>
      </c>
      <c r="M546" s="4" t="inlineStr">
        <is>
          <t>https://www.pricecharting.com/game/pokemon-base-set-2/lightning-bug-theme-deck</t>
        </is>
      </c>
    </row>
    <row r="547">
      <c r="A547" s="2" t="inlineStr">
        <is>
          <t>Base Set 2 Psych Out Theme Deck</t>
        </is>
      </c>
      <c r="B547" s="3">
        <f>IF(H547&lt;&gt;"",H547,IF(I547&lt;&gt;"",I547,IF(J547&lt;&gt;"",J547,K547)))</f>
        <v>223.0</v>
      </c>
      <c r="C547" s="3">
        <f>MEDIAN(H547:K547)</f>
        <v>223.0</v>
      </c>
      <c r="D547" s="3">
        <f>ROUND(C547*(1-Settings!$B$2),2)</f>
        <v>156.1</v>
      </c>
      <c r="E547" s="2" t="inlineStr">
        <is>
          <t>Pokemon</t>
        </is>
      </c>
      <c r="F547" s="2" t="inlineStr">
        <is>
          <t>Deck</t>
        </is>
      </c>
      <c r="G547" s="2" t="inlineStr">
        <is>
          <t>Base Set 2</t>
        </is>
      </c>
      <c r="H547" s="3" t="n">
        <v>223</v>
      </c>
      <c r="I547" s="3" t="n"/>
      <c r="J547" s="3" t="n"/>
      <c r="K547" s="3" t="n"/>
      <c r="L547" s="2" t="inlineStr">
        <is>
          <t>PriceCharting</t>
        </is>
      </c>
      <c r="M547" s="4" t="inlineStr">
        <is>
          <t>https://www.pricecharting.com/game/pokemon-base-set-2/psych-out-theme-deck</t>
        </is>
      </c>
    </row>
    <row r="548">
      <c r="A548" s="2" t="inlineStr">
        <is>
          <t>Base Set 2 Theme Deck - "Grass Chopper"</t>
        </is>
      </c>
      <c r="B548" s="3">
        <f>IF(H548&lt;&gt;"",H548,IF(I548&lt;&gt;"",I548,IF(J548&lt;&gt;"",J548,K548)))</f>
        <v>197.5</v>
      </c>
      <c r="C548" s="3">
        <f>MEDIAN(H548:K548)</f>
        <v>197.5</v>
      </c>
      <c r="D548" s="3">
        <f>ROUND(C548*(1-Settings!$B$2),2)</f>
        <v>138.25</v>
      </c>
      <c r="E548" s="2" t="inlineStr">
        <is>
          <t>Pokemon</t>
        </is>
      </c>
      <c r="F548" s="2" t="inlineStr">
        <is>
          <t>Deck</t>
        </is>
      </c>
      <c r="G548" s="2" t="inlineStr">
        <is>
          <t>Base Set 2</t>
        </is>
      </c>
      <c r="H548" s="3" t="n"/>
      <c r="I548" s="3" t="n">
        <v>197.5</v>
      </c>
      <c r="J548" s="3" t="n"/>
      <c r="K548" s="3" t="n"/>
      <c r="L548" s="2" t="inlineStr">
        <is>
          <t>TCGplayer</t>
        </is>
      </c>
      <c r="N548" s="4" t="inlineStr">
        <is>
          <t>https://www.tcgplayer.com/product/107611</t>
        </is>
      </c>
    </row>
    <row r="549">
      <c r="A549" s="2" t="inlineStr">
        <is>
          <t>Base Set 2 Theme Deck - "Hot Water"</t>
        </is>
      </c>
      <c r="B549" s="3">
        <f>IF(H549&lt;&gt;"",H549,IF(I549&lt;&gt;"",I549,IF(J549&lt;&gt;"",J549,K549)))</f>
        <v>200.0</v>
      </c>
      <c r="C549" s="3">
        <f>MEDIAN(H549:K549)</f>
        <v>1000.0</v>
      </c>
      <c r="D549" s="3">
        <f>ROUND(C549*(1-Settings!$B$2),2)</f>
        <v>700.0</v>
      </c>
      <c r="E549" s="2" t="inlineStr">
        <is>
          <t>Pokemon</t>
        </is>
      </c>
      <c r="F549" s="2" t="inlineStr">
        <is>
          <t>Deck</t>
        </is>
      </c>
      <c r="G549" s="2" t="inlineStr">
        <is>
          <t>Base Set 2</t>
        </is>
      </c>
      <c r="H549" s="3" t="n"/>
      <c r="I549" s="3" t="n">
        <v>200</v>
      </c>
      <c r="J549" s="3" t="n">
        <v>1000</v>
      </c>
      <c r="K549" s="3" t="n">
        <v>1000</v>
      </c>
      <c r="L549" s="2" t="inlineStr">
        <is>
          <t>TCGplayer</t>
        </is>
      </c>
      <c r="N549" s="4" t="inlineStr">
        <is>
          <t>https://www.tcgplayer.com/product/107612</t>
        </is>
      </c>
    </row>
    <row r="550">
      <c r="A550" s="2" t="inlineStr">
        <is>
          <t>Base Set 2 Theme Deck - "Lightning Bug"</t>
        </is>
      </c>
      <c r="B550" s="3">
        <f>IF(H550&lt;&gt;"",H550,IF(I550&lt;&gt;"",I550,IF(J550&lt;&gt;"",J550,K550)))</f>
        <v>235.0</v>
      </c>
      <c r="C550" s="3">
        <f>MEDIAN(H550:K550)</f>
        <v>1000.0</v>
      </c>
      <c r="D550" s="3">
        <f>ROUND(C550*(1-Settings!$B$2),2)</f>
        <v>700.0</v>
      </c>
      <c r="E550" s="2" t="inlineStr">
        <is>
          <t>Pokemon</t>
        </is>
      </c>
      <c r="F550" s="2" t="inlineStr">
        <is>
          <t>Deck</t>
        </is>
      </c>
      <c r="G550" s="2" t="inlineStr">
        <is>
          <t>Base Set 2</t>
        </is>
      </c>
      <c r="H550" s="3" t="n"/>
      <c r="I550" s="3" t="n">
        <v>235</v>
      </c>
      <c r="J550" s="3" t="n">
        <v>1000</v>
      </c>
      <c r="K550" s="3" t="n">
        <v>1000</v>
      </c>
      <c r="L550" s="2" t="inlineStr">
        <is>
          <t>TCGplayer</t>
        </is>
      </c>
      <c r="N550" s="4" t="inlineStr">
        <is>
          <t>https://www.tcgplayer.com/product/107613</t>
        </is>
      </c>
    </row>
    <row r="551">
      <c r="A551" s="2" t="inlineStr">
        <is>
          <t>Base Set 2 Theme Deck - "Psych Out"</t>
        </is>
      </c>
      <c r="B551" s="3">
        <f>IF(H551&lt;&gt;"",H551,IF(I551&lt;&gt;"",I551,IF(J551&lt;&gt;"",J551,K551)))</f>
        <v>222.5</v>
      </c>
      <c r="C551" s="3">
        <f>MEDIAN(H551:K551)</f>
        <v>211.25</v>
      </c>
      <c r="D551" s="3">
        <f>ROUND(C551*(1-Settings!$B$2),2)</f>
        <v>147.88</v>
      </c>
      <c r="E551" s="2" t="inlineStr">
        <is>
          <t>Pokemon</t>
        </is>
      </c>
      <c r="F551" s="2" t="inlineStr">
        <is>
          <t>Deck</t>
        </is>
      </c>
      <c r="G551" s="2" t="inlineStr">
        <is>
          <t>Base Set 2</t>
        </is>
      </c>
      <c r="H551" s="3" t="n"/>
      <c r="I551" s="3" t="n">
        <v>222.5</v>
      </c>
      <c r="J551" s="3" t="n"/>
      <c r="K551" s="3" t="n">
        <v>200</v>
      </c>
      <c r="L551" s="2" t="inlineStr">
        <is>
          <t>TCGplayer</t>
        </is>
      </c>
      <c r="N551" s="4" t="inlineStr">
        <is>
          <t>https://www.tcgplayer.com/product/107614</t>
        </is>
      </c>
    </row>
    <row r="552">
      <c r="A552" s="2" t="inlineStr">
        <is>
          <t>Anytime, Anywhere Battle Academy</t>
        </is>
      </c>
      <c r="B552" s="3">
        <f>IF(H552&lt;&gt;"",H552,IF(I552&lt;&gt;"",I552,IF(J552&lt;&gt;"",J552,K552)))</f>
        <v>26.0</v>
      </c>
      <c r="C552" s="3">
        <f>MEDIAN(H552:K552)</f>
        <v>26.0</v>
      </c>
      <c r="D552" s="3">
        <f>ROUND(C552*(1-Settings!$B$2),2)</f>
        <v>18.2</v>
      </c>
      <c r="E552" s="2" t="inlineStr">
        <is>
          <t>Pokemon</t>
        </is>
      </c>
      <c r="F552" s="2" t="inlineStr">
        <is>
          <t>Deck</t>
        </is>
      </c>
      <c r="G552" s="2" t="inlineStr">
        <is>
          <t>Battle Academy</t>
        </is>
      </c>
      <c r="H552" s="3" t="n"/>
      <c r="I552" s="3" t="n"/>
      <c r="J552" s="3" t="n"/>
      <c r="K552" s="3" t="n">
        <v>26</v>
      </c>
      <c r="L552" s="2" t="inlineStr">
        <is>
          <t>TCGplayer</t>
        </is>
      </c>
      <c r="N552" s="4" t="inlineStr">
        <is>
          <t>https://www.tcgplayer.com/product/594590</t>
        </is>
      </c>
    </row>
    <row r="553">
      <c r="A553" s="2" t="inlineStr">
        <is>
          <t>Pokemon TCG: Battle Academy</t>
        </is>
      </c>
      <c r="B553" s="3">
        <f>IF(H553&lt;&gt;"",H553,IF(I553&lt;&gt;"",I553,IF(J553&lt;&gt;"",J553,K553)))</f>
        <v>67.51</v>
      </c>
      <c r="C553" s="3">
        <f>MEDIAN(H553:K553)</f>
        <v>67.51</v>
      </c>
      <c r="D553" s="3">
        <f>ROUND(C553*(1-Settings!$B$2),2)</f>
        <v>47.26</v>
      </c>
      <c r="E553" s="2" t="inlineStr">
        <is>
          <t>Pokemon</t>
        </is>
      </c>
      <c r="F553" s="2" t="inlineStr">
        <is>
          <t>Deck</t>
        </is>
      </c>
      <c r="G553" s="2" t="inlineStr">
        <is>
          <t>Battle Academy</t>
        </is>
      </c>
      <c r="H553" s="3" t="n"/>
      <c r="I553" s="3" t="n">
        <v>67.51000000000001</v>
      </c>
      <c r="J553" s="3" t="n">
        <v>100</v>
      </c>
      <c r="K553" s="3" t="n">
        <v>45</v>
      </c>
      <c r="L553" s="2" t="inlineStr">
        <is>
          <t>TCGplayer</t>
        </is>
      </c>
      <c r="N553" s="4" t="inlineStr">
        <is>
          <t>https://www.tcgplayer.com/product/218626</t>
        </is>
      </c>
    </row>
    <row r="554">
      <c r="A554" s="2" t="inlineStr">
        <is>
          <t>Pokemon TCG: Battle Academy 2022</t>
        </is>
      </c>
      <c r="B554" s="3">
        <f>IF(H554&lt;&gt;"",H554,IF(I554&lt;&gt;"",I554,IF(J554&lt;&gt;"",J554,K554)))</f>
        <v>27.86</v>
      </c>
      <c r="C554" s="3">
        <f>MEDIAN(H554:K554)</f>
        <v>27.55</v>
      </c>
      <c r="D554" s="3">
        <f>ROUND(C554*(1-Settings!$B$2),2)</f>
        <v>19.29</v>
      </c>
      <c r="E554" s="2" t="inlineStr">
        <is>
          <t>Pokemon</t>
        </is>
      </c>
      <c r="F554" s="2" t="inlineStr">
        <is>
          <t>Deck</t>
        </is>
      </c>
      <c r="G554" s="2" t="inlineStr">
        <is>
          <t>Battle Academy 2022</t>
        </is>
      </c>
      <c r="H554" s="3" t="n"/>
      <c r="I554" s="3" t="n">
        <v>27.86</v>
      </c>
      <c r="J554" s="3" t="n">
        <v>27.55</v>
      </c>
      <c r="K554" s="3" t="n">
        <v>19.99</v>
      </c>
      <c r="L554" s="2" t="inlineStr">
        <is>
          <t>TCGplayer</t>
        </is>
      </c>
      <c r="N554" s="4" t="inlineStr">
        <is>
          <t>https://www.tcgplayer.com/product/265253</t>
        </is>
      </c>
    </row>
    <row r="555">
      <c r="A555" s="2" t="inlineStr">
        <is>
          <t>Pokemon TCG: Battle Academy 2024</t>
        </is>
      </c>
      <c r="B555" s="3">
        <f>IF(H555&lt;&gt;"",H555,IF(I555&lt;&gt;"",I555,IF(J555&lt;&gt;"",J555,K555)))</f>
        <v>70.11</v>
      </c>
      <c r="C555" s="3">
        <f>MEDIAN(H555:K555)</f>
        <v>70.11</v>
      </c>
      <c r="D555" s="3">
        <f>ROUND(C555*(1-Settings!$B$2),2)</f>
        <v>49.08</v>
      </c>
      <c r="E555" s="2" t="inlineStr">
        <is>
          <t>Pokemon</t>
        </is>
      </c>
      <c r="F555" s="2" t="inlineStr">
        <is>
          <t>Deck</t>
        </is>
      </c>
      <c r="G555" s="2" t="inlineStr">
        <is>
          <t>Battle Academy 2024</t>
        </is>
      </c>
      <c r="H555" s="3" t="n"/>
      <c r="I555" s="3" t="n">
        <v>70.11</v>
      </c>
      <c r="J555" s="3" t="n">
        <v>71.98999999999999</v>
      </c>
      <c r="K555" s="3" t="n">
        <v>59.99</v>
      </c>
      <c r="L555" s="2" t="inlineStr">
        <is>
          <t>TCGplayer</t>
        </is>
      </c>
      <c r="N555" s="4" t="inlineStr">
        <is>
          <t>https://www.tcgplayer.com/product/551930</t>
        </is>
      </c>
    </row>
    <row r="556">
      <c r="A556" s="2" t="inlineStr">
        <is>
          <t>Black &amp; White Theme Deck - "Blue Assault" [Samurott]</t>
        </is>
      </c>
      <c r="B556" s="3">
        <f>IF(H556&lt;&gt;"",H556,IF(I556&lt;&gt;"",I556,IF(J556&lt;&gt;"",J556,K556)))</f>
        <v>85.0</v>
      </c>
      <c r="C556" s="3">
        <f>MEDIAN(H556:K556)</f>
        <v>85.0</v>
      </c>
      <c r="D556" s="3">
        <f>ROUND(C556*(1-Settings!$B$2),2)</f>
        <v>59.5</v>
      </c>
      <c r="E556" s="2" t="inlineStr">
        <is>
          <t>Pokemon</t>
        </is>
      </c>
      <c r="F556" s="2" t="inlineStr">
        <is>
          <t>Deck</t>
        </is>
      </c>
      <c r="G556" s="2" t="inlineStr">
        <is>
          <t>Black and White</t>
        </is>
      </c>
      <c r="H556" s="3" t="n"/>
      <c r="I556" s="3" t="n">
        <v>85</v>
      </c>
      <c r="J556" s="3" t="n">
        <v>99.90000000000001</v>
      </c>
      <c r="K556" s="3" t="n">
        <v>40</v>
      </c>
      <c r="L556" s="2" t="inlineStr">
        <is>
          <t>TCGplayer</t>
        </is>
      </c>
      <c r="N556" s="4" t="inlineStr">
        <is>
          <t>https://www.tcgplayer.com/product/98612</t>
        </is>
      </c>
    </row>
    <row r="557">
      <c r="A557" s="2" t="inlineStr">
        <is>
          <t>Black &amp; White Theme Deck - "Red Frenzy" [Emboar]</t>
        </is>
      </c>
      <c r="B557" s="3">
        <f>IF(H557&lt;&gt;"",H557,IF(I557&lt;&gt;"",I557,IF(J557&lt;&gt;"",J557,K557)))</f>
        <v>110.0</v>
      </c>
      <c r="C557" s="3">
        <f>MEDIAN(H557:K557)</f>
        <v>110.0</v>
      </c>
      <c r="D557" s="3">
        <f>ROUND(C557*(1-Settings!$B$2),2)</f>
        <v>77.0</v>
      </c>
      <c r="E557" s="2" t="inlineStr">
        <is>
          <t>Pokemon</t>
        </is>
      </c>
      <c r="F557" s="2" t="inlineStr">
        <is>
          <t>Deck</t>
        </is>
      </c>
      <c r="G557" s="2" t="inlineStr">
        <is>
          <t>Black and White</t>
        </is>
      </c>
      <c r="H557" s="3" t="n"/>
      <c r="I557" s="3" t="n"/>
      <c r="J557" s="3" t="n">
        <v>110</v>
      </c>
      <c r="K557" s="3" t="n">
        <v>110</v>
      </c>
      <c r="L557" s="2" t="inlineStr">
        <is>
          <t>TCGplayer</t>
        </is>
      </c>
      <c r="N557" s="4" t="inlineStr">
        <is>
          <t>https://www.tcgplayer.com/product/98611</t>
        </is>
      </c>
    </row>
    <row r="558">
      <c r="A558" s="2" t="inlineStr">
        <is>
          <t>Boundaries Crossed Theme Deck - "Cold Fire" [White Kyurem]</t>
        </is>
      </c>
      <c r="B558" s="3">
        <f>IF(H558&lt;&gt;"",H558,IF(I558&lt;&gt;"",I558,IF(J558&lt;&gt;"",J558,K558)))</f>
        <v>189.95</v>
      </c>
      <c r="C558" s="3">
        <f>MEDIAN(H558:K558)</f>
        <v>189.95</v>
      </c>
      <c r="D558" s="3">
        <f>ROUND(C558*(1-Settings!$B$2),2)</f>
        <v>132.97</v>
      </c>
      <c r="E558" s="2" t="inlineStr">
        <is>
          <t>Pokemon</t>
        </is>
      </c>
      <c r="F558" s="2" t="inlineStr">
        <is>
          <t>Deck</t>
        </is>
      </c>
      <c r="G558" s="2" t="inlineStr">
        <is>
          <t>Boundaries Crossed</t>
        </is>
      </c>
      <c r="H558" s="3" t="n"/>
      <c r="I558" s="3" t="n">
        <v>189.95</v>
      </c>
      <c r="J558" s="3" t="n">
        <v>189.95</v>
      </c>
      <c r="K558" s="3" t="n">
        <v>189.95</v>
      </c>
      <c r="L558" s="2" t="inlineStr">
        <is>
          <t>TCGplayer</t>
        </is>
      </c>
      <c r="N558" s="4" t="inlineStr">
        <is>
          <t>https://www.tcgplayer.com/product/208574</t>
        </is>
      </c>
    </row>
    <row r="559">
      <c r="A559" s="2" t="inlineStr">
        <is>
          <t>Brilliant Stars Corviknight V Battle Deck</t>
        </is>
      </c>
      <c r="B559" s="3">
        <f>IF(H559&lt;&gt;"",H559,IF(I559&lt;&gt;"",I559,IF(J559&lt;&gt;"",J559,K559)))</f>
        <v>13.18</v>
      </c>
      <c r="C559" s="3">
        <f>MEDIAN(H559:K559)</f>
        <v>13.18</v>
      </c>
      <c r="D559" s="3">
        <f>ROUND(C559*(1-Settings!$B$2),2)</f>
        <v>9.23</v>
      </c>
      <c r="E559" s="2" t="inlineStr">
        <is>
          <t>Pokemon</t>
        </is>
      </c>
      <c r="F559" s="2" t="inlineStr">
        <is>
          <t>Deck</t>
        </is>
      </c>
      <c r="G559" s="2" t="inlineStr">
        <is>
          <t>Brilliant Stars</t>
        </is>
      </c>
      <c r="H559" s="3" t="n">
        <v>13.18</v>
      </c>
      <c r="I559" s="3" t="n"/>
      <c r="J559" s="3" t="n"/>
      <c r="K559" s="3" t="n"/>
      <c r="L559" s="2" t="inlineStr">
        <is>
          <t>PriceCharting</t>
        </is>
      </c>
      <c r="M559" s="4" t="inlineStr">
        <is>
          <t>https://www.pricecharting.com/game/pokemon-brilliant-stars/corviknight-v-battle-deck</t>
        </is>
      </c>
    </row>
    <row r="560">
      <c r="A560" s="2" t="inlineStr">
        <is>
          <t>Brilliant Stars Lycanroc V Battle Deck</t>
        </is>
      </c>
      <c r="B560" s="3">
        <f>IF(H560&lt;&gt;"",H560,IF(I560&lt;&gt;"",I560,IF(J560&lt;&gt;"",J560,K560)))</f>
        <v>11.3</v>
      </c>
      <c r="C560" s="3">
        <f>MEDIAN(H560:K560)</f>
        <v>11.3</v>
      </c>
      <c r="D560" s="3">
        <f>ROUND(C560*(1-Settings!$B$2),2)</f>
        <v>7.91</v>
      </c>
      <c r="E560" s="2" t="inlineStr">
        <is>
          <t>Pokemon</t>
        </is>
      </c>
      <c r="F560" s="2" t="inlineStr">
        <is>
          <t>Deck</t>
        </is>
      </c>
      <c r="G560" s="2" t="inlineStr">
        <is>
          <t>Brilliant Stars</t>
        </is>
      </c>
      <c r="H560" s="3" t="n">
        <v>11.3</v>
      </c>
      <c r="I560" s="3" t="n"/>
      <c r="J560" s="3" t="n"/>
      <c r="K560" s="3" t="n"/>
      <c r="L560" s="2" t="inlineStr">
        <is>
          <t>PriceCharting</t>
        </is>
      </c>
      <c r="M560" s="4" t="inlineStr">
        <is>
          <t>https://www.pricecharting.com/game/pokemon-brilliant-stars/lycanroc-v-battle-deck</t>
        </is>
      </c>
    </row>
    <row r="561">
      <c r="A561" s="2" t="inlineStr">
        <is>
          <t>Burning Shadows Luminous Frost Theme Deck</t>
        </is>
      </c>
      <c r="B561" s="3">
        <f>IF(H561&lt;&gt;"",H561,IF(I561&lt;&gt;"",I561,IF(J561&lt;&gt;"",J561,K561)))</f>
        <v>11.99</v>
      </c>
      <c r="C561" s="3">
        <f>MEDIAN(H561:K561)</f>
        <v>11.99</v>
      </c>
      <c r="D561" s="3">
        <f>ROUND(C561*(1-Settings!$B$2),2)</f>
        <v>8.39</v>
      </c>
      <c r="E561" s="2" t="inlineStr">
        <is>
          <t>Pokemon</t>
        </is>
      </c>
      <c r="F561" s="2" t="inlineStr">
        <is>
          <t>Deck</t>
        </is>
      </c>
      <c r="G561" s="2" t="inlineStr">
        <is>
          <t>Burning Shadows</t>
        </is>
      </c>
      <c r="H561" s="3" t="n">
        <v>11.99</v>
      </c>
      <c r="I561" s="3" t="n"/>
      <c r="J561" s="3" t="n"/>
      <c r="K561" s="3" t="n"/>
      <c r="L561" s="2" t="inlineStr">
        <is>
          <t>PriceCharting</t>
        </is>
      </c>
      <c r="M561" s="4" t="inlineStr">
        <is>
          <t>https://www.pricecharting.com/game/pokemon-burning-shadows/luminous-frost-theme-deck</t>
        </is>
      </c>
    </row>
    <row r="562">
      <c r="A562" s="2" t="inlineStr">
        <is>
          <t>Burning Shadows Theme Deck: Lycanroc Rock Steady</t>
        </is>
      </c>
      <c r="B562" s="3">
        <f>IF(H562&lt;&gt;"",H562,IF(I562&lt;&gt;"",I562,IF(J562&lt;&gt;"",J562,K562)))</f>
        <v>13.29</v>
      </c>
      <c r="C562" s="3">
        <f>MEDIAN(H562:K562)</f>
        <v>13.29</v>
      </c>
      <c r="D562" s="3">
        <f>ROUND(C562*(1-Settings!$B$2),2)</f>
        <v>9.3</v>
      </c>
      <c r="E562" s="2" t="inlineStr">
        <is>
          <t>Pokemon</t>
        </is>
      </c>
      <c r="F562" s="2" t="inlineStr">
        <is>
          <t>Deck</t>
        </is>
      </c>
      <c r="G562" s="2" t="inlineStr">
        <is>
          <t>Burning Shadows</t>
        </is>
      </c>
      <c r="H562" s="3" t="n">
        <v>13.29</v>
      </c>
      <c r="I562" s="3" t="n"/>
      <c r="J562" s="3" t="n"/>
      <c r="K562" s="3" t="n"/>
      <c r="L562" s="2" t="inlineStr">
        <is>
          <t>PriceCharting</t>
        </is>
      </c>
      <c r="M562" s="4" t="inlineStr">
        <is>
          <t>https://www.pricecharting.com/game/pokemon-burning-shadows/theme-deck-lycanroc-rock-steady</t>
        </is>
      </c>
    </row>
    <row r="563">
      <c r="A563" s="2" t="inlineStr">
        <is>
          <t>Burning Shadows Theme Deck: Ninetales Luminous Frost</t>
        </is>
      </c>
      <c r="B563" s="3">
        <f>IF(H563&lt;&gt;"",H563,IF(I563&lt;&gt;"",I563,IF(J563&lt;&gt;"",J563,K563)))</f>
        <v>22.0</v>
      </c>
      <c r="C563" s="3">
        <f>MEDIAN(H563:K563)</f>
        <v>22.0</v>
      </c>
      <c r="D563" s="3">
        <f>ROUND(C563*(1-Settings!$B$2),2)</f>
        <v>15.4</v>
      </c>
      <c r="E563" s="2" t="inlineStr">
        <is>
          <t>Pokemon</t>
        </is>
      </c>
      <c r="F563" s="2" t="inlineStr">
        <is>
          <t>Deck</t>
        </is>
      </c>
      <c r="G563" s="2" t="inlineStr">
        <is>
          <t>Burning Shadows</t>
        </is>
      </c>
      <c r="H563" s="3" t="n">
        <v>22</v>
      </c>
      <c r="I563" s="3" t="n"/>
      <c r="J563" s="3" t="n"/>
      <c r="K563" s="3" t="n"/>
      <c r="L563" s="2" t="inlineStr">
        <is>
          <t>PriceCharting</t>
        </is>
      </c>
      <c r="M563" s="4" t="inlineStr">
        <is>
          <t>https://www.pricecharting.com/game/pokemon-burning-shadows/theme-deck-ninetales-luminous-frost</t>
        </is>
      </c>
    </row>
    <row r="564">
      <c r="A564" s="2" t="inlineStr">
        <is>
          <t>Diamond &amp; Pearl Theme Deck - "Inferno Zone"</t>
        </is>
      </c>
      <c r="B564" s="3">
        <f>IF(H564&lt;&gt;"",H564,IF(I564&lt;&gt;"",I564,IF(J564&lt;&gt;"",J564,K564)))</f>
        <v>399.99</v>
      </c>
      <c r="C564" s="3">
        <f>MEDIAN(H564:K564)</f>
        <v>399.99</v>
      </c>
      <c r="D564" s="3">
        <f>ROUND(C564*(1-Settings!$B$2),2)</f>
        <v>279.99</v>
      </c>
      <c r="E564" s="2" t="inlineStr">
        <is>
          <t>Pokemon</t>
        </is>
      </c>
      <c r="F564" s="2" t="inlineStr">
        <is>
          <t>Deck</t>
        </is>
      </c>
      <c r="G564" s="2" t="inlineStr">
        <is>
          <t>Diamond and Pearl</t>
        </is>
      </c>
      <c r="H564" s="3" t="n"/>
      <c r="I564" s="3" t="n"/>
      <c r="J564" s="3" t="n">
        <v>399.99</v>
      </c>
      <c r="K564" s="3" t="n">
        <v>399.99</v>
      </c>
      <c r="L564" s="2" t="inlineStr">
        <is>
          <t>TCGplayer</t>
        </is>
      </c>
      <c r="N564" s="4" t="inlineStr">
        <is>
          <t>https://www.tcgplayer.com/product/228805</t>
        </is>
      </c>
    </row>
    <row r="565">
      <c r="A565" s="2" t="inlineStr">
        <is>
          <t>Emerging Powers Theme Deck - "Power Play" [Krookodile]</t>
        </is>
      </c>
      <c r="B565" s="3">
        <f>IF(H565&lt;&gt;"",H565,IF(I565&lt;&gt;"",I565,IF(J565&lt;&gt;"",J565,K565)))</f>
        <v>99.0</v>
      </c>
      <c r="C565" s="3">
        <f>MEDIAN(H565:K565)</f>
        <v>99.0</v>
      </c>
      <c r="D565" s="3">
        <f>ROUND(C565*(1-Settings!$B$2),2)</f>
        <v>69.3</v>
      </c>
      <c r="E565" s="2" t="inlineStr">
        <is>
          <t>Pokemon</t>
        </is>
      </c>
      <c r="F565" s="2" t="inlineStr">
        <is>
          <t>Deck</t>
        </is>
      </c>
      <c r="G565" s="2" t="inlineStr">
        <is>
          <t>Emerging Powers</t>
        </is>
      </c>
      <c r="H565" s="3" t="n"/>
      <c r="I565" s="3" t="n">
        <v>99</v>
      </c>
      <c r="J565" s="3" t="n">
        <v>99</v>
      </c>
      <c r="K565" s="3" t="n">
        <v>99</v>
      </c>
      <c r="L565" s="2" t="inlineStr">
        <is>
          <t>TCGplayer</t>
        </is>
      </c>
      <c r="N565" s="4" t="inlineStr">
        <is>
          <t>https://www.tcgplayer.com/product/98618</t>
        </is>
      </c>
    </row>
    <row r="566">
      <c r="A566" s="2" t="inlineStr">
        <is>
          <t>Emerging Powers Theme Deck - "Toxic Tricks" [Scolipede]</t>
        </is>
      </c>
      <c r="B566" s="3">
        <f>IF(H566&lt;&gt;"",H566,IF(I566&lt;&gt;"",I566,IF(J566&lt;&gt;"",J566,K566)))</f>
        <v>54.95</v>
      </c>
      <c r="C566" s="3">
        <f>MEDIAN(H566:K566)</f>
        <v>54.95</v>
      </c>
      <c r="D566" s="3">
        <f>ROUND(C566*(1-Settings!$B$2),2)</f>
        <v>38.47</v>
      </c>
      <c r="E566" s="2" t="inlineStr">
        <is>
          <t>Pokemon</t>
        </is>
      </c>
      <c r="F566" s="2" t="inlineStr">
        <is>
          <t>Deck</t>
        </is>
      </c>
      <c r="G566" s="2" t="inlineStr">
        <is>
          <t>Emerging Powers</t>
        </is>
      </c>
      <c r="H566" s="3" t="n"/>
      <c r="I566" s="3" t="n">
        <v>54.95</v>
      </c>
      <c r="J566" s="3" t="n"/>
      <c r="K566" s="3" t="n"/>
      <c r="L566" s="2" t="inlineStr">
        <is>
          <t>TCGplayer</t>
        </is>
      </c>
      <c r="N566" s="4" t="inlineStr">
        <is>
          <t>https://www.tcgplayer.com/product/98617</t>
        </is>
      </c>
    </row>
    <row r="567">
      <c r="A567" s="2" t="inlineStr">
        <is>
          <t>Evolutions Mewtwo Mayhem Theme Deck</t>
        </is>
      </c>
      <c r="B567" s="3">
        <f>IF(H567&lt;&gt;"",H567,IF(I567&lt;&gt;"",I567,IF(J567&lt;&gt;"",J567,K567)))</f>
        <v>36.61</v>
      </c>
      <c r="C567" s="3">
        <f>MEDIAN(H567:K567)</f>
        <v>36.61</v>
      </c>
      <c r="D567" s="3">
        <f>ROUND(C567*(1-Settings!$B$2),2)</f>
        <v>25.63</v>
      </c>
      <c r="E567" s="2" t="inlineStr">
        <is>
          <t>Pokemon</t>
        </is>
      </c>
      <c r="F567" s="2" t="inlineStr">
        <is>
          <t>Deck</t>
        </is>
      </c>
      <c r="G567" s="2" t="inlineStr">
        <is>
          <t>Evolutions</t>
        </is>
      </c>
      <c r="H567" s="3" t="n">
        <v>36.61</v>
      </c>
      <c r="I567" s="3" t="n"/>
      <c r="J567" s="3" t="n"/>
      <c r="K567" s="3" t="n"/>
      <c r="L567" s="2" t="inlineStr">
        <is>
          <t>PriceCharting</t>
        </is>
      </c>
      <c r="M567" s="4" t="inlineStr">
        <is>
          <t>https://www.pricecharting.com/game/pokemon-evolutions/mewtwo-mayhem-theme-deck</t>
        </is>
      </c>
    </row>
    <row r="568">
      <c r="A568" s="2" t="inlineStr">
        <is>
          <t>Evolutions Pikachu Power Theme Deck</t>
        </is>
      </c>
      <c r="B568" s="3">
        <f>IF(H568&lt;&gt;"",H568,IF(I568&lt;&gt;"",I568,IF(J568&lt;&gt;"",J568,K568)))</f>
        <v>43.5</v>
      </c>
      <c r="C568" s="3">
        <f>MEDIAN(H568:K568)</f>
        <v>43.5</v>
      </c>
      <c r="D568" s="3">
        <f>ROUND(C568*(1-Settings!$B$2),2)</f>
        <v>30.45</v>
      </c>
      <c r="E568" s="2" t="inlineStr">
        <is>
          <t>Pokemon</t>
        </is>
      </c>
      <c r="F568" s="2" t="inlineStr">
        <is>
          <t>Deck</t>
        </is>
      </c>
      <c r="G568" s="2" t="inlineStr">
        <is>
          <t>Evolutions</t>
        </is>
      </c>
      <c r="H568" s="3" t="n">
        <v>43.5</v>
      </c>
      <c r="I568" s="3" t="n"/>
      <c r="J568" s="3" t="n"/>
      <c r="K568" s="3" t="n"/>
      <c r="L568" s="2" t="inlineStr">
        <is>
          <t>PriceCharting</t>
        </is>
      </c>
      <c r="M568" s="4" t="inlineStr">
        <is>
          <t>https://www.pricecharting.com/game/pokemon-evolutions/pikachu-power-theme-deck</t>
        </is>
      </c>
    </row>
    <row r="569">
      <c r="A569" s="2" t="inlineStr">
        <is>
          <t>Delta Species Theme Deck - "Steeplechase"</t>
        </is>
      </c>
      <c r="B569" s="3">
        <f>IF(H569&lt;&gt;"",H569,IF(I569&lt;&gt;"",I569,IF(J569&lt;&gt;"",J569,K569)))</f>
        <v>200.0</v>
      </c>
      <c r="C569" s="3">
        <f>MEDIAN(H569:K569)</f>
        <v>200.0</v>
      </c>
      <c r="D569" s="3">
        <f>ROUND(C569*(1-Settings!$B$2),2)</f>
        <v>140.0</v>
      </c>
      <c r="E569" s="2" t="inlineStr">
        <is>
          <t>Pokemon</t>
        </is>
      </c>
      <c r="F569" s="2" t="inlineStr">
        <is>
          <t>Deck</t>
        </is>
      </c>
      <c r="G569" s="2" t="inlineStr">
        <is>
          <t>EX Delta Species</t>
        </is>
      </c>
      <c r="H569" s="3" t="n"/>
      <c r="I569" s="3" t="n"/>
      <c r="J569" s="3" t="n">
        <v>200</v>
      </c>
      <c r="K569" s="3" t="n">
        <v>200</v>
      </c>
      <c r="L569" s="2" t="inlineStr">
        <is>
          <t>TCGplayer</t>
        </is>
      </c>
      <c r="N569" s="4" t="inlineStr">
        <is>
          <t>https://www.tcgplayer.com/product/232864</t>
        </is>
      </c>
    </row>
    <row r="570">
      <c r="A570" s="2" t="inlineStr">
        <is>
          <t>Emerald Theme Deck - "Hydrobloom" [Milotic]</t>
        </is>
      </c>
      <c r="B570" s="3">
        <f>IF(H570&lt;&gt;"",H570,IF(I570&lt;&gt;"",I570,IF(J570&lt;&gt;"",J570,K570)))</f>
        <v>181.47</v>
      </c>
      <c r="C570" s="3">
        <f>MEDIAN(H570:K570)</f>
        <v>181.47</v>
      </c>
      <c r="D570" s="3">
        <f>ROUND(C570*(1-Settings!$B$2),2)</f>
        <v>127.03</v>
      </c>
      <c r="E570" s="2" t="inlineStr">
        <is>
          <t>Pokemon</t>
        </is>
      </c>
      <c r="F570" s="2" t="inlineStr">
        <is>
          <t>Deck</t>
        </is>
      </c>
      <c r="G570" s="2" t="inlineStr">
        <is>
          <t>EX Emerald</t>
        </is>
      </c>
      <c r="H570" s="3" t="n"/>
      <c r="I570" s="3" t="n">
        <v>181.47</v>
      </c>
      <c r="J570" s="3" t="n"/>
      <c r="K570" s="3" t="n"/>
      <c r="L570" s="2" t="inlineStr">
        <is>
          <t>TCGplayer</t>
        </is>
      </c>
      <c r="N570" s="4" t="inlineStr">
        <is>
          <t>https://www.tcgplayer.com/product/232874</t>
        </is>
      </c>
    </row>
    <row r="571">
      <c r="A571" s="2" t="inlineStr">
        <is>
          <t>Emerald Theme Deck - "Wildfire" [Manectric]</t>
        </is>
      </c>
      <c r="B571" s="3">
        <f>IF(H571&lt;&gt;"",H571,IF(I571&lt;&gt;"",I571,IF(J571&lt;&gt;"",J571,K571)))</f>
        <v>177.0</v>
      </c>
      <c r="C571" s="3">
        <f>MEDIAN(H571:K571)</f>
        <v>177.0</v>
      </c>
      <c r="D571" s="3">
        <f>ROUND(C571*(1-Settings!$B$2),2)</f>
        <v>123.9</v>
      </c>
      <c r="E571" s="2" t="inlineStr">
        <is>
          <t>Pokemon</t>
        </is>
      </c>
      <c r="F571" s="2" t="inlineStr">
        <is>
          <t>Deck</t>
        </is>
      </c>
      <c r="G571" s="2" t="inlineStr">
        <is>
          <t>EX Emerald</t>
        </is>
      </c>
      <c r="H571" s="3" t="n"/>
      <c r="I571" s="3" t="n">
        <v>177</v>
      </c>
      <c r="J571" s="3" t="n"/>
      <c r="K571" s="3" t="n"/>
      <c r="L571" s="2" t="inlineStr">
        <is>
          <t>TCGplayer</t>
        </is>
      </c>
      <c r="N571" s="4" t="inlineStr">
        <is>
          <t>https://www.tcgplayer.com/product/232875</t>
        </is>
      </c>
    </row>
    <row r="572">
      <c r="A572" s="2" t="inlineStr">
        <is>
          <t>Hidden Legends Theme Deck - "Forest Guardian" [Dark Celebi]</t>
        </is>
      </c>
      <c r="B572" s="3">
        <f>IF(H572&lt;&gt;"",H572,IF(I572&lt;&gt;"",I572,IF(J572&lt;&gt;"",J572,K572)))</f>
        <v>600.0</v>
      </c>
      <c r="C572" s="3">
        <f>MEDIAN(H572:K572)</f>
        <v>600.0</v>
      </c>
      <c r="D572" s="3">
        <f>ROUND(C572*(1-Settings!$B$2),2)</f>
        <v>420.0</v>
      </c>
      <c r="E572" s="2" t="inlineStr">
        <is>
          <t>Pokemon</t>
        </is>
      </c>
      <c r="F572" s="2" t="inlineStr">
        <is>
          <t>Deck</t>
        </is>
      </c>
      <c r="G572" s="2" t="inlineStr">
        <is>
          <t>EX Hidden Legends</t>
        </is>
      </c>
      <c r="H572" s="3" t="n"/>
      <c r="I572" s="3" t="n"/>
      <c r="J572" s="3" t="n">
        <v>600</v>
      </c>
      <c r="K572" s="3" t="n">
        <v>600</v>
      </c>
      <c r="L572" s="2" t="inlineStr">
        <is>
          <t>TCGplayer</t>
        </is>
      </c>
      <c r="N572" s="4" t="inlineStr">
        <is>
          <t>https://www.tcgplayer.com/product/215765</t>
        </is>
      </c>
    </row>
    <row r="573">
      <c r="A573" s="2" t="inlineStr">
        <is>
          <t>Sandstorm Theme Deck - "Caravan"</t>
        </is>
      </c>
      <c r="B573" s="3">
        <f>IF(H573&lt;&gt;"",H573,IF(I573&lt;&gt;"",I573,IF(J573&lt;&gt;"",J573,K573)))</f>
        <v>276.01</v>
      </c>
      <c r="C573" s="3">
        <f>MEDIAN(H573:K573)</f>
        <v>276.01</v>
      </c>
      <c r="D573" s="3">
        <f>ROUND(C573*(1-Settings!$B$2),2)</f>
        <v>193.21</v>
      </c>
      <c r="E573" s="2" t="inlineStr">
        <is>
          <t>Pokemon</t>
        </is>
      </c>
      <c r="F573" s="2" t="inlineStr">
        <is>
          <t>Deck</t>
        </is>
      </c>
      <c r="G573" s="2" t="inlineStr">
        <is>
          <t>EX Sandstorm</t>
        </is>
      </c>
      <c r="H573" s="3" t="n"/>
      <c r="I573" s="3" t="n">
        <v>276.01</v>
      </c>
      <c r="J573" s="3" t="n"/>
      <c r="K573" s="3" t="n"/>
      <c r="L573" s="2" t="inlineStr">
        <is>
          <t>TCGplayer</t>
        </is>
      </c>
      <c r="N573" s="4" t="inlineStr">
        <is>
          <t>https://www.tcgplayer.com/product/234511</t>
        </is>
      </c>
    </row>
    <row r="574">
      <c r="A574" s="2" t="inlineStr">
        <is>
          <t>Team Magma Theme Deck - "EX Team Magma" [Groudon]</t>
        </is>
      </c>
      <c r="B574" s="3">
        <f>IF(H574&lt;&gt;"",H574,IF(I574&lt;&gt;"",I574,IF(J574&lt;&gt;"",J574,K574)))</f>
        <v>600.0</v>
      </c>
      <c r="C574" s="3">
        <f>MEDIAN(H574:K574)</f>
        <v>600.0</v>
      </c>
      <c r="D574" s="3">
        <f>ROUND(C574*(1-Settings!$B$2),2)</f>
        <v>420.0</v>
      </c>
      <c r="E574" s="2" t="inlineStr">
        <is>
          <t>Pokemon</t>
        </is>
      </c>
      <c r="F574" s="2" t="inlineStr">
        <is>
          <t>Deck</t>
        </is>
      </c>
      <c r="G574" s="2" t="inlineStr">
        <is>
          <t>EX Team Magma vs Team Aqua</t>
        </is>
      </c>
      <c r="H574" s="3" t="n"/>
      <c r="I574" s="3" t="n"/>
      <c r="J574" s="3" t="n">
        <v>600</v>
      </c>
      <c r="K574" s="3" t="n">
        <v>600</v>
      </c>
      <c r="L574" s="2" t="inlineStr">
        <is>
          <t>TCGplayer</t>
        </is>
      </c>
      <c r="N574" s="4" t="inlineStr">
        <is>
          <t>https://www.tcgplayer.com/product/488301</t>
        </is>
      </c>
    </row>
    <row r="575">
      <c r="A575" s="2" t="inlineStr">
        <is>
          <t>Unseen Forces Theme Deck - "Silvery Ocean" [Lugia]</t>
        </is>
      </c>
      <c r="B575" s="3">
        <f>IF(H575&lt;&gt;"",H575,IF(I575&lt;&gt;"",I575,IF(J575&lt;&gt;"",J575,K575)))</f>
        <v>499.95</v>
      </c>
      <c r="C575" s="3">
        <f>MEDIAN(H575:K575)</f>
        <v>499.95</v>
      </c>
      <c r="D575" s="3">
        <f>ROUND(C575*(1-Settings!$B$2),2)</f>
        <v>349.97</v>
      </c>
      <c r="E575" s="2" t="inlineStr">
        <is>
          <t>Pokemon</t>
        </is>
      </c>
      <c r="F575" s="2" t="inlineStr">
        <is>
          <t>Deck</t>
        </is>
      </c>
      <c r="G575" s="2" t="inlineStr">
        <is>
          <t>EX Unseen Forces</t>
        </is>
      </c>
      <c r="H575" s="3" t="n"/>
      <c r="I575" s="3" t="n">
        <v>499.95</v>
      </c>
      <c r="J575" s="3" t="n"/>
      <c r="K575" s="3" t="n"/>
      <c r="L575" s="2" t="inlineStr">
        <is>
          <t>TCGplayer</t>
        </is>
      </c>
      <c r="N575" s="4" t="inlineStr">
        <is>
          <t>https://www.tcgplayer.com/product/232866</t>
        </is>
      </c>
    </row>
    <row r="576">
      <c r="A576" s="2" t="inlineStr">
        <is>
          <t>Expedition Electric Garden Theme Deck</t>
        </is>
      </c>
      <c r="B576" s="3">
        <f>IF(H576&lt;&gt;"",H576,IF(I576&lt;&gt;"",I576,IF(J576&lt;&gt;"",J576,K576)))</f>
        <v>474.91</v>
      </c>
      <c r="C576" s="3">
        <f>MEDIAN(H576:K576)</f>
        <v>474.91</v>
      </c>
      <c r="D576" s="3">
        <f>ROUND(C576*(1-Settings!$B$2),2)</f>
        <v>332.44</v>
      </c>
      <c r="E576" s="2" t="inlineStr">
        <is>
          <t>Pokemon</t>
        </is>
      </c>
      <c r="F576" s="2" t="inlineStr">
        <is>
          <t>Deck</t>
        </is>
      </c>
      <c r="G576" s="2" t="inlineStr">
        <is>
          <t>Expedition</t>
        </is>
      </c>
      <c r="H576" s="3" t="n">
        <v>474.91</v>
      </c>
      <c r="I576" s="3" t="n"/>
      <c r="J576" s="3" t="n"/>
      <c r="K576" s="3" t="n"/>
      <c r="L576" s="2" t="inlineStr">
        <is>
          <t>PriceCharting</t>
        </is>
      </c>
      <c r="M576" s="4" t="inlineStr">
        <is>
          <t>https://www.pricecharting.com/game/pokemon-expedition/electric-garden-theme-deck</t>
        </is>
      </c>
    </row>
    <row r="577">
      <c r="A577" s="2" t="inlineStr">
        <is>
          <t>Expedition Theme Deck - "Electric Garden"</t>
        </is>
      </c>
      <c r="B577" s="3">
        <f>IF(H577&lt;&gt;"",H577,IF(I577&lt;&gt;"",I577,IF(J577&lt;&gt;"",J577,K577)))</f>
        <v>550.0</v>
      </c>
      <c r="C577" s="3">
        <f>MEDIAN(H577:K577)</f>
        <v>550.0</v>
      </c>
      <c r="D577" s="3">
        <f>ROUND(C577*(1-Settings!$B$2),2)</f>
        <v>385.0</v>
      </c>
      <c r="E577" s="2" t="inlineStr">
        <is>
          <t>Pokemon</t>
        </is>
      </c>
      <c r="F577" s="2" t="inlineStr">
        <is>
          <t>Deck</t>
        </is>
      </c>
      <c r="G577" s="2" t="inlineStr">
        <is>
          <t>Expedition</t>
        </is>
      </c>
      <c r="H577" s="3" t="n"/>
      <c r="I577" s="3" t="n">
        <v>550</v>
      </c>
      <c r="J577" s="3" t="n"/>
      <c r="K577" s="3" t="n"/>
      <c r="L577" s="2" t="inlineStr">
        <is>
          <t>TCGplayer</t>
        </is>
      </c>
      <c r="N577" s="4" t="inlineStr">
        <is>
          <t>https://www.tcgplayer.com/product/234504</t>
        </is>
      </c>
    </row>
    <row r="578">
      <c r="A578" s="2" t="inlineStr">
        <is>
          <t>Fossil BodyGuard Theme Deck</t>
        </is>
      </c>
      <c r="B578" s="3">
        <f>IF(H578&lt;&gt;"",H578,IF(I578&lt;&gt;"",I578,IF(J578&lt;&gt;"",J578,K578)))</f>
        <v>205.88</v>
      </c>
      <c r="C578" s="3">
        <f>MEDIAN(H578:K578)</f>
        <v>205.88</v>
      </c>
      <c r="D578" s="3">
        <f>ROUND(C578*(1-Settings!$B$2),2)</f>
        <v>144.12</v>
      </c>
      <c r="E578" s="2" t="inlineStr">
        <is>
          <t>Pokemon</t>
        </is>
      </c>
      <c r="F578" s="2" t="inlineStr">
        <is>
          <t>Deck</t>
        </is>
      </c>
      <c r="G578" s="2" t="inlineStr">
        <is>
          <t>Fossil</t>
        </is>
      </c>
      <c r="H578" s="3" t="n">
        <v>205.88</v>
      </c>
      <c r="I578" s="3" t="n"/>
      <c r="J578" s="3" t="n"/>
      <c r="K578" s="3" t="n"/>
      <c r="L578" s="2" t="inlineStr">
        <is>
          <t>PriceCharting</t>
        </is>
      </c>
      <c r="M578" s="4" t="inlineStr">
        <is>
          <t>https://www.pricecharting.com/game/pokemon-fossil/bodyguard-theme-deck</t>
        </is>
      </c>
    </row>
    <row r="579">
      <c r="A579" s="2" t="inlineStr">
        <is>
          <t>Fossil Lockdown Theme Deck</t>
        </is>
      </c>
      <c r="B579" s="3">
        <f>IF(H579&lt;&gt;"",H579,IF(I579&lt;&gt;"",I579,IF(J579&lt;&gt;"",J579,K579)))</f>
        <v>220.0</v>
      </c>
      <c r="C579" s="3">
        <f>MEDIAN(H579:K579)</f>
        <v>220.0</v>
      </c>
      <c r="D579" s="3">
        <f>ROUND(C579*(1-Settings!$B$2),2)</f>
        <v>154.0</v>
      </c>
      <c r="E579" s="2" t="inlineStr">
        <is>
          <t>Pokemon</t>
        </is>
      </c>
      <c r="F579" s="2" t="inlineStr">
        <is>
          <t>Deck</t>
        </is>
      </c>
      <c r="G579" s="2" t="inlineStr">
        <is>
          <t>Fossil</t>
        </is>
      </c>
      <c r="H579" s="3" t="n">
        <v>220</v>
      </c>
      <c r="I579" s="3" t="n"/>
      <c r="J579" s="3" t="n"/>
      <c r="K579" s="3" t="n"/>
      <c r="L579" s="2" t="inlineStr">
        <is>
          <t>PriceCharting</t>
        </is>
      </c>
      <c r="M579" s="4" t="inlineStr">
        <is>
          <t>https://www.pricecharting.com/game/pokemon-fossil/lockdown-theme-deck</t>
        </is>
      </c>
    </row>
    <row r="580">
      <c r="A580" s="2" t="inlineStr">
        <is>
          <t>Fossil Theme Deck - "BodyGuard"</t>
        </is>
      </c>
      <c r="B580" s="3">
        <f>IF(H580&lt;&gt;"",H580,IF(I580&lt;&gt;"",I580,IF(J580&lt;&gt;"",J580,K580)))</f>
        <v>195.16</v>
      </c>
      <c r="C580" s="3">
        <f>MEDIAN(H580:K580)</f>
        <v>195.16</v>
      </c>
      <c r="D580" s="3">
        <f>ROUND(C580*(1-Settings!$B$2),2)</f>
        <v>136.61</v>
      </c>
      <c r="E580" s="2" t="inlineStr">
        <is>
          <t>Pokemon</t>
        </is>
      </c>
      <c r="F580" s="2" t="inlineStr">
        <is>
          <t>Deck</t>
        </is>
      </c>
      <c r="G580" s="2" t="inlineStr">
        <is>
          <t>Fossil</t>
        </is>
      </c>
      <c r="H580" s="3" t="n"/>
      <c r="I580" s="3" t="n">
        <v>195.16</v>
      </c>
      <c r="J580" s="3" t="n">
        <v>220</v>
      </c>
      <c r="K580" s="3" t="n">
        <v>180</v>
      </c>
      <c r="L580" s="2" t="inlineStr">
        <is>
          <t>TCGplayer</t>
        </is>
      </c>
      <c r="N580" s="4" t="inlineStr">
        <is>
          <t>https://www.tcgplayer.com/product/107607</t>
        </is>
      </c>
    </row>
    <row r="581">
      <c r="A581" s="2" t="inlineStr">
        <is>
          <t>Fossil Theme Deck - "LockDown"</t>
        </is>
      </c>
      <c r="B581" s="3">
        <f>IF(H581&lt;&gt;"",H581,IF(I581&lt;&gt;"",I581,IF(J581&lt;&gt;"",J581,K581)))</f>
        <v>208.73</v>
      </c>
      <c r="C581" s="3">
        <f>MEDIAN(H581:K581)</f>
        <v>211.0</v>
      </c>
      <c r="D581" s="3">
        <f>ROUND(C581*(1-Settings!$B$2),2)</f>
        <v>147.7</v>
      </c>
      <c r="E581" s="2" t="inlineStr">
        <is>
          <t>Pokemon</t>
        </is>
      </c>
      <c r="F581" s="2" t="inlineStr">
        <is>
          <t>Deck</t>
        </is>
      </c>
      <c r="G581" s="2" t="inlineStr">
        <is>
          <t>Fossil</t>
        </is>
      </c>
      <c r="H581" s="3" t="n"/>
      <c r="I581" s="3" t="n">
        <v>208.73</v>
      </c>
      <c r="J581" s="3" t="n">
        <v>216.27</v>
      </c>
      <c r="K581" s="3" t="n">
        <v>211</v>
      </c>
      <c r="L581" s="2" t="inlineStr">
        <is>
          <t>TCGplayer</t>
        </is>
      </c>
      <c r="N581" s="4" t="inlineStr">
        <is>
          <t>https://www.tcgplayer.com/product/107608</t>
        </is>
      </c>
    </row>
    <row r="582">
      <c r="A582" s="2" t="inlineStr">
        <is>
          <t>Go Dragonite VSTAR Premier Deck Holder Collection</t>
        </is>
      </c>
      <c r="B582" s="3">
        <f>IF(H582&lt;&gt;"",H582,IF(I582&lt;&gt;"",I582,IF(J582&lt;&gt;"",J582,K582)))</f>
        <v>104.69</v>
      </c>
      <c r="C582" s="3">
        <f>MEDIAN(H582:K582)</f>
        <v>104.69</v>
      </c>
      <c r="D582" s="3">
        <f>ROUND(C582*(1-Settings!$B$2),2)</f>
        <v>73.28</v>
      </c>
      <c r="E582" s="2" t="inlineStr">
        <is>
          <t>Pokemon</t>
        </is>
      </c>
      <c r="F582" s="2" t="inlineStr">
        <is>
          <t>Deck</t>
        </is>
      </c>
      <c r="G582" s="2" t="inlineStr">
        <is>
          <t>Go</t>
        </is>
      </c>
      <c r="H582" s="3" t="n">
        <v>104.69</v>
      </c>
      <c r="I582" s="3" t="n"/>
      <c r="J582" s="3" t="n"/>
      <c r="K582" s="3" t="n"/>
      <c r="L582" s="2" t="inlineStr">
        <is>
          <t>PriceCharting</t>
        </is>
      </c>
      <c r="M582" s="4" t="inlineStr">
        <is>
          <t>https://www.pricecharting.com/game/pokemon-go/dragonite-vstar-premier-deck-holder-collection</t>
        </is>
      </c>
    </row>
    <row r="583">
      <c r="A583" s="2" t="inlineStr">
        <is>
          <t>Go V Battle Deck [Melmetal]</t>
        </is>
      </c>
      <c r="B583" s="3">
        <f>IF(H583&lt;&gt;"",H583,IF(I583&lt;&gt;"",I583,IF(J583&lt;&gt;"",J583,K583)))</f>
        <v>30.86</v>
      </c>
      <c r="C583" s="3">
        <f>MEDIAN(H583:K583)</f>
        <v>30.86</v>
      </c>
      <c r="D583" s="3">
        <f>ROUND(C583*(1-Settings!$B$2),2)</f>
        <v>21.6</v>
      </c>
      <c r="E583" s="2" t="inlineStr">
        <is>
          <t>Pokemon</t>
        </is>
      </c>
      <c r="F583" s="2" t="inlineStr">
        <is>
          <t>Deck</t>
        </is>
      </c>
      <c r="G583" s="2" t="inlineStr">
        <is>
          <t>Go</t>
        </is>
      </c>
      <c r="H583" s="3" t="n">
        <v>30.86</v>
      </c>
      <c r="I583" s="3" t="n"/>
      <c r="J583" s="3" t="n"/>
      <c r="K583" s="3" t="n"/>
      <c r="L583" s="2" t="inlineStr">
        <is>
          <t>PriceCharting</t>
        </is>
      </c>
      <c r="M583" s="4" t="inlineStr">
        <is>
          <t>https://www.pricecharting.com/game/pokemon-go/v-battle-deck-melmetal</t>
        </is>
      </c>
    </row>
    <row r="584">
      <c r="A584" s="2" t="inlineStr">
        <is>
          <t>Go V Battle Deck [Mewtwo]</t>
        </is>
      </c>
      <c r="B584" s="3">
        <f>IF(H584&lt;&gt;"",H584,IF(I584&lt;&gt;"",I584,IF(J584&lt;&gt;"",J584,K584)))</f>
        <v>29.89</v>
      </c>
      <c r="C584" s="3">
        <f>MEDIAN(H584:K584)</f>
        <v>29.89</v>
      </c>
      <c r="D584" s="3">
        <f>ROUND(C584*(1-Settings!$B$2),2)</f>
        <v>20.92</v>
      </c>
      <c r="E584" s="2" t="inlineStr">
        <is>
          <t>Pokemon</t>
        </is>
      </c>
      <c r="F584" s="2" t="inlineStr">
        <is>
          <t>Deck</t>
        </is>
      </c>
      <c r="G584" s="2" t="inlineStr">
        <is>
          <t>Go</t>
        </is>
      </c>
      <c r="H584" s="3" t="n">
        <v>29.89</v>
      </c>
      <c r="I584" s="3" t="n"/>
      <c r="J584" s="3" t="n"/>
      <c r="K584" s="3" t="n"/>
      <c r="L584" s="2" t="inlineStr">
        <is>
          <t>PriceCharting</t>
        </is>
      </c>
      <c r="M584" s="4" t="inlineStr">
        <is>
          <t>https://www.pricecharting.com/game/pokemon-go/v-battle-deck-mewtwo</t>
        </is>
      </c>
    </row>
    <row r="585">
      <c r="A585" s="2" t="inlineStr">
        <is>
          <t>Gym Challenge Koga Theme Deck</t>
        </is>
      </c>
      <c r="B585" s="3">
        <f>IF(H585&lt;&gt;"",H585,IF(I585&lt;&gt;"",I585,IF(J585&lt;&gt;"",J585,K585)))</f>
        <v>487.87</v>
      </c>
      <c r="C585" s="3">
        <f>MEDIAN(H585:K585)</f>
        <v>487.87</v>
      </c>
      <c r="D585" s="3">
        <f>ROUND(C585*(1-Settings!$B$2),2)</f>
        <v>341.51</v>
      </c>
      <c r="E585" s="2" t="inlineStr">
        <is>
          <t>Pokemon</t>
        </is>
      </c>
      <c r="F585" s="2" t="inlineStr">
        <is>
          <t>Deck</t>
        </is>
      </c>
      <c r="G585" s="2" t="inlineStr">
        <is>
          <t>Gym Challenge</t>
        </is>
      </c>
      <c r="H585" s="3" t="n">
        <v>487.87</v>
      </c>
      <c r="I585" s="3" t="n"/>
      <c r="J585" s="3" t="n"/>
      <c r="K585" s="3" t="n"/>
      <c r="L585" s="2" t="inlineStr">
        <is>
          <t>PriceCharting</t>
        </is>
      </c>
      <c r="M585" s="4" t="inlineStr">
        <is>
          <t>https://www.pricecharting.com/game/pokemon-gym-challenge/koga-theme-deck</t>
        </is>
      </c>
    </row>
    <row r="586">
      <c r="A586" s="2" t="inlineStr">
        <is>
          <t>Gym Challenge Theme Deck - "Giovanni"</t>
        </is>
      </c>
      <c r="B586" s="3">
        <f>IF(H586&lt;&gt;"",H586,IF(I586&lt;&gt;"",I586,IF(J586&lt;&gt;"",J586,K586)))</f>
        <v>700.0</v>
      </c>
      <c r="C586" s="3">
        <f>MEDIAN(H586:K586)</f>
        <v>700.0</v>
      </c>
      <c r="D586" s="3">
        <f>ROUND(C586*(1-Settings!$B$2),2)</f>
        <v>490.0</v>
      </c>
      <c r="E586" s="2" t="inlineStr">
        <is>
          <t>Pokemon</t>
        </is>
      </c>
      <c r="F586" s="2" t="inlineStr">
        <is>
          <t>Deck</t>
        </is>
      </c>
      <c r="G586" s="2" t="inlineStr">
        <is>
          <t>Gym Challenge</t>
        </is>
      </c>
      <c r="H586" s="3" t="n"/>
      <c r="I586" s="3" t="n"/>
      <c r="J586" s="3" t="n"/>
      <c r="K586" s="3" t="n">
        <v>700</v>
      </c>
      <c r="L586" s="2" t="inlineStr">
        <is>
          <t>TCGplayer</t>
        </is>
      </c>
      <c r="N586" s="4" t="inlineStr">
        <is>
          <t>https://www.tcgplayer.com/product/277128</t>
        </is>
      </c>
    </row>
    <row r="587">
      <c r="A587" s="2" t="inlineStr">
        <is>
          <t>Gym Challenge Theme Deck - "Koga"</t>
        </is>
      </c>
      <c r="B587" s="3">
        <f>IF(H587&lt;&gt;"",H587,IF(I587&lt;&gt;"",I587,IF(J587&lt;&gt;"",J587,K587)))</f>
        <v>450.0</v>
      </c>
      <c r="C587" s="3">
        <f>MEDIAN(H587:K587)</f>
        <v>450.0</v>
      </c>
      <c r="D587" s="3">
        <f>ROUND(C587*(1-Settings!$B$2),2)</f>
        <v>315.0</v>
      </c>
      <c r="E587" s="2" t="inlineStr">
        <is>
          <t>Pokemon</t>
        </is>
      </c>
      <c r="F587" s="2" t="inlineStr">
        <is>
          <t>Deck</t>
        </is>
      </c>
      <c r="G587" s="2" t="inlineStr">
        <is>
          <t>Gym Challenge</t>
        </is>
      </c>
      <c r="H587" s="3" t="n"/>
      <c r="I587" s="3" t="n"/>
      <c r="J587" s="3" t="n">
        <v>450</v>
      </c>
      <c r="K587" s="3" t="n">
        <v>450</v>
      </c>
      <c r="L587" s="2" t="inlineStr">
        <is>
          <t>TCGplayer</t>
        </is>
      </c>
      <c r="N587" s="4" t="inlineStr">
        <is>
          <t>https://www.tcgplayer.com/product/277129</t>
        </is>
      </c>
    </row>
    <row r="588">
      <c r="A588" s="2" t="inlineStr">
        <is>
          <t>Gym Challenge Theme Deck - "Sabrina"</t>
        </is>
      </c>
      <c r="B588" s="3">
        <f>IF(H588&lt;&gt;"",H588,IF(I588&lt;&gt;"",I588,IF(J588&lt;&gt;"",J588,K588)))</f>
        <v>999.98</v>
      </c>
      <c r="C588" s="3">
        <f>MEDIAN(H588:K588)</f>
        <v>999.965</v>
      </c>
      <c r="D588" s="3">
        <f>ROUND(C588*(1-Settings!$B$2),2)</f>
        <v>699.98</v>
      </c>
      <c r="E588" s="2" t="inlineStr">
        <is>
          <t>Pokemon</t>
        </is>
      </c>
      <c r="F588" s="2" t="inlineStr">
        <is>
          <t>Deck</t>
        </is>
      </c>
      <c r="G588" s="2" t="inlineStr">
        <is>
          <t>Gym Challenge</t>
        </is>
      </c>
      <c r="H588" s="3" t="n"/>
      <c r="I588" s="3" t="n"/>
      <c r="J588" s="3" t="n">
        <v>999.98</v>
      </c>
      <c r="K588" s="3" t="n">
        <v>999.95</v>
      </c>
      <c r="L588" s="2" t="inlineStr">
        <is>
          <t>TCGplayer</t>
        </is>
      </c>
      <c r="N588" s="4" t="inlineStr">
        <is>
          <t>https://www.tcgplayer.com/product/277126</t>
        </is>
      </c>
    </row>
    <row r="589">
      <c r="A589" s="2" t="inlineStr">
        <is>
          <t>Gym Heroes Lt. Surge Theme Deck</t>
        </is>
      </c>
      <c r="B589" s="3">
        <f>IF(H589&lt;&gt;"",H589,IF(I589&lt;&gt;"",I589,IF(J589&lt;&gt;"",J589,K589)))</f>
        <v>399.99</v>
      </c>
      <c r="C589" s="3">
        <f>MEDIAN(H589:K589)</f>
        <v>399.99</v>
      </c>
      <c r="D589" s="3">
        <f>ROUND(C589*(1-Settings!$B$2),2)</f>
        <v>279.99</v>
      </c>
      <c r="E589" s="2" t="inlineStr">
        <is>
          <t>Pokemon</t>
        </is>
      </c>
      <c r="F589" s="2" t="inlineStr">
        <is>
          <t>Deck</t>
        </is>
      </c>
      <c r="G589" s="2" t="inlineStr">
        <is>
          <t>Gym Heroes</t>
        </is>
      </c>
      <c r="H589" s="3" t="n">
        <v>399.99</v>
      </c>
      <c r="I589" s="3" t="n"/>
      <c r="J589" s="3" t="n"/>
      <c r="K589" s="3" t="n"/>
      <c r="L589" s="2" t="inlineStr">
        <is>
          <t>PriceCharting</t>
        </is>
      </c>
      <c r="M589" s="4" t="inlineStr">
        <is>
          <t>https://www.pricecharting.com/game/pokemon-gym-heroes/lt-surge-theme-deck</t>
        </is>
      </c>
    </row>
    <row r="590">
      <c r="A590" s="2" t="inlineStr">
        <is>
          <t>Gym Heroes Theme Deck - "Brock"</t>
        </is>
      </c>
      <c r="B590" s="3">
        <f>IF(H590&lt;&gt;"",H590,IF(I590&lt;&gt;"",I590,IF(J590&lt;&gt;"",J590,K590)))</f>
        <v>600.0</v>
      </c>
      <c r="C590" s="3">
        <f>MEDIAN(H590:K590)</f>
        <v>600.0</v>
      </c>
      <c r="D590" s="3">
        <f>ROUND(C590*(1-Settings!$B$2),2)</f>
        <v>420.0</v>
      </c>
      <c r="E590" s="2" t="inlineStr">
        <is>
          <t>Pokemon</t>
        </is>
      </c>
      <c r="F590" s="2" t="inlineStr">
        <is>
          <t>Deck</t>
        </is>
      </c>
      <c r="G590" s="2" t="inlineStr">
        <is>
          <t>Gym Heroes</t>
        </is>
      </c>
      <c r="H590" s="3" t="n"/>
      <c r="I590" s="3" t="n"/>
      <c r="J590" s="3" t="n"/>
      <c r="K590" s="3" t="n">
        <v>600</v>
      </c>
      <c r="L590" s="2" t="inlineStr">
        <is>
          <t>TCGplayer</t>
        </is>
      </c>
      <c r="N590" s="4" t="inlineStr">
        <is>
          <t>https://www.tcgplayer.com/product/234502</t>
        </is>
      </c>
    </row>
    <row r="591">
      <c r="A591" s="2" t="inlineStr">
        <is>
          <t>Gym Heroes Theme Deck - "Lt. Surge"</t>
        </is>
      </c>
      <c r="B591" s="3">
        <f>IF(H591&lt;&gt;"",H591,IF(I591&lt;&gt;"",I591,IF(J591&lt;&gt;"",J591,K591)))</f>
        <v>399.99</v>
      </c>
      <c r="C591" s="3">
        <f>MEDIAN(H591:K591)</f>
        <v>399.99</v>
      </c>
      <c r="D591" s="3">
        <f>ROUND(C591*(1-Settings!$B$2),2)</f>
        <v>279.99</v>
      </c>
      <c r="E591" s="2" t="inlineStr">
        <is>
          <t>Pokemon</t>
        </is>
      </c>
      <c r="F591" s="2" t="inlineStr">
        <is>
          <t>Deck</t>
        </is>
      </c>
      <c r="G591" s="2" t="inlineStr">
        <is>
          <t>Gym Heroes</t>
        </is>
      </c>
      <c r="H591" s="3" t="n"/>
      <c r="I591" s="3" t="n">
        <v>399.99</v>
      </c>
      <c r="J591" s="3" t="n"/>
      <c r="K591" s="3" t="n"/>
      <c r="L591" s="2" t="inlineStr">
        <is>
          <t>TCGplayer</t>
        </is>
      </c>
      <c r="N591" s="4" t="inlineStr">
        <is>
          <t>https://www.tcgplayer.com/product/451095</t>
        </is>
      </c>
    </row>
    <row r="592">
      <c r="A592" s="2" t="inlineStr">
        <is>
          <t>Japanese Challenge From The Darkness Guren Town Gym Theme Deck</t>
        </is>
      </c>
      <c r="B592" s="3">
        <f>IF(H592&lt;&gt;"",H592,IF(I592&lt;&gt;"",I592,IF(J592&lt;&gt;"",J592,K592)))</f>
        <v>200.4</v>
      </c>
      <c r="C592" s="3">
        <f>MEDIAN(H592:K592)</f>
        <v>200.4</v>
      </c>
      <c r="D592" s="3">
        <f>ROUND(C592*(1-Settings!$B$2),2)</f>
        <v>140.28</v>
      </c>
      <c r="E592" s="2" t="inlineStr">
        <is>
          <t>Pokemon</t>
        </is>
      </c>
      <c r="F592" s="2" t="inlineStr">
        <is>
          <t>Deck</t>
        </is>
      </c>
      <c r="G592" s="2" t="inlineStr">
        <is>
          <t>Japanese Challenge From The Darkness</t>
        </is>
      </c>
      <c r="H592" s="3" t="n">
        <v>200.4</v>
      </c>
      <c r="I592" s="3" t="n"/>
      <c r="J592" s="3" t="n"/>
      <c r="K592" s="3" t="n"/>
      <c r="L592" s="2" t="inlineStr">
        <is>
          <t>PriceCharting</t>
        </is>
      </c>
      <c r="M592" s="4" t="inlineStr">
        <is>
          <t>https://www.pricecharting.com/game/pokemon-japanese-challenge-from-the-darkness/guren-town-gym-theme-deck</t>
        </is>
      </c>
    </row>
    <row r="593">
      <c r="A593" s="2" t="inlineStr">
        <is>
          <t>Japanese Expansion Pack Starter Deck</t>
        </is>
      </c>
      <c r="B593" s="3">
        <f>IF(H593&lt;&gt;"",H593,IF(I593&lt;&gt;"",I593,IF(J593&lt;&gt;"",J593,K593)))</f>
        <v>4550.0</v>
      </c>
      <c r="C593" s="3">
        <f>MEDIAN(H593:K593)</f>
        <v>4550.0</v>
      </c>
      <c r="D593" s="3">
        <f>ROUND(C593*(1-Settings!$B$2),2)</f>
        <v>3185.0</v>
      </c>
      <c r="E593" s="2" t="inlineStr">
        <is>
          <t>Pokemon</t>
        </is>
      </c>
      <c r="F593" s="2" t="inlineStr">
        <is>
          <t>Deck</t>
        </is>
      </c>
      <c r="G593" s="2" t="inlineStr">
        <is>
          <t>Japanese Expansion Pack</t>
        </is>
      </c>
      <c r="H593" s="3" t="n">
        <v>4550</v>
      </c>
      <c r="I593" s="3" t="n"/>
      <c r="J593" s="3" t="n"/>
      <c r="K593" s="3" t="n"/>
      <c r="L593" s="2" t="inlineStr">
        <is>
          <t>PriceCharting</t>
        </is>
      </c>
      <c r="M593" s="4" t="inlineStr">
        <is>
          <t>https://www.pricecharting.com/game/pokemon-japanese-expansion-pack/starter-deck</t>
        </is>
      </c>
    </row>
    <row r="594">
      <c r="A594" s="2" t="inlineStr">
        <is>
          <t>Japanese Mega Starter Deck Gengar Ex Sealed Mega Starter Set</t>
        </is>
      </c>
      <c r="B594" s="3">
        <f>IF(H594&lt;&gt;"",H594,IF(I594&lt;&gt;"",I594,IF(J594&lt;&gt;"",J594,K594)))</f>
        <v>46.0</v>
      </c>
      <c r="C594" s="3">
        <f>MEDIAN(H594:K594)</f>
        <v>46.0</v>
      </c>
      <c r="D594" s="3">
        <f>ROUND(C594*(1-Settings!$B$2),2)</f>
        <v>32.2</v>
      </c>
      <c r="E594" s="2" t="inlineStr">
        <is>
          <t>Pokemon</t>
        </is>
      </c>
      <c r="F594" s="2" t="inlineStr">
        <is>
          <t>Deck</t>
        </is>
      </c>
      <c r="G594" s="2" t="inlineStr">
        <is>
          <t>Japanese Mega Starter Deck Gengar Ex</t>
        </is>
      </c>
      <c r="H594" s="3" t="n">
        <v>46</v>
      </c>
      <c r="I594" s="3" t="n"/>
      <c r="J594" s="3" t="n"/>
      <c r="K594" s="3" t="n"/>
      <c r="L594" s="2" t="inlineStr">
        <is>
          <t>PriceCharting</t>
        </is>
      </c>
      <c r="M594" s="4" t="inlineStr">
        <is>
          <t>https://www.pricecharting.com/game/pokemon-japanese-mega-starter-deck-gengar-ex/sealed-mega-starter-set</t>
        </is>
      </c>
    </row>
    <row r="595">
      <c r="A595" s="2" t="inlineStr">
        <is>
          <t>Japanese Old Maid Old Maid Deck</t>
        </is>
      </c>
      <c r="B595" s="3">
        <f>IF(H595&lt;&gt;"",H595,IF(I595&lt;&gt;"",I595,IF(J595&lt;&gt;"",J595,K595)))</f>
        <v>22.13</v>
      </c>
      <c r="C595" s="3">
        <f>MEDIAN(H595:K595)</f>
        <v>22.13</v>
      </c>
      <c r="D595" s="3">
        <f>ROUND(C595*(1-Settings!$B$2),2)</f>
        <v>15.49</v>
      </c>
      <c r="E595" s="2" t="inlineStr">
        <is>
          <t>Pokemon</t>
        </is>
      </c>
      <c r="F595" s="2" t="inlineStr">
        <is>
          <t>Deck</t>
        </is>
      </c>
      <c r="G595" s="2" t="inlineStr">
        <is>
          <t>Japanese Old Maid</t>
        </is>
      </c>
      <c r="H595" s="3" t="n">
        <v>22.13</v>
      </c>
      <c r="I595" s="3" t="n"/>
      <c r="J595" s="3" t="n"/>
      <c r="K595" s="3" t="n"/>
      <c r="L595" s="2" t="inlineStr">
        <is>
          <t>PriceCharting</t>
        </is>
      </c>
      <c r="M595" s="4" t="inlineStr">
        <is>
          <t>https://www.pricecharting.com/game/pokemon-japanese-old-maid/old-maid-deck</t>
        </is>
      </c>
    </row>
    <row r="596">
      <c r="A596" s="2" t="inlineStr">
        <is>
          <t>Japanese Old Maid Old Maid Deck [Blue]</t>
        </is>
      </c>
      <c r="B596" s="3">
        <f>IF(H596&lt;&gt;"",H596,IF(I596&lt;&gt;"",I596,IF(J596&lt;&gt;"",J596,K596)))</f>
        <v>22.4</v>
      </c>
      <c r="C596" s="3">
        <f>MEDIAN(H596:K596)</f>
        <v>22.4</v>
      </c>
      <c r="D596" s="3">
        <f>ROUND(C596*(1-Settings!$B$2),2)</f>
        <v>15.68</v>
      </c>
      <c r="E596" s="2" t="inlineStr">
        <is>
          <t>Pokemon</t>
        </is>
      </c>
      <c r="F596" s="2" t="inlineStr">
        <is>
          <t>Deck</t>
        </is>
      </c>
      <c r="G596" s="2" t="inlineStr">
        <is>
          <t>Japanese Old Maid</t>
        </is>
      </c>
      <c r="H596" s="3" t="n">
        <v>22.4</v>
      </c>
      <c r="I596" s="3" t="n"/>
      <c r="J596" s="3" t="n"/>
      <c r="K596" s="3" t="n"/>
      <c r="L596" s="2" t="inlineStr">
        <is>
          <t>PriceCharting</t>
        </is>
      </c>
      <c r="M596" s="4" t="inlineStr">
        <is>
          <t>https://www.pricecharting.com/game/pokemon-japanese-old-maid/old-maid-deck-blue</t>
        </is>
      </c>
    </row>
    <row r="597">
      <c r="A597" s="2" t="inlineStr">
        <is>
          <t>Japanese Start Deck 100 Battle Collection Sealed Deck</t>
        </is>
      </c>
      <c r="B597" s="3">
        <f>IF(H597&lt;&gt;"",H597,IF(I597&lt;&gt;"",I597,IF(J597&lt;&gt;"",J597,K597)))</f>
        <v>50.72</v>
      </c>
      <c r="C597" s="3">
        <f>MEDIAN(H597:K597)</f>
        <v>50.72</v>
      </c>
      <c r="D597" s="3">
        <f>ROUND(C597*(1-Settings!$B$2),2)</f>
        <v>35.5</v>
      </c>
      <c r="E597" s="2" t="inlineStr">
        <is>
          <t>Pokemon</t>
        </is>
      </c>
      <c r="F597" s="2" t="inlineStr">
        <is>
          <t>Deck</t>
        </is>
      </c>
      <c r="G597" s="2" t="inlineStr">
        <is>
          <t>Japanese Start Deck 100 Battle Collection</t>
        </is>
      </c>
      <c r="H597" s="3" t="n">
        <v>50.72</v>
      </c>
      <c r="I597" s="3" t="n"/>
      <c r="J597" s="3" t="n"/>
      <c r="K597" s="3" t="n"/>
      <c r="L597" s="2" t="inlineStr">
        <is>
          <t>PriceCharting</t>
        </is>
      </c>
      <c r="M597" s="4" t="inlineStr">
        <is>
          <t>https://www.pricecharting.com/game/pokemon-japanese-start-deck-100-battle-collection/sealed-deck</t>
        </is>
      </c>
    </row>
    <row r="598">
      <c r="A598" s="2" t="inlineStr">
        <is>
          <t>Japanese Svg Special Set Venusaur &amp; Charizard &amp; Blastoise Special Deck Set EX</t>
        </is>
      </c>
      <c r="B598" s="3">
        <f>IF(H598&lt;&gt;"",H598,IF(I598&lt;&gt;"",I598,IF(J598&lt;&gt;"",J598,K598)))</f>
        <v>370.09</v>
      </c>
      <c r="C598" s="3">
        <f>MEDIAN(H598:K598)</f>
        <v>370.09</v>
      </c>
      <c r="D598" s="3">
        <f>ROUND(C598*(1-Settings!$B$2),2)</f>
        <v>259.06</v>
      </c>
      <c r="E598" s="2" t="inlineStr">
        <is>
          <t>Pokemon</t>
        </is>
      </c>
      <c r="F598" s="2" t="inlineStr">
        <is>
          <t>Deck</t>
        </is>
      </c>
      <c r="G598" s="2" t="inlineStr">
        <is>
          <t>Japanese Svg Special Set</t>
        </is>
      </c>
      <c r="H598" s="3" t="n">
        <v>370.09</v>
      </c>
      <c r="I598" s="3" t="n"/>
      <c r="J598" s="3" t="n"/>
      <c r="K598" s="3" t="n"/>
      <c r="L598" s="2" t="inlineStr">
        <is>
          <t>PriceCharting</t>
        </is>
      </c>
      <c r="M598" s="4" t="inlineStr">
        <is>
          <t>https://www.pricecharting.com/game/pokemon-japanese-svg-special-set/venusaur-&amp;-charizard-&amp;-blastoise-special-deck-set-ex</t>
        </is>
      </c>
    </row>
    <row r="599">
      <c r="A599" s="2" t="inlineStr">
        <is>
          <t>Japanese Tag Team Starter Set Starter Deluxe Set</t>
        </is>
      </c>
      <c r="B599" s="3">
        <f>IF(H599&lt;&gt;"",H599,IF(I599&lt;&gt;"",I599,IF(J599&lt;&gt;"",J599,K599)))</f>
        <v>258.75</v>
      </c>
      <c r="C599" s="3">
        <f>MEDIAN(H599:K599)</f>
        <v>258.75</v>
      </c>
      <c r="D599" s="3">
        <f>ROUND(C599*(1-Settings!$B$2),2)</f>
        <v>181.13</v>
      </c>
      <c r="E599" s="2" t="inlineStr">
        <is>
          <t>Pokemon</t>
        </is>
      </c>
      <c r="F599" s="2" t="inlineStr">
        <is>
          <t>Deck</t>
        </is>
      </c>
      <c r="G599" s="2" t="inlineStr">
        <is>
          <t>Japanese Tag Team Starter Set</t>
        </is>
      </c>
      <c r="H599" s="3" t="n">
        <v>258.75</v>
      </c>
      <c r="I599" s="3" t="n"/>
      <c r="J599" s="3" t="n"/>
      <c r="K599" s="3" t="n"/>
      <c r="L599" s="2" t="inlineStr">
        <is>
          <t>PriceCharting</t>
        </is>
      </c>
      <c r="M599" s="4" t="inlineStr">
        <is>
          <t>https://www.pricecharting.com/game/pokemon-japanese-tag-team-starter-set/starter-deluxe-set</t>
        </is>
      </c>
    </row>
    <row r="600">
      <c r="A600" s="2" t="inlineStr">
        <is>
          <t>Japanese Vending Deck Battle [Series III]</t>
        </is>
      </c>
      <c r="B600" s="3">
        <f>IF(H600&lt;&gt;"",H600,IF(I600&lt;&gt;"",I600,IF(J600&lt;&gt;"",J600,K600)))</f>
        <v>31.78</v>
      </c>
      <c r="C600" s="3">
        <f>MEDIAN(H600:K600)</f>
        <v>31.78</v>
      </c>
      <c r="D600" s="3">
        <f>ROUND(C600*(1-Settings!$B$2),2)</f>
        <v>22.25</v>
      </c>
      <c r="E600" s="2" t="inlineStr">
        <is>
          <t>Pokemon</t>
        </is>
      </c>
      <c r="F600" s="2" t="inlineStr">
        <is>
          <t>Deck</t>
        </is>
      </c>
      <c r="G600" s="2" t="inlineStr">
        <is>
          <t>Japanese Vending</t>
        </is>
      </c>
      <c r="H600" s="3" t="n">
        <v>31.78</v>
      </c>
      <c r="I600" s="3" t="n"/>
      <c r="J600" s="3" t="n"/>
      <c r="K600" s="3" t="n"/>
      <c r="L600" s="2" t="inlineStr">
        <is>
          <t>PriceCharting</t>
        </is>
      </c>
      <c r="M600" s="4" t="inlineStr">
        <is>
          <t>https://www.pricecharting.com/game/pokemon-japanese-vending/deck-battle-series-iii</t>
        </is>
      </c>
    </row>
    <row r="601">
      <c r="A601" s="2" t="inlineStr">
        <is>
          <t>Japanese Vending Deck Exchange [Series III]</t>
        </is>
      </c>
      <c r="B601" s="3">
        <f>IF(H601&lt;&gt;"",H601,IF(I601&lt;&gt;"",I601,IF(J601&lt;&gt;"",J601,K601)))</f>
        <v>69.99</v>
      </c>
      <c r="C601" s="3">
        <f>MEDIAN(H601:K601)</f>
        <v>69.99</v>
      </c>
      <c r="D601" s="3">
        <f>ROUND(C601*(1-Settings!$B$2),2)</f>
        <v>48.99</v>
      </c>
      <c r="E601" s="2" t="inlineStr">
        <is>
          <t>Pokemon</t>
        </is>
      </c>
      <c r="F601" s="2" t="inlineStr">
        <is>
          <t>Deck</t>
        </is>
      </c>
      <c r="G601" s="2" t="inlineStr">
        <is>
          <t>Japanese Vending</t>
        </is>
      </c>
      <c r="H601" s="3" t="n">
        <v>69.98999999999999</v>
      </c>
      <c r="I601" s="3" t="n"/>
      <c r="J601" s="3" t="n"/>
      <c r="K601" s="3" t="n"/>
      <c r="L601" s="2" t="inlineStr">
        <is>
          <t>PriceCharting</t>
        </is>
      </c>
      <c r="M601" s="4" t="inlineStr">
        <is>
          <t>https://www.pricecharting.com/game/pokemon-japanese-vending/deck-exchange-series-iii</t>
        </is>
      </c>
    </row>
    <row r="602">
      <c r="A602" s="2" t="inlineStr">
        <is>
          <t>Japanese Yamabuki City Gym Yamabuki City Gym Theme Deck</t>
        </is>
      </c>
      <c r="B602" s="3">
        <f>IF(H602&lt;&gt;"",H602,IF(I602&lt;&gt;"",I602,IF(J602&lt;&gt;"",J602,K602)))</f>
        <v>70.68</v>
      </c>
      <c r="C602" s="3">
        <f>MEDIAN(H602:K602)</f>
        <v>70.68</v>
      </c>
      <c r="D602" s="3">
        <f>ROUND(C602*(1-Settings!$B$2),2)</f>
        <v>49.48</v>
      </c>
      <c r="E602" s="2" t="inlineStr">
        <is>
          <t>Pokemon</t>
        </is>
      </c>
      <c r="F602" s="2" t="inlineStr">
        <is>
          <t>Deck</t>
        </is>
      </c>
      <c r="G602" s="2" t="inlineStr">
        <is>
          <t>Japanese Yamabuki City Gym</t>
        </is>
      </c>
      <c r="H602" s="3" t="n">
        <v>70.68000000000001</v>
      </c>
      <c r="I602" s="3" t="n"/>
      <c r="J602" s="3" t="n"/>
      <c r="K602" s="3" t="n"/>
      <c r="L602" s="2" t="inlineStr">
        <is>
          <t>PriceCharting</t>
        </is>
      </c>
      <c r="M602" s="4" t="inlineStr">
        <is>
          <t>https://www.pricecharting.com/game/pokemon-japanese-yamabuki-city-gym/yamabuki-city-gym-theme-deck</t>
        </is>
      </c>
    </row>
    <row r="603">
      <c r="A603" s="2" t="inlineStr">
        <is>
          <t>Jungle Power Reserve Theme Deck</t>
        </is>
      </c>
      <c r="B603" s="3">
        <f>IF(H603&lt;&gt;"",H603,IF(I603&lt;&gt;"",I603,IF(J603&lt;&gt;"",J603,K603)))</f>
        <v>165.13</v>
      </c>
      <c r="C603" s="3">
        <f>MEDIAN(H603:K603)</f>
        <v>165.13</v>
      </c>
      <c r="D603" s="3">
        <f>ROUND(C603*(1-Settings!$B$2),2)</f>
        <v>115.59</v>
      </c>
      <c r="E603" s="2" t="inlineStr">
        <is>
          <t>Pokemon</t>
        </is>
      </c>
      <c r="F603" s="2" t="inlineStr">
        <is>
          <t>Deck</t>
        </is>
      </c>
      <c r="G603" s="2" t="inlineStr">
        <is>
          <t>Jungle</t>
        </is>
      </c>
      <c r="H603" s="3" t="n">
        <v>165.13</v>
      </c>
      <c r="I603" s="3" t="n"/>
      <c r="J603" s="3" t="n"/>
      <c r="K603" s="3" t="n"/>
      <c r="L603" s="2" t="inlineStr">
        <is>
          <t>PriceCharting</t>
        </is>
      </c>
      <c r="M603" s="4" t="inlineStr">
        <is>
          <t>https://www.pricecharting.com/game/pokemon-jungle/power-reserve-theme-deck</t>
        </is>
      </c>
    </row>
    <row r="604">
      <c r="A604" s="2" t="inlineStr">
        <is>
          <t>Jungle Theme Deck - "Power Reserve"</t>
        </is>
      </c>
      <c r="B604" s="3">
        <f>IF(H604&lt;&gt;"",H604,IF(I604&lt;&gt;"",I604,IF(J604&lt;&gt;"",J604,K604)))</f>
        <v>218.68</v>
      </c>
      <c r="C604" s="3">
        <f>MEDIAN(H604:K604)</f>
        <v>319.47</v>
      </c>
      <c r="D604" s="3">
        <f>ROUND(C604*(1-Settings!$B$2),2)</f>
        <v>223.63</v>
      </c>
      <c r="E604" s="2" t="inlineStr">
        <is>
          <t>Pokemon</t>
        </is>
      </c>
      <c r="F604" s="2" t="inlineStr">
        <is>
          <t>Deck</t>
        </is>
      </c>
      <c r="G604" s="2" t="inlineStr">
        <is>
          <t>Jungle</t>
        </is>
      </c>
      <c r="H604" s="3" t="n"/>
      <c r="I604" s="3" t="n">
        <v>218.68</v>
      </c>
      <c r="J604" s="3" t="n">
        <v>377.24</v>
      </c>
      <c r="K604" s="3" t="n">
        <v>319.47</v>
      </c>
      <c r="L604" s="2" t="inlineStr">
        <is>
          <t>TCGplayer</t>
        </is>
      </c>
      <c r="N604" s="4" t="inlineStr">
        <is>
          <t>https://www.tcgplayer.com/product/234498</t>
        </is>
      </c>
    </row>
    <row r="605">
      <c r="A605" s="2" t="inlineStr">
        <is>
          <t>Jungle Theme Deck - "Water Blast"</t>
        </is>
      </c>
      <c r="B605" s="3">
        <f>IF(H605&lt;&gt;"",H605,IF(I605&lt;&gt;"",I605,IF(J605&lt;&gt;"",J605,K605)))</f>
        <v>399.99</v>
      </c>
      <c r="C605" s="3">
        <f>MEDIAN(H605:K605)</f>
        <v>412.86</v>
      </c>
      <c r="D605" s="3">
        <f>ROUND(C605*(1-Settings!$B$2),2)</f>
        <v>289.0</v>
      </c>
      <c r="E605" s="2" t="inlineStr">
        <is>
          <t>Pokemon</t>
        </is>
      </c>
      <c r="F605" s="2" t="inlineStr">
        <is>
          <t>Deck</t>
        </is>
      </c>
      <c r="G605" s="2" t="inlineStr">
        <is>
          <t>Jungle</t>
        </is>
      </c>
      <c r="H605" s="3" t="n"/>
      <c r="I605" s="3" t="n">
        <v>399.99</v>
      </c>
      <c r="J605" s="3" t="n">
        <v>506.43</v>
      </c>
      <c r="K605" s="3" t="n">
        <v>412.86</v>
      </c>
      <c r="L605" s="2" t="inlineStr">
        <is>
          <t>TCGplayer</t>
        </is>
      </c>
      <c r="N605" s="4" t="inlineStr">
        <is>
          <t>https://www.tcgplayer.com/product/234499</t>
        </is>
      </c>
    </row>
    <row r="606">
      <c r="A606" s="2" t="inlineStr">
        <is>
          <t>Jungle Water Blast Theme Deck</t>
        </is>
      </c>
      <c r="B606" s="3">
        <f>IF(H606&lt;&gt;"",H606,IF(I606&lt;&gt;"",I606,IF(J606&lt;&gt;"",J606,K606)))</f>
        <v>305.7</v>
      </c>
      <c r="C606" s="3">
        <f>MEDIAN(H606:K606)</f>
        <v>305.7</v>
      </c>
      <c r="D606" s="3">
        <f>ROUND(C606*(1-Settings!$B$2),2)</f>
        <v>213.99</v>
      </c>
      <c r="E606" s="2" t="inlineStr">
        <is>
          <t>Pokemon</t>
        </is>
      </c>
      <c r="F606" s="2" t="inlineStr">
        <is>
          <t>Deck</t>
        </is>
      </c>
      <c r="G606" s="2" t="inlineStr">
        <is>
          <t>Jungle</t>
        </is>
      </c>
      <c r="H606" s="3" t="n">
        <v>305.7</v>
      </c>
      <c r="I606" s="3" t="n"/>
      <c r="J606" s="3" t="n"/>
      <c r="K606" s="3" t="n"/>
      <c r="L606" s="2" t="inlineStr">
        <is>
          <t>PriceCharting</t>
        </is>
      </c>
      <c r="M606" s="4" t="inlineStr">
        <is>
          <t>https://www.pricecharting.com/game/pokemon-jungle/water-blast-theme-deck</t>
        </is>
      </c>
    </row>
    <row r="607">
      <c r="A607" s="2" t="inlineStr">
        <is>
          <t>Legendary Collection Lava Theme Deck</t>
        </is>
      </c>
      <c r="B607" s="3">
        <f>IF(H607&lt;&gt;"",H607,IF(I607&lt;&gt;"",I607,IF(J607&lt;&gt;"",J607,K607)))</f>
        <v>4305.0</v>
      </c>
      <c r="C607" s="3">
        <f>MEDIAN(H607:K607)</f>
        <v>4305.0</v>
      </c>
      <c r="D607" s="3">
        <f>ROUND(C607*(1-Settings!$B$2),2)</f>
        <v>3013.5</v>
      </c>
      <c r="E607" s="2" t="inlineStr">
        <is>
          <t>Pokemon</t>
        </is>
      </c>
      <c r="F607" s="2" t="inlineStr">
        <is>
          <t>Deck</t>
        </is>
      </c>
      <c r="G607" s="2" t="inlineStr">
        <is>
          <t>Legendary Collection</t>
        </is>
      </c>
      <c r="H607" s="3" t="n">
        <v>4305</v>
      </c>
      <c r="I607" s="3" t="n"/>
      <c r="J607" s="3" t="n"/>
      <c r="K607" s="3" t="n"/>
      <c r="L607" s="2" t="inlineStr">
        <is>
          <t>PriceCharting</t>
        </is>
      </c>
      <c r="M607" s="4" t="inlineStr">
        <is>
          <t>https://www.pricecharting.com/game/pokemon-legendary-collection/lava-theme-deck</t>
        </is>
      </c>
    </row>
    <row r="608">
      <c r="A608" s="2" t="inlineStr">
        <is>
          <t>Legends Awakened Theme Deck - Metal Surge</t>
        </is>
      </c>
      <c r="B608" s="3">
        <f>IF(H608&lt;&gt;"",H608,IF(I608&lt;&gt;"",I608,IF(J608&lt;&gt;"",J608,K608)))</f>
        <v>200.0</v>
      </c>
      <c r="C608" s="3">
        <f>MEDIAN(H608:K608)</f>
        <v>200.0</v>
      </c>
      <c r="D608" s="3">
        <f>ROUND(C608*(1-Settings!$B$2),2)</f>
        <v>140.0</v>
      </c>
      <c r="E608" s="2" t="inlineStr">
        <is>
          <t>Pokemon</t>
        </is>
      </c>
      <c r="F608" s="2" t="inlineStr">
        <is>
          <t>Deck</t>
        </is>
      </c>
      <c r="G608" s="2" t="inlineStr">
        <is>
          <t>Legends Awakened</t>
        </is>
      </c>
      <c r="H608" s="3" t="n"/>
      <c r="I608" s="3" t="n"/>
      <c r="J608" s="3" t="n">
        <v>200</v>
      </c>
      <c r="K608" s="3" t="n">
        <v>200</v>
      </c>
      <c r="L608" s="2" t="inlineStr">
        <is>
          <t>TCGplayer</t>
        </is>
      </c>
      <c r="N608" s="4" t="inlineStr">
        <is>
          <t>https://www.tcgplayer.com/product/693133</t>
        </is>
      </c>
    </row>
    <row r="609">
      <c r="A609" s="2" t="inlineStr">
        <is>
          <t>Lost Thunder Storm Caller Theme Deck</t>
        </is>
      </c>
      <c r="B609" s="3">
        <f>IF(H609&lt;&gt;"",H609,IF(I609&lt;&gt;"",I609,IF(J609&lt;&gt;"",J609,K609)))</f>
        <v>39.9</v>
      </c>
      <c r="C609" s="3">
        <f>MEDIAN(H609:K609)</f>
        <v>39.9</v>
      </c>
      <c r="D609" s="3">
        <f>ROUND(C609*(1-Settings!$B$2),2)</f>
        <v>27.93</v>
      </c>
      <c r="E609" s="2" t="inlineStr">
        <is>
          <t>Pokemon</t>
        </is>
      </c>
      <c r="F609" s="2" t="inlineStr">
        <is>
          <t>Deck</t>
        </is>
      </c>
      <c r="G609" s="2" t="inlineStr">
        <is>
          <t>Lost Thunder</t>
        </is>
      </c>
      <c r="H609" s="3" t="n">
        <v>39.9</v>
      </c>
      <c r="I609" s="3" t="n"/>
      <c r="J609" s="3" t="n"/>
      <c r="K609" s="3" t="n"/>
      <c r="L609" s="2" t="inlineStr">
        <is>
          <t>PriceCharting</t>
        </is>
      </c>
      <c r="M609" s="4" t="inlineStr">
        <is>
          <t>https://www.pricecharting.com/game/pokemon-lost-thunder/storm-caller-theme-deck</t>
        </is>
      </c>
    </row>
    <row r="610">
      <c r="A610" s="2" t="inlineStr">
        <is>
          <t>Majestic Dawn Theme Deck - "Polar Frost"</t>
        </is>
      </c>
      <c r="B610" s="3">
        <f>IF(H610&lt;&gt;"",H610,IF(I610&lt;&gt;"",I610,IF(J610&lt;&gt;"",J610,K610)))</f>
        <v>249.99</v>
      </c>
      <c r="C610" s="3">
        <f>MEDIAN(H610:K610)</f>
        <v>249.99</v>
      </c>
      <c r="D610" s="3">
        <f>ROUND(C610*(1-Settings!$B$2),2)</f>
        <v>174.99</v>
      </c>
      <c r="E610" s="2" t="inlineStr">
        <is>
          <t>Pokemon</t>
        </is>
      </c>
      <c r="F610" s="2" t="inlineStr">
        <is>
          <t>Deck</t>
        </is>
      </c>
      <c r="G610" s="2" t="inlineStr">
        <is>
          <t>Majestic Dawn</t>
        </is>
      </c>
      <c r="H610" s="3" t="n"/>
      <c r="I610" s="3" t="n">
        <v>249.99</v>
      </c>
      <c r="J610" s="3" t="n"/>
      <c r="K610" s="3" t="n"/>
      <c r="L610" s="2" t="inlineStr">
        <is>
          <t>TCGplayer</t>
        </is>
      </c>
      <c r="N610" s="4" t="inlineStr">
        <is>
          <t>https://www.tcgplayer.com/product/229132</t>
        </is>
      </c>
    </row>
    <row r="611">
      <c r="A611" s="2" t="inlineStr">
        <is>
          <t>MEGA Starter Set Mega Diancie ex</t>
        </is>
      </c>
      <c r="B611" s="3">
        <f>IF(H611&lt;&gt;"",H611,IF(I611&lt;&gt;"",I611,IF(J611&lt;&gt;"",J611,K611)))</f>
        <v>19.12</v>
      </c>
      <c r="C611" s="3">
        <f>MEDIAN(H611:K611)</f>
        <v>19.555</v>
      </c>
      <c r="D611" s="3">
        <f>ROUND(C611*(1-Settings!$B$2),2)</f>
        <v>13.69</v>
      </c>
      <c r="E611" s="2" t="inlineStr">
        <is>
          <t>Pokemon</t>
        </is>
      </c>
      <c r="F611" s="2" t="inlineStr">
        <is>
          <t>Deck</t>
        </is>
      </c>
      <c r="G611" s="2" t="inlineStr">
        <is>
          <t>MBD: MEGA Starter Set Mega Diancie ex</t>
        </is>
      </c>
      <c r="H611" s="3" t="n"/>
      <c r="I611" s="3" t="n">
        <v>19.12</v>
      </c>
      <c r="J611" s="3" t="n"/>
      <c r="K611" s="3" t="n">
        <v>19.99</v>
      </c>
      <c r="L611" s="2" t="inlineStr">
        <is>
          <t>TCGplayer</t>
        </is>
      </c>
      <c r="N611" s="4" t="inlineStr">
        <is>
          <t>https://www.tcgplayer.com/product/653859</t>
        </is>
      </c>
    </row>
    <row r="612">
      <c r="A612" s="2" t="inlineStr">
        <is>
          <t>Starter Set MEGA Mega Gengar ex</t>
        </is>
      </c>
      <c r="B612" s="3">
        <f>IF(H612&lt;&gt;"",H612,IF(I612&lt;&gt;"",I612,IF(J612&lt;&gt;"",J612,K612)))</f>
        <v>39.67</v>
      </c>
      <c r="C612" s="3">
        <f>MEDIAN(H612:K612)</f>
        <v>37.33</v>
      </c>
      <c r="D612" s="3">
        <f>ROUND(C612*(1-Settings!$B$2),2)</f>
        <v>26.13</v>
      </c>
      <c r="E612" s="2" t="inlineStr">
        <is>
          <t>Pokemon</t>
        </is>
      </c>
      <c r="F612" s="2" t="inlineStr">
        <is>
          <t>Deck</t>
        </is>
      </c>
      <c r="G612" s="2" t="inlineStr">
        <is>
          <t>MBG: MEGA Starter Set Mega Gengar ex</t>
        </is>
      </c>
      <c r="H612" s="3" t="n"/>
      <c r="I612" s="3" t="n">
        <v>39.67</v>
      </c>
      <c r="J612" s="3" t="n"/>
      <c r="K612" s="3" t="n">
        <v>34.99</v>
      </c>
      <c r="L612" s="2" t="inlineStr">
        <is>
          <t>TCGplayer</t>
        </is>
      </c>
      <c r="N612" s="4" t="inlineStr">
        <is>
          <t>https://www.tcgplayer.com/product/653844</t>
        </is>
      </c>
    </row>
    <row r="613">
      <c r="A613" s="2" t="inlineStr">
        <is>
          <t>30th Celebration Battle Deck [Espeon ex]</t>
        </is>
      </c>
      <c r="B613" s="3">
        <f>IF(H613&lt;&gt;"",H613,IF(I613&lt;&gt;"",I613,IF(J613&lt;&gt;"",J613,K613)))</f>
        <v>37.38</v>
      </c>
      <c r="C613" s="3">
        <f>MEDIAN(H613:K613)</f>
        <v>38.15</v>
      </c>
      <c r="D613" s="3">
        <f>ROUND(C613*(1-Settings!$B$2),2)</f>
        <v>26.71</v>
      </c>
      <c r="E613" s="2" t="inlineStr">
        <is>
          <t>Pokemon</t>
        </is>
      </c>
      <c r="F613" s="2" t="inlineStr">
        <is>
          <t>Deck</t>
        </is>
      </c>
      <c r="G613" s="2" t="inlineStr">
        <is>
          <t>ME: 30th Celebration</t>
        </is>
      </c>
      <c r="H613" s="3" t="n">
        <v>37.38</v>
      </c>
      <c r="I613" s="3" t="n">
        <v>37.9</v>
      </c>
      <c r="J613" s="3" t="n">
        <v>46.08</v>
      </c>
      <c r="K613" s="3" t="n">
        <v>38.4</v>
      </c>
      <c r="L613" s="2" t="inlineStr">
        <is>
          <t>PriceCharting + TCGplayer</t>
        </is>
      </c>
      <c r="M613" s="4" t="inlineStr">
        <is>
          <t>https://www.pricecharting.com/game/pokemon-30th-celebration/battle-deck-espeon-ex</t>
        </is>
      </c>
      <c r="N613" s="4" t="inlineStr">
        <is>
          <t>https://www.tcgplayer.com/product/704187</t>
        </is>
      </c>
    </row>
    <row r="614">
      <c r="A614" s="2" t="inlineStr">
        <is>
          <t>30th Celebration Battle Deck [Umbreon ex]</t>
        </is>
      </c>
      <c r="B614" s="3">
        <f>IF(H614&lt;&gt;"",H614,IF(I614&lt;&gt;"",I614,IF(J614&lt;&gt;"",J614,K614)))</f>
        <v>64.97</v>
      </c>
      <c r="C614" s="3">
        <f>MEDIAN(H614:K614)</f>
        <v>69.105</v>
      </c>
      <c r="D614" s="3">
        <f>ROUND(C614*(1-Settings!$B$2),2)</f>
        <v>48.37</v>
      </c>
      <c r="E614" s="2" t="inlineStr">
        <is>
          <t>Pokemon</t>
        </is>
      </c>
      <c r="F614" s="2" t="inlineStr">
        <is>
          <t>Deck</t>
        </is>
      </c>
      <c r="G614" s="2" t="inlineStr">
        <is>
          <t>ME: 30th Celebration</t>
        </is>
      </c>
      <c r="H614" s="3" t="n">
        <v>64.97</v>
      </c>
      <c r="I614" s="3" t="n">
        <v>66.28</v>
      </c>
      <c r="J614" s="3" t="n">
        <v>73.3</v>
      </c>
      <c r="K614" s="3" t="n">
        <v>71.93000000000001</v>
      </c>
      <c r="L614" s="2" t="inlineStr">
        <is>
          <t>PriceCharting + TCGplayer</t>
        </is>
      </c>
      <c r="M614" s="4" t="inlineStr">
        <is>
          <t>https://www.pricecharting.com/game/pokemon-30th-celebration/battle-deck-umbreon-ex</t>
        </is>
      </c>
      <c r="N614" s="4" t="inlineStr">
        <is>
          <t>https://www.tcgplayer.com/product/704188</t>
        </is>
      </c>
    </row>
    <row r="615">
      <c r="A615" s="2" t="inlineStr">
        <is>
          <t>Starter Set ex Eevee ex</t>
        </is>
      </c>
      <c r="B615" s="3">
        <f>IF(H615&lt;&gt;"",H615,IF(I615&lt;&gt;"",I615,IF(J615&lt;&gt;"",J615,K615)))</f>
        <v>54.75</v>
      </c>
      <c r="C615" s="3">
        <f>MEDIAN(H615:K615)</f>
        <v>54.75</v>
      </c>
      <c r="D615" s="3">
        <f>ROUND(C615*(1-Settings!$B$2),2)</f>
        <v>38.33</v>
      </c>
      <c r="E615" s="2" t="inlineStr">
        <is>
          <t>Pokemon</t>
        </is>
      </c>
      <c r="F615" s="2" t="inlineStr">
        <is>
          <t>Deck</t>
        </is>
      </c>
      <c r="G615" s="2" t="inlineStr">
        <is>
          <t>MEE: Starter Set ex Eevee ex</t>
        </is>
      </c>
      <c r="H615" s="3" t="n"/>
      <c r="I615" s="3" t="n">
        <v>54.75</v>
      </c>
      <c r="J615" s="3" t="n"/>
      <c r="K615" s="3" t="n"/>
      <c r="L615" s="2" t="inlineStr">
        <is>
          <t>TCGplayer</t>
        </is>
      </c>
      <c r="N615" s="4" t="inlineStr">
        <is>
          <t>https://www.tcgplayer.com/product/709112</t>
        </is>
      </c>
    </row>
    <row r="616">
      <c r="A616" s="2" t="inlineStr">
        <is>
          <t>Starter Set ex Meowscarada ex</t>
        </is>
      </c>
      <c r="B616" s="3">
        <f>IF(H616&lt;&gt;"",H616,IF(I616&lt;&gt;"",I616,IF(J616&lt;&gt;"",J616,K616)))</f>
        <v>49.15</v>
      </c>
      <c r="C616" s="3">
        <f>MEDIAN(H616:K616)</f>
        <v>49.15</v>
      </c>
      <c r="D616" s="3">
        <f>ROUND(C616*(1-Settings!$B$2),2)</f>
        <v>34.41</v>
      </c>
      <c r="E616" s="2" t="inlineStr">
        <is>
          <t>Pokemon</t>
        </is>
      </c>
      <c r="F616" s="2" t="inlineStr">
        <is>
          <t>Deck</t>
        </is>
      </c>
      <c r="G616" s="2" t="inlineStr">
        <is>
          <t>MEM: Starter Set ex Meowscarada ex</t>
        </is>
      </c>
      <c r="H616" s="3" t="n"/>
      <c r="I616" s="3" t="n">
        <v>49.15</v>
      </c>
      <c r="J616" s="3" t="n"/>
      <c r="K616" s="3" t="n"/>
      <c r="L616" s="2" t="inlineStr">
        <is>
          <t>TCGplayer</t>
        </is>
      </c>
      <c r="N616" s="4" t="inlineStr">
        <is>
          <t>https://www.tcgplayer.com/product/709113</t>
        </is>
      </c>
    </row>
    <row r="617">
      <c r="A617" s="2" t="inlineStr">
        <is>
          <t>Starter Set ex Zoroark ex</t>
        </is>
      </c>
      <c r="B617" s="3">
        <f>IF(H617&lt;&gt;"",H617,IF(I617&lt;&gt;"",I617,IF(J617&lt;&gt;"",J617,K617)))</f>
        <v>47.99</v>
      </c>
      <c r="C617" s="3">
        <f>MEDIAN(H617:K617)</f>
        <v>47.99</v>
      </c>
      <c r="D617" s="3">
        <f>ROUND(C617*(1-Settings!$B$2),2)</f>
        <v>33.59</v>
      </c>
      <c r="E617" s="2" t="inlineStr">
        <is>
          <t>Pokemon</t>
        </is>
      </c>
      <c r="F617" s="2" t="inlineStr">
        <is>
          <t>Deck</t>
        </is>
      </c>
      <c r="G617" s="2" t="inlineStr">
        <is>
          <t>MEZ: Starter Set ex Zoroark ex</t>
        </is>
      </c>
      <c r="H617" s="3" t="n"/>
      <c r="I617" s="3" t="n">
        <v>47.99</v>
      </c>
      <c r="J617" s="3" t="n"/>
      <c r="K617" s="3" t="n"/>
      <c r="L617" s="2" t="inlineStr">
        <is>
          <t>TCGplayer</t>
        </is>
      </c>
      <c r="N617" s="4" t="inlineStr">
        <is>
          <t>https://www.tcgplayer.com/product/709114</t>
        </is>
      </c>
    </row>
    <row r="618">
      <c r="A618" s="2" t="inlineStr">
        <is>
          <t>30th CELEBRATION Premium Deck Set Espeon &amp; Umbreon</t>
        </is>
      </c>
      <c r="B618" s="3">
        <f>IF(H618&lt;&gt;"",H618,IF(I618&lt;&gt;"",I618,IF(J618&lt;&gt;"",J618,K618)))</f>
        <v>197.44</v>
      </c>
      <c r="C618" s="3">
        <f>MEDIAN(H618:K618)</f>
        <v>197.44</v>
      </c>
      <c r="D618" s="3">
        <f>ROUND(C618*(1-Settings!$B$2),2)</f>
        <v>138.21</v>
      </c>
      <c r="E618" s="2" t="inlineStr">
        <is>
          <t>Pokemon</t>
        </is>
      </c>
      <c r="F618" s="2" t="inlineStr">
        <is>
          <t>Deck</t>
        </is>
      </c>
      <c r="G618" s="2" t="inlineStr">
        <is>
          <t>MF: 30th CELEBRATION Premium Deck Set Espeon &amp; Umbreon</t>
        </is>
      </c>
      <c r="H618" s="3" t="n"/>
      <c r="I618" s="3" t="n">
        <v>197.44</v>
      </c>
      <c r="J618" s="3" t="n"/>
      <c r="K618" s="3" t="n"/>
      <c r="L618" s="2" t="inlineStr">
        <is>
          <t>TCGplayer</t>
        </is>
      </c>
      <c r="N618" s="4" t="inlineStr">
        <is>
          <t>https://www.tcgplayer.com/product/716802</t>
        </is>
      </c>
    </row>
    <row r="619">
      <c r="A619" s="2" t="inlineStr">
        <is>
          <t>Battle Arena Deck: Rayquaza GX</t>
        </is>
      </c>
      <c r="B619" s="3">
        <f>IF(H619&lt;&gt;"",H619,IF(I619&lt;&gt;"",I619,IF(J619&lt;&gt;"",J619,K619)))</f>
        <v>280.0</v>
      </c>
      <c r="C619" s="3">
        <f>MEDIAN(H619:K619)</f>
        <v>1589.995</v>
      </c>
      <c r="D619" s="3">
        <f>ROUND(C619*(1-Settings!$B$2),2)</f>
        <v>1113.0</v>
      </c>
      <c r="E619" s="2" t="inlineStr">
        <is>
          <t>Pokemon</t>
        </is>
      </c>
      <c r="F619" s="2" t="inlineStr">
        <is>
          <t>Deck</t>
        </is>
      </c>
      <c r="G619" s="2" t="inlineStr">
        <is>
          <t>Miscellaneous Cards &amp; Products</t>
        </is>
      </c>
      <c r="H619" s="3" t="n"/>
      <c r="I619" s="3" t="n">
        <v>280</v>
      </c>
      <c r="J619" s="3" t="n"/>
      <c r="K619" s="3" t="n">
        <v>2899.99</v>
      </c>
      <c r="L619" s="2" t="inlineStr">
        <is>
          <t>TCGplayer</t>
        </is>
      </c>
      <c r="N619" s="4" t="inlineStr">
        <is>
          <t>https://www.tcgplayer.com/product/198526</t>
        </is>
      </c>
    </row>
    <row r="620">
      <c r="A620" s="2" t="inlineStr">
        <is>
          <t>Battle Arena Deck: Ultra Necrozma GX</t>
        </is>
      </c>
      <c r="B620" s="3">
        <f>IF(H620&lt;&gt;"",H620,IF(I620&lt;&gt;"",I620,IF(J620&lt;&gt;"",J620,K620)))</f>
        <v>500.0</v>
      </c>
      <c r="C620" s="3">
        <f>MEDIAN(H620:K620)</f>
        <v>500.0</v>
      </c>
      <c r="D620" s="3">
        <f>ROUND(C620*(1-Settings!$B$2),2)</f>
        <v>350.0</v>
      </c>
      <c r="E620" s="2" t="inlineStr">
        <is>
          <t>Pokemon</t>
        </is>
      </c>
      <c r="F620" s="2" t="inlineStr">
        <is>
          <t>Deck</t>
        </is>
      </c>
      <c r="G620" s="2" t="inlineStr">
        <is>
          <t>Miscellaneous Cards &amp; Products</t>
        </is>
      </c>
      <c r="H620" s="3" t="n"/>
      <c r="I620" s="3" t="n"/>
      <c r="J620" s="3" t="n">
        <v>500</v>
      </c>
      <c r="K620" s="3" t="n">
        <v>500</v>
      </c>
      <c r="L620" s="2" t="inlineStr">
        <is>
          <t>TCGplayer</t>
        </is>
      </c>
      <c r="N620" s="4" t="inlineStr">
        <is>
          <t>https://www.tcgplayer.com/product/198527</t>
        </is>
      </c>
    </row>
    <row r="621">
      <c r="A621" s="2" t="inlineStr">
        <is>
          <t>Deck Crafter's Collection - Meowth ex</t>
        </is>
      </c>
      <c r="B621" s="3">
        <f>IF(H621&lt;&gt;"",H621,IF(I621&lt;&gt;"",I621,IF(J621&lt;&gt;"",J621,K621)))</f>
        <v>29.52</v>
      </c>
      <c r="C621" s="3">
        <f>MEDIAN(H621:K621)</f>
        <v>28.185000000000002</v>
      </c>
      <c r="D621" s="3">
        <f>ROUND(C621*(1-Settings!$B$2),2)</f>
        <v>19.73</v>
      </c>
      <c r="E621" s="2" t="inlineStr">
        <is>
          <t>Pokemon</t>
        </is>
      </c>
      <c r="F621" s="2" t="inlineStr">
        <is>
          <t>Deck</t>
        </is>
      </c>
      <c r="G621" s="2" t="inlineStr">
        <is>
          <t>Miscellaneous Cards &amp; Products</t>
        </is>
      </c>
      <c r="H621" s="3" t="n"/>
      <c r="I621" s="3" t="n"/>
      <c r="J621" s="3" t="n">
        <v>29.52</v>
      </c>
      <c r="K621" s="3" t="n">
        <v>26.85</v>
      </c>
      <c r="L621" s="2" t="inlineStr">
        <is>
          <t>TCGplayer</t>
        </is>
      </c>
      <c r="N621" s="4" t="inlineStr">
        <is>
          <t>https://www.tcgplayer.com/product/710570</t>
        </is>
      </c>
    </row>
    <row r="622">
      <c r="A622" s="2" t="inlineStr">
        <is>
          <t>Deluxe Battle Deck [Koraidon ex]</t>
        </is>
      </c>
      <c r="B622" s="3">
        <f>IF(H622&lt;&gt;"",H622,IF(I622&lt;&gt;"",I622,IF(J622&lt;&gt;"",J622,K622)))</f>
        <v>30.42</v>
      </c>
      <c r="C622" s="3">
        <f>MEDIAN(H622:K622)</f>
        <v>36.0</v>
      </c>
      <c r="D622" s="3">
        <f>ROUND(C622*(1-Settings!$B$2),2)</f>
        <v>25.2</v>
      </c>
      <c r="E622" s="2" t="inlineStr">
        <is>
          <t>Pokemon</t>
        </is>
      </c>
      <c r="F622" s="2" t="inlineStr">
        <is>
          <t>Deck</t>
        </is>
      </c>
      <c r="G622" s="2" t="inlineStr">
        <is>
          <t>Miscellaneous Cards &amp; Products</t>
        </is>
      </c>
      <c r="H622" s="3" t="n"/>
      <c r="I622" s="3" t="n">
        <v>30.42</v>
      </c>
      <c r="J622" s="3" t="n">
        <v>37.99</v>
      </c>
      <c r="K622" s="3" t="n">
        <v>36</v>
      </c>
      <c r="L622" s="2" t="inlineStr">
        <is>
          <t>TCGplayer</t>
        </is>
      </c>
      <c r="N622" s="4" t="inlineStr">
        <is>
          <t>https://www.tcgplayer.com/product/564146</t>
        </is>
      </c>
    </row>
    <row r="623">
      <c r="A623" s="2" t="inlineStr">
        <is>
          <t>Deluxe Battle Deck [Meowscarada ex]</t>
        </is>
      </c>
      <c r="B623" s="3">
        <f>IF(H623&lt;&gt;"",H623,IF(I623&lt;&gt;"",I623,IF(J623&lt;&gt;"",J623,K623)))</f>
        <v>40.29</v>
      </c>
      <c r="C623" s="3">
        <f>MEDIAN(H623:K623)</f>
        <v>37.99</v>
      </c>
      <c r="D623" s="3">
        <f>ROUND(C623*(1-Settings!$B$2),2)</f>
        <v>26.59</v>
      </c>
      <c r="E623" s="2" t="inlineStr">
        <is>
          <t>Pokemon</t>
        </is>
      </c>
      <c r="F623" s="2" t="inlineStr">
        <is>
          <t>Deck</t>
        </is>
      </c>
      <c r="G623" s="2" t="inlineStr">
        <is>
          <t>Miscellaneous Cards &amp; Products</t>
        </is>
      </c>
      <c r="H623" s="3" t="n"/>
      <c r="I623" s="3" t="n">
        <v>40.29</v>
      </c>
      <c r="J623" s="3" t="n">
        <v>37.99</v>
      </c>
      <c r="K623" s="3" t="n">
        <v>35</v>
      </c>
      <c r="L623" s="2" t="inlineStr">
        <is>
          <t>TCGplayer</t>
        </is>
      </c>
      <c r="N623" s="4" t="inlineStr">
        <is>
          <t>https://www.tcgplayer.com/product/504250</t>
        </is>
      </c>
    </row>
    <row r="624">
      <c r="A624" s="2" t="inlineStr">
        <is>
          <t>Deluxe Battle Deck [Miraidon ex]</t>
        </is>
      </c>
      <c r="B624" s="3">
        <f>IF(H624&lt;&gt;"",H624,IF(I624&lt;&gt;"",I624,IF(J624&lt;&gt;"",J624,K624)))</f>
        <v>32.87</v>
      </c>
      <c r="C624" s="3">
        <f>MEDIAN(H624:K624)</f>
        <v>36.49</v>
      </c>
      <c r="D624" s="3">
        <f>ROUND(C624*(1-Settings!$B$2),2)</f>
        <v>25.54</v>
      </c>
      <c r="E624" s="2" t="inlineStr">
        <is>
          <t>Pokemon</t>
        </is>
      </c>
      <c r="F624" s="2" t="inlineStr">
        <is>
          <t>Deck</t>
        </is>
      </c>
      <c r="G624" s="2" t="inlineStr">
        <is>
          <t>Miscellaneous Cards &amp; Products</t>
        </is>
      </c>
      <c r="H624" s="3" t="n"/>
      <c r="I624" s="3" t="n">
        <v>32.87</v>
      </c>
      <c r="J624" s="3" t="n">
        <v>37.62</v>
      </c>
      <c r="K624" s="3" t="n">
        <v>36.49</v>
      </c>
      <c r="L624" s="2" t="inlineStr">
        <is>
          <t>TCGplayer</t>
        </is>
      </c>
      <c r="N624" s="4" t="inlineStr">
        <is>
          <t>https://www.tcgplayer.com/product/564145</t>
        </is>
      </c>
    </row>
    <row r="625">
      <c r="A625" s="2" t="inlineStr">
        <is>
          <t>Deluxe Battle Deck [Ninetales ex]</t>
        </is>
      </c>
      <c r="B625" s="3">
        <f>IF(H625&lt;&gt;"",H625,IF(I625&lt;&gt;"",I625,IF(J625&lt;&gt;"",J625,K625)))</f>
        <v>25.84</v>
      </c>
      <c r="C625" s="3">
        <f>MEDIAN(H625:K625)</f>
        <v>25.84</v>
      </c>
      <c r="D625" s="3">
        <f>ROUND(C625*(1-Settings!$B$2),2)</f>
        <v>18.09</v>
      </c>
      <c r="E625" s="2" t="inlineStr">
        <is>
          <t>Pokemon</t>
        </is>
      </c>
      <c r="F625" s="2" t="inlineStr">
        <is>
          <t>Deck</t>
        </is>
      </c>
      <c r="G625" s="2" t="inlineStr">
        <is>
          <t>Miscellaneous Cards &amp; Products</t>
        </is>
      </c>
      <c r="H625" s="3" t="n"/>
      <c r="I625" s="3" t="n">
        <v>25.84</v>
      </c>
      <c r="J625" s="3" t="n">
        <v>30.79</v>
      </c>
      <c r="K625" s="3" t="n">
        <v>24.8</v>
      </c>
      <c r="L625" s="2" t="inlineStr">
        <is>
          <t>TCGplayer</t>
        </is>
      </c>
      <c r="N625" s="4" t="inlineStr">
        <is>
          <t>https://www.tcgplayer.com/product/539429</t>
        </is>
      </c>
    </row>
    <row r="626">
      <c r="A626" s="2" t="inlineStr">
        <is>
          <t>Deluxe Battle Deck [Quaquaval ex]</t>
        </is>
      </c>
      <c r="B626" s="3">
        <f>IF(H626&lt;&gt;"",H626,IF(I626&lt;&gt;"",I626,IF(J626&lt;&gt;"",J626,K626)))</f>
        <v>21.78</v>
      </c>
      <c r="C626" s="3">
        <f>MEDIAN(H626:K626)</f>
        <v>21.78</v>
      </c>
      <c r="D626" s="3">
        <f>ROUND(C626*(1-Settings!$B$2),2)</f>
        <v>15.25</v>
      </c>
      <c r="E626" s="2" t="inlineStr">
        <is>
          <t>Pokemon</t>
        </is>
      </c>
      <c r="F626" s="2" t="inlineStr">
        <is>
          <t>Deck</t>
        </is>
      </c>
      <c r="G626" s="2" t="inlineStr">
        <is>
          <t>Miscellaneous Cards &amp; Products</t>
        </is>
      </c>
      <c r="H626" s="3" t="n"/>
      <c r="I626" s="3" t="n">
        <v>21.78</v>
      </c>
      <c r="J626" s="3" t="n">
        <v>25.96</v>
      </c>
      <c r="K626" s="3" t="n">
        <v>19.17</v>
      </c>
      <c r="L626" s="2" t="inlineStr">
        <is>
          <t>TCGplayer</t>
        </is>
      </c>
      <c r="N626" s="4" t="inlineStr">
        <is>
          <t>https://www.tcgplayer.com/product/504252</t>
        </is>
      </c>
    </row>
    <row r="627">
      <c r="A627" s="2" t="inlineStr">
        <is>
          <t>Deluxe Battle Deck [Zapdos ex]</t>
        </is>
      </c>
      <c r="B627" s="3">
        <f>IF(H627&lt;&gt;"",H627,IF(I627&lt;&gt;"",I627,IF(J627&lt;&gt;"",J627,K627)))</f>
        <v>21.48</v>
      </c>
      <c r="C627" s="3">
        <f>MEDIAN(H627:K627)</f>
        <v>21.48</v>
      </c>
      <c r="D627" s="3">
        <f>ROUND(C627*(1-Settings!$B$2),2)</f>
        <v>15.04</v>
      </c>
      <c r="E627" s="2" t="inlineStr">
        <is>
          <t>Pokemon</t>
        </is>
      </c>
      <c r="F627" s="2" t="inlineStr">
        <is>
          <t>Deck</t>
        </is>
      </c>
      <c r="G627" s="2" t="inlineStr">
        <is>
          <t>Miscellaneous Cards &amp; Products</t>
        </is>
      </c>
      <c r="H627" s="3" t="n"/>
      <c r="I627" s="3" t="n">
        <v>21.48</v>
      </c>
      <c r="J627" s="3" t="n">
        <v>23.85</v>
      </c>
      <c r="K627" s="3" t="n">
        <v>21.45</v>
      </c>
      <c r="L627" s="2" t="inlineStr">
        <is>
          <t>TCGplayer</t>
        </is>
      </c>
      <c r="N627" s="4" t="inlineStr">
        <is>
          <t>https://www.tcgplayer.com/product/539428</t>
        </is>
      </c>
    </row>
    <row r="628">
      <c r="A628" s="2" t="inlineStr">
        <is>
          <t>Deluxe Battle Deck: Miraidon ex/Koraidon ex  [Set of 2]</t>
        </is>
      </c>
      <c r="B628" s="3">
        <f>IF(H628&lt;&gt;"",H628,IF(I628&lt;&gt;"",I628,IF(J628&lt;&gt;"",J628,K628)))</f>
        <v>61.66</v>
      </c>
      <c r="C628" s="3">
        <f>MEDIAN(H628:K628)</f>
        <v>64.99</v>
      </c>
      <c r="D628" s="3">
        <f>ROUND(C628*(1-Settings!$B$2),2)</f>
        <v>45.49</v>
      </c>
      <c r="E628" s="2" t="inlineStr">
        <is>
          <t>Pokemon</t>
        </is>
      </c>
      <c r="F628" s="2" t="inlineStr">
        <is>
          <t>Deck</t>
        </is>
      </c>
      <c r="G628" s="2" t="inlineStr">
        <is>
          <t>Miscellaneous Cards &amp; Products</t>
        </is>
      </c>
      <c r="H628" s="3" t="n"/>
      <c r="I628" s="3" t="n">
        <v>61.66</v>
      </c>
      <c r="J628" s="3" t="n">
        <v>64.98999999999999</v>
      </c>
      <c r="K628" s="3" t="n">
        <v>64.98999999999999</v>
      </c>
      <c r="L628" s="2" t="inlineStr">
        <is>
          <t>TCGplayer</t>
        </is>
      </c>
      <c r="N628" s="4" t="inlineStr">
        <is>
          <t>https://www.tcgplayer.com/product/564248</t>
        </is>
      </c>
    </row>
    <row r="629">
      <c r="A629" s="2" t="inlineStr">
        <is>
          <t>Deluxe Battle Deck: Quaquaval ex/Meowscarada ex [Set of 2]</t>
        </is>
      </c>
      <c r="B629" s="3">
        <f>IF(H629&lt;&gt;"",H629,IF(I629&lt;&gt;"",I629,IF(J629&lt;&gt;"",J629,K629)))</f>
        <v>68.46</v>
      </c>
      <c r="C629" s="3">
        <f>MEDIAN(H629:K629)</f>
        <v>56.95</v>
      </c>
      <c r="D629" s="3">
        <f>ROUND(C629*(1-Settings!$B$2),2)</f>
        <v>39.87</v>
      </c>
      <c r="E629" s="2" t="inlineStr">
        <is>
          <t>Pokemon</t>
        </is>
      </c>
      <c r="F629" s="2" t="inlineStr">
        <is>
          <t>Deck</t>
        </is>
      </c>
      <c r="G629" s="2" t="inlineStr">
        <is>
          <t>Miscellaneous Cards &amp; Products</t>
        </is>
      </c>
      <c r="H629" s="3" t="n"/>
      <c r="I629" s="3" t="n">
        <v>68.45999999999999</v>
      </c>
      <c r="J629" s="3" t="n">
        <v>56.95</v>
      </c>
      <c r="K629" s="3" t="n">
        <v>49.99</v>
      </c>
      <c r="L629" s="2" t="inlineStr">
        <is>
          <t>TCGplayer</t>
        </is>
      </c>
      <c r="N629" s="4" t="inlineStr">
        <is>
          <t>https://www.tcgplayer.com/product/504257</t>
        </is>
      </c>
    </row>
    <row r="630">
      <c r="A630" s="2" t="inlineStr">
        <is>
          <t>ex Battle Deck (Chien-Pao/Tinkaton] [Set of 2]</t>
        </is>
      </c>
      <c r="B630" s="3">
        <f>IF(H630&lt;&gt;"",H630,IF(I630&lt;&gt;"",I630,IF(J630&lt;&gt;"",J630,K630)))</f>
        <v>44.3</v>
      </c>
      <c r="C630" s="3">
        <f>MEDIAN(H630:K630)</f>
        <v>48.5</v>
      </c>
      <c r="D630" s="3">
        <f>ROUND(C630*(1-Settings!$B$2),2)</f>
        <v>33.95</v>
      </c>
      <c r="E630" s="2" t="inlineStr">
        <is>
          <t>Pokemon</t>
        </is>
      </c>
      <c r="F630" s="2" t="inlineStr">
        <is>
          <t>Deck</t>
        </is>
      </c>
      <c r="G630" s="2" t="inlineStr">
        <is>
          <t>Miscellaneous Cards &amp; Products</t>
        </is>
      </c>
      <c r="H630" s="3" t="n"/>
      <c r="I630" s="3" t="n">
        <v>44.3</v>
      </c>
      <c r="J630" s="3" t="n">
        <v>48.5</v>
      </c>
      <c r="K630" s="3" t="n">
        <v>48.5</v>
      </c>
      <c r="L630" s="2" t="inlineStr">
        <is>
          <t>TCGplayer</t>
        </is>
      </c>
      <c r="N630" s="4" t="inlineStr">
        <is>
          <t>https://www.tcgplayer.com/product/497967</t>
        </is>
      </c>
    </row>
    <row r="631">
      <c r="A631" s="2" t="inlineStr">
        <is>
          <t>ex Battle Deck [Ampharos ex]</t>
        </is>
      </c>
      <c r="B631" s="3">
        <f>IF(H631&lt;&gt;"",H631,IF(I631&lt;&gt;"",I631,IF(J631&lt;&gt;"",J631,K631)))</f>
        <v>17.99</v>
      </c>
      <c r="C631" s="3">
        <f>MEDIAN(H631:K631)</f>
        <v>17.49</v>
      </c>
      <c r="D631" s="3">
        <f>ROUND(C631*(1-Settings!$B$2),2)</f>
        <v>12.24</v>
      </c>
      <c r="E631" s="2" t="inlineStr">
        <is>
          <t>Pokemon</t>
        </is>
      </c>
      <c r="F631" s="2" t="inlineStr">
        <is>
          <t>Deck</t>
        </is>
      </c>
      <c r="G631" s="2" t="inlineStr">
        <is>
          <t>Miscellaneous Cards &amp; Products</t>
        </is>
      </c>
      <c r="H631" s="3" t="n"/>
      <c r="I631" s="3" t="n">
        <v>17.99</v>
      </c>
      <c r="J631" s="3" t="n">
        <v>17.49</v>
      </c>
      <c r="K631" s="3" t="n">
        <v>9.640000000000001</v>
      </c>
      <c r="L631" s="2" t="inlineStr">
        <is>
          <t>TCGplayer</t>
        </is>
      </c>
      <c r="N631" s="4" t="inlineStr">
        <is>
          <t>https://www.tcgplayer.com/product/484380</t>
        </is>
      </c>
    </row>
    <row r="632">
      <c r="A632" s="2" t="inlineStr">
        <is>
          <t>ex Battle Deck [Chien-Pao ex]</t>
        </is>
      </c>
      <c r="B632" s="3">
        <f>IF(H632&lt;&gt;"",H632,IF(I632&lt;&gt;"",I632,IF(J632&lt;&gt;"",J632,K632)))</f>
        <v>18.0</v>
      </c>
      <c r="C632" s="3">
        <f>MEDIAN(H632:K632)</f>
        <v>18.0</v>
      </c>
      <c r="D632" s="3">
        <f>ROUND(C632*(1-Settings!$B$2),2)</f>
        <v>12.6</v>
      </c>
      <c r="E632" s="2" t="inlineStr">
        <is>
          <t>Pokemon</t>
        </is>
      </c>
      <c r="F632" s="2" t="inlineStr">
        <is>
          <t>Deck</t>
        </is>
      </c>
      <c r="G632" s="2" t="inlineStr">
        <is>
          <t>Miscellaneous Cards &amp; Products</t>
        </is>
      </c>
      <c r="H632" s="3" t="n"/>
      <c r="I632" s="3" t="n">
        <v>18</v>
      </c>
      <c r="J632" s="3" t="n"/>
      <c r="K632" s="3" t="n"/>
      <c r="L632" s="2" t="inlineStr">
        <is>
          <t>TCGplayer</t>
        </is>
      </c>
      <c r="N632" s="4" t="inlineStr">
        <is>
          <t>https://www.tcgplayer.com/product/497842</t>
        </is>
      </c>
    </row>
    <row r="633">
      <c r="A633" s="2" t="inlineStr">
        <is>
          <t>ex Battle Deck [Greninja ex]</t>
        </is>
      </c>
      <c r="B633" s="3">
        <f>IF(H633&lt;&gt;"",H633,IF(I633&lt;&gt;"",I633,IF(J633&lt;&gt;"",J633,K633)))</f>
        <v>22.44</v>
      </c>
      <c r="C633" s="3">
        <f>MEDIAN(H633:K633)</f>
        <v>32.75</v>
      </c>
      <c r="D633" s="3">
        <f>ROUND(C633*(1-Settings!$B$2),2)</f>
        <v>22.93</v>
      </c>
      <c r="E633" s="2" t="inlineStr">
        <is>
          <t>Pokemon</t>
        </is>
      </c>
      <c r="F633" s="2" t="inlineStr">
        <is>
          <t>Deck</t>
        </is>
      </c>
      <c r="G633" s="2" t="inlineStr">
        <is>
          <t>Miscellaneous Cards &amp; Products</t>
        </is>
      </c>
      <c r="H633" s="3" t="n"/>
      <c r="I633" s="3" t="n">
        <v>22.44</v>
      </c>
      <c r="J633" s="3" t="n">
        <v>34.95</v>
      </c>
      <c r="K633" s="3" t="n">
        <v>32.75</v>
      </c>
      <c r="L633" s="2" t="inlineStr">
        <is>
          <t>TCGplayer</t>
        </is>
      </c>
      <c r="N633" s="4" t="inlineStr">
        <is>
          <t>https://www.tcgplayer.com/product/527671</t>
        </is>
      </c>
    </row>
    <row r="634">
      <c r="A634" s="2" t="inlineStr">
        <is>
          <t>ex Battle Deck [Iron Leaves ex]</t>
        </is>
      </c>
      <c r="B634" s="3">
        <f>IF(H634&lt;&gt;"",H634,IF(I634&lt;&gt;"",I634,IF(J634&lt;&gt;"",J634,K634)))</f>
        <v>24.59</v>
      </c>
      <c r="C634" s="3">
        <f>MEDIAN(H634:K634)</f>
        <v>24.59</v>
      </c>
      <c r="D634" s="3">
        <f>ROUND(C634*(1-Settings!$B$2),2)</f>
        <v>17.21</v>
      </c>
      <c r="E634" s="2" t="inlineStr">
        <is>
          <t>Pokemon</t>
        </is>
      </c>
      <c r="F634" s="2" t="inlineStr">
        <is>
          <t>Deck</t>
        </is>
      </c>
      <c r="G634" s="2" t="inlineStr">
        <is>
          <t>Miscellaneous Cards &amp; Products</t>
        </is>
      </c>
      <c r="H634" s="3" t="n"/>
      <c r="I634" s="3" t="n">
        <v>24.59</v>
      </c>
      <c r="J634" s="3" t="n">
        <v>28</v>
      </c>
      <c r="K634" s="3" t="n">
        <v>21.25</v>
      </c>
      <c r="L634" s="2" t="inlineStr">
        <is>
          <t>TCGplayer</t>
        </is>
      </c>
      <c r="N634" s="4" t="inlineStr">
        <is>
          <t>https://www.tcgplayer.com/product/564278</t>
        </is>
      </c>
    </row>
    <row r="635">
      <c r="A635" s="2" t="inlineStr">
        <is>
          <t>ex Battle Deck [Kangaskhan ex]</t>
        </is>
      </c>
      <c r="B635" s="3">
        <f>IF(H635&lt;&gt;"",H635,IF(I635&lt;&gt;"",I635,IF(J635&lt;&gt;"",J635,K635)))</f>
        <v>15.45</v>
      </c>
      <c r="C635" s="3">
        <f>MEDIAN(H635:K635)</f>
        <v>15.45</v>
      </c>
      <c r="D635" s="3">
        <f>ROUND(C635*(1-Settings!$B$2),2)</f>
        <v>10.82</v>
      </c>
      <c r="E635" s="2" t="inlineStr">
        <is>
          <t>Pokemon</t>
        </is>
      </c>
      <c r="F635" s="2" t="inlineStr">
        <is>
          <t>Deck</t>
        </is>
      </c>
      <c r="G635" s="2" t="inlineStr">
        <is>
          <t>Miscellaneous Cards &amp; Products</t>
        </is>
      </c>
      <c r="H635" s="3" t="n"/>
      <c r="I635" s="3" t="n">
        <v>15.45</v>
      </c>
      <c r="J635" s="3" t="n">
        <v>16.69</v>
      </c>
      <c r="K635" s="3" t="n">
        <v>10.46</v>
      </c>
      <c r="L635" s="2" t="inlineStr">
        <is>
          <t>TCGplayer</t>
        </is>
      </c>
      <c r="N635" s="4" t="inlineStr">
        <is>
          <t>https://www.tcgplayer.com/product/527674</t>
        </is>
      </c>
    </row>
    <row r="636">
      <c r="A636" s="2" t="inlineStr">
        <is>
          <t>ex Battle Deck [Lucario ex]</t>
        </is>
      </c>
      <c r="B636" s="3">
        <f>IF(H636&lt;&gt;"",H636,IF(I636&lt;&gt;"",I636,IF(J636&lt;&gt;"",J636,K636)))</f>
        <v>23.09</v>
      </c>
      <c r="C636" s="3">
        <f>MEDIAN(H636:K636)</f>
        <v>23.09</v>
      </c>
      <c r="D636" s="3">
        <f>ROUND(C636*(1-Settings!$B$2),2)</f>
        <v>16.16</v>
      </c>
      <c r="E636" s="2" t="inlineStr">
        <is>
          <t>Pokemon</t>
        </is>
      </c>
      <c r="F636" s="2" t="inlineStr">
        <is>
          <t>Deck</t>
        </is>
      </c>
      <c r="G636" s="2" t="inlineStr">
        <is>
          <t>Miscellaneous Cards &amp; Products</t>
        </is>
      </c>
      <c r="H636" s="3" t="n"/>
      <c r="I636" s="3" t="n">
        <v>23.09</v>
      </c>
      <c r="J636" s="3" t="n">
        <v>28.98</v>
      </c>
      <c r="K636" s="3" t="n">
        <v>22.1</v>
      </c>
      <c r="L636" s="2" t="inlineStr">
        <is>
          <t>TCGplayer</t>
        </is>
      </c>
      <c r="N636" s="4" t="inlineStr">
        <is>
          <t>https://www.tcgplayer.com/product/484382</t>
        </is>
      </c>
    </row>
    <row r="637">
      <c r="A637" s="2" t="inlineStr">
        <is>
          <t>ex Battle Deck [Miraidon ex]</t>
        </is>
      </c>
      <c r="B637" s="3">
        <f>IF(H637&lt;&gt;"",H637,IF(I637&lt;&gt;"",I637,IF(J637&lt;&gt;"",J637,K637)))</f>
        <v>15.74</v>
      </c>
      <c r="C637" s="3">
        <f>MEDIAN(H637:K637)</f>
        <v>15.74</v>
      </c>
      <c r="D637" s="3">
        <f>ROUND(C637*(1-Settings!$B$2),2)</f>
        <v>11.02</v>
      </c>
      <c r="E637" s="2" t="inlineStr">
        <is>
          <t>Pokemon</t>
        </is>
      </c>
      <c r="F637" s="2" t="inlineStr">
        <is>
          <t>Deck</t>
        </is>
      </c>
      <c r="G637" s="2" t="inlineStr">
        <is>
          <t>Miscellaneous Cards &amp; Products</t>
        </is>
      </c>
      <c r="H637" s="3" t="n"/>
      <c r="I637" s="3" t="n">
        <v>15.74</v>
      </c>
      <c r="J637" s="3" t="n">
        <v>17.79</v>
      </c>
      <c r="K637" s="3" t="n">
        <v>14.25</v>
      </c>
      <c r="L637" s="2" t="inlineStr">
        <is>
          <t>TCGplayer</t>
        </is>
      </c>
      <c r="N637" s="4" t="inlineStr">
        <is>
          <t>https://www.tcgplayer.com/product/557327</t>
        </is>
      </c>
    </row>
    <row r="638">
      <c r="A638" s="2" t="inlineStr">
        <is>
          <t>ex Battle Deck [Set of 2]</t>
        </is>
      </c>
      <c r="B638" s="3">
        <f>IF(H638&lt;&gt;"",H638,IF(I638&lt;&gt;"",I638,IF(J638&lt;&gt;"",J638,K638)))</f>
        <v>43.74</v>
      </c>
      <c r="C638" s="3">
        <f>MEDIAN(H638:K638)</f>
        <v>43.74</v>
      </c>
      <c r="D638" s="3">
        <f>ROUND(C638*(1-Settings!$B$2),2)</f>
        <v>30.62</v>
      </c>
      <c r="E638" s="2" t="inlineStr">
        <is>
          <t>Pokemon</t>
        </is>
      </c>
      <c r="F638" s="2" t="inlineStr">
        <is>
          <t>Deck</t>
        </is>
      </c>
      <c r="G638" s="2" t="inlineStr">
        <is>
          <t>Miscellaneous Cards &amp; Products</t>
        </is>
      </c>
      <c r="H638" s="3" t="n"/>
      <c r="I638" s="3" t="n">
        <v>43.74</v>
      </c>
      <c r="J638" s="3" t="n">
        <v>45</v>
      </c>
      <c r="K638" s="3" t="n">
        <v>40</v>
      </c>
      <c r="L638" s="2" t="inlineStr">
        <is>
          <t>TCGplayer</t>
        </is>
      </c>
      <c r="N638" s="4" t="inlineStr">
        <is>
          <t>https://www.tcgplayer.com/product/484384</t>
        </is>
      </c>
    </row>
    <row r="639">
      <c r="A639" s="2" t="inlineStr">
        <is>
          <t>ex Battle Deck [Tapu Koko ex]</t>
        </is>
      </c>
      <c r="B639" s="3">
        <f>IF(H639&lt;&gt;"",H639,IF(I639&lt;&gt;"",I639,IF(J639&lt;&gt;"",J639,K639)))</f>
        <v>13.57</v>
      </c>
      <c r="C639" s="3">
        <f>MEDIAN(H639:K639)</f>
        <v>13.57</v>
      </c>
      <c r="D639" s="3">
        <f>ROUND(C639*(1-Settings!$B$2),2)</f>
        <v>9.5</v>
      </c>
      <c r="E639" s="2" t="inlineStr">
        <is>
          <t>Pokemon</t>
        </is>
      </c>
      <c r="F639" s="2" t="inlineStr">
        <is>
          <t>Deck</t>
        </is>
      </c>
      <c r="G639" s="2" t="inlineStr">
        <is>
          <t>Miscellaneous Cards &amp; Products</t>
        </is>
      </c>
      <c r="H639" s="3" t="n"/>
      <c r="I639" s="3" t="n">
        <v>13.57</v>
      </c>
      <c r="J639" s="3" t="n">
        <v>17.88</v>
      </c>
      <c r="K639" s="3" t="n">
        <v>11.99</v>
      </c>
      <c r="L639" s="2" t="inlineStr">
        <is>
          <t>TCGplayer</t>
        </is>
      </c>
      <c r="N639" s="4" t="inlineStr">
        <is>
          <t>https://www.tcgplayer.com/product/564277</t>
        </is>
      </c>
    </row>
    <row r="640">
      <c r="A640" s="2" t="inlineStr">
        <is>
          <t>ex Battle Deck [Tinkaton ex]</t>
        </is>
      </c>
      <c r="B640" s="3">
        <f>IF(H640&lt;&gt;"",H640,IF(I640&lt;&gt;"",I640,IF(J640&lt;&gt;"",J640,K640)))</f>
        <v>27.09</v>
      </c>
      <c r="C640" s="3">
        <f>MEDIAN(H640:K640)</f>
        <v>27.09</v>
      </c>
      <c r="D640" s="3">
        <f>ROUND(C640*(1-Settings!$B$2),2)</f>
        <v>18.96</v>
      </c>
      <c r="E640" s="2" t="inlineStr">
        <is>
          <t>Pokemon</t>
        </is>
      </c>
      <c r="F640" s="2" t="inlineStr">
        <is>
          <t>Deck</t>
        </is>
      </c>
      <c r="G640" s="2" t="inlineStr">
        <is>
          <t>Miscellaneous Cards &amp; Products</t>
        </is>
      </c>
      <c r="H640" s="3" t="n"/>
      <c r="I640" s="3" t="n">
        <v>27.09</v>
      </c>
      <c r="J640" s="3" t="n"/>
      <c r="K640" s="3" t="n"/>
      <c r="L640" s="2" t="inlineStr">
        <is>
          <t>TCGplayer</t>
        </is>
      </c>
      <c r="N640" s="4" t="inlineStr">
        <is>
          <t>https://www.tcgplayer.com/product/497841</t>
        </is>
      </c>
    </row>
    <row r="641">
      <c r="A641" s="2" t="inlineStr">
        <is>
          <t>ex Battle Deck [Victini ex]</t>
        </is>
      </c>
      <c r="B641" s="3">
        <f>IF(H641&lt;&gt;"",H641,IF(I641&lt;&gt;"",I641,IF(J641&lt;&gt;"",J641,K641)))</f>
        <v>17.27</v>
      </c>
      <c r="C641" s="3">
        <f>MEDIAN(H641:K641)</f>
        <v>17.99</v>
      </c>
      <c r="D641" s="3">
        <f>ROUND(C641*(1-Settings!$B$2),2)</f>
        <v>12.59</v>
      </c>
      <c r="E641" s="2" t="inlineStr">
        <is>
          <t>Pokemon</t>
        </is>
      </c>
      <c r="F641" s="2" t="inlineStr">
        <is>
          <t>Deck</t>
        </is>
      </c>
      <c r="G641" s="2" t="inlineStr">
        <is>
          <t>Miscellaneous Cards &amp; Products</t>
        </is>
      </c>
      <c r="H641" s="3" t="n"/>
      <c r="I641" s="3" t="n">
        <v>17.27</v>
      </c>
      <c r="J641" s="3" t="n">
        <v>20.49</v>
      </c>
      <c r="K641" s="3" t="n">
        <v>17.99</v>
      </c>
      <c r="L641" s="2" t="inlineStr">
        <is>
          <t>TCGplayer</t>
        </is>
      </c>
      <c r="N641" s="4" t="inlineStr">
        <is>
          <t>https://www.tcgplayer.com/product/557326</t>
        </is>
      </c>
    </row>
    <row r="642">
      <c r="A642" s="2" t="inlineStr">
        <is>
          <t>Greninja ex Battle Deck &amp; 2 Booster Bundle</t>
        </is>
      </c>
      <c r="B642" s="3">
        <f>IF(H642&lt;&gt;"",H642,IF(I642&lt;&gt;"",I642,IF(J642&lt;&gt;"",J642,K642)))</f>
        <v>15.99</v>
      </c>
      <c r="C642" s="3">
        <f>MEDIAN(H642:K642)</f>
        <v>15.99</v>
      </c>
      <c r="D642" s="3">
        <f>ROUND(C642*(1-Settings!$B$2),2)</f>
        <v>11.19</v>
      </c>
      <c r="E642" s="2" t="inlineStr">
        <is>
          <t>Pokemon</t>
        </is>
      </c>
      <c r="F642" s="2" t="inlineStr">
        <is>
          <t>Deck</t>
        </is>
      </c>
      <c r="G642" s="2" t="inlineStr">
        <is>
          <t>Miscellaneous Cards &amp; Products</t>
        </is>
      </c>
      <c r="H642" s="3" t="n"/>
      <c r="I642" s="3" t="n">
        <v>15.99</v>
      </c>
      <c r="J642" s="3" t="n"/>
      <c r="K642" s="3" t="n"/>
      <c r="L642" s="2" t="inlineStr">
        <is>
          <t>TCGplayer</t>
        </is>
      </c>
      <c r="N642" s="4" t="inlineStr">
        <is>
          <t>https://www.tcgplayer.com/product/575186</t>
        </is>
      </c>
    </row>
    <row r="643">
      <c r="A643" s="2" t="inlineStr">
        <is>
          <t>League Battle Deck [Charizard ex]</t>
        </is>
      </c>
      <c r="B643" s="3">
        <f>IF(H643&lt;&gt;"",H643,IF(I643&lt;&gt;"",I643,IF(J643&lt;&gt;"",J643,K643)))</f>
        <v>131.62</v>
      </c>
      <c r="C643" s="3">
        <f>MEDIAN(H643:K643)</f>
        <v>149.99</v>
      </c>
      <c r="D643" s="3">
        <f>ROUND(C643*(1-Settings!$B$2),2)</f>
        <v>104.99</v>
      </c>
      <c r="E643" s="2" t="inlineStr">
        <is>
          <t>Pokemon</t>
        </is>
      </c>
      <c r="F643" s="2" t="inlineStr">
        <is>
          <t>Deck</t>
        </is>
      </c>
      <c r="G643" s="2" t="inlineStr">
        <is>
          <t>Miscellaneous Cards &amp; Products</t>
        </is>
      </c>
      <c r="H643" s="3" t="n"/>
      <c r="I643" s="3" t="n">
        <v>131.62</v>
      </c>
      <c r="J643" s="3" t="n">
        <v>210</v>
      </c>
      <c r="K643" s="3" t="n">
        <v>149.99</v>
      </c>
      <c r="L643" s="2" t="inlineStr">
        <is>
          <t>TCGplayer</t>
        </is>
      </c>
      <c r="N643" s="4" t="inlineStr">
        <is>
          <t>https://www.tcgplayer.com/product/575294</t>
        </is>
      </c>
    </row>
    <row r="644">
      <c r="A644" s="2" t="inlineStr">
        <is>
          <t>League Battle Deck [Dragapult ex]</t>
        </is>
      </c>
      <c r="B644" s="3">
        <f>IF(H644&lt;&gt;"",H644,IF(I644&lt;&gt;"",I644,IF(J644&lt;&gt;"",J644,K644)))</f>
        <v>119.27</v>
      </c>
      <c r="C644" s="3">
        <f>MEDIAN(H644:K644)</f>
        <v>138.97</v>
      </c>
      <c r="D644" s="3">
        <f>ROUND(C644*(1-Settings!$B$2),2)</f>
        <v>97.28</v>
      </c>
      <c r="E644" s="2" t="inlineStr">
        <is>
          <t>Pokemon</t>
        </is>
      </c>
      <c r="F644" s="2" t="inlineStr">
        <is>
          <t>Deck</t>
        </is>
      </c>
      <c r="G644" s="2" t="inlineStr">
        <is>
          <t>Miscellaneous Cards &amp; Products</t>
        </is>
      </c>
      <c r="H644" s="3" t="n"/>
      <c r="I644" s="3" t="n">
        <v>119.27</v>
      </c>
      <c r="J644" s="3" t="n">
        <v>141.98</v>
      </c>
      <c r="K644" s="3" t="n">
        <v>138.97</v>
      </c>
      <c r="L644" s="2" t="inlineStr">
        <is>
          <t>TCGplayer</t>
        </is>
      </c>
      <c r="N644" s="4" t="inlineStr">
        <is>
          <t>https://www.tcgplayer.com/product/623029</t>
        </is>
      </c>
    </row>
    <row r="645">
      <c r="A645" s="2" t="inlineStr">
        <is>
          <t>League Battle Deck [Gardevoir ex]</t>
        </is>
      </c>
      <c r="B645" s="3">
        <f>IF(H645&lt;&gt;"",H645,IF(I645&lt;&gt;"",I645,IF(J645&lt;&gt;"",J645,K645)))</f>
        <v>48.78</v>
      </c>
      <c r="C645" s="3">
        <f>MEDIAN(H645:K645)</f>
        <v>48.99</v>
      </c>
      <c r="D645" s="3">
        <f>ROUND(C645*(1-Settings!$B$2),2)</f>
        <v>34.29</v>
      </c>
      <c r="E645" s="2" t="inlineStr">
        <is>
          <t>Pokemon</t>
        </is>
      </c>
      <c r="F645" s="2" t="inlineStr">
        <is>
          <t>Deck</t>
        </is>
      </c>
      <c r="G645" s="2" t="inlineStr">
        <is>
          <t>Miscellaneous Cards &amp; Products</t>
        </is>
      </c>
      <c r="H645" s="3" t="n"/>
      <c r="I645" s="3" t="n">
        <v>48.78</v>
      </c>
      <c r="J645" s="3" t="n">
        <v>65</v>
      </c>
      <c r="K645" s="3" t="n">
        <v>48.99</v>
      </c>
      <c r="L645" s="2" t="inlineStr">
        <is>
          <t>TCGplayer</t>
        </is>
      </c>
      <c r="N645" s="4" t="inlineStr">
        <is>
          <t>https://www.tcgplayer.com/product/539385</t>
        </is>
      </c>
    </row>
    <row r="646">
      <c r="A646" s="2" t="inlineStr">
        <is>
          <t>League Battle Deck [Ice Rider Calyrex VMAX]</t>
        </is>
      </c>
      <c r="B646" s="3">
        <f>IF(H646&lt;&gt;"",H646,IF(I646&lt;&gt;"",I646,IF(J646&lt;&gt;"",J646,K646)))</f>
        <v>21.4</v>
      </c>
      <c r="C646" s="3">
        <f>MEDIAN(H646:K646)</f>
        <v>21.4</v>
      </c>
      <c r="D646" s="3">
        <f>ROUND(C646*(1-Settings!$B$2),2)</f>
        <v>14.98</v>
      </c>
      <c r="E646" s="2" t="inlineStr">
        <is>
          <t>Pokemon</t>
        </is>
      </c>
      <c r="F646" s="2" t="inlineStr">
        <is>
          <t>Deck</t>
        </is>
      </c>
      <c r="G646" s="2" t="inlineStr">
        <is>
          <t>Miscellaneous Cards &amp; Products</t>
        </is>
      </c>
      <c r="H646" s="3" t="n"/>
      <c r="I646" s="3" t="n">
        <v>21.4</v>
      </c>
      <c r="J646" s="3" t="n">
        <v>24.99</v>
      </c>
      <c r="K646" s="3" t="n">
        <v>19.99</v>
      </c>
      <c r="L646" s="2" t="inlineStr">
        <is>
          <t>TCGplayer</t>
        </is>
      </c>
      <c r="N646" s="4" t="inlineStr">
        <is>
          <t>https://www.tcgplayer.com/product/271947</t>
        </is>
      </c>
    </row>
    <row r="647">
      <c r="A647" s="2" t="inlineStr">
        <is>
          <t>League Battle Deck [Inteleon VMAX]</t>
        </is>
      </c>
      <c r="B647" s="3">
        <f>IF(H647&lt;&gt;"",H647,IF(I647&lt;&gt;"",I647,IF(J647&lt;&gt;"",J647,K647)))</f>
        <v>23.3</v>
      </c>
      <c r="C647" s="3">
        <f>MEDIAN(H647:K647)</f>
        <v>23.15</v>
      </c>
      <c r="D647" s="3">
        <f>ROUND(C647*(1-Settings!$B$2),2)</f>
        <v>16.21</v>
      </c>
      <c r="E647" s="2" t="inlineStr">
        <is>
          <t>Pokemon</t>
        </is>
      </c>
      <c r="F647" s="2" t="inlineStr">
        <is>
          <t>Deck</t>
        </is>
      </c>
      <c r="G647" s="2" t="inlineStr">
        <is>
          <t>Miscellaneous Cards &amp; Products</t>
        </is>
      </c>
      <c r="H647" s="3" t="n"/>
      <c r="I647" s="3" t="n">
        <v>23.3</v>
      </c>
      <c r="J647" s="3" t="n">
        <v>23.15</v>
      </c>
      <c r="K647" s="3" t="n">
        <v>19.8</v>
      </c>
      <c r="L647" s="2" t="inlineStr">
        <is>
          <t>TCGplayer</t>
        </is>
      </c>
      <c r="N647" s="4" t="inlineStr">
        <is>
          <t>https://www.tcgplayer.com/product/236379</t>
        </is>
      </c>
    </row>
    <row r="648">
      <c r="A648" s="2" t="inlineStr">
        <is>
          <t>League Battle Deck [Mega Greninja ex]</t>
        </is>
      </c>
      <c r="B648" s="3">
        <f>IF(H648&lt;&gt;"",H648,IF(I648&lt;&gt;"",I648,IF(J648&lt;&gt;"",J648,K648)))</f>
        <v>39.0</v>
      </c>
      <c r="C648" s="3">
        <f>MEDIAN(H648:K648)</f>
        <v>39.97</v>
      </c>
      <c r="D648" s="3">
        <f>ROUND(C648*(1-Settings!$B$2),2)</f>
        <v>27.98</v>
      </c>
      <c r="E648" s="2" t="inlineStr">
        <is>
          <t>Pokemon</t>
        </is>
      </c>
      <c r="F648" s="2" t="inlineStr">
        <is>
          <t>Deck</t>
        </is>
      </c>
      <c r="G648" s="2" t="inlineStr">
        <is>
          <t>Miscellaneous Cards &amp; Products</t>
        </is>
      </c>
      <c r="H648" s="3" t="n"/>
      <c r="I648" s="3" t="n">
        <v>39</v>
      </c>
      <c r="J648" s="3" t="n">
        <v>42.95</v>
      </c>
      <c r="K648" s="3" t="n">
        <v>39.97</v>
      </c>
      <c r="L648" s="2" t="inlineStr">
        <is>
          <t>TCGplayer</t>
        </is>
      </c>
      <c r="N648" s="4" t="inlineStr">
        <is>
          <t>https://www.tcgplayer.com/product/718643</t>
        </is>
      </c>
    </row>
    <row r="649">
      <c r="A649" s="2" t="inlineStr">
        <is>
          <t>League Battle Deck [Mega Lucario ex]</t>
        </is>
      </c>
      <c r="B649" s="3">
        <f>IF(H649&lt;&gt;"",H649,IF(I649&lt;&gt;"",I649,IF(J649&lt;&gt;"",J649,K649)))</f>
        <v>18.63</v>
      </c>
      <c r="C649" s="3">
        <f>MEDIAN(H649:K649)</f>
        <v>18.63</v>
      </c>
      <c r="D649" s="3">
        <f>ROUND(C649*(1-Settings!$B$2),2)</f>
        <v>13.04</v>
      </c>
      <c r="E649" s="2" t="inlineStr">
        <is>
          <t>Pokemon</t>
        </is>
      </c>
      <c r="F649" s="2" t="inlineStr">
        <is>
          <t>Deck</t>
        </is>
      </c>
      <c r="G649" s="2" t="inlineStr">
        <is>
          <t>Miscellaneous Cards &amp; Products</t>
        </is>
      </c>
      <c r="H649" s="3" t="n"/>
      <c r="I649" s="3" t="n">
        <v>18.63</v>
      </c>
      <c r="J649" s="3" t="n">
        <v>18.68</v>
      </c>
      <c r="K649" s="3" t="n">
        <v>10</v>
      </c>
      <c r="L649" s="2" t="inlineStr">
        <is>
          <t>TCGplayer</t>
        </is>
      </c>
      <c r="N649" s="4" t="inlineStr">
        <is>
          <t>https://www.tcgplayer.com/product/684106</t>
        </is>
      </c>
    </row>
    <row r="650">
      <c r="A650" s="2" t="inlineStr">
        <is>
          <t>League Battle Deck [Miraidon ex]</t>
        </is>
      </c>
      <c r="B650" s="3">
        <f>IF(H650&lt;&gt;"",H650,IF(I650&lt;&gt;"",I650,IF(J650&lt;&gt;"",J650,K650)))</f>
        <v>21.81</v>
      </c>
      <c r="C650" s="3">
        <f>MEDIAN(H650:K650)</f>
        <v>21.81</v>
      </c>
      <c r="D650" s="3">
        <f>ROUND(C650*(1-Settings!$B$2),2)</f>
        <v>15.27</v>
      </c>
      <c r="E650" s="2" t="inlineStr">
        <is>
          <t>Pokemon</t>
        </is>
      </c>
      <c r="F650" s="2" t="inlineStr">
        <is>
          <t>Deck</t>
        </is>
      </c>
      <c r="G650" s="2" t="inlineStr">
        <is>
          <t>Miscellaneous Cards &amp; Products</t>
        </is>
      </c>
      <c r="H650" s="3" t="n"/>
      <c r="I650" s="3" t="n">
        <v>21.81</v>
      </c>
      <c r="J650" s="3" t="n">
        <v>29.74</v>
      </c>
      <c r="K650" s="3" t="n">
        <v>19.04</v>
      </c>
      <c r="L650" s="2" t="inlineStr">
        <is>
          <t>TCGplayer</t>
        </is>
      </c>
      <c r="N650" s="4" t="inlineStr">
        <is>
          <t>https://www.tcgplayer.com/product/516580</t>
        </is>
      </c>
    </row>
    <row r="651">
      <c r="A651" s="2" t="inlineStr">
        <is>
          <t>League Battle Deck [Origin Forme Palkia VSTAR]</t>
        </is>
      </c>
      <c r="B651" s="3">
        <f>IF(H651&lt;&gt;"",H651,IF(I651&lt;&gt;"",I651,IF(J651&lt;&gt;"",J651,K651)))</f>
        <v>24.03</v>
      </c>
      <c r="C651" s="3">
        <f>MEDIAN(H651:K651)</f>
        <v>24.03</v>
      </c>
      <c r="D651" s="3">
        <f>ROUND(C651*(1-Settings!$B$2),2)</f>
        <v>16.82</v>
      </c>
      <c r="E651" s="2" t="inlineStr">
        <is>
          <t>Pokemon</t>
        </is>
      </c>
      <c r="F651" s="2" t="inlineStr">
        <is>
          <t>Deck</t>
        </is>
      </c>
      <c r="G651" s="2" t="inlineStr">
        <is>
          <t>Miscellaneous Cards &amp; Products</t>
        </is>
      </c>
      <c r="H651" s="3" t="n"/>
      <c r="I651" s="3" t="n">
        <v>24.03</v>
      </c>
      <c r="J651" s="3" t="n">
        <v>24.27</v>
      </c>
      <c r="K651" s="3" t="n">
        <v>15.5</v>
      </c>
      <c r="L651" s="2" t="inlineStr">
        <is>
          <t>TCGplayer</t>
        </is>
      </c>
      <c r="N651" s="4" t="inlineStr">
        <is>
          <t>https://www.tcgplayer.com/product/484213</t>
        </is>
      </c>
    </row>
    <row r="652">
      <c r="A652" s="2" t="inlineStr">
        <is>
          <t>League Battle Deck [Rapid Strike Urshifu VMAX]</t>
        </is>
      </c>
      <c r="B652" s="3">
        <f>IF(H652&lt;&gt;"",H652,IF(I652&lt;&gt;"",I652,IF(J652&lt;&gt;"",J652,K652)))</f>
        <v>23.5</v>
      </c>
      <c r="C652" s="3">
        <f>MEDIAN(H652:K652)</f>
        <v>24.99</v>
      </c>
      <c r="D652" s="3">
        <f>ROUND(C652*(1-Settings!$B$2),2)</f>
        <v>17.49</v>
      </c>
      <c r="E652" s="2" t="inlineStr">
        <is>
          <t>Pokemon</t>
        </is>
      </c>
      <c r="F652" s="2" t="inlineStr">
        <is>
          <t>Deck</t>
        </is>
      </c>
      <c r="G652" s="2" t="inlineStr">
        <is>
          <t>Miscellaneous Cards &amp; Products</t>
        </is>
      </c>
      <c r="H652" s="3" t="n"/>
      <c r="I652" s="3" t="n">
        <v>23.5</v>
      </c>
      <c r="J652" s="3" t="n">
        <v>24.99</v>
      </c>
      <c r="K652" s="3" t="n">
        <v>24.99</v>
      </c>
      <c r="L652" s="2" t="inlineStr">
        <is>
          <t>TCGplayer</t>
        </is>
      </c>
      <c r="N652" s="4" t="inlineStr">
        <is>
          <t>https://www.tcgplayer.com/product/248072</t>
        </is>
      </c>
    </row>
    <row r="653">
      <c r="A653" s="2" t="inlineStr">
        <is>
          <t>League Battle Deck [Rapid/Single Strike Urshifu VMAX] [Set of 2]</t>
        </is>
      </c>
      <c r="B653" s="3">
        <f>IF(H653&lt;&gt;"",H653,IF(I653&lt;&gt;"",I653,IF(J653&lt;&gt;"",J653,K653)))</f>
        <v>48.02</v>
      </c>
      <c r="C653" s="3">
        <f>MEDIAN(H653:K653)</f>
        <v>48.02</v>
      </c>
      <c r="D653" s="3">
        <f>ROUND(C653*(1-Settings!$B$2),2)</f>
        <v>33.61</v>
      </c>
      <c r="E653" s="2" t="inlineStr">
        <is>
          <t>Pokemon</t>
        </is>
      </c>
      <c r="F653" s="2" t="inlineStr">
        <is>
          <t>Deck</t>
        </is>
      </c>
      <c r="G653" s="2" t="inlineStr">
        <is>
          <t>Miscellaneous Cards &amp; Products</t>
        </is>
      </c>
      <c r="H653" s="3" t="n"/>
      <c r="I653" s="3" t="n">
        <v>48.02</v>
      </c>
      <c r="J653" s="3" t="n">
        <v>55</v>
      </c>
      <c r="K653" s="3" t="n">
        <v>36.95</v>
      </c>
      <c r="L653" s="2" t="inlineStr">
        <is>
          <t>TCGplayer</t>
        </is>
      </c>
      <c r="N653" s="4" t="inlineStr">
        <is>
          <t>https://www.tcgplayer.com/product/248073</t>
        </is>
      </c>
    </row>
    <row r="654">
      <c r="A654" s="2" t="inlineStr">
        <is>
          <t>League Battle Deck [Shadow Rider Calyrex VMAX]</t>
        </is>
      </c>
      <c r="B654" s="3">
        <f>IF(H654&lt;&gt;"",H654,IF(I654&lt;&gt;"",I654,IF(J654&lt;&gt;"",J654,K654)))</f>
        <v>22.78</v>
      </c>
      <c r="C654" s="3">
        <f>MEDIAN(H654:K654)</f>
        <v>22.78</v>
      </c>
      <c r="D654" s="3">
        <f>ROUND(C654*(1-Settings!$B$2),2)</f>
        <v>15.95</v>
      </c>
      <c r="E654" s="2" t="inlineStr">
        <is>
          <t>Pokemon</t>
        </is>
      </c>
      <c r="F654" s="2" t="inlineStr">
        <is>
          <t>Deck</t>
        </is>
      </c>
      <c r="G654" s="2" t="inlineStr">
        <is>
          <t>Miscellaneous Cards &amp; Products</t>
        </is>
      </c>
      <c r="H654" s="3" t="n"/>
      <c r="I654" s="3" t="n">
        <v>22.78</v>
      </c>
      <c r="J654" s="3" t="n">
        <v>27.48</v>
      </c>
      <c r="K654" s="3" t="n">
        <v>22.78</v>
      </c>
      <c r="L654" s="2" t="inlineStr">
        <is>
          <t>TCGplayer</t>
        </is>
      </c>
      <c r="N654" s="4" t="inlineStr">
        <is>
          <t>https://www.tcgplayer.com/product/271946</t>
        </is>
      </c>
    </row>
    <row r="655">
      <c r="A655" s="2" t="inlineStr">
        <is>
          <t>League Battle Deck [Shadow Rider/Ice Rider Calyrex VMAX] [Set of 2]</t>
        </is>
      </c>
      <c r="B655" s="3">
        <f>IF(H655&lt;&gt;"",H655,IF(I655&lt;&gt;"",I655,IF(J655&lt;&gt;"",J655,K655)))</f>
        <v>40.03</v>
      </c>
      <c r="C655" s="3">
        <f>MEDIAN(H655:K655)</f>
        <v>44.69</v>
      </c>
      <c r="D655" s="3">
        <f>ROUND(C655*(1-Settings!$B$2),2)</f>
        <v>31.28</v>
      </c>
      <c r="E655" s="2" t="inlineStr">
        <is>
          <t>Pokemon</t>
        </is>
      </c>
      <c r="F655" s="2" t="inlineStr">
        <is>
          <t>Deck</t>
        </is>
      </c>
      <c r="G655" s="2" t="inlineStr">
        <is>
          <t>Miscellaneous Cards &amp; Products</t>
        </is>
      </c>
      <c r="H655" s="3" t="n"/>
      <c r="I655" s="3" t="n">
        <v>40.03</v>
      </c>
      <c r="J655" s="3" t="n">
        <v>59.99</v>
      </c>
      <c r="K655" s="3" t="n">
        <v>44.69</v>
      </c>
      <c r="L655" s="2" t="inlineStr">
        <is>
          <t>TCGplayer</t>
        </is>
      </c>
      <c r="N655" s="4" t="inlineStr">
        <is>
          <t>https://www.tcgplayer.com/product/271997</t>
        </is>
      </c>
    </row>
    <row r="656">
      <c r="A656" s="2" t="inlineStr">
        <is>
          <t>League Battle Deck [Single Strike Urshifu VMAX]</t>
        </is>
      </c>
      <c r="B656" s="3">
        <f>IF(H656&lt;&gt;"",H656,IF(I656&lt;&gt;"",I656,IF(J656&lt;&gt;"",J656,K656)))</f>
        <v>15.02</v>
      </c>
      <c r="C656" s="3">
        <f>MEDIAN(H656:K656)</f>
        <v>20.0</v>
      </c>
      <c r="D656" s="3">
        <f>ROUND(C656*(1-Settings!$B$2),2)</f>
        <v>14.0</v>
      </c>
      <c r="E656" s="2" t="inlineStr">
        <is>
          <t>Pokemon</t>
        </is>
      </c>
      <c r="F656" s="2" t="inlineStr">
        <is>
          <t>Deck</t>
        </is>
      </c>
      <c r="G656" s="2" t="inlineStr">
        <is>
          <t>Miscellaneous Cards &amp; Products</t>
        </is>
      </c>
      <c r="H656" s="3" t="n"/>
      <c r="I656" s="3" t="n">
        <v>15.02</v>
      </c>
      <c r="J656" s="3" t="n">
        <v>26.48</v>
      </c>
      <c r="K656" s="3" t="n">
        <v>20</v>
      </c>
      <c r="L656" s="2" t="inlineStr">
        <is>
          <t>TCGplayer</t>
        </is>
      </c>
      <c r="N656" s="4" t="inlineStr">
        <is>
          <t>https://www.tcgplayer.com/product/248071</t>
        </is>
      </c>
    </row>
    <row r="657">
      <c r="A657" s="2" t="inlineStr">
        <is>
          <t>League Battle Deck [Team Rocket's Mewtwo ex]</t>
        </is>
      </c>
      <c r="B657" s="3">
        <f>IF(H657&lt;&gt;"",H657,IF(I657&lt;&gt;"",I657,IF(J657&lt;&gt;"",J657,K657)))</f>
        <v>21.43</v>
      </c>
      <c r="C657" s="3">
        <f>MEDIAN(H657:K657)</f>
        <v>21.43</v>
      </c>
      <c r="D657" s="3">
        <f>ROUND(C657*(1-Settings!$B$2),2)</f>
        <v>15.0</v>
      </c>
      <c r="E657" s="2" t="inlineStr">
        <is>
          <t>Pokemon</t>
        </is>
      </c>
      <c r="F657" s="2" t="inlineStr">
        <is>
          <t>Deck</t>
        </is>
      </c>
      <c r="G657" s="2" t="inlineStr">
        <is>
          <t>Miscellaneous Cards &amp; Products</t>
        </is>
      </c>
      <c r="H657" s="3" t="n"/>
      <c r="I657" s="3" t="n">
        <v>21.43</v>
      </c>
      <c r="J657" s="3" t="n">
        <v>24.99</v>
      </c>
      <c r="K657" s="3" t="n">
        <v>13.5</v>
      </c>
      <c r="L657" s="2" t="inlineStr">
        <is>
          <t>TCGplayer</t>
        </is>
      </c>
      <c r="N657" s="4" t="inlineStr">
        <is>
          <t>https://www.tcgplayer.com/product/654567</t>
        </is>
      </c>
    </row>
    <row r="658">
      <c r="A658" s="2" t="inlineStr">
        <is>
          <t>League Battle Deck [Zacian V]</t>
        </is>
      </c>
      <c r="B658" s="3">
        <f>IF(H658&lt;&gt;"",H658,IF(I658&lt;&gt;"",I658,IF(J658&lt;&gt;"",J658,K658)))</f>
        <v>65.85</v>
      </c>
      <c r="C658" s="3">
        <f>MEDIAN(H658:K658)</f>
        <v>65.85</v>
      </c>
      <c r="D658" s="3">
        <f>ROUND(C658*(1-Settings!$B$2),2)</f>
        <v>46.1</v>
      </c>
      <c r="E658" s="2" t="inlineStr">
        <is>
          <t>Pokemon</t>
        </is>
      </c>
      <c r="F658" s="2" t="inlineStr">
        <is>
          <t>Deck</t>
        </is>
      </c>
      <c r="G658" s="2" t="inlineStr">
        <is>
          <t>Miscellaneous Cards &amp; Products</t>
        </is>
      </c>
      <c r="H658" s="3" t="n"/>
      <c r="I658" s="3" t="n">
        <v>65.84999999999999</v>
      </c>
      <c r="J658" s="3" t="n">
        <v>75</v>
      </c>
      <c r="K658" s="3" t="n">
        <v>65</v>
      </c>
      <c r="L658" s="2" t="inlineStr">
        <is>
          <t>TCGplayer</t>
        </is>
      </c>
      <c r="N658" s="4" t="inlineStr">
        <is>
          <t>https://www.tcgplayer.com/product/226138</t>
        </is>
      </c>
    </row>
    <row r="659">
      <c r="A659" s="2" t="inlineStr">
        <is>
          <t>League Battle Decks [Pikachu &amp; Zekrom GX]</t>
        </is>
      </c>
      <c r="B659" s="3">
        <f>IF(H659&lt;&gt;"",H659,IF(I659&lt;&gt;"",I659,IF(J659&lt;&gt;"",J659,K659)))</f>
        <v>237.03</v>
      </c>
      <c r="C659" s="3">
        <f>MEDIAN(H659:K659)</f>
        <v>350.0</v>
      </c>
      <c r="D659" s="3">
        <f>ROUND(C659*(1-Settings!$B$2),2)</f>
        <v>245.0</v>
      </c>
      <c r="E659" s="2" t="inlineStr">
        <is>
          <t>Pokemon</t>
        </is>
      </c>
      <c r="F659" s="2" t="inlineStr">
        <is>
          <t>Deck</t>
        </is>
      </c>
      <c r="G659" s="2" t="inlineStr">
        <is>
          <t>Miscellaneous Cards &amp; Products</t>
        </is>
      </c>
      <c r="H659" s="3" t="n"/>
      <c r="I659" s="3" t="n">
        <v>237.03</v>
      </c>
      <c r="J659" s="3" t="n">
        <v>410</v>
      </c>
      <c r="K659" s="3" t="n">
        <v>350</v>
      </c>
      <c r="L659" s="2" t="inlineStr">
        <is>
          <t>TCGplayer</t>
        </is>
      </c>
      <c r="N659" s="4" t="inlineStr">
        <is>
          <t>https://www.tcgplayer.com/product/214269</t>
        </is>
      </c>
    </row>
    <row r="660">
      <c r="A660" s="2" t="inlineStr">
        <is>
          <t>League Battle Decks [Reshiram &amp; Charizard GX]</t>
        </is>
      </c>
      <c r="B660" s="3">
        <f>IF(H660&lt;&gt;"",H660,IF(I660&lt;&gt;"",I660,IF(J660&lt;&gt;"",J660,K660)))</f>
        <v>166.4</v>
      </c>
      <c r="C660" s="3">
        <f>MEDIAN(H660:K660)</f>
        <v>179.71</v>
      </c>
      <c r="D660" s="3">
        <f>ROUND(C660*(1-Settings!$B$2),2)</f>
        <v>125.8</v>
      </c>
      <c r="E660" s="2" t="inlineStr">
        <is>
          <t>Pokemon</t>
        </is>
      </c>
      <c r="F660" s="2" t="inlineStr">
        <is>
          <t>Deck</t>
        </is>
      </c>
      <c r="G660" s="2" t="inlineStr">
        <is>
          <t>Miscellaneous Cards &amp; Products</t>
        </is>
      </c>
      <c r="H660" s="3" t="n"/>
      <c r="I660" s="3" t="n">
        <v>166.4</v>
      </c>
      <c r="J660" s="3" t="n">
        <v>235</v>
      </c>
      <c r="K660" s="3" t="n">
        <v>179.71</v>
      </c>
      <c r="L660" s="2" t="inlineStr">
        <is>
          <t>TCGplayer</t>
        </is>
      </c>
      <c r="N660" s="4" t="inlineStr">
        <is>
          <t>https://www.tcgplayer.com/product/214270</t>
        </is>
      </c>
    </row>
    <row r="661">
      <c r="A661" s="2" t="inlineStr">
        <is>
          <t>Let's Play Theme Deck [Eevee]</t>
        </is>
      </c>
      <c r="B661" s="3">
        <f>IF(H661&lt;&gt;"",H661,IF(I661&lt;&gt;"",I661,IF(J661&lt;&gt;"",J661,K661)))</f>
        <v>50.09</v>
      </c>
      <c r="C661" s="3">
        <f>MEDIAN(H661:K661)</f>
        <v>50.09</v>
      </c>
      <c r="D661" s="3">
        <f>ROUND(C661*(1-Settings!$B$2),2)</f>
        <v>35.06</v>
      </c>
      <c r="E661" s="2" t="inlineStr">
        <is>
          <t>Pokemon</t>
        </is>
      </c>
      <c r="F661" s="2" t="inlineStr">
        <is>
          <t>Deck</t>
        </is>
      </c>
      <c r="G661" s="2" t="inlineStr">
        <is>
          <t>Miscellaneous Cards &amp; Products</t>
        </is>
      </c>
      <c r="H661" s="3" t="n"/>
      <c r="I661" s="3" t="n">
        <v>50.09</v>
      </c>
      <c r="J661" s="3" t="n">
        <v>50.09</v>
      </c>
      <c r="K661" s="3" t="n">
        <v>50.09</v>
      </c>
      <c r="L661" s="2" t="inlineStr">
        <is>
          <t>TCGplayer</t>
        </is>
      </c>
      <c r="N661" s="4" t="inlineStr">
        <is>
          <t>https://www.tcgplayer.com/product/181697</t>
        </is>
      </c>
    </row>
    <row r="662">
      <c r="A662" s="2" t="inlineStr">
        <is>
          <t>Let's Play Theme Deck [Pikachu]</t>
        </is>
      </c>
      <c r="B662" s="3">
        <f>IF(H662&lt;&gt;"",H662,IF(I662&lt;&gt;"",I662,IF(J662&lt;&gt;"",J662,K662)))</f>
        <v>38.08</v>
      </c>
      <c r="C662" s="3">
        <f>MEDIAN(H662:K662)</f>
        <v>39.99</v>
      </c>
      <c r="D662" s="3">
        <f>ROUND(C662*(1-Settings!$B$2),2)</f>
        <v>27.99</v>
      </c>
      <c r="E662" s="2" t="inlineStr">
        <is>
          <t>Pokemon</t>
        </is>
      </c>
      <c r="F662" s="2" t="inlineStr">
        <is>
          <t>Deck</t>
        </is>
      </c>
      <c r="G662" s="2" t="inlineStr">
        <is>
          <t>Miscellaneous Cards &amp; Products</t>
        </is>
      </c>
      <c r="H662" s="3" t="n"/>
      <c r="I662" s="3" t="n">
        <v>38.08</v>
      </c>
      <c r="J662" s="3" t="n">
        <v>39.99</v>
      </c>
      <c r="K662" s="3" t="n">
        <v>39.99</v>
      </c>
      <c r="L662" s="2" t="inlineStr">
        <is>
          <t>TCGplayer</t>
        </is>
      </c>
      <c r="N662" s="4" t="inlineStr">
        <is>
          <t>https://www.tcgplayer.com/product/181696</t>
        </is>
      </c>
    </row>
    <row r="663">
      <c r="A663" s="2" t="inlineStr">
        <is>
          <t>Mega Battle Deck (Mega Diancie ex)</t>
        </is>
      </c>
      <c r="B663" s="3">
        <f>IF(H663&lt;&gt;"",H663,IF(I663&lt;&gt;"",I663,IF(J663&lt;&gt;"",J663,K663)))</f>
        <v>23.02</v>
      </c>
      <c r="C663" s="3">
        <f>MEDIAN(H663:K663)</f>
        <v>23.02</v>
      </c>
      <c r="D663" s="3">
        <f>ROUND(C663*(1-Settings!$B$2),2)</f>
        <v>16.11</v>
      </c>
      <c r="E663" s="2" t="inlineStr">
        <is>
          <t>Pokemon</t>
        </is>
      </c>
      <c r="F663" s="2" t="inlineStr">
        <is>
          <t>Deck</t>
        </is>
      </c>
      <c r="G663" s="2" t="inlineStr">
        <is>
          <t>Miscellaneous Cards &amp; Products</t>
        </is>
      </c>
      <c r="H663" s="3" t="n"/>
      <c r="I663" s="3" t="n">
        <v>23.02</v>
      </c>
      <c r="J663" s="3" t="n">
        <v>28.61</v>
      </c>
      <c r="K663" s="3" t="n">
        <v>4.99</v>
      </c>
      <c r="L663" s="2" t="inlineStr">
        <is>
          <t>TCGplayer</t>
        </is>
      </c>
      <c r="N663" s="4" t="inlineStr">
        <is>
          <t>https://www.tcgplayer.com/product/659193</t>
        </is>
      </c>
    </row>
    <row r="664">
      <c r="A664" s="2" t="inlineStr">
        <is>
          <t>Mega Battle Deck (Mega Gengar ex)</t>
        </is>
      </c>
      <c r="B664" s="3">
        <f>IF(H664&lt;&gt;"",H664,IF(I664&lt;&gt;"",I664,IF(J664&lt;&gt;"",J664,K664)))</f>
        <v>66.29</v>
      </c>
      <c r="C664" s="3">
        <f>MEDIAN(H664:K664)</f>
        <v>66.29</v>
      </c>
      <c r="D664" s="3">
        <f>ROUND(C664*(1-Settings!$B$2),2)</f>
        <v>46.4</v>
      </c>
      <c r="E664" s="2" t="inlineStr">
        <is>
          <t>Pokemon</t>
        </is>
      </c>
      <c r="F664" s="2" t="inlineStr">
        <is>
          <t>Deck</t>
        </is>
      </c>
      <c r="G664" s="2" t="inlineStr">
        <is>
          <t>Miscellaneous Cards &amp; Products</t>
        </is>
      </c>
      <c r="H664" s="3" t="n"/>
      <c r="I664" s="3" t="n">
        <v>66.29000000000001</v>
      </c>
      <c r="J664" s="3" t="n">
        <v>74.5</v>
      </c>
      <c r="K664" s="3" t="n">
        <v>64</v>
      </c>
      <c r="L664" s="2" t="inlineStr">
        <is>
          <t>TCGplayer</t>
        </is>
      </c>
      <c r="N664" s="4" t="inlineStr">
        <is>
          <t>https://www.tcgplayer.com/product/659192</t>
        </is>
      </c>
    </row>
    <row r="665">
      <c r="A665" s="2" t="inlineStr">
        <is>
          <t>Mega Battle Deck: Mega Gengar ex/Mega Diancie ex [Set of 2]</t>
        </is>
      </c>
      <c r="B665" s="3">
        <f>IF(H665&lt;&gt;"",H665,IF(I665&lt;&gt;"",I665,IF(J665&lt;&gt;"",J665,K665)))</f>
        <v>88.69</v>
      </c>
      <c r="C665" s="3">
        <f>MEDIAN(H665:K665)</f>
        <v>90.0</v>
      </c>
      <c r="D665" s="3">
        <f>ROUND(C665*(1-Settings!$B$2),2)</f>
        <v>63.0</v>
      </c>
      <c r="E665" s="2" t="inlineStr">
        <is>
          <t>Pokemon</t>
        </is>
      </c>
      <c r="F665" s="2" t="inlineStr">
        <is>
          <t>Deck</t>
        </is>
      </c>
      <c r="G665" s="2" t="inlineStr">
        <is>
          <t>Miscellaneous Cards &amp; Products</t>
        </is>
      </c>
      <c r="H665" s="3" t="n"/>
      <c r="I665" s="3" t="n">
        <v>88.69</v>
      </c>
      <c r="J665" s="3" t="n">
        <v>94.98999999999999</v>
      </c>
      <c r="K665" s="3" t="n">
        <v>90</v>
      </c>
      <c r="L665" s="2" t="inlineStr">
        <is>
          <t>TCGplayer</t>
        </is>
      </c>
      <c r="N665" s="4" t="inlineStr">
        <is>
          <t>https://www.tcgplayer.com/product/661999</t>
        </is>
      </c>
    </row>
    <row r="666">
      <c r="A666" s="2" t="inlineStr">
        <is>
          <t>Pokemon TCG: Starter Gift Set</t>
        </is>
      </c>
      <c r="B666" s="3">
        <f>IF(H666&lt;&gt;"",H666,IF(I666&lt;&gt;"",I666,IF(J666&lt;&gt;"",J666,K666)))</f>
        <v>999.99</v>
      </c>
      <c r="C666" s="3">
        <f>MEDIAN(H666:K666)</f>
        <v>999.99</v>
      </c>
      <c r="D666" s="3">
        <f>ROUND(C666*(1-Settings!$B$2),2)</f>
        <v>699.99</v>
      </c>
      <c r="E666" s="2" t="inlineStr">
        <is>
          <t>Pokemon</t>
        </is>
      </c>
      <c r="F666" s="2" t="inlineStr">
        <is>
          <t>Deck</t>
        </is>
      </c>
      <c r="G666" s="2" t="inlineStr">
        <is>
          <t>Miscellaneous Cards &amp; Products</t>
        </is>
      </c>
      <c r="H666" s="3" t="n"/>
      <c r="I666" s="3" t="n"/>
      <c r="J666" s="3" t="n">
        <v>999.99</v>
      </c>
      <c r="K666" s="3" t="n">
        <v>999.99</v>
      </c>
      <c r="L666" s="2" t="inlineStr">
        <is>
          <t>TCGplayer</t>
        </is>
      </c>
      <c r="N666" s="4" t="inlineStr">
        <is>
          <t>https://www.tcgplayer.com/product/210197</t>
        </is>
      </c>
    </row>
    <row r="667">
      <c r="A667" s="2" t="inlineStr">
        <is>
          <t>Rival Battle Deck [Marnie]</t>
        </is>
      </c>
      <c r="B667" s="3">
        <f>IF(H667&lt;&gt;"",H667,IF(I667&lt;&gt;"",I667,IF(J667&lt;&gt;"",J667,K667)))</f>
        <v>60.99</v>
      </c>
      <c r="C667" s="3">
        <f>MEDIAN(H667:K667)</f>
        <v>60.99</v>
      </c>
      <c r="D667" s="3">
        <f>ROUND(C667*(1-Settings!$B$2),2)</f>
        <v>42.69</v>
      </c>
      <c r="E667" s="2" t="inlineStr">
        <is>
          <t>Pokemon</t>
        </is>
      </c>
      <c r="F667" s="2" t="inlineStr">
        <is>
          <t>Deck</t>
        </is>
      </c>
      <c r="G667" s="2" t="inlineStr">
        <is>
          <t>Miscellaneous Cards &amp; Products</t>
        </is>
      </c>
      <c r="H667" s="3" t="n"/>
      <c r="I667" s="3" t="n">
        <v>60.99</v>
      </c>
      <c r="J667" s="3" t="n">
        <v>67.5</v>
      </c>
      <c r="K667" s="3" t="n">
        <v>1.5</v>
      </c>
      <c r="L667" s="2" t="inlineStr">
        <is>
          <t>TCGplayer</t>
        </is>
      </c>
      <c r="N667" s="4" t="inlineStr">
        <is>
          <t>https://www.tcgplayer.com/product/623014</t>
        </is>
      </c>
    </row>
    <row r="668">
      <c r="A668" s="2" t="inlineStr">
        <is>
          <t>Rival Battle Deck [Steven]</t>
        </is>
      </c>
      <c r="B668" s="3">
        <f>IF(H668&lt;&gt;"",H668,IF(I668&lt;&gt;"",I668,IF(J668&lt;&gt;"",J668,K668)))</f>
        <v>34.12</v>
      </c>
      <c r="C668" s="3">
        <f>MEDIAN(H668:K668)</f>
        <v>34.12</v>
      </c>
      <c r="D668" s="3">
        <f>ROUND(C668*(1-Settings!$B$2),2)</f>
        <v>23.88</v>
      </c>
      <c r="E668" s="2" t="inlineStr">
        <is>
          <t>Pokemon</t>
        </is>
      </c>
      <c r="F668" s="2" t="inlineStr">
        <is>
          <t>Deck</t>
        </is>
      </c>
      <c r="G668" s="2" t="inlineStr">
        <is>
          <t>Miscellaneous Cards &amp; Products</t>
        </is>
      </c>
      <c r="H668" s="3" t="n"/>
      <c r="I668" s="3" t="n">
        <v>34.12</v>
      </c>
      <c r="J668" s="3" t="n">
        <v>45</v>
      </c>
      <c r="K668" s="3" t="n">
        <v>1.5</v>
      </c>
      <c r="L668" s="2" t="inlineStr">
        <is>
          <t>TCGplayer</t>
        </is>
      </c>
      <c r="N668" s="4" t="inlineStr">
        <is>
          <t>https://www.tcgplayer.com/product/623015</t>
        </is>
      </c>
    </row>
    <row r="669">
      <c r="A669" s="2" t="inlineStr">
        <is>
          <t>Trainer Battle Deck - Brock of Pewter City Gym (JP Pokemon Center Exclusive)</t>
        </is>
      </c>
      <c r="B669" s="3">
        <f>IF(H669&lt;&gt;"",H669,IF(I669&lt;&gt;"",I669,IF(J669&lt;&gt;"",J669,K669)))</f>
        <v>176.25</v>
      </c>
      <c r="C669" s="3">
        <f>MEDIAN(H669:K669)</f>
        <v>176.0</v>
      </c>
      <c r="D669" s="3">
        <f>ROUND(C669*(1-Settings!$B$2),2)</f>
        <v>123.2</v>
      </c>
      <c r="E669" s="2" t="inlineStr">
        <is>
          <t>Pokemon</t>
        </is>
      </c>
      <c r="F669" s="2" t="inlineStr">
        <is>
          <t>Deck</t>
        </is>
      </c>
      <c r="G669" s="2" t="inlineStr">
        <is>
          <t>Miscellaneous Cards &amp; Products</t>
        </is>
      </c>
      <c r="H669" s="3" t="n"/>
      <c r="I669" s="3" t="n">
        <v>176.25</v>
      </c>
      <c r="J669" s="3" t="n">
        <v>176</v>
      </c>
      <c r="K669" s="3" t="n">
        <v>175</v>
      </c>
      <c r="L669" s="2" t="inlineStr">
        <is>
          <t>TCGplayer</t>
        </is>
      </c>
      <c r="N669" s="4" t="inlineStr">
        <is>
          <t>https://www.tcgplayer.com/product/271999</t>
        </is>
      </c>
    </row>
    <row r="670">
      <c r="A670" s="2" t="inlineStr">
        <is>
          <t>Trainer Battle Deck - Misty of Cerulean City Gym (JP Pokemon Center Exclusive)</t>
        </is>
      </c>
      <c r="B670" s="3">
        <f>IF(H670&lt;&gt;"",H670,IF(I670&lt;&gt;"",I670,IF(J670&lt;&gt;"",J670,K670)))</f>
        <v>236.5</v>
      </c>
      <c r="C670" s="3">
        <f>MEDIAN(H670:K670)</f>
        <v>223.16</v>
      </c>
      <c r="D670" s="3">
        <f>ROUND(C670*(1-Settings!$B$2),2)</f>
        <v>156.21</v>
      </c>
      <c r="E670" s="2" t="inlineStr">
        <is>
          <t>Pokemon</t>
        </is>
      </c>
      <c r="F670" s="2" t="inlineStr">
        <is>
          <t>Deck</t>
        </is>
      </c>
      <c r="G670" s="2" t="inlineStr">
        <is>
          <t>Miscellaneous Cards &amp; Products</t>
        </is>
      </c>
      <c r="H670" s="3" t="n"/>
      <c r="I670" s="3" t="n">
        <v>236.5</v>
      </c>
      <c r="J670" s="3" t="n">
        <v>223.16</v>
      </c>
      <c r="K670" s="3" t="n">
        <v>223.16</v>
      </c>
      <c r="L670" s="2" t="inlineStr">
        <is>
          <t>TCGplayer</t>
        </is>
      </c>
      <c r="N670" s="4" t="inlineStr">
        <is>
          <t>https://www.tcgplayer.com/product/272000</t>
        </is>
      </c>
    </row>
    <row r="671">
      <c r="A671" s="2" t="inlineStr">
        <is>
          <t>V Battle Deck [Blastoise V]</t>
        </is>
      </c>
      <c r="B671" s="3">
        <f>IF(H671&lt;&gt;"",H671,IF(I671&lt;&gt;"",I671,IF(J671&lt;&gt;"",J671,K671)))</f>
        <v>26.66</v>
      </c>
      <c r="C671" s="3">
        <f>MEDIAN(H671:K671)</f>
        <v>30.0</v>
      </c>
      <c r="D671" s="3">
        <f>ROUND(C671*(1-Settings!$B$2),2)</f>
        <v>21.0</v>
      </c>
      <c r="E671" s="2" t="inlineStr">
        <is>
          <t>Pokemon</t>
        </is>
      </c>
      <c r="F671" s="2" t="inlineStr">
        <is>
          <t>Deck</t>
        </is>
      </c>
      <c r="G671" s="2" t="inlineStr">
        <is>
          <t>Miscellaneous Cards &amp; Products</t>
        </is>
      </c>
      <c r="H671" s="3" t="n"/>
      <c r="I671" s="3" t="n">
        <v>26.66</v>
      </c>
      <c r="J671" s="3" t="n">
        <v>34.85</v>
      </c>
      <c r="K671" s="3" t="n">
        <v>30</v>
      </c>
      <c r="L671" s="2" t="inlineStr">
        <is>
          <t>TCGplayer</t>
        </is>
      </c>
      <c r="N671" s="4" t="inlineStr">
        <is>
          <t>https://www.tcgplayer.com/product/230396</t>
        </is>
      </c>
    </row>
    <row r="672">
      <c r="A672" s="2" t="inlineStr">
        <is>
          <t>V Battle Deck [Deoxys V]</t>
        </is>
      </c>
      <c r="B672" s="3">
        <f>IF(H672&lt;&gt;"",H672,IF(I672&lt;&gt;"",I672,IF(J672&lt;&gt;"",J672,K672)))</f>
        <v>22.74</v>
      </c>
      <c r="C672" s="3">
        <f>MEDIAN(H672:K672)</f>
        <v>33.99</v>
      </c>
      <c r="D672" s="3">
        <f>ROUND(C672*(1-Settings!$B$2),2)</f>
        <v>23.79</v>
      </c>
      <c r="E672" s="2" t="inlineStr">
        <is>
          <t>Pokemon</t>
        </is>
      </c>
      <c r="F672" s="2" t="inlineStr">
        <is>
          <t>Deck</t>
        </is>
      </c>
      <c r="G672" s="2" t="inlineStr">
        <is>
          <t>Miscellaneous Cards &amp; Products</t>
        </is>
      </c>
      <c r="H672" s="3" t="n"/>
      <c r="I672" s="3" t="n">
        <v>22.74</v>
      </c>
      <c r="J672" s="3" t="n">
        <v>34</v>
      </c>
      <c r="K672" s="3" t="n">
        <v>33.99</v>
      </c>
      <c r="L672" s="2" t="inlineStr">
        <is>
          <t>TCGplayer</t>
        </is>
      </c>
      <c r="N672" s="4" t="inlineStr">
        <is>
          <t>https://www.tcgplayer.com/product/280857</t>
        </is>
      </c>
    </row>
    <row r="673">
      <c r="A673" s="2" t="inlineStr">
        <is>
          <t>V Battle Deck [Gardevoir V]</t>
        </is>
      </c>
      <c r="B673" s="3">
        <f>IF(H673&lt;&gt;"",H673,IF(I673&lt;&gt;"",I673,IF(J673&lt;&gt;"",J673,K673)))</f>
        <v>17.28</v>
      </c>
      <c r="C673" s="3">
        <f>MEDIAN(H673:K673)</f>
        <v>21.21</v>
      </c>
      <c r="D673" s="3">
        <f>ROUND(C673*(1-Settings!$B$2),2)</f>
        <v>14.85</v>
      </c>
      <c r="E673" s="2" t="inlineStr">
        <is>
          <t>Pokemon</t>
        </is>
      </c>
      <c r="F673" s="2" t="inlineStr">
        <is>
          <t>Deck</t>
        </is>
      </c>
      <c r="G673" s="2" t="inlineStr">
        <is>
          <t>Miscellaneous Cards &amp; Products</t>
        </is>
      </c>
      <c r="H673" s="3" t="n"/>
      <c r="I673" s="3" t="n">
        <v>17.28</v>
      </c>
      <c r="J673" s="3" t="n">
        <v>27.5</v>
      </c>
      <c r="K673" s="3" t="n">
        <v>21.21</v>
      </c>
      <c r="L673" s="2" t="inlineStr">
        <is>
          <t>TCGplayer</t>
        </is>
      </c>
      <c r="N673" s="4" t="inlineStr">
        <is>
          <t>https://www.tcgplayer.com/product/233357</t>
        </is>
      </c>
    </row>
    <row r="674">
      <c r="A674" s="2" t="inlineStr">
        <is>
          <t>V Battle Deck [Lycanroc V]</t>
        </is>
      </c>
      <c r="B674" s="3">
        <f>IF(H674&lt;&gt;"",H674,IF(I674&lt;&gt;"",I674,IF(J674&lt;&gt;"",J674,K674)))</f>
        <v>14.12</v>
      </c>
      <c r="C674" s="3">
        <f>MEDIAN(H674:K674)</f>
        <v>14.12</v>
      </c>
      <c r="D674" s="3">
        <f>ROUND(C674*(1-Settings!$B$2),2)</f>
        <v>9.88</v>
      </c>
      <c r="E674" s="2" t="inlineStr">
        <is>
          <t>Pokemon</t>
        </is>
      </c>
      <c r="F674" s="2" t="inlineStr">
        <is>
          <t>Deck</t>
        </is>
      </c>
      <c r="G674" s="2" t="inlineStr">
        <is>
          <t>Miscellaneous Cards &amp; Products</t>
        </is>
      </c>
      <c r="H674" s="3" t="n"/>
      <c r="I674" s="3" t="n">
        <v>14.12</v>
      </c>
      <c r="J674" s="3" t="n">
        <v>14.99</v>
      </c>
      <c r="K674" s="3" t="n">
        <v>10</v>
      </c>
      <c r="L674" s="2" t="inlineStr">
        <is>
          <t>TCGplayer</t>
        </is>
      </c>
      <c r="N674" s="4" t="inlineStr">
        <is>
          <t>https://www.tcgplayer.com/product/264757</t>
        </is>
      </c>
    </row>
    <row r="675">
      <c r="A675" s="2" t="inlineStr">
        <is>
          <t>V Battle Deck [Noivern V]</t>
        </is>
      </c>
      <c r="B675" s="3">
        <f>IF(H675&lt;&gt;"",H675,IF(I675&lt;&gt;"",I675,IF(J675&lt;&gt;"",J675,K675)))</f>
        <v>10.85</v>
      </c>
      <c r="C675" s="3">
        <f>MEDIAN(H675:K675)</f>
        <v>13.85</v>
      </c>
      <c r="D675" s="3">
        <f>ROUND(C675*(1-Settings!$B$2),2)</f>
        <v>9.7</v>
      </c>
      <c r="E675" s="2" t="inlineStr">
        <is>
          <t>Pokemon</t>
        </is>
      </c>
      <c r="F675" s="2" t="inlineStr">
        <is>
          <t>Deck</t>
        </is>
      </c>
      <c r="G675" s="2" t="inlineStr">
        <is>
          <t>Miscellaneous Cards &amp; Products</t>
        </is>
      </c>
      <c r="H675" s="3" t="n"/>
      <c r="I675" s="3" t="n">
        <v>10.85</v>
      </c>
      <c r="J675" s="3" t="n">
        <v>25.27</v>
      </c>
      <c r="K675" s="3" t="n">
        <v>13.85</v>
      </c>
      <c r="L675" s="2" t="inlineStr">
        <is>
          <t>TCGplayer</t>
        </is>
      </c>
      <c r="N675" s="4" t="inlineStr">
        <is>
          <t>https://www.tcgplayer.com/product/245733</t>
        </is>
      </c>
    </row>
    <row r="676">
      <c r="A676" s="2" t="inlineStr">
        <is>
          <t>V Battle Deck [Venusaur V]</t>
        </is>
      </c>
      <c r="B676" s="3">
        <f>IF(H676&lt;&gt;"",H676,IF(I676&lt;&gt;"",I676,IF(J676&lt;&gt;"",J676,K676)))</f>
        <v>27.75</v>
      </c>
      <c r="C676" s="3">
        <f>MEDIAN(H676:K676)</f>
        <v>30.0</v>
      </c>
      <c r="D676" s="3">
        <f>ROUND(C676*(1-Settings!$B$2),2)</f>
        <v>21.0</v>
      </c>
      <c r="E676" s="2" t="inlineStr">
        <is>
          <t>Pokemon</t>
        </is>
      </c>
      <c r="F676" s="2" t="inlineStr">
        <is>
          <t>Deck</t>
        </is>
      </c>
      <c r="G676" s="2" t="inlineStr">
        <is>
          <t>Miscellaneous Cards &amp; Products</t>
        </is>
      </c>
      <c r="H676" s="3" t="n"/>
      <c r="I676" s="3" t="n">
        <v>27.75</v>
      </c>
      <c r="J676" s="3" t="n">
        <v>32.98</v>
      </c>
      <c r="K676" s="3" t="n">
        <v>30</v>
      </c>
      <c r="L676" s="2" t="inlineStr">
        <is>
          <t>TCGplayer</t>
        </is>
      </c>
      <c r="N676" s="4" t="inlineStr">
        <is>
          <t>https://www.tcgplayer.com/product/230397</t>
        </is>
      </c>
    </row>
    <row r="677">
      <c r="A677" s="2" t="inlineStr">
        <is>
          <t>V Battle Deck [Victini V]</t>
        </is>
      </c>
      <c r="B677" s="3">
        <f>IF(H677&lt;&gt;"",H677,IF(I677&lt;&gt;"",I677,IF(J677&lt;&gt;"",J677,K677)))</f>
        <v>13.89</v>
      </c>
      <c r="C677" s="3">
        <f>MEDIAN(H677:K677)</f>
        <v>13.89</v>
      </c>
      <c r="D677" s="3">
        <f>ROUND(C677*(1-Settings!$B$2),2)</f>
        <v>9.72</v>
      </c>
      <c r="E677" s="2" t="inlineStr">
        <is>
          <t>Pokemon</t>
        </is>
      </c>
      <c r="F677" s="2" t="inlineStr">
        <is>
          <t>Deck</t>
        </is>
      </c>
      <c r="G677" s="2" t="inlineStr">
        <is>
          <t>Miscellaneous Cards &amp; Products</t>
        </is>
      </c>
      <c r="H677" s="3" t="n"/>
      <c r="I677" s="3" t="n">
        <v>13.89</v>
      </c>
      <c r="J677" s="3" t="n">
        <v>14.38</v>
      </c>
      <c r="K677" s="3" t="n">
        <v>12</v>
      </c>
      <c r="L677" s="2" t="inlineStr">
        <is>
          <t>TCGplayer</t>
        </is>
      </c>
      <c r="N677" s="4" t="inlineStr">
        <is>
          <t>https://www.tcgplayer.com/product/233356</t>
        </is>
      </c>
    </row>
    <row r="678">
      <c r="A678" s="2" t="inlineStr">
        <is>
          <t>V Battle Deck [Zeraora V]</t>
        </is>
      </c>
      <c r="B678" s="3">
        <f>IF(H678&lt;&gt;"",H678,IF(I678&lt;&gt;"",I678,IF(J678&lt;&gt;"",J678,K678)))</f>
        <v>15.3</v>
      </c>
      <c r="C678" s="3">
        <f>MEDIAN(H678:K678)</f>
        <v>15.3</v>
      </c>
      <c r="D678" s="3">
        <f>ROUND(C678*(1-Settings!$B$2),2)</f>
        <v>10.71</v>
      </c>
      <c r="E678" s="2" t="inlineStr">
        <is>
          <t>Pokemon</t>
        </is>
      </c>
      <c r="F678" s="2" t="inlineStr">
        <is>
          <t>Deck</t>
        </is>
      </c>
      <c r="G678" s="2" t="inlineStr">
        <is>
          <t>Miscellaneous Cards &amp; Products</t>
        </is>
      </c>
      <c r="H678" s="3" t="n"/>
      <c r="I678" s="3" t="n">
        <v>15.3</v>
      </c>
      <c r="J678" s="3" t="n">
        <v>15.64</v>
      </c>
      <c r="K678" s="3" t="n">
        <v>12.31</v>
      </c>
      <c r="L678" s="2" t="inlineStr">
        <is>
          <t>TCGplayer</t>
        </is>
      </c>
      <c r="N678" s="4" t="inlineStr">
        <is>
          <t>https://www.tcgplayer.com/product/280858</t>
        </is>
      </c>
    </row>
    <row r="679">
      <c r="A679" s="2" t="inlineStr">
        <is>
          <t>Mysterious Treasures Theme Deck - "Armor Fortress"</t>
        </is>
      </c>
      <c r="B679" s="3">
        <f>IF(H679&lt;&gt;"",H679,IF(I679&lt;&gt;"",I679,IF(J679&lt;&gt;"",J679,K679)))</f>
        <v>74.96</v>
      </c>
      <c r="C679" s="3">
        <f>MEDIAN(H679:K679)</f>
        <v>79.95</v>
      </c>
      <c r="D679" s="3">
        <f>ROUND(C679*(1-Settings!$B$2),2)</f>
        <v>55.97</v>
      </c>
      <c r="E679" s="2" t="inlineStr">
        <is>
          <t>Pokemon</t>
        </is>
      </c>
      <c r="F679" s="2" t="inlineStr">
        <is>
          <t>Deck</t>
        </is>
      </c>
      <c r="G679" s="2" t="inlineStr">
        <is>
          <t>Mysterious Treasures</t>
        </is>
      </c>
      <c r="H679" s="3" t="n"/>
      <c r="I679" s="3" t="n">
        <v>74.95999999999999</v>
      </c>
      <c r="J679" s="3" t="n">
        <v>79.95</v>
      </c>
      <c r="K679" s="3" t="n">
        <v>79.95</v>
      </c>
      <c r="L679" s="2" t="inlineStr">
        <is>
          <t>TCGplayer</t>
        </is>
      </c>
      <c r="N679" s="4" t="inlineStr">
        <is>
          <t>https://www.tcgplayer.com/product/229177</t>
        </is>
      </c>
    </row>
    <row r="680">
      <c r="A680" s="2" t="inlineStr">
        <is>
          <t>Mysterious Treasures Theme Deck - "Skull Charge"</t>
        </is>
      </c>
      <c r="B680" s="3">
        <f>IF(H680&lt;&gt;"",H680,IF(I680&lt;&gt;"",I680,IF(J680&lt;&gt;"",J680,K680)))</f>
        <v>76.99</v>
      </c>
      <c r="C680" s="3">
        <f>MEDIAN(H680:K680)</f>
        <v>76.99</v>
      </c>
      <c r="D680" s="3">
        <f>ROUND(C680*(1-Settings!$B$2),2)</f>
        <v>53.89</v>
      </c>
      <c r="E680" s="2" t="inlineStr">
        <is>
          <t>Pokemon</t>
        </is>
      </c>
      <c r="F680" s="2" t="inlineStr">
        <is>
          <t>Deck</t>
        </is>
      </c>
      <c r="G680" s="2" t="inlineStr">
        <is>
          <t>Mysterious Treasures</t>
        </is>
      </c>
      <c r="H680" s="3" t="n"/>
      <c r="I680" s="3" t="n">
        <v>76.98999999999999</v>
      </c>
      <c r="J680" s="3" t="n">
        <v>76.98999999999999</v>
      </c>
      <c r="K680" s="3" t="n">
        <v>76.98999999999999</v>
      </c>
      <c r="L680" s="2" t="inlineStr">
        <is>
          <t>TCGplayer</t>
        </is>
      </c>
      <c r="N680" s="4" t="inlineStr">
        <is>
          <t>https://www.tcgplayer.com/product/229176</t>
        </is>
      </c>
    </row>
    <row r="681">
      <c r="A681" s="2" t="inlineStr">
        <is>
          <t>Neo Destiny Dark Theme Deck</t>
        </is>
      </c>
      <c r="B681" s="3">
        <f>IF(H681&lt;&gt;"",H681,IF(I681&lt;&gt;"",I681,IF(J681&lt;&gt;"",J681,K681)))</f>
        <v>200.0</v>
      </c>
      <c r="C681" s="3">
        <f>MEDIAN(H681:K681)</f>
        <v>200.0</v>
      </c>
      <c r="D681" s="3">
        <f>ROUND(C681*(1-Settings!$B$2),2)</f>
        <v>140.0</v>
      </c>
      <c r="E681" s="2" t="inlineStr">
        <is>
          <t>Pokemon</t>
        </is>
      </c>
      <c r="F681" s="2" t="inlineStr">
        <is>
          <t>Deck</t>
        </is>
      </c>
      <c r="G681" s="2" t="inlineStr">
        <is>
          <t>Neo Destiny</t>
        </is>
      </c>
      <c r="H681" s="3" t="n">
        <v>200</v>
      </c>
      <c r="I681" s="3" t="n"/>
      <c r="J681" s="3" t="n"/>
      <c r="K681" s="3" t="n"/>
      <c r="L681" s="2" t="inlineStr">
        <is>
          <t>PriceCharting</t>
        </is>
      </c>
      <c r="M681" s="4" t="inlineStr">
        <is>
          <t>https://www.pricecharting.com/game/pokemon-neo-destiny/dark-theme-deck</t>
        </is>
      </c>
    </row>
    <row r="682">
      <c r="A682" s="2" t="inlineStr">
        <is>
          <t>Neo Destiny Light Theme Deck</t>
        </is>
      </c>
      <c r="B682" s="3">
        <f>IF(H682&lt;&gt;"",H682,IF(I682&lt;&gt;"",I682,IF(J682&lt;&gt;"",J682,K682)))</f>
        <v>299.96</v>
      </c>
      <c r="C682" s="3">
        <f>MEDIAN(H682:K682)</f>
        <v>299.96</v>
      </c>
      <c r="D682" s="3">
        <f>ROUND(C682*(1-Settings!$B$2),2)</f>
        <v>209.97</v>
      </c>
      <c r="E682" s="2" t="inlineStr">
        <is>
          <t>Pokemon</t>
        </is>
      </c>
      <c r="F682" s="2" t="inlineStr">
        <is>
          <t>Deck</t>
        </is>
      </c>
      <c r="G682" s="2" t="inlineStr">
        <is>
          <t>Neo Destiny</t>
        </is>
      </c>
      <c r="H682" s="3" t="n">
        <v>299.96</v>
      </c>
      <c r="I682" s="3" t="n"/>
      <c r="J682" s="3" t="n"/>
      <c r="K682" s="3" t="n"/>
      <c r="L682" s="2" t="inlineStr">
        <is>
          <t>PriceCharting</t>
        </is>
      </c>
      <c r="M682" s="4" t="inlineStr">
        <is>
          <t>https://www.pricecharting.com/game/pokemon-neo-destiny/light-theme-deck</t>
        </is>
      </c>
    </row>
    <row r="683">
      <c r="A683" s="2" t="inlineStr">
        <is>
          <t>Neo Destiny Theme Deck - "Light"</t>
        </is>
      </c>
      <c r="B683" s="3">
        <f>IF(H683&lt;&gt;"",H683,IF(I683&lt;&gt;"",I683,IF(J683&lt;&gt;"",J683,K683)))</f>
        <v>299.96</v>
      </c>
      <c r="C683" s="3">
        <f>MEDIAN(H683:K683)</f>
        <v>399.95</v>
      </c>
      <c r="D683" s="3">
        <f>ROUND(C683*(1-Settings!$B$2),2)</f>
        <v>279.97</v>
      </c>
      <c r="E683" s="2" t="inlineStr">
        <is>
          <t>Pokemon</t>
        </is>
      </c>
      <c r="F683" s="2" t="inlineStr">
        <is>
          <t>Deck</t>
        </is>
      </c>
      <c r="G683" s="2" t="inlineStr">
        <is>
          <t>Neo Destiny</t>
        </is>
      </c>
      <c r="H683" s="3" t="n"/>
      <c r="I683" s="3" t="n">
        <v>299.96</v>
      </c>
      <c r="J683" s="3" t="n">
        <v>399.96</v>
      </c>
      <c r="K683" s="3" t="n">
        <v>399.95</v>
      </c>
      <c r="L683" s="2" t="inlineStr">
        <is>
          <t>TCGplayer</t>
        </is>
      </c>
      <c r="N683" s="4" t="inlineStr">
        <is>
          <t>https://www.tcgplayer.com/product/232869</t>
        </is>
      </c>
    </row>
    <row r="684">
      <c r="A684" s="2" t="inlineStr">
        <is>
          <t>Neo Discovery Brain Wave Theme Deck</t>
        </is>
      </c>
      <c r="B684" s="3">
        <f>IF(H684&lt;&gt;"",H684,IF(I684&lt;&gt;"",I684,IF(J684&lt;&gt;"",J684,K684)))</f>
        <v>425.0</v>
      </c>
      <c r="C684" s="3">
        <f>MEDIAN(H684:K684)</f>
        <v>425.0</v>
      </c>
      <c r="D684" s="3">
        <f>ROUND(C684*(1-Settings!$B$2),2)</f>
        <v>297.5</v>
      </c>
      <c r="E684" s="2" t="inlineStr">
        <is>
          <t>Pokemon</t>
        </is>
      </c>
      <c r="F684" s="2" t="inlineStr">
        <is>
          <t>Deck</t>
        </is>
      </c>
      <c r="G684" s="2" t="inlineStr">
        <is>
          <t>Neo Discovery</t>
        </is>
      </c>
      <c r="H684" s="3" t="n">
        <v>425</v>
      </c>
      <c r="I684" s="3" t="n"/>
      <c r="J684" s="3" t="n"/>
      <c r="K684" s="3" t="n"/>
      <c r="L684" s="2" t="inlineStr">
        <is>
          <t>PriceCharting</t>
        </is>
      </c>
      <c r="M684" s="4" t="inlineStr">
        <is>
          <t>https://www.pricecharting.com/game/pokemon-neo-discovery/brain-wave-theme-deck</t>
        </is>
      </c>
    </row>
    <row r="685">
      <c r="A685" s="2" t="inlineStr">
        <is>
          <t>Neo Discovery Theme Deck - "Brain Wave"</t>
        </is>
      </c>
      <c r="B685" s="3">
        <f>IF(H685&lt;&gt;"",H685,IF(I685&lt;&gt;"",I685,IF(J685&lt;&gt;"",J685,K685)))</f>
        <v>425.0</v>
      </c>
      <c r="C685" s="3">
        <f>MEDIAN(H685:K685)</f>
        <v>425.0</v>
      </c>
      <c r="D685" s="3">
        <f>ROUND(C685*(1-Settings!$B$2),2)</f>
        <v>297.5</v>
      </c>
      <c r="E685" s="2" t="inlineStr">
        <is>
          <t>Pokemon</t>
        </is>
      </c>
      <c r="F685" s="2" t="inlineStr">
        <is>
          <t>Deck</t>
        </is>
      </c>
      <c r="G685" s="2" t="inlineStr">
        <is>
          <t>Neo Discovery</t>
        </is>
      </c>
      <c r="H685" s="3" t="n"/>
      <c r="I685" s="3" t="n">
        <v>425</v>
      </c>
      <c r="J685" s="3" t="n"/>
      <c r="K685" s="3" t="n"/>
      <c r="L685" s="2" t="inlineStr">
        <is>
          <t>TCGplayer</t>
        </is>
      </c>
      <c r="N685" s="4" t="inlineStr">
        <is>
          <t>https://www.tcgplayer.com/product/234510</t>
        </is>
      </c>
    </row>
    <row r="686">
      <c r="A686" s="2" t="inlineStr">
        <is>
          <t>Neo Genesis Theme Deck - "Cold Fusion"</t>
        </is>
      </c>
      <c r="B686" s="3">
        <f>IF(H686&lt;&gt;"",H686,IF(I686&lt;&gt;"",I686,IF(J686&lt;&gt;"",J686,K686)))</f>
        <v>437.5</v>
      </c>
      <c r="C686" s="3">
        <f>MEDIAN(H686:K686)</f>
        <v>406.25</v>
      </c>
      <c r="D686" s="3">
        <f>ROUND(C686*(1-Settings!$B$2),2)</f>
        <v>284.38</v>
      </c>
      <c r="E686" s="2" t="inlineStr">
        <is>
          <t>Pokemon</t>
        </is>
      </c>
      <c r="F686" s="2" t="inlineStr">
        <is>
          <t>Deck</t>
        </is>
      </c>
      <c r="G686" s="2" t="inlineStr">
        <is>
          <t>Neo Genesis</t>
        </is>
      </c>
      <c r="H686" s="3" t="n"/>
      <c r="I686" s="3" t="n"/>
      <c r="J686" s="3" t="n">
        <v>437.5</v>
      </c>
      <c r="K686" s="3" t="n">
        <v>375</v>
      </c>
      <c r="L686" s="2" t="inlineStr">
        <is>
          <t>TCGplayer</t>
        </is>
      </c>
      <c r="N686" s="4" t="inlineStr">
        <is>
          <t>https://www.tcgplayer.com/product/234505</t>
        </is>
      </c>
    </row>
    <row r="687">
      <c r="A687" s="2" t="inlineStr">
        <is>
          <t>Noble Victories Theme Deck - "Fast Daze" [Accelgor]</t>
        </is>
      </c>
      <c r="B687" s="3">
        <f>IF(H687&lt;&gt;"",H687,IF(I687&lt;&gt;"",I687,IF(J687&lt;&gt;"",J687,K687)))</f>
        <v>34.0</v>
      </c>
      <c r="C687" s="3">
        <f>MEDIAN(H687:K687)</f>
        <v>33.99</v>
      </c>
      <c r="D687" s="3">
        <f>ROUND(C687*(1-Settings!$B$2),2)</f>
        <v>23.79</v>
      </c>
      <c r="E687" s="2" t="inlineStr">
        <is>
          <t>Pokemon</t>
        </is>
      </c>
      <c r="F687" s="2" t="inlineStr">
        <is>
          <t>Deck</t>
        </is>
      </c>
      <c r="G687" s="2" t="inlineStr">
        <is>
          <t>Noble Victories</t>
        </is>
      </c>
      <c r="H687" s="3" t="n"/>
      <c r="I687" s="3" t="n">
        <v>34</v>
      </c>
      <c r="J687" s="3" t="n">
        <v>33.99</v>
      </c>
      <c r="K687" s="3" t="n">
        <v>33.99</v>
      </c>
      <c r="L687" s="2" t="inlineStr">
        <is>
          <t>TCGplayer</t>
        </is>
      </c>
      <c r="N687" s="4" t="inlineStr">
        <is>
          <t>https://www.tcgplayer.com/product/98626</t>
        </is>
      </c>
    </row>
    <row r="688">
      <c r="A688" s="2" t="inlineStr">
        <is>
          <t>Platinum Theme Deck - "Flourish"</t>
        </is>
      </c>
      <c r="B688" s="3">
        <f>IF(H688&lt;&gt;"",H688,IF(I688&lt;&gt;"",I688,IF(J688&lt;&gt;"",J688,K688)))</f>
        <v>250.0</v>
      </c>
      <c r="C688" s="3">
        <f>MEDIAN(H688:K688)</f>
        <v>250.0</v>
      </c>
      <c r="D688" s="3">
        <f>ROUND(C688*(1-Settings!$B$2),2)</f>
        <v>175.0</v>
      </c>
      <c r="E688" s="2" t="inlineStr">
        <is>
          <t>Pokemon</t>
        </is>
      </c>
      <c r="F688" s="2" t="inlineStr">
        <is>
          <t>Deck</t>
        </is>
      </c>
      <c r="G688" s="2" t="inlineStr">
        <is>
          <t>Platinum</t>
        </is>
      </c>
      <c r="H688" s="3" t="n"/>
      <c r="I688" s="3" t="n"/>
      <c r="J688" s="3" t="n">
        <v>250</v>
      </c>
      <c r="K688" s="3" t="n">
        <v>250</v>
      </c>
      <c r="L688" s="2" t="inlineStr">
        <is>
          <t>TCGplayer</t>
        </is>
      </c>
      <c r="N688" s="4" t="inlineStr">
        <is>
          <t>https://www.tcgplayer.com/product/229173</t>
        </is>
      </c>
    </row>
    <row r="689">
      <c r="A689" s="2" t="inlineStr">
        <is>
          <t>Platinum Theme Deck - "Rebellion"</t>
        </is>
      </c>
      <c r="B689" s="3">
        <f>IF(H689&lt;&gt;"",H689,IF(I689&lt;&gt;"",I689,IF(J689&lt;&gt;"",J689,K689)))</f>
        <v>99.99</v>
      </c>
      <c r="C689" s="3">
        <f>MEDIAN(H689:K689)</f>
        <v>99.99</v>
      </c>
      <c r="D689" s="3">
        <f>ROUND(C689*(1-Settings!$B$2),2)</f>
        <v>69.99</v>
      </c>
      <c r="E689" s="2" t="inlineStr">
        <is>
          <t>Pokemon</t>
        </is>
      </c>
      <c r="F689" s="2" t="inlineStr">
        <is>
          <t>Deck</t>
        </is>
      </c>
      <c r="G689" s="2" t="inlineStr">
        <is>
          <t>Platinum</t>
        </is>
      </c>
      <c r="H689" s="3" t="n"/>
      <c r="I689" s="3" t="n">
        <v>99.98999999999999</v>
      </c>
      <c r="J689" s="3" t="n"/>
      <c r="K689" s="3" t="n"/>
      <c r="L689" s="2" t="inlineStr">
        <is>
          <t>TCGplayer</t>
        </is>
      </c>
      <c r="N689" s="4" t="inlineStr">
        <is>
          <t>https://www.tcgplayer.com/product/229175</t>
        </is>
      </c>
    </row>
    <row r="690">
      <c r="A690" s="2" t="inlineStr">
        <is>
          <t>Pokemon GO Premier Deck Holder Collection [Dragonite VSTAR]</t>
        </is>
      </c>
      <c r="B690" s="3">
        <f>IF(H690&lt;&gt;"",H690,IF(I690&lt;&gt;"",I690,IF(J690&lt;&gt;"",J690,K690)))</f>
        <v>105.2</v>
      </c>
      <c r="C690" s="3">
        <f>MEDIAN(H690:K690)</f>
        <v>105.2</v>
      </c>
      <c r="D690" s="3">
        <f>ROUND(C690*(1-Settings!$B$2),2)</f>
        <v>73.64</v>
      </c>
      <c r="E690" s="2" t="inlineStr">
        <is>
          <t>Pokemon</t>
        </is>
      </c>
      <c r="F690" s="2" t="inlineStr">
        <is>
          <t>Deck</t>
        </is>
      </c>
      <c r="G690" s="2" t="inlineStr">
        <is>
          <t>Pokemon GO</t>
        </is>
      </c>
      <c r="H690" s="3" t="n"/>
      <c r="I690" s="3" t="n">
        <v>105.2</v>
      </c>
      <c r="J690" s="3" t="n">
        <v>109.84</v>
      </c>
      <c r="K690" s="3" t="n">
        <v>29</v>
      </c>
      <c r="L690" s="2" t="inlineStr">
        <is>
          <t>TCGplayer</t>
        </is>
      </c>
      <c r="N690" s="4" t="inlineStr">
        <is>
          <t>https://www.tcgplayer.com/product/275842</t>
        </is>
      </c>
    </row>
    <row r="691">
      <c r="A691" s="2" t="inlineStr">
        <is>
          <t>V Battle Deck [Melmetal V]</t>
        </is>
      </c>
      <c r="B691" s="3">
        <f>IF(H691&lt;&gt;"",H691,IF(I691&lt;&gt;"",I691,IF(J691&lt;&gt;"",J691,K691)))</f>
        <v>13.95</v>
      </c>
      <c r="C691" s="3">
        <f>MEDIAN(H691:K691)</f>
        <v>13.95</v>
      </c>
      <c r="D691" s="3">
        <f>ROUND(C691*(1-Settings!$B$2),2)</f>
        <v>9.77</v>
      </c>
      <c r="E691" s="2" t="inlineStr">
        <is>
          <t>Pokemon</t>
        </is>
      </c>
      <c r="F691" s="2" t="inlineStr">
        <is>
          <t>Deck</t>
        </is>
      </c>
      <c r="G691" s="2" t="inlineStr">
        <is>
          <t>Pokemon GO</t>
        </is>
      </c>
      <c r="H691" s="3" t="n"/>
      <c r="I691" s="3" t="n">
        <v>13.95</v>
      </c>
      <c r="J691" s="3" t="n">
        <v>14.88</v>
      </c>
      <c r="K691" s="3" t="n">
        <v>9.99</v>
      </c>
      <c r="L691" s="2" t="inlineStr">
        <is>
          <t>TCGplayer</t>
        </is>
      </c>
      <c r="N691" s="4" t="inlineStr">
        <is>
          <t>https://www.tcgplayer.com/product/270711</t>
        </is>
      </c>
    </row>
    <row r="692">
      <c r="A692" s="2" t="inlineStr">
        <is>
          <t>V Battle Deck [Mewtwo V]</t>
        </is>
      </c>
      <c r="B692" s="3">
        <f>IF(H692&lt;&gt;"",H692,IF(I692&lt;&gt;"",I692,IF(J692&lt;&gt;"",J692,K692)))</f>
        <v>28.19</v>
      </c>
      <c r="C692" s="3">
        <f>MEDIAN(H692:K692)</f>
        <v>28.19</v>
      </c>
      <c r="D692" s="3">
        <f>ROUND(C692*(1-Settings!$B$2),2)</f>
        <v>19.73</v>
      </c>
      <c r="E692" s="2" t="inlineStr">
        <is>
          <t>Pokemon</t>
        </is>
      </c>
      <c r="F692" s="2" t="inlineStr">
        <is>
          <t>Deck</t>
        </is>
      </c>
      <c r="G692" s="2" t="inlineStr">
        <is>
          <t>Pokemon GO</t>
        </is>
      </c>
      <c r="H692" s="3" t="n"/>
      <c r="I692" s="3" t="n">
        <v>28.19</v>
      </c>
      <c r="J692" s="3" t="n">
        <v>29.09</v>
      </c>
      <c r="K692" s="3" t="n">
        <v>15</v>
      </c>
      <c r="L692" s="2" t="inlineStr">
        <is>
          <t>TCGplayer</t>
        </is>
      </c>
      <c r="N692" s="4" t="inlineStr">
        <is>
          <t>https://www.tcgplayer.com/product/270710</t>
        </is>
      </c>
    </row>
    <row r="693">
      <c r="A693" s="2" t="inlineStr">
        <is>
          <t>Power Keepers Dark Blast Theme Deck</t>
        </is>
      </c>
      <c r="B693" s="3">
        <f>IF(H693&lt;&gt;"",H693,IF(I693&lt;&gt;"",I693,IF(J693&lt;&gt;"",J693,K693)))</f>
        <v>104.99</v>
      </c>
      <c r="C693" s="3">
        <f>MEDIAN(H693:K693)</f>
        <v>104.99</v>
      </c>
      <c r="D693" s="3">
        <f>ROUND(C693*(1-Settings!$B$2),2)</f>
        <v>73.49</v>
      </c>
      <c r="E693" s="2" t="inlineStr">
        <is>
          <t>Pokemon</t>
        </is>
      </c>
      <c r="F693" s="2" t="inlineStr">
        <is>
          <t>Deck</t>
        </is>
      </c>
      <c r="G693" s="2" t="inlineStr">
        <is>
          <t>Power Keepers</t>
        </is>
      </c>
      <c r="H693" s="3" t="n">
        <v>104.99</v>
      </c>
      <c r="I693" s="3" t="n"/>
      <c r="J693" s="3" t="n"/>
      <c r="K693" s="3" t="n"/>
      <c r="L693" s="2" t="inlineStr">
        <is>
          <t>PriceCharting</t>
        </is>
      </c>
      <c r="M693" s="4" t="inlineStr">
        <is>
          <t>https://www.pricecharting.com/game/pokemon-power-keepers/dark-blast-theme-deck</t>
        </is>
      </c>
    </row>
    <row r="694">
      <c r="A694" s="2" t="inlineStr">
        <is>
          <t>Power Keepers Mind Game Theme Deck</t>
        </is>
      </c>
      <c r="B694" s="3">
        <f>IF(H694&lt;&gt;"",H694,IF(I694&lt;&gt;"",I694,IF(J694&lt;&gt;"",J694,K694)))</f>
        <v>90.0</v>
      </c>
      <c r="C694" s="3">
        <f>MEDIAN(H694:K694)</f>
        <v>90.0</v>
      </c>
      <c r="D694" s="3">
        <f>ROUND(C694*(1-Settings!$B$2),2)</f>
        <v>63.0</v>
      </c>
      <c r="E694" s="2" t="inlineStr">
        <is>
          <t>Pokemon</t>
        </is>
      </c>
      <c r="F694" s="2" t="inlineStr">
        <is>
          <t>Deck</t>
        </is>
      </c>
      <c r="G694" s="2" t="inlineStr">
        <is>
          <t>Power Keepers</t>
        </is>
      </c>
      <c r="H694" s="3" t="n">
        <v>90</v>
      </c>
      <c r="I694" s="3" t="n"/>
      <c r="J694" s="3" t="n"/>
      <c r="K694" s="3" t="n"/>
      <c r="L694" s="2" t="inlineStr">
        <is>
          <t>PriceCharting</t>
        </is>
      </c>
      <c r="M694" s="4" t="inlineStr">
        <is>
          <t>https://www.pricecharting.com/game/pokemon-power-keepers/mind-game-theme-deck</t>
        </is>
      </c>
    </row>
    <row r="695">
      <c r="A695" s="2" t="inlineStr">
        <is>
          <t>Promo Battle Academy 2022</t>
        </is>
      </c>
      <c r="B695" s="3">
        <f>IF(H695&lt;&gt;"",H695,IF(I695&lt;&gt;"",I695,IF(J695&lt;&gt;"",J695,K695)))</f>
        <v>28.67</v>
      </c>
      <c r="C695" s="3">
        <f>MEDIAN(H695:K695)</f>
        <v>28.67</v>
      </c>
      <c r="D695" s="3">
        <f>ROUND(C695*(1-Settings!$B$2),2)</f>
        <v>20.07</v>
      </c>
      <c r="E695" s="2" t="inlineStr">
        <is>
          <t>Pokemon</t>
        </is>
      </c>
      <c r="F695" s="2" t="inlineStr">
        <is>
          <t>Deck</t>
        </is>
      </c>
      <c r="G695" s="2" t="inlineStr">
        <is>
          <t>Promo</t>
        </is>
      </c>
      <c r="H695" s="3" t="n">
        <v>28.67</v>
      </c>
      <c r="I695" s="3" t="n"/>
      <c r="J695" s="3" t="n"/>
      <c r="K695" s="3" t="n"/>
      <c r="L695" s="2" t="inlineStr">
        <is>
          <t>PriceCharting</t>
        </is>
      </c>
      <c r="M695" s="4" t="inlineStr">
        <is>
          <t>https://www.pricecharting.com/game/pokemon-promo/battle-academy-2022</t>
        </is>
      </c>
    </row>
    <row r="696">
      <c r="A696" s="2" t="inlineStr">
        <is>
          <t>Promo Deluxe Battle Deck: Meowscarada Ex</t>
        </is>
      </c>
      <c r="B696" s="3">
        <f>IF(H696&lt;&gt;"",H696,IF(I696&lt;&gt;"",I696,IF(J696&lt;&gt;"",J696,K696)))</f>
        <v>22.47</v>
      </c>
      <c r="C696" s="3">
        <f>MEDIAN(H696:K696)</f>
        <v>22.47</v>
      </c>
      <c r="D696" s="3">
        <f>ROUND(C696*(1-Settings!$B$2),2)</f>
        <v>15.73</v>
      </c>
      <c r="E696" s="2" t="inlineStr">
        <is>
          <t>Pokemon</t>
        </is>
      </c>
      <c r="F696" s="2" t="inlineStr">
        <is>
          <t>Deck</t>
        </is>
      </c>
      <c r="G696" s="2" t="inlineStr">
        <is>
          <t>Promo</t>
        </is>
      </c>
      <c r="H696" s="3" t="n">
        <v>22.47</v>
      </c>
      <c r="I696" s="3" t="n"/>
      <c r="J696" s="3" t="n"/>
      <c r="K696" s="3" t="n"/>
      <c r="L696" s="2" t="inlineStr">
        <is>
          <t>PriceCharting</t>
        </is>
      </c>
      <c r="M696" s="4" t="inlineStr">
        <is>
          <t>https://www.pricecharting.com/game/pokemon-promo/deluxe-battle-deck-meowscarada-ex</t>
        </is>
      </c>
    </row>
    <row r="697">
      <c r="A697" s="2" t="inlineStr">
        <is>
          <t>Promo Deluxe Battle Deck: Ninetales</t>
        </is>
      </c>
      <c r="B697" s="3">
        <f>IF(H697&lt;&gt;"",H697,IF(I697&lt;&gt;"",I697,IF(J697&lt;&gt;"",J697,K697)))</f>
        <v>26.32</v>
      </c>
      <c r="C697" s="3">
        <f>MEDIAN(H697:K697)</f>
        <v>26.32</v>
      </c>
      <c r="D697" s="3">
        <f>ROUND(C697*(1-Settings!$B$2),2)</f>
        <v>18.42</v>
      </c>
      <c r="E697" s="2" t="inlineStr">
        <is>
          <t>Pokemon</t>
        </is>
      </c>
      <c r="F697" s="2" t="inlineStr">
        <is>
          <t>Deck</t>
        </is>
      </c>
      <c r="G697" s="2" t="inlineStr">
        <is>
          <t>Promo</t>
        </is>
      </c>
      <c r="H697" s="3" t="n">
        <v>26.32</v>
      </c>
      <c r="I697" s="3" t="n"/>
      <c r="J697" s="3" t="n"/>
      <c r="K697" s="3" t="n"/>
      <c r="L697" s="2" t="inlineStr">
        <is>
          <t>PriceCharting</t>
        </is>
      </c>
      <c r="M697" s="4" t="inlineStr">
        <is>
          <t>https://www.pricecharting.com/game/pokemon-promo/deluxe-battle-deck-ninetales</t>
        </is>
      </c>
    </row>
    <row r="698">
      <c r="A698" s="2" t="inlineStr">
        <is>
          <t>Promo Deluxe Battle Deck: Zapdos</t>
        </is>
      </c>
      <c r="B698" s="3">
        <f>IF(H698&lt;&gt;"",H698,IF(I698&lt;&gt;"",I698,IF(J698&lt;&gt;"",J698,K698)))</f>
        <v>22.99</v>
      </c>
      <c r="C698" s="3">
        <f>MEDIAN(H698:K698)</f>
        <v>22.99</v>
      </c>
      <c r="D698" s="3">
        <f>ROUND(C698*(1-Settings!$B$2),2)</f>
        <v>16.09</v>
      </c>
      <c r="E698" s="2" t="inlineStr">
        <is>
          <t>Pokemon</t>
        </is>
      </c>
      <c r="F698" s="2" t="inlineStr">
        <is>
          <t>Deck</t>
        </is>
      </c>
      <c r="G698" s="2" t="inlineStr">
        <is>
          <t>Promo</t>
        </is>
      </c>
      <c r="H698" s="3" t="n">
        <v>22.99</v>
      </c>
      <c r="I698" s="3" t="n"/>
      <c r="J698" s="3" t="n"/>
      <c r="K698" s="3" t="n"/>
      <c r="L698" s="2" t="inlineStr">
        <is>
          <t>PriceCharting</t>
        </is>
      </c>
      <c r="M698" s="4" t="inlineStr">
        <is>
          <t>https://www.pricecharting.com/game/pokemon-promo/deluxe-battle-deck-zapdos</t>
        </is>
      </c>
    </row>
    <row r="699">
      <c r="A699" s="2" t="inlineStr">
        <is>
          <t>Promo EX Battle Deck [Chien Pao]</t>
        </is>
      </c>
      <c r="B699" s="3">
        <f>IF(H699&lt;&gt;"",H699,IF(I699&lt;&gt;"",I699,IF(J699&lt;&gt;"",J699,K699)))</f>
        <v>16.7</v>
      </c>
      <c r="C699" s="3">
        <f>MEDIAN(H699:K699)</f>
        <v>16.7</v>
      </c>
      <c r="D699" s="3">
        <f>ROUND(C699*(1-Settings!$B$2),2)</f>
        <v>11.69</v>
      </c>
      <c r="E699" s="2" t="inlineStr">
        <is>
          <t>Pokemon</t>
        </is>
      </c>
      <c r="F699" s="2" t="inlineStr">
        <is>
          <t>Deck</t>
        </is>
      </c>
      <c r="G699" s="2" t="inlineStr">
        <is>
          <t>Promo</t>
        </is>
      </c>
      <c r="H699" s="3" t="n">
        <v>16.7</v>
      </c>
      <c r="I699" s="3" t="n"/>
      <c r="J699" s="3" t="n"/>
      <c r="K699" s="3" t="n"/>
      <c r="L699" s="2" t="inlineStr">
        <is>
          <t>PriceCharting</t>
        </is>
      </c>
      <c r="M699" s="4" t="inlineStr">
        <is>
          <t>https://www.pricecharting.com/game/pokemon-promo/ex-battle-deck-chien-pao</t>
        </is>
      </c>
    </row>
    <row r="700">
      <c r="A700" s="2" t="inlineStr">
        <is>
          <t>Promo EX Battle Deck [Tapu Koko]</t>
        </is>
      </c>
      <c r="B700" s="3">
        <f>IF(H700&lt;&gt;"",H700,IF(I700&lt;&gt;"",I700,IF(J700&lt;&gt;"",J700,K700)))</f>
        <v>14.95</v>
      </c>
      <c r="C700" s="3">
        <f>MEDIAN(H700:K700)</f>
        <v>14.95</v>
      </c>
      <c r="D700" s="3">
        <f>ROUND(C700*(1-Settings!$B$2),2)</f>
        <v>10.47</v>
      </c>
      <c r="E700" s="2" t="inlineStr">
        <is>
          <t>Pokemon</t>
        </is>
      </c>
      <c r="F700" s="2" t="inlineStr">
        <is>
          <t>Deck</t>
        </is>
      </c>
      <c r="G700" s="2" t="inlineStr">
        <is>
          <t>Promo</t>
        </is>
      </c>
      <c r="H700" s="3" t="n">
        <v>14.95</v>
      </c>
      <c r="I700" s="3" t="n"/>
      <c r="J700" s="3" t="n"/>
      <c r="K700" s="3" t="n"/>
      <c r="L700" s="2" t="inlineStr">
        <is>
          <t>PriceCharting</t>
        </is>
      </c>
      <c r="M700" s="4" t="inlineStr">
        <is>
          <t>https://www.pricecharting.com/game/pokemon-promo/ex-battle-deck-tapu-koko</t>
        </is>
      </c>
    </row>
    <row r="701">
      <c r="A701" s="2" t="inlineStr">
        <is>
          <t>Promo Ex Battle Deck: Houndoom Ex</t>
        </is>
      </c>
      <c r="B701" s="3">
        <f>IF(H701&lt;&gt;"",H701,IF(I701&lt;&gt;"",I701,IF(J701&lt;&gt;"",J701,K701)))</f>
        <v>26.0</v>
      </c>
      <c r="C701" s="3">
        <f>MEDIAN(H701:K701)</f>
        <v>26.0</v>
      </c>
      <c r="D701" s="3">
        <f>ROUND(C701*(1-Settings!$B$2),2)</f>
        <v>18.2</v>
      </c>
      <c r="E701" s="2" t="inlineStr">
        <is>
          <t>Pokemon</t>
        </is>
      </c>
      <c r="F701" s="2" t="inlineStr">
        <is>
          <t>Deck</t>
        </is>
      </c>
      <c r="G701" s="2" t="inlineStr">
        <is>
          <t>Promo</t>
        </is>
      </c>
      <c r="H701" s="3" t="n">
        <v>26</v>
      </c>
      <c r="I701" s="3" t="n"/>
      <c r="J701" s="3" t="n"/>
      <c r="K701" s="3" t="n"/>
      <c r="L701" s="2" t="inlineStr">
        <is>
          <t>PriceCharting</t>
        </is>
      </c>
      <c r="M701" s="4" t="inlineStr">
        <is>
          <t>https://www.pricecharting.com/game/pokemon-promo/ex-battle-deck-houndoom-ex</t>
        </is>
      </c>
    </row>
    <row r="702">
      <c r="A702" s="2" t="inlineStr">
        <is>
          <t>Promo EX Battle Deck: Iron Leaves EX</t>
        </is>
      </c>
      <c r="B702" s="3">
        <f>IF(H702&lt;&gt;"",H702,IF(I702&lt;&gt;"",I702,IF(J702&lt;&gt;"",J702,K702)))</f>
        <v>24.08</v>
      </c>
      <c r="C702" s="3">
        <f>MEDIAN(H702:K702)</f>
        <v>24.08</v>
      </c>
      <c r="D702" s="3">
        <f>ROUND(C702*(1-Settings!$B$2),2)</f>
        <v>16.86</v>
      </c>
      <c r="E702" s="2" t="inlineStr">
        <is>
          <t>Pokemon</t>
        </is>
      </c>
      <c r="F702" s="2" t="inlineStr">
        <is>
          <t>Deck</t>
        </is>
      </c>
      <c r="G702" s="2" t="inlineStr">
        <is>
          <t>Promo</t>
        </is>
      </c>
      <c r="H702" s="3" t="n">
        <v>24.08</v>
      </c>
      <c r="I702" s="3" t="n"/>
      <c r="J702" s="3" t="n"/>
      <c r="K702" s="3" t="n"/>
      <c r="L702" s="2" t="inlineStr">
        <is>
          <t>PriceCharting</t>
        </is>
      </c>
      <c r="M702" s="4" t="inlineStr">
        <is>
          <t>https://www.pricecharting.com/game/pokemon-promo/ex-battle-deck-iron-leaves-ex</t>
        </is>
      </c>
    </row>
    <row r="703">
      <c r="A703" s="2" t="inlineStr">
        <is>
          <t>Promo EX Battle Deck: Melmetal</t>
        </is>
      </c>
      <c r="B703" s="3">
        <f>IF(H703&lt;&gt;"",H703,IF(I703&lt;&gt;"",I703,IF(J703&lt;&gt;"",J703,K703)))</f>
        <v>19.72</v>
      </c>
      <c r="C703" s="3">
        <f>MEDIAN(H703:K703)</f>
        <v>19.72</v>
      </c>
      <c r="D703" s="3">
        <f>ROUND(C703*(1-Settings!$B$2),2)</f>
        <v>13.8</v>
      </c>
      <c r="E703" s="2" t="inlineStr">
        <is>
          <t>Pokemon</t>
        </is>
      </c>
      <c r="F703" s="2" t="inlineStr">
        <is>
          <t>Deck</t>
        </is>
      </c>
      <c r="G703" s="2" t="inlineStr">
        <is>
          <t>Promo</t>
        </is>
      </c>
      <c r="H703" s="3" t="n">
        <v>19.72</v>
      </c>
      <c r="I703" s="3" t="n"/>
      <c r="J703" s="3" t="n"/>
      <c r="K703" s="3" t="n"/>
      <c r="L703" s="2" t="inlineStr">
        <is>
          <t>PriceCharting</t>
        </is>
      </c>
      <c r="M703" s="4" t="inlineStr">
        <is>
          <t>https://www.pricecharting.com/game/pokemon-promo/ex-battle-deck-melmetal</t>
        </is>
      </c>
    </row>
    <row r="704">
      <c r="A704" s="2" t="inlineStr">
        <is>
          <t>Promo Gardevoir V Battle Deck</t>
        </is>
      </c>
      <c r="B704" s="3">
        <f>IF(H704&lt;&gt;"",H704,IF(I704&lt;&gt;"",I704,IF(J704&lt;&gt;"",J704,K704)))</f>
        <v>15.39</v>
      </c>
      <c r="C704" s="3">
        <f>MEDIAN(H704:K704)</f>
        <v>15.39</v>
      </c>
      <c r="D704" s="3">
        <f>ROUND(C704*(1-Settings!$B$2),2)</f>
        <v>10.77</v>
      </c>
      <c r="E704" s="2" t="inlineStr">
        <is>
          <t>Pokemon</t>
        </is>
      </c>
      <c r="F704" s="2" t="inlineStr">
        <is>
          <t>Deck</t>
        </is>
      </c>
      <c r="G704" s="2" t="inlineStr">
        <is>
          <t>Promo</t>
        </is>
      </c>
      <c r="H704" s="3" t="n">
        <v>15.39</v>
      </c>
      <c r="I704" s="3" t="n"/>
      <c r="J704" s="3" t="n"/>
      <c r="K704" s="3" t="n"/>
      <c r="L704" s="2" t="inlineStr">
        <is>
          <t>PriceCharting</t>
        </is>
      </c>
      <c r="M704" s="4" t="inlineStr">
        <is>
          <t>https://www.pricecharting.com/game/pokemon-promo/gardevoir-v-battle-deck</t>
        </is>
      </c>
    </row>
    <row r="705">
      <c r="A705" s="2" t="inlineStr">
        <is>
          <t>Promo League Battle Deck: Charizard Ex</t>
        </is>
      </c>
      <c r="B705" s="3">
        <f>IF(H705&lt;&gt;"",H705,IF(I705&lt;&gt;"",I705,IF(J705&lt;&gt;"",J705,K705)))</f>
        <v>124.04</v>
      </c>
      <c r="C705" s="3">
        <f>MEDIAN(H705:K705)</f>
        <v>124.04</v>
      </c>
      <c r="D705" s="3">
        <f>ROUND(C705*(1-Settings!$B$2),2)</f>
        <v>86.83</v>
      </c>
      <c r="E705" s="2" t="inlineStr">
        <is>
          <t>Pokemon</t>
        </is>
      </c>
      <c r="F705" s="2" t="inlineStr">
        <is>
          <t>Deck</t>
        </is>
      </c>
      <c r="G705" s="2" t="inlineStr">
        <is>
          <t>Promo</t>
        </is>
      </c>
      <c r="H705" s="3" t="n">
        <v>124.04</v>
      </c>
      <c r="I705" s="3" t="n"/>
      <c r="J705" s="3" t="n"/>
      <c r="K705" s="3" t="n"/>
      <c r="L705" s="2" t="inlineStr">
        <is>
          <t>PriceCharting</t>
        </is>
      </c>
      <c r="M705" s="4" t="inlineStr">
        <is>
          <t>https://www.pricecharting.com/game/pokemon-promo/league-battle-deck-charizard-ex</t>
        </is>
      </c>
    </row>
    <row r="706">
      <c r="A706" s="2" t="inlineStr">
        <is>
          <t>Promo League Battle Deck: Gardevoir Ex</t>
        </is>
      </c>
      <c r="B706" s="3">
        <f>IF(H706&lt;&gt;"",H706,IF(I706&lt;&gt;"",I706,IF(J706&lt;&gt;"",J706,K706)))</f>
        <v>49.28</v>
      </c>
      <c r="C706" s="3">
        <f>MEDIAN(H706:K706)</f>
        <v>49.28</v>
      </c>
      <c r="D706" s="3">
        <f>ROUND(C706*(1-Settings!$B$2),2)</f>
        <v>34.5</v>
      </c>
      <c r="E706" s="2" t="inlineStr">
        <is>
          <t>Pokemon</t>
        </is>
      </c>
      <c r="F706" s="2" t="inlineStr">
        <is>
          <t>Deck</t>
        </is>
      </c>
      <c r="G706" s="2" t="inlineStr">
        <is>
          <t>Promo</t>
        </is>
      </c>
      <c r="H706" s="3" t="n">
        <v>49.28</v>
      </c>
      <c r="I706" s="3" t="n"/>
      <c r="J706" s="3" t="n"/>
      <c r="K706" s="3" t="n"/>
      <c r="L706" s="2" t="inlineStr">
        <is>
          <t>PriceCharting</t>
        </is>
      </c>
      <c r="M706" s="4" t="inlineStr">
        <is>
          <t>https://www.pricecharting.com/game/pokemon-promo/league-battle-deck-gardevoir-ex</t>
        </is>
      </c>
    </row>
    <row r="707">
      <c r="A707" s="2" t="inlineStr">
        <is>
          <t>Promo League Battle Deck: Mega Lucario Ex</t>
        </is>
      </c>
      <c r="B707" s="3">
        <f>IF(H707&lt;&gt;"",H707,IF(I707&lt;&gt;"",I707,IF(J707&lt;&gt;"",J707,K707)))</f>
        <v>14.55</v>
      </c>
      <c r="C707" s="3">
        <f>MEDIAN(H707:K707)</f>
        <v>14.55</v>
      </c>
      <c r="D707" s="3">
        <f>ROUND(C707*(1-Settings!$B$2),2)</f>
        <v>10.19</v>
      </c>
      <c r="E707" s="2" t="inlineStr">
        <is>
          <t>Pokemon</t>
        </is>
      </c>
      <c r="F707" s="2" t="inlineStr">
        <is>
          <t>Deck</t>
        </is>
      </c>
      <c r="G707" s="2" t="inlineStr">
        <is>
          <t>Promo</t>
        </is>
      </c>
      <c r="H707" s="3" t="n">
        <v>14.55</v>
      </c>
      <c r="I707" s="3" t="n"/>
      <c r="J707" s="3" t="n"/>
      <c r="K707" s="3" t="n"/>
      <c r="L707" s="2" t="inlineStr">
        <is>
          <t>PriceCharting</t>
        </is>
      </c>
      <c r="M707" s="4" t="inlineStr">
        <is>
          <t>https://www.pricecharting.com/game/pokemon-promo/league-battle-deck-mega-lucario-ex</t>
        </is>
      </c>
    </row>
    <row r="708">
      <c r="A708" s="2" t="inlineStr">
        <is>
          <t>Promo League Battle Deck: Mew VMAX</t>
        </is>
      </c>
      <c r="B708" s="3">
        <f>IF(H708&lt;&gt;"",H708,IF(I708&lt;&gt;"",I708,IF(J708&lt;&gt;"",J708,K708)))</f>
        <v>69.87</v>
      </c>
      <c r="C708" s="3">
        <f>MEDIAN(H708:K708)</f>
        <v>69.87</v>
      </c>
      <c r="D708" s="3">
        <f>ROUND(C708*(1-Settings!$B$2),2)</f>
        <v>48.91</v>
      </c>
      <c r="E708" s="2" t="inlineStr">
        <is>
          <t>Pokemon</t>
        </is>
      </c>
      <c r="F708" s="2" t="inlineStr">
        <is>
          <t>Deck</t>
        </is>
      </c>
      <c r="G708" s="2" t="inlineStr">
        <is>
          <t>Promo</t>
        </is>
      </c>
      <c r="H708" s="3" t="n">
        <v>69.87</v>
      </c>
      <c r="I708" s="3" t="n"/>
      <c r="J708" s="3" t="n"/>
      <c r="K708" s="3" t="n"/>
      <c r="L708" s="2" t="inlineStr">
        <is>
          <t>PriceCharting</t>
        </is>
      </c>
      <c r="M708" s="4" t="inlineStr">
        <is>
          <t>https://www.pricecharting.com/game/pokemon-promo/league-battle-deck-mew-vmax</t>
        </is>
      </c>
    </row>
    <row r="709">
      <c r="A709" s="2" t="inlineStr">
        <is>
          <t>Promo League Battle Deck: Miraidon Ex</t>
        </is>
      </c>
      <c r="B709" s="3">
        <f>IF(H709&lt;&gt;"",H709,IF(I709&lt;&gt;"",I709,IF(J709&lt;&gt;"",J709,K709)))</f>
        <v>24.46</v>
      </c>
      <c r="C709" s="3">
        <f>MEDIAN(H709:K709)</f>
        <v>24.46</v>
      </c>
      <c r="D709" s="3">
        <f>ROUND(C709*(1-Settings!$B$2),2)</f>
        <v>17.12</v>
      </c>
      <c r="E709" s="2" t="inlineStr">
        <is>
          <t>Pokemon</t>
        </is>
      </c>
      <c r="F709" s="2" t="inlineStr">
        <is>
          <t>Deck</t>
        </is>
      </c>
      <c r="G709" s="2" t="inlineStr">
        <is>
          <t>Promo</t>
        </is>
      </c>
      <c r="H709" s="3" t="n">
        <v>24.46</v>
      </c>
      <c r="I709" s="3" t="n"/>
      <c r="J709" s="3" t="n"/>
      <c r="K709" s="3" t="n"/>
      <c r="L709" s="2" t="inlineStr">
        <is>
          <t>PriceCharting</t>
        </is>
      </c>
      <c r="M709" s="4" t="inlineStr">
        <is>
          <t>https://www.pricecharting.com/game/pokemon-promo/league-battle-deck-miraidon-ex</t>
        </is>
      </c>
    </row>
    <row r="710">
      <c r="A710" s="2" t="inlineStr">
        <is>
          <t>Promo League Battle Deck: Shadow Rider Calyrex VMAX</t>
        </is>
      </c>
      <c r="B710" s="3">
        <f>IF(H710&lt;&gt;"",H710,IF(I710&lt;&gt;"",I710,IF(J710&lt;&gt;"",J710,K710)))</f>
        <v>19.7</v>
      </c>
      <c r="C710" s="3">
        <f>MEDIAN(H710:K710)</f>
        <v>19.7</v>
      </c>
      <c r="D710" s="3">
        <f>ROUND(C710*(1-Settings!$B$2),2)</f>
        <v>13.79</v>
      </c>
      <c r="E710" s="2" t="inlineStr">
        <is>
          <t>Pokemon</t>
        </is>
      </c>
      <c r="F710" s="2" t="inlineStr">
        <is>
          <t>Deck</t>
        </is>
      </c>
      <c r="G710" s="2" t="inlineStr">
        <is>
          <t>Promo</t>
        </is>
      </c>
      <c r="H710" s="3" t="n">
        <v>19.7</v>
      </c>
      <c r="I710" s="3" t="n"/>
      <c r="J710" s="3" t="n"/>
      <c r="K710" s="3" t="n"/>
      <c r="L710" s="2" t="inlineStr">
        <is>
          <t>PriceCharting</t>
        </is>
      </c>
      <c r="M710" s="4" t="inlineStr">
        <is>
          <t>https://www.pricecharting.com/game/pokemon-promo/league-battle-deck-shadow-rider-calyrex-vmax</t>
        </is>
      </c>
    </row>
    <row r="711">
      <c r="A711" s="2" t="inlineStr">
        <is>
          <t>Promo League Battle Deck: Team Rocket's Mewtwo Ex</t>
        </is>
      </c>
      <c r="B711" s="3">
        <f>IF(H711&lt;&gt;"",H711,IF(I711&lt;&gt;"",I711,IF(J711&lt;&gt;"",J711,K711)))</f>
        <v>23.99</v>
      </c>
      <c r="C711" s="3">
        <f>MEDIAN(H711:K711)</f>
        <v>23.99</v>
      </c>
      <c r="D711" s="3">
        <f>ROUND(C711*(1-Settings!$B$2),2)</f>
        <v>16.79</v>
      </c>
      <c r="E711" s="2" t="inlineStr">
        <is>
          <t>Pokemon</t>
        </is>
      </c>
      <c r="F711" s="2" t="inlineStr">
        <is>
          <t>Deck</t>
        </is>
      </c>
      <c r="G711" s="2" t="inlineStr">
        <is>
          <t>Promo</t>
        </is>
      </c>
      <c r="H711" s="3" t="n">
        <v>23.99</v>
      </c>
      <c r="I711" s="3" t="n"/>
      <c r="J711" s="3" t="n"/>
      <c r="K711" s="3" t="n"/>
      <c r="L711" s="2" t="inlineStr">
        <is>
          <t>PriceCharting</t>
        </is>
      </c>
      <c r="M711" s="4" t="inlineStr">
        <is>
          <t>https://www.pricecharting.com/game/pokemon-promo/league-battle-deck-team-rocket's-mewtwo-ex</t>
        </is>
      </c>
    </row>
    <row r="712">
      <c r="A712" s="2" t="inlineStr">
        <is>
          <t>Promo League Battle Deck: Zacian V</t>
        </is>
      </c>
      <c r="B712" s="3">
        <f>IF(H712&lt;&gt;"",H712,IF(I712&lt;&gt;"",I712,IF(J712&lt;&gt;"",J712,K712)))</f>
        <v>63.01</v>
      </c>
      <c r="C712" s="3">
        <f>MEDIAN(H712:K712)</f>
        <v>63.01</v>
      </c>
      <c r="D712" s="3">
        <f>ROUND(C712*(1-Settings!$B$2),2)</f>
        <v>44.11</v>
      </c>
      <c r="E712" s="2" t="inlineStr">
        <is>
          <t>Pokemon</t>
        </is>
      </c>
      <c r="F712" s="2" t="inlineStr">
        <is>
          <t>Deck</t>
        </is>
      </c>
      <c r="G712" s="2" t="inlineStr">
        <is>
          <t>Promo</t>
        </is>
      </c>
      <c r="H712" s="3" t="n">
        <v>63.01</v>
      </c>
      <c r="I712" s="3" t="n"/>
      <c r="J712" s="3" t="n"/>
      <c r="K712" s="3" t="n"/>
      <c r="L712" s="2" t="inlineStr">
        <is>
          <t>PriceCharting</t>
        </is>
      </c>
      <c r="M712" s="4" t="inlineStr">
        <is>
          <t>https://www.pricecharting.com/game/pokemon-promo/league-battle-deck-zacian-v</t>
        </is>
      </c>
    </row>
    <row r="713">
      <c r="A713" s="2" t="inlineStr">
        <is>
          <t>Promo Lucario Ex Battle Deck</t>
        </is>
      </c>
      <c r="B713" s="3">
        <f>IF(H713&lt;&gt;"",H713,IF(I713&lt;&gt;"",I713,IF(J713&lt;&gt;"",J713,K713)))</f>
        <v>30.0</v>
      </c>
      <c r="C713" s="3">
        <f>MEDIAN(H713:K713)</f>
        <v>30.0</v>
      </c>
      <c r="D713" s="3">
        <f>ROUND(C713*(1-Settings!$B$2),2)</f>
        <v>21.0</v>
      </c>
      <c r="E713" s="2" t="inlineStr">
        <is>
          <t>Pokemon</t>
        </is>
      </c>
      <c r="F713" s="2" t="inlineStr">
        <is>
          <t>Deck</t>
        </is>
      </c>
      <c r="G713" s="2" t="inlineStr">
        <is>
          <t>Promo</t>
        </is>
      </c>
      <c r="H713" s="3" t="n">
        <v>30</v>
      </c>
      <c r="I713" s="3" t="n"/>
      <c r="J713" s="3" t="n"/>
      <c r="K713" s="3" t="n"/>
      <c r="L713" s="2" t="inlineStr">
        <is>
          <t>PriceCharting</t>
        </is>
      </c>
      <c r="M713" s="4" t="inlineStr">
        <is>
          <t>https://www.pricecharting.com/game/pokemon-promo/lucario-ex-battle-deck</t>
        </is>
      </c>
    </row>
    <row r="714">
      <c r="A714" s="2" t="inlineStr">
        <is>
          <t>Promo Mega Battle Deck: Mega Diancie Ex</t>
        </is>
      </c>
      <c r="B714" s="3">
        <f>IF(H714&lt;&gt;"",H714,IF(I714&lt;&gt;"",I714,IF(J714&lt;&gt;"",J714,K714)))</f>
        <v>23.49</v>
      </c>
      <c r="C714" s="3">
        <f>MEDIAN(H714:K714)</f>
        <v>23.49</v>
      </c>
      <c r="D714" s="3">
        <f>ROUND(C714*(1-Settings!$B$2),2)</f>
        <v>16.44</v>
      </c>
      <c r="E714" s="2" t="inlineStr">
        <is>
          <t>Pokemon</t>
        </is>
      </c>
      <c r="F714" s="2" t="inlineStr">
        <is>
          <t>Deck</t>
        </is>
      </c>
      <c r="G714" s="2" t="inlineStr">
        <is>
          <t>Promo</t>
        </is>
      </c>
      <c r="H714" s="3" t="n">
        <v>23.49</v>
      </c>
      <c r="I714" s="3" t="n"/>
      <c r="J714" s="3" t="n"/>
      <c r="K714" s="3" t="n"/>
      <c r="L714" s="2" t="inlineStr">
        <is>
          <t>PriceCharting</t>
        </is>
      </c>
      <c r="M714" s="4" t="inlineStr">
        <is>
          <t>https://www.pricecharting.com/game/pokemon-promo/mega-battle-deck-mega-diancie-ex</t>
        </is>
      </c>
    </row>
    <row r="715">
      <c r="A715" s="2" t="inlineStr">
        <is>
          <t>Promo Rival Battle Deck [Marnie]</t>
        </is>
      </c>
      <c r="B715" s="3">
        <f>IF(H715&lt;&gt;"",H715,IF(I715&lt;&gt;"",I715,IF(J715&lt;&gt;"",J715,K715)))</f>
        <v>57.0</v>
      </c>
      <c r="C715" s="3">
        <f>MEDIAN(H715:K715)</f>
        <v>57.0</v>
      </c>
      <c r="D715" s="3">
        <f>ROUND(C715*(1-Settings!$B$2),2)</f>
        <v>39.9</v>
      </c>
      <c r="E715" s="2" t="inlineStr">
        <is>
          <t>Pokemon</t>
        </is>
      </c>
      <c r="F715" s="2" t="inlineStr">
        <is>
          <t>Deck</t>
        </is>
      </c>
      <c r="G715" s="2" t="inlineStr">
        <is>
          <t>Promo</t>
        </is>
      </c>
      <c r="H715" s="3" t="n">
        <v>57</v>
      </c>
      <c r="I715" s="3" t="n"/>
      <c r="J715" s="3" t="n"/>
      <c r="K715" s="3" t="n"/>
      <c r="L715" s="2" t="inlineStr">
        <is>
          <t>PriceCharting</t>
        </is>
      </c>
      <c r="M715" s="4" t="inlineStr">
        <is>
          <t>https://www.pricecharting.com/game/pokemon-promo/rival-battle-deck-marnie</t>
        </is>
      </c>
    </row>
    <row r="716">
      <c r="A716" s="2" t="inlineStr">
        <is>
          <t>Promo Rival Battle Deck [Steven]</t>
        </is>
      </c>
      <c r="B716" s="3">
        <f>IF(H716&lt;&gt;"",H716,IF(I716&lt;&gt;"",I716,IF(J716&lt;&gt;"",J716,K716)))</f>
        <v>35.0</v>
      </c>
      <c r="C716" s="3">
        <f>MEDIAN(H716:K716)</f>
        <v>35.0</v>
      </c>
      <c r="D716" s="3">
        <f>ROUND(C716*(1-Settings!$B$2),2)</f>
        <v>24.5</v>
      </c>
      <c r="E716" s="2" t="inlineStr">
        <is>
          <t>Pokemon</t>
        </is>
      </c>
      <c r="F716" s="2" t="inlineStr">
        <is>
          <t>Deck</t>
        </is>
      </c>
      <c r="G716" s="2" t="inlineStr">
        <is>
          <t>Promo</t>
        </is>
      </c>
      <c r="H716" s="3" t="n">
        <v>35</v>
      </c>
      <c r="I716" s="3" t="n"/>
      <c r="J716" s="3" t="n"/>
      <c r="K716" s="3" t="n"/>
      <c r="L716" s="2" t="inlineStr">
        <is>
          <t>PriceCharting</t>
        </is>
      </c>
      <c r="M716" s="4" t="inlineStr">
        <is>
          <t>https://www.pricecharting.com/game/pokemon-promo/rival-battle-deck-steven</t>
        </is>
      </c>
    </row>
    <row r="717">
      <c r="A717" s="2" t="inlineStr">
        <is>
          <t>Promo Sealed Mega Battle Deck: Mega Gengar Ex</t>
        </is>
      </c>
      <c r="B717" s="3">
        <f>IF(H717&lt;&gt;"",H717,IF(I717&lt;&gt;"",I717,IF(J717&lt;&gt;"",J717,K717)))</f>
        <v>66.52</v>
      </c>
      <c r="C717" s="3">
        <f>MEDIAN(H717:K717)</f>
        <v>66.52</v>
      </c>
      <c r="D717" s="3">
        <f>ROUND(C717*(1-Settings!$B$2),2)</f>
        <v>46.56</v>
      </c>
      <c r="E717" s="2" t="inlineStr">
        <is>
          <t>Pokemon</t>
        </is>
      </c>
      <c r="F717" s="2" t="inlineStr">
        <is>
          <t>Deck</t>
        </is>
      </c>
      <c r="G717" s="2" t="inlineStr">
        <is>
          <t>Promo</t>
        </is>
      </c>
      <c r="H717" s="3" t="n">
        <v>66.52</v>
      </c>
      <c r="I717" s="3" t="n"/>
      <c r="J717" s="3" t="n"/>
      <c r="K717" s="3" t="n"/>
      <c r="L717" s="2" t="inlineStr">
        <is>
          <t>PriceCharting</t>
        </is>
      </c>
      <c r="M717" s="4" t="inlineStr">
        <is>
          <t>https://www.pricecharting.com/game/pokemon-promo/sealed-mega-battle-deck-mega-gengar-ex</t>
        </is>
      </c>
    </row>
    <row r="718">
      <c r="A718" s="2" t="inlineStr">
        <is>
          <t>Promo V Battle Deck [Noivern]</t>
        </is>
      </c>
      <c r="B718" s="3">
        <f>IF(H718&lt;&gt;"",H718,IF(I718&lt;&gt;"",I718,IF(J718&lt;&gt;"",J718,K718)))</f>
        <v>9.99</v>
      </c>
      <c r="C718" s="3">
        <f>MEDIAN(H718:K718)</f>
        <v>9.99</v>
      </c>
      <c r="D718" s="3">
        <f>ROUND(C718*(1-Settings!$B$2),2)</f>
        <v>6.99</v>
      </c>
      <c r="E718" s="2" t="inlineStr">
        <is>
          <t>Pokemon</t>
        </is>
      </c>
      <c r="F718" s="2" t="inlineStr">
        <is>
          <t>Deck</t>
        </is>
      </c>
      <c r="G718" s="2" t="inlineStr">
        <is>
          <t>Promo</t>
        </is>
      </c>
      <c r="H718" s="3" t="n">
        <v>9.99</v>
      </c>
      <c r="I718" s="3" t="n"/>
      <c r="J718" s="3" t="n"/>
      <c r="K718" s="3" t="n"/>
      <c r="L718" s="2" t="inlineStr">
        <is>
          <t>PriceCharting</t>
        </is>
      </c>
      <c r="M718" s="4" t="inlineStr">
        <is>
          <t>https://www.pricecharting.com/game/pokemon-promo/v-battle-deck-noivern</t>
        </is>
      </c>
    </row>
    <row r="719">
      <c r="A719" s="2" t="inlineStr">
        <is>
          <t>Promo V Battle Deck [Rayquaza V]</t>
        </is>
      </c>
      <c r="B719" s="3">
        <f>IF(H719&lt;&gt;"",H719,IF(I719&lt;&gt;"",I719,IF(J719&lt;&gt;"",J719,K719)))</f>
        <v>19.99</v>
      </c>
      <c r="C719" s="3">
        <f>MEDIAN(H719:K719)</f>
        <v>19.99</v>
      </c>
      <c r="D719" s="3">
        <f>ROUND(C719*(1-Settings!$B$2),2)</f>
        <v>13.99</v>
      </c>
      <c r="E719" s="2" t="inlineStr">
        <is>
          <t>Pokemon</t>
        </is>
      </c>
      <c r="F719" s="2" t="inlineStr">
        <is>
          <t>Deck</t>
        </is>
      </c>
      <c r="G719" s="2" t="inlineStr">
        <is>
          <t>Promo</t>
        </is>
      </c>
      <c r="H719" s="3" t="n">
        <v>19.99</v>
      </c>
      <c r="I719" s="3" t="n"/>
      <c r="J719" s="3" t="n"/>
      <c r="K719" s="3" t="n"/>
      <c r="L719" s="2" t="inlineStr">
        <is>
          <t>PriceCharting</t>
        </is>
      </c>
      <c r="M719" s="4" t="inlineStr">
        <is>
          <t>https://www.pricecharting.com/game/pokemon-promo/v-battle-deck-rayquaza-v</t>
        </is>
      </c>
    </row>
    <row r="720">
      <c r="A720" s="2" t="inlineStr">
        <is>
          <t>Promo V Battle Deck [Zeraora V]</t>
        </is>
      </c>
      <c r="B720" s="3">
        <f>IF(H720&lt;&gt;"",H720,IF(I720&lt;&gt;"",I720,IF(J720&lt;&gt;"",J720,K720)))</f>
        <v>17.5</v>
      </c>
      <c r="C720" s="3">
        <f>MEDIAN(H720:K720)</f>
        <v>17.5</v>
      </c>
      <c r="D720" s="3">
        <f>ROUND(C720*(1-Settings!$B$2),2)</f>
        <v>12.25</v>
      </c>
      <c r="E720" s="2" t="inlineStr">
        <is>
          <t>Pokemon</t>
        </is>
      </c>
      <c r="F720" s="2" t="inlineStr">
        <is>
          <t>Deck</t>
        </is>
      </c>
      <c r="G720" s="2" t="inlineStr">
        <is>
          <t>Promo</t>
        </is>
      </c>
      <c r="H720" s="3" t="n">
        <v>17.5</v>
      </c>
      <c r="I720" s="3" t="n"/>
      <c r="J720" s="3" t="n"/>
      <c r="K720" s="3" t="n"/>
      <c r="L720" s="2" t="inlineStr">
        <is>
          <t>PriceCharting</t>
        </is>
      </c>
      <c r="M720" s="4" t="inlineStr">
        <is>
          <t>https://www.pricecharting.com/game/pokemon-promo/v-battle-deck-zeraora-v</t>
        </is>
      </c>
    </row>
    <row r="721">
      <c r="A721" s="2" t="inlineStr">
        <is>
          <t>Promo V Battle Deck: Blastoise</t>
        </is>
      </c>
      <c r="B721" s="3">
        <f>IF(H721&lt;&gt;"",H721,IF(I721&lt;&gt;"",I721,IF(J721&lt;&gt;"",J721,K721)))</f>
        <v>25.95</v>
      </c>
      <c r="C721" s="3">
        <f>MEDIAN(H721:K721)</f>
        <v>25.95</v>
      </c>
      <c r="D721" s="3">
        <f>ROUND(C721*(1-Settings!$B$2),2)</f>
        <v>18.17</v>
      </c>
      <c r="E721" s="2" t="inlineStr">
        <is>
          <t>Pokemon</t>
        </is>
      </c>
      <c r="F721" s="2" t="inlineStr">
        <is>
          <t>Deck</t>
        </is>
      </c>
      <c r="G721" s="2" t="inlineStr">
        <is>
          <t>Promo</t>
        </is>
      </c>
      <c r="H721" s="3" t="n">
        <v>25.95</v>
      </c>
      <c r="I721" s="3" t="n"/>
      <c r="J721" s="3" t="n"/>
      <c r="K721" s="3" t="n"/>
      <c r="L721" s="2" t="inlineStr">
        <is>
          <t>PriceCharting</t>
        </is>
      </c>
      <c r="M721" s="4" t="inlineStr">
        <is>
          <t>https://www.pricecharting.com/game/pokemon-promo/v-battle-deck-blastoise</t>
        </is>
      </c>
    </row>
    <row r="722">
      <c r="A722" s="2" t="inlineStr">
        <is>
          <t>Promo V Battle Deck: Venusaur</t>
        </is>
      </c>
      <c r="B722" s="3">
        <f>IF(H722&lt;&gt;"",H722,IF(I722&lt;&gt;"",I722,IF(J722&lt;&gt;"",J722,K722)))</f>
        <v>27.03</v>
      </c>
      <c r="C722" s="3">
        <f>MEDIAN(H722:K722)</f>
        <v>27.03</v>
      </c>
      <c r="D722" s="3">
        <f>ROUND(C722*(1-Settings!$B$2),2)</f>
        <v>18.92</v>
      </c>
      <c r="E722" s="2" t="inlineStr">
        <is>
          <t>Pokemon</t>
        </is>
      </c>
      <c r="F722" s="2" t="inlineStr">
        <is>
          <t>Deck</t>
        </is>
      </c>
      <c r="G722" s="2" t="inlineStr">
        <is>
          <t>Promo</t>
        </is>
      </c>
      <c r="H722" s="3" t="n">
        <v>27.03</v>
      </c>
      <c r="I722" s="3" t="n"/>
      <c r="J722" s="3" t="n"/>
      <c r="K722" s="3" t="n"/>
      <c r="L722" s="2" t="inlineStr">
        <is>
          <t>PriceCharting</t>
        </is>
      </c>
      <c r="M722" s="4" t="inlineStr">
        <is>
          <t>https://www.pricecharting.com/game/pokemon-promo/v-battle-deck-venusaur</t>
        </is>
      </c>
    </row>
    <row r="723">
      <c r="A723" s="2" t="inlineStr">
        <is>
          <t>Start Deck 100</t>
        </is>
      </c>
      <c r="B723" s="3">
        <f>IF(H723&lt;&gt;"",H723,IF(I723&lt;&gt;"",I723,IF(J723&lt;&gt;"",J723,K723)))</f>
        <v>38.99</v>
      </c>
      <c r="C723" s="3">
        <f>MEDIAN(H723:K723)</f>
        <v>39.49</v>
      </c>
      <c r="D723" s="3">
        <f>ROUND(C723*(1-Settings!$B$2),2)</f>
        <v>27.64</v>
      </c>
      <c r="E723" s="2" t="inlineStr">
        <is>
          <t>Pokemon</t>
        </is>
      </c>
      <c r="F723" s="2" t="inlineStr">
        <is>
          <t>Deck</t>
        </is>
      </c>
      <c r="G723" s="2" t="inlineStr">
        <is>
          <t>SI: Start Deck 100</t>
        </is>
      </c>
      <c r="H723" s="3" t="n"/>
      <c r="I723" s="3" t="n">
        <v>38.99</v>
      </c>
      <c r="J723" s="3" t="n"/>
      <c r="K723" s="3" t="n">
        <v>39.99</v>
      </c>
      <c r="L723" s="2" t="inlineStr">
        <is>
          <t>TCGplayer</t>
        </is>
      </c>
      <c r="N723" s="4" t="inlineStr">
        <is>
          <t>https://www.tcgplayer.com/product/644827</t>
        </is>
      </c>
    </row>
    <row r="724">
      <c r="A724" s="2" t="inlineStr">
        <is>
          <t>Skyridge Theme Deck [Mind Machine]</t>
        </is>
      </c>
      <c r="B724" s="3">
        <f>IF(H724&lt;&gt;"",H724,IF(I724&lt;&gt;"",I724,IF(J724&lt;&gt;"",J724,K724)))</f>
        <v>3999.99</v>
      </c>
      <c r="C724" s="3">
        <f>MEDIAN(H724:K724)</f>
        <v>3999.99</v>
      </c>
      <c r="D724" s="3">
        <f>ROUND(C724*(1-Settings!$B$2),2)</f>
        <v>2799.99</v>
      </c>
      <c r="E724" s="2" t="inlineStr">
        <is>
          <t>Pokemon</t>
        </is>
      </c>
      <c r="F724" s="2" t="inlineStr">
        <is>
          <t>Deck</t>
        </is>
      </c>
      <c r="G724" s="2" t="inlineStr">
        <is>
          <t>Skyridge</t>
        </is>
      </c>
      <c r="H724" s="3" t="n">
        <v>3999.99</v>
      </c>
      <c r="I724" s="3" t="n"/>
      <c r="J724" s="3" t="n"/>
      <c r="K724" s="3" t="n"/>
      <c r="L724" s="2" t="inlineStr">
        <is>
          <t>PriceCharting</t>
        </is>
      </c>
      <c r="M724" s="4" t="inlineStr">
        <is>
          <t>https://www.pricecharting.com/game/pokemon-skyridge/theme-deck-mind-machine</t>
        </is>
      </c>
    </row>
    <row r="725">
      <c r="A725" s="2" t="inlineStr">
        <is>
          <t>Burning Shadows Theme Deck - "Luminous Frost" [Alolan Ninetales]</t>
        </is>
      </c>
      <c r="B725" s="3">
        <f>IF(H725&lt;&gt;"",H725,IF(I725&lt;&gt;"",I725,IF(J725&lt;&gt;"",J725,K725)))</f>
        <v>21.83</v>
      </c>
      <c r="C725" s="3">
        <f>MEDIAN(H725:K725)</f>
        <v>21.83</v>
      </c>
      <c r="D725" s="3">
        <f>ROUND(C725*(1-Settings!$B$2),2)</f>
        <v>15.28</v>
      </c>
      <c r="E725" s="2" t="inlineStr">
        <is>
          <t>Pokemon</t>
        </is>
      </c>
      <c r="F725" s="2" t="inlineStr">
        <is>
          <t>Deck</t>
        </is>
      </c>
      <c r="G725" s="2" t="inlineStr">
        <is>
          <t>SM - Burning Shadows</t>
        </is>
      </c>
      <c r="H725" s="3" t="n"/>
      <c r="I725" s="3" t="n">
        <v>21.83</v>
      </c>
      <c r="J725" s="3" t="n">
        <v>25</v>
      </c>
      <c r="K725" s="3" t="n">
        <v>21.29</v>
      </c>
      <c r="L725" s="2" t="inlineStr">
        <is>
          <t>TCGplayer</t>
        </is>
      </c>
      <c r="N725" s="4" t="inlineStr">
        <is>
          <t>https://www.tcgplayer.com/product/133778</t>
        </is>
      </c>
    </row>
    <row r="726">
      <c r="A726" s="2" t="inlineStr">
        <is>
          <t>Burning Shadows Theme Deck - "Rock Steady" [Lycanroc]</t>
        </is>
      </c>
      <c r="B726" s="3">
        <f>IF(H726&lt;&gt;"",H726,IF(I726&lt;&gt;"",I726,IF(J726&lt;&gt;"",J726,K726)))</f>
        <v>12.84</v>
      </c>
      <c r="C726" s="3">
        <f>MEDIAN(H726:K726)</f>
        <v>12.84</v>
      </c>
      <c r="D726" s="3">
        <f>ROUND(C726*(1-Settings!$B$2),2)</f>
        <v>8.99</v>
      </c>
      <c r="E726" s="2" t="inlineStr">
        <is>
          <t>Pokemon</t>
        </is>
      </c>
      <c r="F726" s="2" t="inlineStr">
        <is>
          <t>Deck</t>
        </is>
      </c>
      <c r="G726" s="2" t="inlineStr">
        <is>
          <t>SM - Burning Shadows</t>
        </is>
      </c>
      <c r="H726" s="3" t="n"/>
      <c r="I726" s="3" t="n">
        <v>12.84</v>
      </c>
      <c r="J726" s="3" t="n">
        <v>13.95</v>
      </c>
      <c r="K726" s="3" t="n">
        <v>10</v>
      </c>
      <c r="L726" s="2" t="inlineStr">
        <is>
          <t>TCGplayer</t>
        </is>
      </c>
      <c r="N726" s="4" t="inlineStr">
        <is>
          <t>https://www.tcgplayer.com/product/133777</t>
        </is>
      </c>
    </row>
    <row r="727">
      <c r="A727" s="2" t="inlineStr">
        <is>
          <t>Battle Arena Deck [Mega Blastoise]</t>
        </is>
      </c>
      <c r="B727" s="3">
        <f>IF(H727&lt;&gt;"",H727,IF(I727&lt;&gt;"",I727,IF(J727&lt;&gt;"",J727,K727)))</f>
        <v>295.99</v>
      </c>
      <c r="C727" s="3">
        <f>MEDIAN(H727:K727)</f>
        <v>290.0</v>
      </c>
      <c r="D727" s="3">
        <f>ROUND(C727*(1-Settings!$B$2),2)</f>
        <v>203.0</v>
      </c>
      <c r="E727" s="2" t="inlineStr">
        <is>
          <t>Pokemon</t>
        </is>
      </c>
      <c r="F727" s="2" t="inlineStr">
        <is>
          <t>Deck</t>
        </is>
      </c>
      <c r="G727" s="2" t="inlineStr">
        <is>
          <t>SM - Celestial Storm</t>
        </is>
      </c>
      <c r="H727" s="3" t="n"/>
      <c r="I727" s="3" t="n">
        <v>295.99</v>
      </c>
      <c r="J727" s="3" t="n">
        <v>290</v>
      </c>
      <c r="K727" s="3" t="n">
        <v>290</v>
      </c>
      <c r="L727" s="2" t="inlineStr">
        <is>
          <t>TCGplayer</t>
        </is>
      </c>
      <c r="N727" s="4" t="inlineStr">
        <is>
          <t>https://www.tcgplayer.com/product/175553</t>
        </is>
      </c>
    </row>
    <row r="728">
      <c r="A728" s="2" t="inlineStr">
        <is>
          <t>Battle Arena Deck [Mega Charizard X]</t>
        </is>
      </c>
      <c r="B728" s="3">
        <f>IF(H728&lt;&gt;"",H728,IF(I728&lt;&gt;"",I728,IF(J728&lt;&gt;"",J728,K728)))</f>
        <v>1500.0</v>
      </c>
      <c r="C728" s="3">
        <f>MEDIAN(H728:K728)</f>
        <v>1500.0</v>
      </c>
      <c r="D728" s="3">
        <f>ROUND(C728*(1-Settings!$B$2),2)</f>
        <v>1050.0</v>
      </c>
      <c r="E728" s="2" t="inlineStr">
        <is>
          <t>Pokemon</t>
        </is>
      </c>
      <c r="F728" s="2" t="inlineStr">
        <is>
          <t>Deck</t>
        </is>
      </c>
      <c r="G728" s="2" t="inlineStr">
        <is>
          <t>SM - Celestial Storm</t>
        </is>
      </c>
      <c r="H728" s="3" t="n"/>
      <c r="I728" s="3" t="n"/>
      <c r="J728" s="3" t="n">
        <v>1500</v>
      </c>
      <c r="K728" s="3" t="n">
        <v>1500</v>
      </c>
      <c r="L728" s="2" t="inlineStr">
        <is>
          <t>TCGplayer</t>
        </is>
      </c>
      <c r="N728" s="4" t="inlineStr">
        <is>
          <t>https://www.tcgplayer.com/product/175552</t>
        </is>
      </c>
    </row>
    <row r="729">
      <c r="A729" s="2" t="inlineStr">
        <is>
          <t>Celestial Storm Theme Deck - "Hydro Fury" [Swampert]</t>
        </is>
      </c>
      <c r="B729" s="3">
        <f>IF(H729&lt;&gt;"",H729,IF(I729&lt;&gt;"",I729,IF(J729&lt;&gt;"",J729,K729)))</f>
        <v>50.91</v>
      </c>
      <c r="C729" s="3">
        <f>MEDIAN(H729:K729)</f>
        <v>47.955</v>
      </c>
      <c r="D729" s="3">
        <f>ROUND(C729*(1-Settings!$B$2),2)</f>
        <v>33.57</v>
      </c>
      <c r="E729" s="2" t="inlineStr">
        <is>
          <t>Pokemon</t>
        </is>
      </c>
      <c r="F729" s="2" t="inlineStr">
        <is>
          <t>Deck</t>
        </is>
      </c>
      <c r="G729" s="2" t="inlineStr">
        <is>
          <t>SM - Celestial Storm</t>
        </is>
      </c>
      <c r="H729" s="3" t="n"/>
      <c r="I729" s="3" t="n">
        <v>50.91</v>
      </c>
      <c r="J729" s="3" t="n"/>
      <c r="K729" s="3" t="n">
        <v>45</v>
      </c>
      <c r="L729" s="2" t="inlineStr">
        <is>
          <t>TCGplayer</t>
        </is>
      </c>
      <c r="N729" s="4" t="inlineStr">
        <is>
          <t>https://www.tcgplayer.com/product/170279</t>
        </is>
      </c>
    </row>
    <row r="730">
      <c r="A730" s="2" t="inlineStr">
        <is>
          <t>Celestial Storm Theme Deck - "Leaf Charge" [Sceptile]</t>
        </is>
      </c>
      <c r="B730" s="3">
        <f>IF(H730&lt;&gt;"",H730,IF(I730&lt;&gt;"",I730,IF(J730&lt;&gt;"",J730,K730)))</f>
        <v>46.99</v>
      </c>
      <c r="C730" s="3">
        <f>MEDIAN(H730:K730)</f>
        <v>60.0</v>
      </c>
      <c r="D730" s="3">
        <f>ROUND(C730*(1-Settings!$B$2),2)</f>
        <v>42.0</v>
      </c>
      <c r="E730" s="2" t="inlineStr">
        <is>
          <t>Pokemon</t>
        </is>
      </c>
      <c r="F730" s="2" t="inlineStr">
        <is>
          <t>Deck</t>
        </is>
      </c>
      <c r="G730" s="2" t="inlineStr">
        <is>
          <t>SM - Celestial Storm</t>
        </is>
      </c>
      <c r="H730" s="3" t="n"/>
      <c r="I730" s="3" t="n">
        <v>46.99</v>
      </c>
      <c r="J730" s="3" t="n">
        <v>60</v>
      </c>
      <c r="K730" s="3" t="n">
        <v>60</v>
      </c>
      <c r="L730" s="2" t="inlineStr">
        <is>
          <t>TCGplayer</t>
        </is>
      </c>
      <c r="N730" s="4" t="inlineStr">
        <is>
          <t>https://www.tcgplayer.com/product/170278</t>
        </is>
      </c>
    </row>
    <row r="731">
      <c r="A731" s="2" t="inlineStr">
        <is>
          <t>Cosmic Eclipse Theme Deck [Groudon]</t>
        </is>
      </c>
      <c r="B731" s="3">
        <f>IF(H731&lt;&gt;"",H731,IF(I731&lt;&gt;"",I731,IF(J731&lt;&gt;"",J731,K731)))</f>
        <v>43.23</v>
      </c>
      <c r="C731" s="3">
        <f>MEDIAN(H731:K731)</f>
        <v>100.0</v>
      </c>
      <c r="D731" s="3">
        <f>ROUND(C731*(1-Settings!$B$2),2)</f>
        <v>70.0</v>
      </c>
      <c r="E731" s="2" t="inlineStr">
        <is>
          <t>Pokemon</t>
        </is>
      </c>
      <c r="F731" s="2" t="inlineStr">
        <is>
          <t>Deck</t>
        </is>
      </c>
      <c r="G731" s="2" t="inlineStr">
        <is>
          <t>SM - Cosmic Eclipse</t>
        </is>
      </c>
      <c r="H731" s="3" t="n"/>
      <c r="I731" s="3" t="n">
        <v>43.23</v>
      </c>
      <c r="J731" s="3" t="n">
        <v>100</v>
      </c>
      <c r="K731" s="3" t="n">
        <v>100</v>
      </c>
      <c r="L731" s="2" t="inlineStr">
        <is>
          <t>TCGplayer</t>
        </is>
      </c>
      <c r="N731" s="4" t="inlineStr">
        <is>
          <t>https://www.tcgplayer.com/product/199306</t>
        </is>
      </c>
    </row>
    <row r="732">
      <c r="A732" s="2" t="inlineStr">
        <is>
          <t>Cosmic Eclipse Theme Deck [Kyogre]</t>
        </is>
      </c>
      <c r="B732" s="3">
        <f>IF(H732&lt;&gt;"",H732,IF(I732&lt;&gt;"",I732,IF(J732&lt;&gt;"",J732,K732)))</f>
        <v>56.81</v>
      </c>
      <c r="C732" s="3">
        <f>MEDIAN(H732:K732)</f>
        <v>56.81</v>
      </c>
      <c r="D732" s="3">
        <f>ROUND(C732*(1-Settings!$B$2),2)</f>
        <v>39.77</v>
      </c>
      <c r="E732" s="2" t="inlineStr">
        <is>
          <t>Pokemon</t>
        </is>
      </c>
      <c r="F732" s="2" t="inlineStr">
        <is>
          <t>Deck</t>
        </is>
      </c>
      <c r="G732" s="2" t="inlineStr">
        <is>
          <t>SM - Cosmic Eclipse</t>
        </is>
      </c>
      <c r="H732" s="3" t="n"/>
      <c r="I732" s="3" t="n">
        <v>56.81</v>
      </c>
      <c r="J732" s="3" t="n"/>
      <c r="K732" s="3" t="n"/>
      <c r="L732" s="2" t="inlineStr">
        <is>
          <t>TCGplayer</t>
        </is>
      </c>
      <c r="N732" s="4" t="inlineStr">
        <is>
          <t>https://www.tcgplayer.com/product/199305</t>
        </is>
      </c>
    </row>
    <row r="733">
      <c r="A733" s="2" t="inlineStr">
        <is>
          <t>Crimson Invasion Theme Deck - "Clanging Thunder" [Kommo-o]</t>
        </is>
      </c>
      <c r="B733" s="3">
        <f>IF(H733&lt;&gt;"",H733,IF(I733&lt;&gt;"",I733,IF(J733&lt;&gt;"",J733,K733)))</f>
        <v>31.97</v>
      </c>
      <c r="C733" s="3">
        <f>MEDIAN(H733:K733)</f>
        <v>31.97</v>
      </c>
      <c r="D733" s="3">
        <f>ROUND(C733*(1-Settings!$B$2),2)</f>
        <v>22.38</v>
      </c>
      <c r="E733" s="2" t="inlineStr">
        <is>
          <t>Pokemon</t>
        </is>
      </c>
      <c r="F733" s="2" t="inlineStr">
        <is>
          <t>Deck</t>
        </is>
      </c>
      <c r="G733" s="2" t="inlineStr">
        <is>
          <t>SM - Crimson Invasion</t>
        </is>
      </c>
      <c r="H733" s="3" t="n"/>
      <c r="I733" s="3" t="n">
        <v>31.97</v>
      </c>
      <c r="J733" s="3" t="n">
        <v>31.98</v>
      </c>
      <c r="K733" s="3" t="n">
        <v>28</v>
      </c>
      <c r="L733" s="2" t="inlineStr">
        <is>
          <t>TCGplayer</t>
        </is>
      </c>
      <c r="N733" s="4" t="inlineStr">
        <is>
          <t>https://www.tcgplayer.com/product/149379</t>
        </is>
      </c>
    </row>
    <row r="734">
      <c r="A734" s="2" t="inlineStr">
        <is>
          <t>Crimson Invasion Theme Deck - "Destruction Fang" [Hydreigon]</t>
        </is>
      </c>
      <c r="B734" s="3">
        <f>IF(H734&lt;&gt;"",H734,IF(I734&lt;&gt;"",I734,IF(J734&lt;&gt;"",J734,K734)))</f>
        <v>30.1</v>
      </c>
      <c r="C734" s="3">
        <f>MEDIAN(H734:K734)</f>
        <v>30.1</v>
      </c>
      <c r="D734" s="3">
        <f>ROUND(C734*(1-Settings!$B$2),2)</f>
        <v>21.07</v>
      </c>
      <c r="E734" s="2" t="inlineStr">
        <is>
          <t>Pokemon</t>
        </is>
      </c>
      <c r="F734" s="2" t="inlineStr">
        <is>
          <t>Deck</t>
        </is>
      </c>
      <c r="G734" s="2" t="inlineStr">
        <is>
          <t>SM - Crimson Invasion</t>
        </is>
      </c>
      <c r="H734" s="3" t="n"/>
      <c r="I734" s="3" t="n">
        <v>30.1</v>
      </c>
      <c r="J734" s="3" t="n">
        <v>30.81</v>
      </c>
      <c r="K734" s="3" t="n">
        <v>24</v>
      </c>
      <c r="L734" s="2" t="inlineStr">
        <is>
          <t>TCGplayer</t>
        </is>
      </c>
      <c r="N734" s="4" t="inlineStr">
        <is>
          <t>https://www.tcgplayer.com/product/149380</t>
        </is>
      </c>
    </row>
    <row r="735">
      <c r="A735" s="2" t="inlineStr">
        <is>
          <t>Forbidden Light Theme Deck - "Twilight Rogue" [Lycanroc]</t>
        </is>
      </c>
      <c r="B735" s="3">
        <f>IF(H735&lt;&gt;"",H735,IF(I735&lt;&gt;"",I735,IF(J735&lt;&gt;"",J735,K735)))</f>
        <v>24.95</v>
      </c>
      <c r="C735" s="3">
        <f>MEDIAN(H735:K735)</f>
        <v>29.66</v>
      </c>
      <c r="D735" s="3">
        <f>ROUND(C735*(1-Settings!$B$2),2)</f>
        <v>20.76</v>
      </c>
      <c r="E735" s="2" t="inlineStr">
        <is>
          <t>Pokemon</t>
        </is>
      </c>
      <c r="F735" s="2" t="inlineStr">
        <is>
          <t>Deck</t>
        </is>
      </c>
      <c r="G735" s="2" t="inlineStr">
        <is>
          <t>SM - Forbidden Light</t>
        </is>
      </c>
      <c r="H735" s="3" t="n"/>
      <c r="I735" s="3" t="n">
        <v>24.95</v>
      </c>
      <c r="J735" s="3" t="n">
        <v>29.66</v>
      </c>
      <c r="K735" s="3" t="n">
        <v>29.66</v>
      </c>
      <c r="L735" s="2" t="inlineStr">
        <is>
          <t>TCGplayer</t>
        </is>
      </c>
      <c r="N735" s="4" t="inlineStr">
        <is>
          <t>https://www.tcgplayer.com/product/164306</t>
        </is>
      </c>
    </row>
    <row r="736">
      <c r="A736" s="2" t="inlineStr">
        <is>
          <t>Guardians Rising Theme Deck - "Hidden Moon" [Lunala]</t>
        </is>
      </c>
      <c r="B736" s="3">
        <f>IF(H736&lt;&gt;"",H736,IF(I736&lt;&gt;"",I736,IF(J736&lt;&gt;"",J736,K736)))</f>
        <v>26.76</v>
      </c>
      <c r="C736" s="3">
        <f>MEDIAN(H736:K736)</f>
        <v>24.5</v>
      </c>
      <c r="D736" s="3">
        <f>ROUND(C736*(1-Settings!$B$2),2)</f>
        <v>17.15</v>
      </c>
      <c r="E736" s="2" t="inlineStr">
        <is>
          <t>Pokemon</t>
        </is>
      </c>
      <c r="F736" s="2" t="inlineStr">
        <is>
          <t>Deck</t>
        </is>
      </c>
      <c r="G736" s="2" t="inlineStr">
        <is>
          <t>SM - Guardians Rising</t>
        </is>
      </c>
      <c r="H736" s="3" t="n"/>
      <c r="I736" s="3" t="n">
        <v>26.76</v>
      </c>
      <c r="J736" s="3" t="n">
        <v>24.5</v>
      </c>
      <c r="K736" s="3" t="n">
        <v>19.95</v>
      </c>
      <c r="L736" s="2" t="inlineStr">
        <is>
          <t>TCGplayer</t>
        </is>
      </c>
      <c r="N736" s="4" t="inlineStr">
        <is>
          <t>https://www.tcgplayer.com/product/129891</t>
        </is>
      </c>
    </row>
    <row r="737">
      <c r="A737" s="2" t="inlineStr">
        <is>
          <t>Guardians Rising Theme Deck - "Steel Sun" [Solgaleo]</t>
        </is>
      </c>
      <c r="B737" s="3">
        <f>IF(H737&lt;&gt;"",H737,IF(I737&lt;&gt;"",I737,IF(J737&lt;&gt;"",J737,K737)))</f>
        <v>18.63</v>
      </c>
      <c r="C737" s="3">
        <f>MEDIAN(H737:K737)</f>
        <v>18.63</v>
      </c>
      <c r="D737" s="3">
        <f>ROUND(C737*(1-Settings!$B$2),2)</f>
        <v>13.04</v>
      </c>
      <c r="E737" s="2" t="inlineStr">
        <is>
          <t>Pokemon</t>
        </is>
      </c>
      <c r="F737" s="2" t="inlineStr">
        <is>
          <t>Deck</t>
        </is>
      </c>
      <c r="G737" s="2" t="inlineStr">
        <is>
          <t>SM - Guardians Rising</t>
        </is>
      </c>
      <c r="H737" s="3" t="n"/>
      <c r="I737" s="3" t="n">
        <v>18.63</v>
      </c>
      <c r="J737" s="3" t="n">
        <v>21.69</v>
      </c>
      <c r="K737" s="3" t="n">
        <v>18</v>
      </c>
      <c r="L737" s="2" t="inlineStr">
        <is>
          <t>TCGplayer</t>
        </is>
      </c>
      <c r="N737" s="4" t="inlineStr">
        <is>
          <t>https://www.tcgplayer.com/product/129892</t>
        </is>
      </c>
    </row>
    <row r="738">
      <c r="A738" s="2" t="inlineStr">
        <is>
          <t>Lost Thunder Theme Deck - "Blazing Volcano" [Entei]</t>
        </is>
      </c>
      <c r="B738" s="3">
        <f>IF(H738&lt;&gt;"",H738,IF(I738&lt;&gt;"",I738,IF(J738&lt;&gt;"",J738,K738)))</f>
        <v>34.94</v>
      </c>
      <c r="C738" s="3">
        <f>MEDIAN(H738:K738)</f>
        <v>34.94</v>
      </c>
      <c r="D738" s="3">
        <f>ROUND(C738*(1-Settings!$B$2),2)</f>
        <v>24.46</v>
      </c>
      <c r="E738" s="2" t="inlineStr">
        <is>
          <t>Pokemon</t>
        </is>
      </c>
      <c r="F738" s="2" t="inlineStr">
        <is>
          <t>Deck</t>
        </is>
      </c>
      <c r="G738" s="2" t="inlineStr">
        <is>
          <t>SM - Lost Thunder</t>
        </is>
      </c>
      <c r="H738" s="3" t="n"/>
      <c r="I738" s="3" t="n">
        <v>34.94</v>
      </c>
      <c r="J738" s="3" t="n">
        <v>40</v>
      </c>
      <c r="K738" s="3" t="n">
        <v>34.94</v>
      </c>
      <c r="L738" s="2" t="inlineStr">
        <is>
          <t>TCGplayer</t>
        </is>
      </c>
      <c r="N738" s="4" t="inlineStr">
        <is>
          <t>https://www.tcgplayer.com/product/177527</t>
        </is>
      </c>
    </row>
    <row r="739">
      <c r="A739" s="2" t="inlineStr">
        <is>
          <t>Lost Thunder Theme Deck - "Storm Caller" [Raikou]</t>
        </is>
      </c>
      <c r="B739" s="3">
        <f>IF(H739&lt;&gt;"",H739,IF(I739&lt;&gt;"",I739,IF(J739&lt;&gt;"",J739,K739)))</f>
        <v>62.49</v>
      </c>
      <c r="C739" s="3">
        <f>MEDIAN(H739:K739)</f>
        <v>47.72</v>
      </c>
      <c r="D739" s="3">
        <f>ROUND(C739*(1-Settings!$B$2),2)</f>
        <v>33.4</v>
      </c>
      <c r="E739" s="2" t="inlineStr">
        <is>
          <t>Pokemon</t>
        </is>
      </c>
      <c r="F739" s="2" t="inlineStr">
        <is>
          <t>Deck</t>
        </is>
      </c>
      <c r="G739" s="2" t="inlineStr">
        <is>
          <t>SM - Lost Thunder</t>
        </is>
      </c>
      <c r="H739" s="3" t="n"/>
      <c r="I739" s="3" t="n"/>
      <c r="J739" s="3" t="n">
        <v>62.49</v>
      </c>
      <c r="K739" s="3" t="n">
        <v>32.95</v>
      </c>
      <c r="L739" s="2" t="inlineStr">
        <is>
          <t>TCGplayer</t>
        </is>
      </c>
      <c r="N739" s="4" t="inlineStr">
        <is>
          <t>https://www.tcgplayer.com/product/177528</t>
        </is>
      </c>
    </row>
    <row r="740">
      <c r="A740" s="2" t="inlineStr">
        <is>
          <t>Team Up Theme Deck - "Relentless Flame" [Charizard]</t>
        </is>
      </c>
      <c r="B740" s="3">
        <f>IF(H740&lt;&gt;"",H740,IF(I740&lt;&gt;"",I740,IF(J740&lt;&gt;"",J740,K740)))</f>
        <v>111.79</v>
      </c>
      <c r="C740" s="3">
        <f>MEDIAN(H740:K740)</f>
        <v>300.0</v>
      </c>
      <c r="D740" s="3">
        <f>ROUND(C740*(1-Settings!$B$2),2)</f>
        <v>210.0</v>
      </c>
      <c r="E740" s="2" t="inlineStr">
        <is>
          <t>Pokemon</t>
        </is>
      </c>
      <c r="F740" s="2" t="inlineStr">
        <is>
          <t>Deck</t>
        </is>
      </c>
      <c r="G740" s="2" t="inlineStr">
        <is>
          <t>SM - Team Up</t>
        </is>
      </c>
      <c r="H740" s="3" t="n"/>
      <c r="I740" s="3" t="n">
        <v>111.79</v>
      </c>
      <c r="J740" s="3" t="n">
        <v>300</v>
      </c>
      <c r="K740" s="3" t="n">
        <v>300</v>
      </c>
      <c r="L740" s="2" t="inlineStr">
        <is>
          <t>TCGplayer</t>
        </is>
      </c>
      <c r="N740" s="4" t="inlineStr">
        <is>
          <t>https://www.tcgplayer.com/product/181705</t>
        </is>
      </c>
    </row>
    <row r="741">
      <c r="A741" s="2" t="inlineStr">
        <is>
          <t>Team Up Theme Deck - "Torrential Cannon" [Blastoise]</t>
        </is>
      </c>
      <c r="B741" s="3">
        <f>IF(H741&lt;&gt;"",H741,IF(I741&lt;&gt;"",I741,IF(J741&lt;&gt;"",J741,K741)))</f>
        <v>67.58</v>
      </c>
      <c r="C741" s="3">
        <f>MEDIAN(H741:K741)</f>
        <v>67.58</v>
      </c>
      <c r="D741" s="3">
        <f>ROUND(C741*(1-Settings!$B$2),2)</f>
        <v>47.31</v>
      </c>
      <c r="E741" s="2" t="inlineStr">
        <is>
          <t>Pokemon</t>
        </is>
      </c>
      <c r="F741" s="2" t="inlineStr">
        <is>
          <t>Deck</t>
        </is>
      </c>
      <c r="G741" s="2" t="inlineStr">
        <is>
          <t>SM - Team Up</t>
        </is>
      </c>
      <c r="H741" s="3" t="n"/>
      <c r="I741" s="3" t="n">
        <v>67.58</v>
      </c>
      <c r="J741" s="3" t="n"/>
      <c r="K741" s="3" t="n"/>
      <c r="L741" s="2" t="inlineStr">
        <is>
          <t>TCGplayer</t>
        </is>
      </c>
      <c r="N741" s="4" t="inlineStr">
        <is>
          <t>https://www.tcgplayer.com/product/181706</t>
        </is>
      </c>
    </row>
    <row r="742">
      <c r="A742" s="2" t="inlineStr">
        <is>
          <t>Ultra Prism Theme Deck - "Imperial Command" [Empoleon]</t>
        </is>
      </c>
      <c r="B742" s="3">
        <f>IF(H742&lt;&gt;"",H742,IF(I742&lt;&gt;"",I742,IF(J742&lt;&gt;"",J742,K742)))</f>
        <v>39.95</v>
      </c>
      <c r="C742" s="3">
        <f>MEDIAN(H742:K742)</f>
        <v>39.95</v>
      </c>
      <c r="D742" s="3">
        <f>ROUND(C742*(1-Settings!$B$2),2)</f>
        <v>27.97</v>
      </c>
      <c r="E742" s="2" t="inlineStr">
        <is>
          <t>Pokemon</t>
        </is>
      </c>
      <c r="F742" s="2" t="inlineStr">
        <is>
          <t>Deck</t>
        </is>
      </c>
      <c r="G742" s="2" t="inlineStr">
        <is>
          <t>SM - Ultra Prism</t>
        </is>
      </c>
      <c r="H742" s="3" t="n"/>
      <c r="I742" s="3" t="n">
        <v>39.95</v>
      </c>
      <c r="J742" s="3" t="n">
        <v>39.98</v>
      </c>
      <c r="K742" s="3" t="n">
        <v>29</v>
      </c>
      <c r="L742" s="2" t="inlineStr">
        <is>
          <t>TCGplayer</t>
        </is>
      </c>
      <c r="N742" s="4" t="inlineStr">
        <is>
          <t>https://www.tcgplayer.com/product/155666</t>
        </is>
      </c>
    </row>
    <row r="743">
      <c r="A743" s="2" t="inlineStr">
        <is>
          <t>Unbroken Bonds Lightning Loop Theme Deck - [Zeraora]</t>
        </is>
      </c>
      <c r="B743" s="3">
        <f>IF(H743&lt;&gt;"",H743,IF(I743&lt;&gt;"",I743,IF(J743&lt;&gt;"",J743,K743)))</f>
        <v>24.37</v>
      </c>
      <c r="C743" s="3">
        <f>MEDIAN(H743:K743)</f>
        <v>24.37</v>
      </c>
      <c r="D743" s="3">
        <f>ROUND(C743*(1-Settings!$B$2),2)</f>
        <v>17.06</v>
      </c>
      <c r="E743" s="2" t="inlineStr">
        <is>
          <t>Pokemon</t>
        </is>
      </c>
      <c r="F743" s="2" t="inlineStr">
        <is>
          <t>Deck</t>
        </is>
      </c>
      <c r="G743" s="2" t="inlineStr">
        <is>
          <t>SM - Unbroken Bonds</t>
        </is>
      </c>
      <c r="H743" s="3" t="n"/>
      <c r="I743" s="3" t="n">
        <v>24.37</v>
      </c>
      <c r="J743" s="3" t="n">
        <v>39.18</v>
      </c>
      <c r="K743" s="3" t="n">
        <v>24.37</v>
      </c>
      <c r="L743" s="2" t="inlineStr">
        <is>
          <t>TCGplayer</t>
        </is>
      </c>
      <c r="N743" s="4" t="inlineStr">
        <is>
          <t>https://www.tcgplayer.com/product/188400</t>
        </is>
      </c>
    </row>
    <row r="744">
      <c r="A744" s="2" t="inlineStr">
        <is>
          <t>Unified Minds Theme Deck - "Laser Focus" [Necrozma]</t>
        </is>
      </c>
      <c r="B744" s="3">
        <f>IF(H744&lt;&gt;"",H744,IF(I744&lt;&gt;"",I744,IF(J744&lt;&gt;"",J744,K744)))</f>
        <v>40.49</v>
      </c>
      <c r="C744" s="3">
        <f>MEDIAN(H744:K744)</f>
        <v>35.245000000000005</v>
      </c>
      <c r="D744" s="3">
        <f>ROUND(C744*(1-Settings!$B$2),2)</f>
        <v>24.67</v>
      </c>
      <c r="E744" s="2" t="inlineStr">
        <is>
          <t>Pokemon</t>
        </is>
      </c>
      <c r="F744" s="2" t="inlineStr">
        <is>
          <t>Deck</t>
        </is>
      </c>
      <c r="G744" s="2" t="inlineStr">
        <is>
          <t>SM - Unified Minds</t>
        </is>
      </c>
      <c r="H744" s="3" t="n"/>
      <c r="I744" s="3" t="n"/>
      <c r="J744" s="3" t="n">
        <v>40.49</v>
      </c>
      <c r="K744" s="3" t="n">
        <v>30</v>
      </c>
      <c r="L744" s="2" t="inlineStr">
        <is>
          <t>TCGplayer</t>
        </is>
      </c>
      <c r="N744" s="4" t="inlineStr">
        <is>
          <t>https://www.tcgplayer.com/product/191889</t>
        </is>
      </c>
    </row>
    <row r="745">
      <c r="A745" s="2" t="inlineStr">
        <is>
          <t>Unified Minds Theme Deck - "Soaring Storm" [Dragonite]</t>
        </is>
      </c>
      <c r="B745" s="3">
        <f>IF(H745&lt;&gt;"",H745,IF(I745&lt;&gt;"",I745,IF(J745&lt;&gt;"",J745,K745)))</f>
        <v>84.99</v>
      </c>
      <c r="C745" s="3">
        <f>MEDIAN(H745:K745)</f>
        <v>84.99</v>
      </c>
      <c r="D745" s="3">
        <f>ROUND(C745*(1-Settings!$B$2),2)</f>
        <v>59.49</v>
      </c>
      <c r="E745" s="2" t="inlineStr">
        <is>
          <t>Pokemon</t>
        </is>
      </c>
      <c r="F745" s="2" t="inlineStr">
        <is>
          <t>Deck</t>
        </is>
      </c>
      <c r="G745" s="2" t="inlineStr">
        <is>
          <t>SM - Unified Minds</t>
        </is>
      </c>
      <c r="H745" s="3" t="n"/>
      <c r="I745" s="3" t="n">
        <v>84.98999999999999</v>
      </c>
      <c r="J745" s="3" t="n">
        <v>84.98999999999999</v>
      </c>
      <c r="K745" s="3" t="n">
        <v>76.98</v>
      </c>
      <c r="L745" s="2" t="inlineStr">
        <is>
          <t>TCGplayer</t>
        </is>
      </c>
      <c r="N745" s="4" t="inlineStr">
        <is>
          <t>https://www.tcgplayer.com/product/191888</t>
        </is>
      </c>
    </row>
    <row r="746">
      <c r="A746" s="2" t="inlineStr">
        <is>
          <t>Unified Minds Theme Deck [Set of 2]</t>
        </is>
      </c>
      <c r="B746" s="3">
        <f>IF(H746&lt;&gt;"",H746,IF(I746&lt;&gt;"",I746,IF(J746&lt;&gt;"",J746,K746)))</f>
        <v>157.98</v>
      </c>
      <c r="C746" s="3">
        <f>MEDIAN(H746:K746)</f>
        <v>157.98</v>
      </c>
      <c r="D746" s="3">
        <f>ROUND(C746*(1-Settings!$B$2),2)</f>
        <v>110.59</v>
      </c>
      <c r="E746" s="2" t="inlineStr">
        <is>
          <t>Pokemon</t>
        </is>
      </c>
      <c r="F746" s="2" t="inlineStr">
        <is>
          <t>Deck</t>
        </is>
      </c>
      <c r="G746" s="2" t="inlineStr">
        <is>
          <t>SM - Unified Minds</t>
        </is>
      </c>
      <c r="H746" s="3" t="n"/>
      <c r="I746" s="3" t="n"/>
      <c r="J746" s="3" t="n">
        <v>157.98</v>
      </c>
      <c r="K746" s="3" t="n">
        <v>157.98</v>
      </c>
      <c r="L746" s="2" t="inlineStr">
        <is>
          <t>TCGplayer</t>
        </is>
      </c>
      <c r="N746" s="4" t="inlineStr">
        <is>
          <t>https://www.tcgplayer.com/product/194708</t>
        </is>
      </c>
    </row>
    <row r="747">
      <c r="A747" s="2" t="inlineStr">
        <is>
          <t>Sun &amp; Moon Base Set Theme Deck - "Bright Tide" [Primarina]</t>
        </is>
      </c>
      <c r="B747" s="3">
        <f>IF(H747&lt;&gt;"",H747,IF(I747&lt;&gt;"",I747,IF(J747&lt;&gt;"",J747,K747)))</f>
        <v>20.46</v>
      </c>
      <c r="C747" s="3">
        <f>MEDIAN(H747:K747)</f>
        <v>34.99</v>
      </c>
      <c r="D747" s="3">
        <f>ROUND(C747*(1-Settings!$B$2),2)</f>
        <v>24.49</v>
      </c>
      <c r="E747" s="2" t="inlineStr">
        <is>
          <t>Pokemon</t>
        </is>
      </c>
      <c r="F747" s="2" t="inlineStr">
        <is>
          <t>Deck</t>
        </is>
      </c>
      <c r="G747" s="2" t="inlineStr">
        <is>
          <t>SM Base Set</t>
        </is>
      </c>
      <c r="H747" s="3" t="n"/>
      <c r="I747" s="3" t="n">
        <v>20.46</v>
      </c>
      <c r="J747" s="3" t="n">
        <v>42.49</v>
      </c>
      <c r="K747" s="3" t="n">
        <v>34.99</v>
      </c>
      <c r="L747" s="2" t="inlineStr">
        <is>
          <t>TCGplayer</t>
        </is>
      </c>
      <c r="N747" s="4" t="inlineStr">
        <is>
          <t>https://www.tcgplayer.com/product/126174</t>
        </is>
      </c>
    </row>
    <row r="748">
      <c r="A748" s="2" t="inlineStr">
        <is>
          <t>Sun &amp; Moon Base Set Theme Deck - "Forest Shadow" [Decidueye]</t>
        </is>
      </c>
      <c r="B748" s="3">
        <f>IF(H748&lt;&gt;"",H748,IF(I748&lt;&gt;"",I748,IF(J748&lt;&gt;"",J748,K748)))</f>
        <v>16.79</v>
      </c>
      <c r="C748" s="3">
        <f>MEDIAN(H748:K748)</f>
        <v>16.79</v>
      </c>
      <c r="D748" s="3">
        <f>ROUND(C748*(1-Settings!$B$2),2)</f>
        <v>11.75</v>
      </c>
      <c r="E748" s="2" t="inlineStr">
        <is>
          <t>Pokemon</t>
        </is>
      </c>
      <c r="F748" s="2" t="inlineStr">
        <is>
          <t>Deck</t>
        </is>
      </c>
      <c r="G748" s="2" t="inlineStr">
        <is>
          <t>SM Base Set</t>
        </is>
      </c>
      <c r="H748" s="3" t="n"/>
      <c r="I748" s="3" t="n">
        <v>16.79</v>
      </c>
      <c r="J748" s="3" t="n">
        <v>19.99</v>
      </c>
      <c r="K748" s="3" t="n">
        <v>5.55</v>
      </c>
      <c r="L748" s="2" t="inlineStr">
        <is>
          <t>TCGplayer</t>
        </is>
      </c>
      <c r="N748" s="4" t="inlineStr">
        <is>
          <t>https://www.tcgplayer.com/product/126172</t>
        </is>
      </c>
    </row>
    <row r="749">
      <c r="A749" s="2" t="inlineStr">
        <is>
          <t>Sun &amp; Moon Base Set Theme Deck - "Roaring Heat" [Incineroar]</t>
        </is>
      </c>
      <c r="B749" s="3">
        <f>IF(H749&lt;&gt;"",H749,IF(I749&lt;&gt;"",I749,IF(J749&lt;&gt;"",J749,K749)))</f>
        <v>22.86</v>
      </c>
      <c r="C749" s="3">
        <f>MEDIAN(H749:K749)</f>
        <v>28.0</v>
      </c>
      <c r="D749" s="3">
        <f>ROUND(C749*(1-Settings!$B$2),2)</f>
        <v>19.6</v>
      </c>
      <c r="E749" s="2" t="inlineStr">
        <is>
          <t>Pokemon</t>
        </is>
      </c>
      <c r="F749" s="2" t="inlineStr">
        <is>
          <t>Deck</t>
        </is>
      </c>
      <c r="G749" s="2" t="inlineStr">
        <is>
          <t>SM Base Set</t>
        </is>
      </c>
      <c r="H749" s="3" t="n"/>
      <c r="I749" s="3" t="n">
        <v>22.86</v>
      </c>
      <c r="J749" s="3" t="n">
        <v>29.12</v>
      </c>
      <c r="K749" s="3" t="n">
        <v>28</v>
      </c>
      <c r="L749" s="2" t="inlineStr">
        <is>
          <t>TCGplayer</t>
        </is>
      </c>
      <c r="N749" s="4" t="inlineStr">
        <is>
          <t>https://www.tcgplayer.com/product/126173</t>
        </is>
      </c>
    </row>
    <row r="750">
      <c r="A750" s="2" t="inlineStr">
        <is>
          <t>Sun &amp; Moon Trainer Kit: Alolan Sandslash &amp; Alolan Ninetales</t>
        </is>
      </c>
      <c r="B750" s="3">
        <f>IF(H750&lt;&gt;"",H750,IF(I750&lt;&gt;"",I750,IF(J750&lt;&gt;"",J750,K750)))</f>
        <v>59.56</v>
      </c>
      <c r="C750" s="3">
        <f>MEDIAN(H750:K750)</f>
        <v>59.56</v>
      </c>
      <c r="D750" s="3">
        <f>ROUND(C750*(1-Settings!$B$2),2)</f>
        <v>41.69</v>
      </c>
      <c r="E750" s="2" t="inlineStr">
        <is>
          <t>Pokemon</t>
        </is>
      </c>
      <c r="F750" s="2" t="inlineStr">
        <is>
          <t>Deck</t>
        </is>
      </c>
      <c r="G750" s="2" t="inlineStr">
        <is>
          <t>SM Trainer Kit: Alolan Sandslash &amp; Alolan Ninetales</t>
        </is>
      </c>
      <c r="H750" s="3" t="n"/>
      <c r="I750" s="3" t="n">
        <v>59.56</v>
      </c>
      <c r="J750" s="3" t="n">
        <v>61.14</v>
      </c>
      <c r="K750" s="3" t="n">
        <v>55.99</v>
      </c>
      <c r="L750" s="2" t="inlineStr">
        <is>
          <t>TCGplayer</t>
        </is>
      </c>
      <c r="N750" s="4" t="inlineStr">
        <is>
          <t>https://www.tcgplayer.com/product/162111</t>
        </is>
      </c>
    </row>
    <row r="751">
      <c r="A751" s="2" t="inlineStr">
        <is>
          <t>Sun &amp; Moon Trainer Kit: Lycanroc &amp; Alolan Raichu</t>
        </is>
      </c>
      <c r="B751" s="3">
        <f>IF(H751&lt;&gt;"",H751,IF(I751&lt;&gt;"",I751,IF(J751&lt;&gt;"",J751,K751)))</f>
        <v>14.07</v>
      </c>
      <c r="C751" s="3">
        <f>MEDIAN(H751:K751)</f>
        <v>14.07</v>
      </c>
      <c r="D751" s="3">
        <f>ROUND(C751*(1-Settings!$B$2),2)</f>
        <v>9.85</v>
      </c>
      <c r="E751" s="2" t="inlineStr">
        <is>
          <t>Pokemon</t>
        </is>
      </c>
      <c r="F751" s="2" t="inlineStr">
        <is>
          <t>Deck</t>
        </is>
      </c>
      <c r="G751" s="2" t="inlineStr">
        <is>
          <t>SM Trainer Kit: Lycanroc &amp; Alolan Raichu</t>
        </is>
      </c>
      <c r="H751" s="3" t="n"/>
      <c r="I751" s="3" t="n">
        <v>14.07</v>
      </c>
      <c r="J751" s="3" t="n">
        <v>15.03</v>
      </c>
      <c r="K751" s="3" t="n">
        <v>13.99</v>
      </c>
      <c r="L751" s="2" t="inlineStr">
        <is>
          <t>TCGplayer</t>
        </is>
      </c>
      <c r="N751" s="4" t="inlineStr">
        <is>
          <t>https://www.tcgplayer.com/product/152815</t>
        </is>
      </c>
    </row>
    <row r="752">
      <c r="A752" s="2" t="inlineStr">
        <is>
          <t>Start Deck 100 Battle Collection</t>
        </is>
      </c>
      <c r="B752" s="3">
        <f>IF(H752&lt;&gt;"",H752,IF(I752&lt;&gt;"",I752,IF(J752&lt;&gt;"",J752,K752)))</f>
        <v>31.3</v>
      </c>
      <c r="C752" s="3">
        <f>MEDIAN(H752:K752)</f>
        <v>28.15</v>
      </c>
      <c r="D752" s="3">
        <f>ROUND(C752*(1-Settings!$B$2),2)</f>
        <v>19.71</v>
      </c>
      <c r="E752" s="2" t="inlineStr">
        <is>
          <t>Pokemon</t>
        </is>
      </c>
      <c r="F752" s="2" t="inlineStr">
        <is>
          <t>Deck</t>
        </is>
      </c>
      <c r="G752" s="2" t="inlineStr">
        <is>
          <t>Start Deck 100 Battle Collection</t>
        </is>
      </c>
      <c r="H752" s="3" t="n"/>
      <c r="I752" s="3" t="n">
        <v>31.3</v>
      </c>
      <c r="J752" s="3" t="n"/>
      <c r="K752" s="3" t="n">
        <v>25</v>
      </c>
      <c r="L752" s="2" t="inlineStr">
        <is>
          <t>TCGplayer</t>
        </is>
      </c>
      <c r="N752" s="4" t="inlineStr">
        <is>
          <t>https://www.tcgplayer.com/product/670145</t>
        </is>
      </c>
    </row>
    <row r="753">
      <c r="A753" s="2" t="inlineStr">
        <is>
          <t>Ancient Koraidon ex Starter Deck &amp; Build Set</t>
        </is>
      </c>
      <c r="B753" s="3">
        <f>IF(H753&lt;&gt;"",H753,IF(I753&lt;&gt;"",I753,IF(J753&lt;&gt;"",J753,K753)))</f>
        <v>39.99</v>
      </c>
      <c r="C753" s="3">
        <f>MEDIAN(H753:K753)</f>
        <v>39.99</v>
      </c>
      <c r="D753" s="3">
        <f>ROUND(C753*(1-Settings!$B$2),2)</f>
        <v>27.99</v>
      </c>
      <c r="E753" s="2" t="inlineStr">
        <is>
          <t>Pokemon</t>
        </is>
      </c>
      <c r="F753" s="2" t="inlineStr">
        <is>
          <t>Deck</t>
        </is>
      </c>
      <c r="G753" s="2" t="inlineStr">
        <is>
          <t>SV: Ancient Koraidon ex Starter Deck &amp; Build Set</t>
        </is>
      </c>
      <c r="H753" s="3" t="n"/>
      <c r="I753" s="3" t="n"/>
      <c r="J753" s="3" t="n"/>
      <c r="K753" s="3" t="n">
        <v>39.99</v>
      </c>
      <c r="L753" s="2" t="inlineStr">
        <is>
          <t>TCGplayer</t>
        </is>
      </c>
      <c r="N753" s="4" t="inlineStr">
        <is>
          <t>https://www.tcgplayer.com/product/593969</t>
        </is>
      </c>
    </row>
    <row r="754">
      <c r="A754" s="2" t="inlineStr">
        <is>
          <t>Ceruledge ex Stellar Tera Type Starter Set</t>
        </is>
      </c>
      <c r="B754" s="3">
        <f>IF(H754&lt;&gt;"",H754,IF(I754&lt;&gt;"",I754,IF(J754&lt;&gt;"",J754,K754)))</f>
        <v>44.99</v>
      </c>
      <c r="C754" s="3">
        <f>MEDIAN(H754:K754)</f>
        <v>44.99</v>
      </c>
      <c r="D754" s="3">
        <f>ROUND(C754*(1-Settings!$B$2),2)</f>
        <v>31.49</v>
      </c>
      <c r="E754" s="2" t="inlineStr">
        <is>
          <t>Pokemon</t>
        </is>
      </c>
      <c r="F754" s="2" t="inlineStr">
        <is>
          <t>Deck</t>
        </is>
      </c>
      <c r="G754" s="2" t="inlineStr">
        <is>
          <t>SV: Ceruledge ex Stellar Tera Type Starter Set</t>
        </is>
      </c>
      <c r="H754" s="3" t="n"/>
      <c r="I754" s="3" t="n">
        <v>44.99</v>
      </c>
      <c r="J754" s="3" t="n"/>
      <c r="K754" s="3" t="n">
        <v>44.99</v>
      </c>
      <c r="L754" s="2" t="inlineStr">
        <is>
          <t>TCGplayer</t>
        </is>
      </c>
      <c r="N754" s="4" t="inlineStr">
        <is>
          <t>https://www.tcgplayer.com/product/593910</t>
        </is>
      </c>
    </row>
    <row r="755">
      <c r="A755" s="2" t="inlineStr">
        <is>
          <t>Chien-Pao ex Battle Master Deck</t>
        </is>
      </c>
      <c r="B755" s="3">
        <f>IF(H755&lt;&gt;"",H755,IF(I755&lt;&gt;"",I755,IF(J755&lt;&gt;"",J755,K755)))</f>
        <v>22.0</v>
      </c>
      <c r="C755" s="3">
        <f>MEDIAN(H755:K755)</f>
        <v>22.0</v>
      </c>
      <c r="D755" s="3">
        <f>ROUND(C755*(1-Settings!$B$2),2)</f>
        <v>15.4</v>
      </c>
      <c r="E755" s="2" t="inlineStr">
        <is>
          <t>Pokemon</t>
        </is>
      </c>
      <c r="F755" s="2" t="inlineStr">
        <is>
          <t>Deck</t>
        </is>
      </c>
      <c r="G755" s="2" t="inlineStr">
        <is>
          <t>SV: Chien-Pao ex Battle Master Deck</t>
        </is>
      </c>
      <c r="H755" s="3" t="n"/>
      <c r="I755" s="3" t="n"/>
      <c r="J755" s="3" t="n"/>
      <c r="K755" s="3" t="n">
        <v>22</v>
      </c>
      <c r="L755" s="2" t="inlineStr">
        <is>
          <t>TCGplayer</t>
        </is>
      </c>
      <c r="N755" s="4" t="inlineStr">
        <is>
          <t>https://www.tcgplayer.com/product/593967</t>
        </is>
      </c>
    </row>
    <row r="756">
      <c r="A756" s="2" t="inlineStr">
        <is>
          <t>ex Start Deck Fighting Koraidon</t>
        </is>
      </c>
      <c r="B756" s="3">
        <f>IF(H756&lt;&gt;"",H756,IF(I756&lt;&gt;"",I756,IF(J756&lt;&gt;"",J756,K756)))</f>
        <v>32.0</v>
      </c>
      <c r="C756" s="3">
        <f>MEDIAN(H756:K756)</f>
        <v>32.0</v>
      </c>
      <c r="D756" s="3">
        <f>ROUND(C756*(1-Settings!$B$2),2)</f>
        <v>22.4</v>
      </c>
      <c r="E756" s="2" t="inlineStr">
        <is>
          <t>Pokemon</t>
        </is>
      </c>
      <c r="F756" s="2" t="inlineStr">
        <is>
          <t>Deck</t>
        </is>
      </c>
      <c r="G756" s="2" t="inlineStr">
        <is>
          <t>SV: ex Start Decks</t>
        </is>
      </c>
      <c r="H756" s="3" t="n"/>
      <c r="I756" s="3" t="n"/>
      <c r="J756" s="3" t="n"/>
      <c r="K756" s="3" t="n">
        <v>32</v>
      </c>
      <c r="L756" s="2" t="inlineStr">
        <is>
          <t>TCGplayer</t>
        </is>
      </c>
      <c r="N756" s="4" t="inlineStr">
        <is>
          <t>https://www.tcgplayer.com/product/594599</t>
        </is>
      </c>
    </row>
    <row r="757">
      <c r="A757" s="2" t="inlineStr">
        <is>
          <t>ex Start Deck Fire Victini</t>
        </is>
      </c>
      <c r="B757" s="3">
        <f>IF(H757&lt;&gt;"",H757,IF(I757&lt;&gt;"",I757,IF(J757&lt;&gt;"",J757,K757)))</f>
        <v>25.0</v>
      </c>
      <c r="C757" s="3">
        <f>MEDIAN(H757:K757)</f>
        <v>62.5</v>
      </c>
      <c r="D757" s="3">
        <f>ROUND(C757*(1-Settings!$B$2),2)</f>
        <v>43.75</v>
      </c>
      <c r="E757" s="2" t="inlineStr">
        <is>
          <t>Pokemon</t>
        </is>
      </c>
      <c r="F757" s="2" t="inlineStr">
        <is>
          <t>Deck</t>
        </is>
      </c>
      <c r="G757" s="2" t="inlineStr">
        <is>
          <t>SV: ex Start Decks</t>
        </is>
      </c>
      <c r="H757" s="3" t="n"/>
      <c r="I757" s="3" t="n">
        <v>25</v>
      </c>
      <c r="J757" s="3" t="n"/>
      <c r="K757" s="3" t="n">
        <v>100</v>
      </c>
      <c r="L757" s="2" t="inlineStr">
        <is>
          <t>TCGplayer</t>
        </is>
      </c>
      <c r="N757" s="4" t="inlineStr">
        <is>
          <t>https://www.tcgplayer.com/product/594595</t>
        </is>
      </c>
    </row>
    <row r="758">
      <c r="A758" s="2" t="inlineStr">
        <is>
          <t>ex Start Deck Lightning Miraidon</t>
        </is>
      </c>
      <c r="B758" s="3">
        <f>IF(H758&lt;&gt;"",H758,IF(I758&lt;&gt;"",I758,IF(J758&lt;&gt;"",J758,K758)))</f>
        <v>22.0</v>
      </c>
      <c r="C758" s="3">
        <f>MEDIAN(H758:K758)</f>
        <v>22.0</v>
      </c>
      <c r="D758" s="3">
        <f>ROUND(C758*(1-Settings!$B$2),2)</f>
        <v>15.4</v>
      </c>
      <c r="E758" s="2" t="inlineStr">
        <is>
          <t>Pokemon</t>
        </is>
      </c>
      <c r="F758" s="2" t="inlineStr">
        <is>
          <t>Deck</t>
        </is>
      </c>
      <c r="G758" s="2" t="inlineStr">
        <is>
          <t>SV: ex Start Decks</t>
        </is>
      </c>
      <c r="H758" s="3" t="n"/>
      <c r="I758" s="3" t="n"/>
      <c r="J758" s="3" t="n"/>
      <c r="K758" s="3" t="n">
        <v>22</v>
      </c>
      <c r="L758" s="2" t="inlineStr">
        <is>
          <t>TCGplayer</t>
        </is>
      </c>
      <c r="N758" s="4" t="inlineStr">
        <is>
          <t>https://www.tcgplayer.com/product/594597</t>
        </is>
      </c>
    </row>
    <row r="759">
      <c r="A759" s="2" t="inlineStr">
        <is>
          <t>ex Start Deck Psychic Pixy</t>
        </is>
      </c>
      <c r="B759" s="3">
        <f>IF(H759&lt;&gt;"",H759,IF(I759&lt;&gt;"",I759,IF(J759&lt;&gt;"",J759,K759)))</f>
        <v>25.0</v>
      </c>
      <c r="C759" s="3">
        <f>MEDIAN(H759:K759)</f>
        <v>25.0</v>
      </c>
      <c r="D759" s="3">
        <f>ROUND(C759*(1-Settings!$B$2),2)</f>
        <v>17.5</v>
      </c>
      <c r="E759" s="2" t="inlineStr">
        <is>
          <t>Pokemon</t>
        </is>
      </c>
      <c r="F759" s="2" t="inlineStr">
        <is>
          <t>Deck</t>
        </is>
      </c>
      <c r="G759" s="2" t="inlineStr">
        <is>
          <t>SV: ex Start Decks</t>
        </is>
      </c>
      <c r="H759" s="3" t="n"/>
      <c r="I759" s="3" t="n"/>
      <c r="J759" s="3" t="n"/>
      <c r="K759" s="3" t="n">
        <v>25</v>
      </c>
      <c r="L759" s="2" t="inlineStr">
        <is>
          <t>TCGplayer</t>
        </is>
      </c>
      <c r="N759" s="4" t="inlineStr">
        <is>
          <t>https://www.tcgplayer.com/product/594598</t>
        </is>
      </c>
    </row>
    <row r="760">
      <c r="A760" s="2" t="inlineStr">
        <is>
          <t>ex Starter Set Fuecoco &amp; Ampharos ex</t>
        </is>
      </c>
      <c r="B760" s="3">
        <f>IF(H760&lt;&gt;"",H760,IF(I760&lt;&gt;"",I760,IF(J760&lt;&gt;"",J760,K760)))</f>
        <v>40.0</v>
      </c>
      <c r="C760" s="3">
        <f>MEDIAN(H760:K760)</f>
        <v>40.0</v>
      </c>
      <c r="D760" s="3">
        <f>ROUND(C760*(1-Settings!$B$2),2)</f>
        <v>28.0</v>
      </c>
      <c r="E760" s="2" t="inlineStr">
        <is>
          <t>Pokemon</t>
        </is>
      </c>
      <c r="F760" s="2" t="inlineStr">
        <is>
          <t>Deck</t>
        </is>
      </c>
      <c r="G760" s="2" t="inlineStr">
        <is>
          <t>SV: ex Starter Set Fuecoco &amp; Ampharos ex</t>
        </is>
      </c>
      <c r="H760" s="3" t="n"/>
      <c r="I760" s="3" t="n"/>
      <c r="J760" s="3" t="n"/>
      <c r="K760" s="3" t="n">
        <v>40</v>
      </c>
      <c r="L760" s="2" t="inlineStr">
        <is>
          <t>TCGplayer</t>
        </is>
      </c>
      <c r="N760" s="4" t="inlineStr">
        <is>
          <t>https://www.tcgplayer.com/product/594376</t>
        </is>
      </c>
    </row>
    <row r="761">
      <c r="A761" s="2" t="inlineStr">
        <is>
          <t>ex Starter Set Marnie's Morpeko &amp; Grimmsnarl ex</t>
        </is>
      </c>
      <c r="B761" s="3">
        <f>IF(H761&lt;&gt;"",H761,IF(I761&lt;&gt;"",I761,IF(J761&lt;&gt;"",J761,K761)))</f>
        <v>48.79</v>
      </c>
      <c r="C761" s="3">
        <f>MEDIAN(H761:K761)</f>
        <v>49.39</v>
      </c>
      <c r="D761" s="3">
        <f>ROUND(C761*(1-Settings!$B$2),2)</f>
        <v>34.57</v>
      </c>
      <c r="E761" s="2" t="inlineStr">
        <is>
          <t>Pokemon</t>
        </is>
      </c>
      <c r="F761" s="2" t="inlineStr">
        <is>
          <t>Deck</t>
        </is>
      </c>
      <c r="G761" s="2" t="inlineStr">
        <is>
          <t>SV: ex Starter Set Marnie's Morpeko &amp; Grimmsnarl ex</t>
        </is>
      </c>
      <c r="H761" s="3" t="n"/>
      <c r="I761" s="3" t="n">
        <v>48.79</v>
      </c>
      <c r="J761" s="3" t="n"/>
      <c r="K761" s="3" t="n">
        <v>49.99</v>
      </c>
      <c r="L761" s="2" t="inlineStr">
        <is>
          <t>TCGplayer</t>
        </is>
      </c>
      <c r="N761" s="4" t="inlineStr">
        <is>
          <t>https://www.tcgplayer.com/product/619294</t>
        </is>
      </c>
    </row>
    <row r="762">
      <c r="A762" s="2" t="inlineStr">
        <is>
          <t>ex Starter Set Pikachu ex &amp; Pawmot</t>
        </is>
      </c>
      <c r="B762" s="3">
        <f>IF(H762&lt;&gt;"",H762,IF(I762&lt;&gt;"",I762,IF(J762&lt;&gt;"",J762,K762)))</f>
        <v>20.0</v>
      </c>
      <c r="C762" s="3">
        <f>MEDIAN(H762:K762)</f>
        <v>22.0</v>
      </c>
      <c r="D762" s="3">
        <f>ROUND(C762*(1-Settings!$B$2),2)</f>
        <v>15.4</v>
      </c>
      <c r="E762" s="2" t="inlineStr">
        <is>
          <t>Pokemon</t>
        </is>
      </c>
      <c r="F762" s="2" t="inlineStr">
        <is>
          <t>Deck</t>
        </is>
      </c>
      <c r="G762" s="2" t="inlineStr">
        <is>
          <t>SV: ex Starter Set Pikachu ex &amp; Pawmot</t>
        </is>
      </c>
      <c r="H762" s="3" t="n"/>
      <c r="I762" s="3" t="n">
        <v>20</v>
      </c>
      <c r="J762" s="3" t="n"/>
      <c r="K762" s="3" t="n">
        <v>24</v>
      </c>
      <c r="L762" s="2" t="inlineStr">
        <is>
          <t>TCGplayer</t>
        </is>
      </c>
      <c r="N762" s="4" t="inlineStr">
        <is>
          <t>https://www.tcgplayer.com/product/594169</t>
        </is>
      </c>
    </row>
    <row r="763">
      <c r="A763" s="2" t="inlineStr">
        <is>
          <t>ex Starter Set Quaxly &amp; Mimikyu ex</t>
        </is>
      </c>
      <c r="B763" s="3">
        <f>IF(H763&lt;&gt;"",H763,IF(I763&lt;&gt;"",I763,IF(J763&lt;&gt;"",J763,K763)))</f>
        <v>40.0</v>
      </c>
      <c r="C763" s="3">
        <f>MEDIAN(H763:K763)</f>
        <v>40.0</v>
      </c>
      <c r="D763" s="3">
        <f>ROUND(C763*(1-Settings!$B$2),2)</f>
        <v>28.0</v>
      </c>
      <c r="E763" s="2" t="inlineStr">
        <is>
          <t>Pokemon</t>
        </is>
      </c>
      <c r="F763" s="2" t="inlineStr">
        <is>
          <t>Deck</t>
        </is>
      </c>
      <c r="G763" s="2" t="inlineStr">
        <is>
          <t>SV: ex Starter Set Quaxly &amp; Mimikyu ex</t>
        </is>
      </c>
      <c r="H763" s="3" t="n"/>
      <c r="I763" s="3" t="n"/>
      <c r="J763" s="3" t="n"/>
      <c r="K763" s="3" t="n">
        <v>40</v>
      </c>
      <c r="L763" s="2" t="inlineStr">
        <is>
          <t>TCGplayer</t>
        </is>
      </c>
      <c r="N763" s="4" t="inlineStr">
        <is>
          <t>https://www.tcgplayer.com/product/594377</t>
        </is>
      </c>
    </row>
    <row r="764">
      <c r="A764" s="2" t="inlineStr">
        <is>
          <t>ex Starter Set Sprigatito &amp; Lucario ex</t>
        </is>
      </c>
      <c r="B764" s="3">
        <f>IF(H764&lt;&gt;"",H764,IF(I764&lt;&gt;"",I764,IF(J764&lt;&gt;"",J764,K764)))</f>
        <v>40.0</v>
      </c>
      <c r="C764" s="3">
        <f>MEDIAN(H764:K764)</f>
        <v>40.0</v>
      </c>
      <c r="D764" s="3">
        <f>ROUND(C764*(1-Settings!$B$2),2)</f>
        <v>28.0</v>
      </c>
      <c r="E764" s="2" t="inlineStr">
        <is>
          <t>Pokemon</t>
        </is>
      </c>
      <c r="F764" s="2" t="inlineStr">
        <is>
          <t>Deck</t>
        </is>
      </c>
      <c r="G764" s="2" t="inlineStr">
        <is>
          <t>SV: ex Starter Set Sprigatito &amp; Lucario ex</t>
        </is>
      </c>
      <c r="H764" s="3" t="n"/>
      <c r="I764" s="3" t="n"/>
      <c r="J764" s="3" t="n"/>
      <c r="K764" s="3" t="n">
        <v>40</v>
      </c>
      <c r="L764" s="2" t="inlineStr">
        <is>
          <t>TCGplayer</t>
        </is>
      </c>
      <c r="N764" s="4" t="inlineStr">
        <is>
          <t>https://www.tcgplayer.com/product/594375</t>
        </is>
      </c>
    </row>
    <row r="765">
      <c r="A765" s="2" t="inlineStr">
        <is>
          <t>ex Starter Set Steven's Beldum &amp; Metagross ex</t>
        </is>
      </c>
      <c r="B765" s="3">
        <f>IF(H765&lt;&gt;"",H765,IF(I765&lt;&gt;"",I765,IF(J765&lt;&gt;"",J765,K765)))</f>
        <v>30.0</v>
      </c>
      <c r="C765" s="3">
        <f>MEDIAN(H765:K765)</f>
        <v>29.990000000000002</v>
      </c>
      <c r="D765" s="3">
        <f>ROUND(C765*(1-Settings!$B$2),2)</f>
        <v>20.99</v>
      </c>
      <c r="E765" s="2" t="inlineStr">
        <is>
          <t>Pokemon</t>
        </is>
      </c>
      <c r="F765" s="2" t="inlineStr">
        <is>
          <t>Deck</t>
        </is>
      </c>
      <c r="G765" s="2" t="inlineStr">
        <is>
          <t>SV: ex Starter Set Steven's Beldum &amp; Metagross ex</t>
        </is>
      </c>
      <c r="H765" s="3" t="n"/>
      <c r="I765" s="3" t="n">
        <v>30</v>
      </c>
      <c r="J765" s="3" t="n"/>
      <c r="K765" s="3" t="n">
        <v>29.98</v>
      </c>
      <c r="L765" s="2" t="inlineStr">
        <is>
          <t>TCGplayer</t>
        </is>
      </c>
      <c r="N765" s="4" t="inlineStr">
        <is>
          <t>https://www.tcgplayer.com/product/619293</t>
        </is>
      </c>
    </row>
    <row r="766">
      <c r="A766" s="2" t="inlineStr">
        <is>
          <t>Future Miraidon ex Starter Deck &amp; Build Set</t>
        </is>
      </c>
      <c r="B766" s="3">
        <f>IF(H766&lt;&gt;"",H766,IF(I766&lt;&gt;"",I766,IF(J766&lt;&gt;"",J766,K766)))</f>
        <v>55.0</v>
      </c>
      <c r="C766" s="3">
        <f>MEDIAN(H766:K766)</f>
        <v>55.0</v>
      </c>
      <c r="D766" s="3">
        <f>ROUND(C766*(1-Settings!$B$2),2)</f>
        <v>38.5</v>
      </c>
      <c r="E766" s="2" t="inlineStr">
        <is>
          <t>Pokemon</t>
        </is>
      </c>
      <c r="F766" s="2" t="inlineStr">
        <is>
          <t>Deck</t>
        </is>
      </c>
      <c r="G766" s="2" t="inlineStr">
        <is>
          <t>SV: Future Miraidon ex Starter Deck &amp; Build Set</t>
        </is>
      </c>
      <c r="H766" s="3" t="n"/>
      <c r="I766" s="3" t="n"/>
      <c r="J766" s="3" t="n"/>
      <c r="K766" s="3" t="n">
        <v>55</v>
      </c>
      <c r="L766" s="2" t="inlineStr">
        <is>
          <t>TCGplayer</t>
        </is>
      </c>
      <c r="N766" s="4" t="inlineStr">
        <is>
          <t>https://www.tcgplayer.com/product/593970</t>
        </is>
      </c>
    </row>
    <row r="767">
      <c r="A767" s="2" t="inlineStr">
        <is>
          <t>Mewtwo ex Terastal Starter Set</t>
        </is>
      </c>
      <c r="B767" s="3">
        <f>IF(H767&lt;&gt;"",H767,IF(I767&lt;&gt;"",I767,IF(J767&lt;&gt;"",J767,K767)))</f>
        <v>24.25</v>
      </c>
      <c r="C767" s="3">
        <f>MEDIAN(H767:K767)</f>
        <v>24.25</v>
      </c>
      <c r="D767" s="3">
        <f>ROUND(C767*(1-Settings!$B$2),2)</f>
        <v>16.98</v>
      </c>
      <c r="E767" s="2" t="inlineStr">
        <is>
          <t>Pokemon</t>
        </is>
      </c>
      <c r="F767" s="2" t="inlineStr">
        <is>
          <t>Deck</t>
        </is>
      </c>
      <c r="G767" s="2" t="inlineStr">
        <is>
          <t>SV: Mewtwo ex Terastal Starter Set</t>
        </is>
      </c>
      <c r="H767" s="3" t="n"/>
      <c r="I767" s="3" t="n">
        <v>24.25</v>
      </c>
      <c r="J767" s="3" t="n"/>
      <c r="K767" s="3" t="n"/>
      <c r="L767" s="2" t="inlineStr">
        <is>
          <t>TCGplayer</t>
        </is>
      </c>
      <c r="N767" s="4" t="inlineStr">
        <is>
          <t>https://www.tcgplayer.com/product/594100</t>
        </is>
      </c>
    </row>
    <row r="768">
      <c r="A768" s="2" t="inlineStr">
        <is>
          <t>Ruler of the Black Flame Deck Build Box</t>
        </is>
      </c>
      <c r="B768" s="3">
        <f>IF(H768&lt;&gt;"",H768,IF(I768&lt;&gt;"",I768,IF(J768&lt;&gt;"",J768,K768)))</f>
        <v>59.0</v>
      </c>
      <c r="C768" s="3">
        <f>MEDIAN(H768:K768)</f>
        <v>59.5</v>
      </c>
      <c r="D768" s="3">
        <f>ROUND(C768*(1-Settings!$B$2),2)</f>
        <v>41.65</v>
      </c>
      <c r="E768" s="2" t="inlineStr">
        <is>
          <t>Pokemon</t>
        </is>
      </c>
      <c r="F768" s="2" t="inlineStr">
        <is>
          <t>Deck</t>
        </is>
      </c>
      <c r="G768" s="2" t="inlineStr">
        <is>
          <t>SV: Ruler of the Black Flame Deck Build Box</t>
        </is>
      </c>
      <c r="H768" s="3" t="n"/>
      <c r="I768" s="3" t="n">
        <v>59</v>
      </c>
      <c r="J768" s="3" t="n"/>
      <c r="K768" s="3" t="n">
        <v>60</v>
      </c>
      <c r="L768" s="2" t="inlineStr">
        <is>
          <t>TCGplayer</t>
        </is>
      </c>
      <c r="N768" s="4" t="inlineStr">
        <is>
          <t>https://www.tcgplayer.com/product/594102</t>
        </is>
      </c>
    </row>
    <row r="769">
      <c r="A769" s="2" t="inlineStr">
        <is>
          <t>Skeledirge ex Terastal Starter Deck</t>
        </is>
      </c>
      <c r="B769" s="3">
        <f>IF(H769&lt;&gt;"",H769,IF(I769&lt;&gt;"",I769,IF(J769&lt;&gt;"",J769,K769)))</f>
        <v>19.99</v>
      </c>
      <c r="C769" s="3">
        <f>MEDIAN(H769:K769)</f>
        <v>19.99</v>
      </c>
      <c r="D769" s="3">
        <f>ROUND(C769*(1-Settings!$B$2),2)</f>
        <v>13.99</v>
      </c>
      <c r="E769" s="2" t="inlineStr">
        <is>
          <t>Pokemon</t>
        </is>
      </c>
      <c r="F769" s="2" t="inlineStr">
        <is>
          <t>Deck</t>
        </is>
      </c>
      <c r="G769" s="2" t="inlineStr">
        <is>
          <t>SV: Skeledirge ex Terastal Starter Set</t>
        </is>
      </c>
      <c r="H769" s="3" t="n"/>
      <c r="I769" s="3" t="n">
        <v>19.99</v>
      </c>
      <c r="J769" s="3" t="n"/>
      <c r="K769" s="3" t="n">
        <v>19.99</v>
      </c>
      <c r="L769" s="2" t="inlineStr">
        <is>
          <t>TCGplayer</t>
        </is>
      </c>
      <c r="N769" s="4" t="inlineStr">
        <is>
          <t>https://www.tcgplayer.com/product/594101</t>
        </is>
      </c>
    </row>
    <row r="770">
      <c r="A770" s="2" t="inlineStr">
        <is>
          <t>Sylveon ex Stellar Tera Type Starter Set</t>
        </is>
      </c>
      <c r="B770" s="3">
        <f>IF(H770&lt;&gt;"",H770,IF(I770&lt;&gt;"",I770,IF(J770&lt;&gt;"",J770,K770)))</f>
        <v>34.99</v>
      </c>
      <c r="C770" s="3">
        <f>MEDIAN(H770:K770)</f>
        <v>34.99</v>
      </c>
      <c r="D770" s="3">
        <f>ROUND(C770*(1-Settings!$B$2),2)</f>
        <v>24.49</v>
      </c>
      <c r="E770" s="2" t="inlineStr">
        <is>
          <t>Pokemon</t>
        </is>
      </c>
      <c r="F770" s="2" t="inlineStr">
        <is>
          <t>Deck</t>
        </is>
      </c>
      <c r="G770" s="2" t="inlineStr">
        <is>
          <t>SV: Sylveon ex Stellar Tera Type Starter Set</t>
        </is>
      </c>
      <c r="H770" s="3" t="n"/>
      <c r="I770" s="3" t="n">
        <v>34.99</v>
      </c>
      <c r="J770" s="3" t="n"/>
      <c r="K770" s="3" t="n">
        <v>34.99</v>
      </c>
      <c r="L770" s="2" t="inlineStr">
        <is>
          <t>TCGplayer</t>
        </is>
      </c>
      <c r="N770" s="4" t="inlineStr">
        <is>
          <t>https://www.tcgplayer.com/product/593911</t>
        </is>
      </c>
    </row>
    <row r="771">
      <c r="A771" s="2" t="inlineStr">
        <is>
          <t>Terastal Charizard ex Battle Master Deck</t>
        </is>
      </c>
      <c r="B771" s="3">
        <f>IF(H771&lt;&gt;"",H771,IF(I771&lt;&gt;"",I771,IF(J771&lt;&gt;"",J771,K771)))</f>
        <v>32.99</v>
      </c>
      <c r="C771" s="3">
        <f>MEDIAN(H771:K771)</f>
        <v>46.49</v>
      </c>
      <c r="D771" s="3">
        <f>ROUND(C771*(1-Settings!$B$2),2)</f>
        <v>32.54</v>
      </c>
      <c r="E771" s="2" t="inlineStr">
        <is>
          <t>Pokemon</t>
        </is>
      </c>
      <c r="F771" s="2" t="inlineStr">
        <is>
          <t>Deck</t>
        </is>
      </c>
      <c r="G771" s="2" t="inlineStr">
        <is>
          <t>SV: Terastal Charizard ex Battle Master Deck</t>
        </is>
      </c>
      <c r="H771" s="3" t="n"/>
      <c r="I771" s="3" t="n">
        <v>32.99</v>
      </c>
      <c r="J771" s="3" t="n"/>
      <c r="K771" s="3" t="n">
        <v>59.99</v>
      </c>
      <c r="L771" s="2" t="inlineStr">
        <is>
          <t>TCGplayer</t>
        </is>
      </c>
      <c r="N771" s="4" t="inlineStr">
        <is>
          <t>https://www.tcgplayer.com/product/593968</t>
        </is>
      </c>
    </row>
    <row r="772">
      <c r="A772" s="2" t="inlineStr">
        <is>
          <t>Venusaur, Charizard &amp; Blastoise Special Deck Set ex</t>
        </is>
      </c>
      <c r="B772" s="3">
        <f>IF(H772&lt;&gt;"",H772,IF(I772&lt;&gt;"",I772,IF(J772&lt;&gt;"",J772,K772)))</f>
        <v>265.97</v>
      </c>
      <c r="C772" s="3">
        <f>MEDIAN(H772:K772)</f>
        <v>295.485</v>
      </c>
      <c r="D772" s="3">
        <f>ROUND(C772*(1-Settings!$B$2),2)</f>
        <v>206.84</v>
      </c>
      <c r="E772" s="2" t="inlineStr">
        <is>
          <t>Pokemon</t>
        </is>
      </c>
      <c r="F772" s="2" t="inlineStr">
        <is>
          <t>Deck</t>
        </is>
      </c>
      <c r="G772" s="2" t="inlineStr">
        <is>
          <t>SV: Venusaur, Charizard &amp; Blastoise Special Deck Set</t>
        </is>
      </c>
      <c r="H772" s="3" t="n"/>
      <c r="I772" s="3" t="n">
        <v>265.97</v>
      </c>
      <c r="J772" s="3" t="n"/>
      <c r="K772" s="3" t="n">
        <v>325</v>
      </c>
      <c r="L772" s="2" t="inlineStr">
        <is>
          <t>TCGplayer</t>
        </is>
      </c>
      <c r="N772" s="4" t="inlineStr">
        <is>
          <t>https://www.tcgplayer.com/product/594075</t>
        </is>
      </c>
    </row>
    <row r="773">
      <c r="A773" s="2" t="inlineStr">
        <is>
          <t>Generations Start Deck - Dialga ex &amp; Lucario ex</t>
        </is>
      </c>
      <c r="B773" s="3">
        <f>IF(H773&lt;&gt;"",H773,IF(I773&lt;&gt;"",I773,IF(J773&lt;&gt;"",J773,K773)))</f>
        <v>19.99</v>
      </c>
      <c r="C773" s="3">
        <f>MEDIAN(H773:K773)</f>
        <v>19.99</v>
      </c>
      <c r="D773" s="3">
        <f>ROUND(C773*(1-Settings!$B$2),2)</f>
        <v>13.99</v>
      </c>
      <c r="E773" s="2" t="inlineStr">
        <is>
          <t>Pokemon</t>
        </is>
      </c>
      <c r="F773" s="2" t="inlineStr">
        <is>
          <t>Deck</t>
        </is>
      </c>
      <c r="G773" s="2" t="inlineStr">
        <is>
          <t>SVM: Generations Start Decks</t>
        </is>
      </c>
      <c r="H773" s="3" t="n"/>
      <c r="I773" s="3" t="n"/>
      <c r="J773" s="3" t="n"/>
      <c r="K773" s="3" t="n">
        <v>19.99</v>
      </c>
      <c r="L773" s="2" t="inlineStr">
        <is>
          <t>TCGplayer</t>
        </is>
      </c>
      <c r="N773" s="4" t="inlineStr">
        <is>
          <t>https://www.tcgplayer.com/product/643135</t>
        </is>
      </c>
    </row>
    <row r="774">
      <c r="A774" s="2" t="inlineStr">
        <is>
          <t>Generations Start Deck - Koraidon ex &amp; Paldean Clodsire ex</t>
        </is>
      </c>
      <c r="B774" s="3">
        <f>IF(H774&lt;&gt;"",H774,IF(I774&lt;&gt;"",I774,IF(J774&lt;&gt;"",J774,K774)))</f>
        <v>14.99</v>
      </c>
      <c r="C774" s="3">
        <f>MEDIAN(H774:K774)</f>
        <v>14.99</v>
      </c>
      <c r="D774" s="3">
        <f>ROUND(C774*(1-Settings!$B$2),2)</f>
        <v>10.49</v>
      </c>
      <c r="E774" s="2" t="inlineStr">
        <is>
          <t>Pokemon</t>
        </is>
      </c>
      <c r="F774" s="2" t="inlineStr">
        <is>
          <t>Deck</t>
        </is>
      </c>
      <c r="G774" s="2" t="inlineStr">
        <is>
          <t>SVM: Generations Start Decks</t>
        </is>
      </c>
      <c r="H774" s="3" t="n"/>
      <c r="I774" s="3" t="n"/>
      <c r="J774" s="3" t="n"/>
      <c r="K774" s="3" t="n">
        <v>14.99</v>
      </c>
      <c r="L774" s="2" t="inlineStr">
        <is>
          <t>TCGplayer</t>
        </is>
      </c>
      <c r="N774" s="4" t="inlineStr">
        <is>
          <t>https://www.tcgplayer.com/product/643140</t>
        </is>
      </c>
    </row>
    <row r="775">
      <c r="A775" s="2" t="inlineStr">
        <is>
          <t>Generations Start Deck - Kyogre ex &amp; Blaziken ex</t>
        </is>
      </c>
      <c r="B775" s="3">
        <f>IF(H775&lt;&gt;"",H775,IF(I775&lt;&gt;"",I775,IF(J775&lt;&gt;"",J775,K775)))</f>
        <v>14.99</v>
      </c>
      <c r="C775" s="3">
        <f>MEDIAN(H775:K775)</f>
        <v>14.99</v>
      </c>
      <c r="D775" s="3">
        <f>ROUND(C775*(1-Settings!$B$2),2)</f>
        <v>10.49</v>
      </c>
      <c r="E775" s="2" t="inlineStr">
        <is>
          <t>Pokemon</t>
        </is>
      </c>
      <c r="F775" s="2" t="inlineStr">
        <is>
          <t>Deck</t>
        </is>
      </c>
      <c r="G775" s="2" t="inlineStr">
        <is>
          <t>SVM: Generations Start Decks</t>
        </is>
      </c>
      <c r="H775" s="3" t="n"/>
      <c r="I775" s="3" t="n">
        <v>14.99</v>
      </c>
      <c r="J775" s="3" t="n"/>
      <c r="K775" s="3" t="n"/>
      <c r="L775" s="2" t="inlineStr">
        <is>
          <t>TCGplayer</t>
        </is>
      </c>
      <c r="N775" s="4" t="inlineStr">
        <is>
          <t>https://www.tcgplayer.com/product/643134</t>
        </is>
      </c>
    </row>
    <row r="776">
      <c r="A776" s="2" t="inlineStr">
        <is>
          <t>Generations Start Deck - Lugia ex &amp; Tyranitar ex</t>
        </is>
      </c>
      <c r="B776" s="3">
        <f>IF(H776&lt;&gt;"",H776,IF(I776&lt;&gt;"",I776,IF(J776&lt;&gt;"",J776,K776)))</f>
        <v>15.5</v>
      </c>
      <c r="C776" s="3">
        <f>MEDIAN(H776:K776)</f>
        <v>19.25</v>
      </c>
      <c r="D776" s="3">
        <f>ROUND(C776*(1-Settings!$B$2),2)</f>
        <v>13.48</v>
      </c>
      <c r="E776" s="2" t="inlineStr">
        <is>
          <t>Pokemon</t>
        </is>
      </c>
      <c r="F776" s="2" t="inlineStr">
        <is>
          <t>Deck</t>
        </is>
      </c>
      <c r="G776" s="2" t="inlineStr">
        <is>
          <t>SVM: Generations Start Decks</t>
        </is>
      </c>
      <c r="H776" s="3" t="n"/>
      <c r="I776" s="3" t="n">
        <v>15.5</v>
      </c>
      <c r="J776" s="3" t="n"/>
      <c r="K776" s="3" t="n">
        <v>23</v>
      </c>
      <c r="L776" s="2" t="inlineStr">
        <is>
          <t>TCGplayer</t>
        </is>
      </c>
      <c r="N776" s="4" t="inlineStr">
        <is>
          <t>https://www.tcgplayer.com/product/643133</t>
        </is>
      </c>
    </row>
    <row r="777">
      <c r="A777" s="2" t="inlineStr">
        <is>
          <t>Generations Start Deck - Pikachu ex &amp; Snorlax ex</t>
        </is>
      </c>
      <c r="B777" s="3">
        <f>IF(H777&lt;&gt;"",H777,IF(I777&lt;&gt;"",I777,IF(J777&lt;&gt;"",J777,K777)))</f>
        <v>15.99</v>
      </c>
      <c r="C777" s="3">
        <f>MEDIAN(H777:K777)</f>
        <v>15.99</v>
      </c>
      <c r="D777" s="3">
        <f>ROUND(C777*(1-Settings!$B$2),2)</f>
        <v>11.19</v>
      </c>
      <c r="E777" s="2" t="inlineStr">
        <is>
          <t>Pokemon</t>
        </is>
      </c>
      <c r="F777" s="2" t="inlineStr">
        <is>
          <t>Deck</t>
        </is>
      </c>
      <c r="G777" s="2" t="inlineStr">
        <is>
          <t>SVM: Generations Start Decks</t>
        </is>
      </c>
      <c r="H777" s="3" t="n"/>
      <c r="I777" s="3" t="n">
        <v>15.99</v>
      </c>
      <c r="J777" s="3" t="n"/>
      <c r="K777" s="3" t="n"/>
      <c r="L777" s="2" t="inlineStr">
        <is>
          <t>TCGplayer</t>
        </is>
      </c>
      <c r="N777" s="4" t="inlineStr">
        <is>
          <t>https://www.tcgplayer.com/product/643132</t>
        </is>
      </c>
    </row>
    <row r="778">
      <c r="A778" s="2" t="inlineStr">
        <is>
          <t>Generations Start Deck - Reshiram ex &amp; Amoonguss ex</t>
        </is>
      </c>
      <c r="B778" s="3">
        <f>IF(H778&lt;&gt;"",H778,IF(I778&lt;&gt;"",I778,IF(J778&lt;&gt;"",J778,K778)))</f>
        <v>14.99</v>
      </c>
      <c r="C778" s="3">
        <f>MEDIAN(H778:K778)</f>
        <v>14.99</v>
      </c>
      <c r="D778" s="3">
        <f>ROUND(C778*(1-Settings!$B$2),2)</f>
        <v>10.49</v>
      </c>
      <c r="E778" s="2" t="inlineStr">
        <is>
          <t>Pokemon</t>
        </is>
      </c>
      <c r="F778" s="2" t="inlineStr">
        <is>
          <t>Deck</t>
        </is>
      </c>
      <c r="G778" s="2" t="inlineStr">
        <is>
          <t>SVM: Generations Start Decks</t>
        </is>
      </c>
      <c r="H778" s="3" t="n"/>
      <c r="I778" s="3" t="n"/>
      <c r="J778" s="3" t="n"/>
      <c r="K778" s="3" t="n">
        <v>14.99</v>
      </c>
      <c r="L778" s="2" t="inlineStr">
        <is>
          <t>TCGplayer</t>
        </is>
      </c>
      <c r="N778" s="4" t="inlineStr">
        <is>
          <t>https://www.tcgplayer.com/product/643136</t>
        </is>
      </c>
    </row>
    <row r="779">
      <c r="A779" s="2" t="inlineStr">
        <is>
          <t>Generations Start Deck - Tapu Koko ex &amp; Mimikyu ex</t>
        </is>
      </c>
      <c r="B779" s="3">
        <f>IF(H779&lt;&gt;"",H779,IF(I779&lt;&gt;"",I779,IF(J779&lt;&gt;"",J779,K779)))</f>
        <v>14.99</v>
      </c>
      <c r="C779" s="3">
        <f>MEDIAN(H779:K779)</f>
        <v>14.99</v>
      </c>
      <c r="D779" s="3">
        <f>ROUND(C779*(1-Settings!$B$2),2)</f>
        <v>10.49</v>
      </c>
      <c r="E779" s="2" t="inlineStr">
        <is>
          <t>Pokemon</t>
        </is>
      </c>
      <c r="F779" s="2" t="inlineStr">
        <is>
          <t>Deck</t>
        </is>
      </c>
      <c r="G779" s="2" t="inlineStr">
        <is>
          <t>SVM: Generations Start Decks</t>
        </is>
      </c>
      <c r="H779" s="3" t="n"/>
      <c r="I779" s="3" t="n">
        <v>14.99</v>
      </c>
      <c r="J779" s="3" t="n"/>
      <c r="K779" s="3" t="n"/>
      <c r="L779" s="2" t="inlineStr">
        <is>
          <t>TCGplayer</t>
        </is>
      </c>
      <c r="N779" s="4" t="inlineStr">
        <is>
          <t>https://www.tcgplayer.com/product/643138</t>
        </is>
      </c>
    </row>
    <row r="780">
      <c r="A780" s="2" t="inlineStr">
        <is>
          <t>Generations Start Deck - Xerneas ex &amp; Noivern ex</t>
        </is>
      </c>
      <c r="B780" s="3">
        <f>IF(H780&lt;&gt;"",H780,IF(I780&lt;&gt;"",I780,IF(J780&lt;&gt;"",J780,K780)))</f>
        <v>19.99</v>
      </c>
      <c r="C780" s="3">
        <f>MEDIAN(H780:K780)</f>
        <v>19.99</v>
      </c>
      <c r="D780" s="3">
        <f>ROUND(C780*(1-Settings!$B$2),2)</f>
        <v>13.99</v>
      </c>
      <c r="E780" s="2" t="inlineStr">
        <is>
          <t>Pokemon</t>
        </is>
      </c>
      <c r="F780" s="2" t="inlineStr">
        <is>
          <t>Deck</t>
        </is>
      </c>
      <c r="G780" s="2" t="inlineStr">
        <is>
          <t>SVM: Generations Start Decks</t>
        </is>
      </c>
      <c r="H780" s="3" t="n"/>
      <c r="I780" s="3" t="n"/>
      <c r="J780" s="3" t="n"/>
      <c r="K780" s="3" t="n">
        <v>19.99</v>
      </c>
      <c r="L780" s="2" t="inlineStr">
        <is>
          <t>TCGplayer</t>
        </is>
      </c>
      <c r="N780" s="4" t="inlineStr">
        <is>
          <t>https://www.tcgplayer.com/product/643137</t>
        </is>
      </c>
    </row>
    <row r="781">
      <c r="A781" s="2" t="inlineStr">
        <is>
          <t>Generations Start Deck - Zacian ex &amp; Alcremie ex</t>
        </is>
      </c>
      <c r="B781" s="3">
        <f>IF(H781&lt;&gt;"",H781,IF(I781&lt;&gt;"",I781,IF(J781&lt;&gt;"",J781,K781)))</f>
        <v>9.99</v>
      </c>
      <c r="C781" s="3">
        <f>MEDIAN(H781:K781)</f>
        <v>9.99</v>
      </c>
      <c r="D781" s="3">
        <f>ROUND(C781*(1-Settings!$B$2),2)</f>
        <v>6.99</v>
      </c>
      <c r="E781" s="2" t="inlineStr">
        <is>
          <t>Pokemon</t>
        </is>
      </c>
      <c r="F781" s="2" t="inlineStr">
        <is>
          <t>Deck</t>
        </is>
      </c>
      <c r="G781" s="2" t="inlineStr">
        <is>
          <t>SVM: Generations Start Decks</t>
        </is>
      </c>
      <c r="H781" s="3" t="n"/>
      <c r="I781" s="3" t="n"/>
      <c r="J781" s="3" t="n"/>
      <c r="K781" s="3" t="n">
        <v>9.99</v>
      </c>
      <c r="L781" s="2" t="inlineStr">
        <is>
          <t>TCGplayer</t>
        </is>
      </c>
      <c r="N781" s="4" t="inlineStr">
        <is>
          <t>https://www.tcgplayer.com/product/643139</t>
        </is>
      </c>
    </row>
    <row r="782">
      <c r="A782" s="2" t="inlineStr">
        <is>
          <t>Start Deck Generations Special Battle Set</t>
        </is>
      </c>
      <c r="B782" s="3">
        <f>IF(H782&lt;&gt;"",H782,IF(I782&lt;&gt;"",I782,IF(J782&lt;&gt;"",J782,K782)))</f>
        <v>199.99</v>
      </c>
      <c r="C782" s="3">
        <f>MEDIAN(H782:K782)</f>
        <v>199.99</v>
      </c>
      <c r="D782" s="3">
        <f>ROUND(C782*(1-Settings!$B$2),2)</f>
        <v>139.99</v>
      </c>
      <c r="E782" s="2" t="inlineStr">
        <is>
          <t>Pokemon</t>
        </is>
      </c>
      <c r="F782" s="2" t="inlineStr">
        <is>
          <t>Deck</t>
        </is>
      </c>
      <c r="G782" s="2" t="inlineStr">
        <is>
          <t>SVM: Generations Start Decks</t>
        </is>
      </c>
      <c r="H782" s="3" t="n"/>
      <c r="I782" s="3" t="n"/>
      <c r="J782" s="3" t="n"/>
      <c r="K782" s="3" t="n">
        <v>199.99</v>
      </c>
      <c r="L782" s="2" t="inlineStr">
        <is>
          <t>TCGplayer</t>
        </is>
      </c>
      <c r="N782" s="4" t="inlineStr">
        <is>
          <t>https://www.tcgplayer.com/product/656152</t>
        </is>
      </c>
    </row>
    <row r="783">
      <c r="A783" s="2" t="inlineStr">
        <is>
          <t>Battle Partners Deck Build Box</t>
        </is>
      </c>
      <c r="B783" s="3">
        <f>IF(H783&lt;&gt;"",H783,IF(I783&lt;&gt;"",I783,IF(J783&lt;&gt;"",J783,K783)))</f>
        <v>56.12</v>
      </c>
      <c r="C783" s="3">
        <f>MEDIAN(H783:K783)</f>
        <v>58.055</v>
      </c>
      <c r="D783" s="3">
        <f>ROUND(C783*(1-Settings!$B$2),2)</f>
        <v>40.64</v>
      </c>
      <c r="E783" s="2" t="inlineStr">
        <is>
          <t>Pokemon</t>
        </is>
      </c>
      <c r="F783" s="2" t="inlineStr">
        <is>
          <t>Deck</t>
        </is>
      </c>
      <c r="G783" s="2" t="inlineStr">
        <is>
          <t>SVN: Battle Partners Deck Build Box</t>
        </is>
      </c>
      <c r="H783" s="3" t="n"/>
      <c r="I783" s="3" t="n">
        <v>56.12</v>
      </c>
      <c r="J783" s="3" t="n"/>
      <c r="K783" s="3" t="n">
        <v>59.99</v>
      </c>
      <c r="L783" s="2" t="inlineStr">
        <is>
          <t>TCGplayer</t>
        </is>
      </c>
      <c r="N783" s="4" t="inlineStr">
        <is>
          <t>https://www.tcgplayer.com/product/614704</t>
        </is>
      </c>
    </row>
    <row r="784">
      <c r="A784" s="2" t="inlineStr">
        <is>
          <t>Sword &amp; Shield Theme Deck [Cinderace]</t>
        </is>
      </c>
      <c r="B784" s="3">
        <f>IF(H784&lt;&gt;"",H784,IF(I784&lt;&gt;"",I784,IF(J784&lt;&gt;"",J784,K784)))</f>
        <v>16.32</v>
      </c>
      <c r="C784" s="3">
        <f>MEDIAN(H784:K784)</f>
        <v>50.0</v>
      </c>
      <c r="D784" s="3">
        <f>ROUND(C784*(1-Settings!$B$2),2)</f>
        <v>35.0</v>
      </c>
      <c r="E784" s="2" t="inlineStr">
        <is>
          <t>Pokemon</t>
        </is>
      </c>
      <c r="F784" s="2" t="inlineStr">
        <is>
          <t>Deck</t>
        </is>
      </c>
      <c r="G784" s="2" t="inlineStr">
        <is>
          <t>SWSH01: Sword &amp; Shield Base Set</t>
        </is>
      </c>
      <c r="H784" s="3" t="n"/>
      <c r="I784" s="3" t="n">
        <v>16.32</v>
      </c>
      <c r="J784" s="3" t="n">
        <v>50</v>
      </c>
      <c r="K784" s="3" t="n">
        <v>50</v>
      </c>
      <c r="L784" s="2" t="inlineStr">
        <is>
          <t>TCGplayer</t>
        </is>
      </c>
      <c r="N784" s="4" t="inlineStr">
        <is>
          <t>https://www.tcgplayer.com/product/206035</t>
        </is>
      </c>
    </row>
    <row r="785">
      <c r="A785" s="2" t="inlineStr">
        <is>
          <t>Sword &amp; Shield Theme Deck [Inteleon]</t>
        </is>
      </c>
      <c r="B785" s="3">
        <f>IF(H785&lt;&gt;"",H785,IF(I785&lt;&gt;"",I785,IF(J785&lt;&gt;"",J785,K785)))</f>
        <v>14.08</v>
      </c>
      <c r="C785" s="3">
        <f>MEDIAN(H785:K785)</f>
        <v>15.0</v>
      </c>
      <c r="D785" s="3">
        <f>ROUND(C785*(1-Settings!$B$2),2)</f>
        <v>10.5</v>
      </c>
      <c r="E785" s="2" t="inlineStr">
        <is>
          <t>Pokemon</t>
        </is>
      </c>
      <c r="F785" s="2" t="inlineStr">
        <is>
          <t>Deck</t>
        </is>
      </c>
      <c r="G785" s="2" t="inlineStr">
        <is>
          <t>SWSH01: Sword &amp; Shield Base Set</t>
        </is>
      </c>
      <c r="H785" s="3" t="n"/>
      <c r="I785" s="3" t="n">
        <v>14.08</v>
      </c>
      <c r="J785" s="3" t="n">
        <v>20.11</v>
      </c>
      <c r="K785" s="3" t="n">
        <v>15</v>
      </c>
      <c r="L785" s="2" t="inlineStr">
        <is>
          <t>TCGplayer</t>
        </is>
      </c>
      <c r="N785" s="4" t="inlineStr">
        <is>
          <t>https://www.tcgplayer.com/product/206036</t>
        </is>
      </c>
    </row>
    <row r="786">
      <c r="A786" s="2" t="inlineStr">
        <is>
          <t>Sword &amp; Shield Theme Deck [Rillaboom]</t>
        </is>
      </c>
      <c r="B786" s="3">
        <f>IF(H786&lt;&gt;"",H786,IF(I786&lt;&gt;"",I786,IF(J786&lt;&gt;"",J786,K786)))</f>
        <v>15.44</v>
      </c>
      <c r="C786" s="3">
        <f>MEDIAN(H786:K786)</f>
        <v>15.44</v>
      </c>
      <c r="D786" s="3">
        <f>ROUND(C786*(1-Settings!$B$2),2)</f>
        <v>10.81</v>
      </c>
      <c r="E786" s="2" t="inlineStr">
        <is>
          <t>Pokemon</t>
        </is>
      </c>
      <c r="F786" s="2" t="inlineStr">
        <is>
          <t>Deck</t>
        </is>
      </c>
      <c r="G786" s="2" t="inlineStr">
        <is>
          <t>SWSH01: Sword &amp; Shield Base Set</t>
        </is>
      </c>
      <c r="H786" s="3" t="n"/>
      <c r="I786" s="3" t="n">
        <v>15.44</v>
      </c>
      <c r="J786" s="3" t="n">
        <v>16.98</v>
      </c>
      <c r="K786" s="3" t="n">
        <v>15.44</v>
      </c>
      <c r="L786" s="2" t="inlineStr">
        <is>
          <t>TCGplayer</t>
        </is>
      </c>
      <c r="N786" s="4" t="inlineStr">
        <is>
          <t>https://www.tcgplayer.com/product/206037</t>
        </is>
      </c>
    </row>
    <row r="787">
      <c r="A787" s="2" t="inlineStr">
        <is>
          <t>Sword &amp; Shield Trial Deck [Set of 3]</t>
        </is>
      </c>
      <c r="B787" s="3">
        <f>IF(H787&lt;&gt;"",H787,IF(I787&lt;&gt;"",I787,IF(J787&lt;&gt;"",J787,K787)))</f>
        <v>72.94</v>
      </c>
      <c r="C787" s="3">
        <f>MEDIAN(H787:K787)</f>
        <v>72.94</v>
      </c>
      <c r="D787" s="3">
        <f>ROUND(C787*(1-Settings!$B$2),2)</f>
        <v>51.06</v>
      </c>
      <c r="E787" s="2" t="inlineStr">
        <is>
          <t>Pokemon</t>
        </is>
      </c>
      <c r="F787" s="2" t="inlineStr">
        <is>
          <t>Deck</t>
        </is>
      </c>
      <c r="G787" s="2" t="inlineStr">
        <is>
          <t>SWSH01: Sword &amp; Shield Base Set</t>
        </is>
      </c>
      <c r="H787" s="3" t="n"/>
      <c r="I787" s="3" t="n"/>
      <c r="J787" s="3" t="n">
        <v>72.94</v>
      </c>
      <c r="K787" s="3" t="n">
        <v>72.94</v>
      </c>
      <c r="L787" s="2" t="inlineStr">
        <is>
          <t>TCGplayer</t>
        </is>
      </c>
      <c r="N787" s="4" t="inlineStr">
        <is>
          <t>https://www.tcgplayer.com/product/206044</t>
        </is>
      </c>
    </row>
    <row r="788">
      <c r="A788" s="2" t="inlineStr">
        <is>
          <t>Rebel Clash Theme Deck [Zacian]</t>
        </is>
      </c>
      <c r="B788" s="3">
        <f>IF(H788&lt;&gt;"",H788,IF(I788&lt;&gt;"",I788,IF(J788&lt;&gt;"",J788,K788)))</f>
        <v>24.12</v>
      </c>
      <c r="C788" s="3">
        <f>MEDIAN(H788:K788)</f>
        <v>24.12</v>
      </c>
      <c r="D788" s="3">
        <f>ROUND(C788*(1-Settings!$B$2),2)</f>
        <v>16.88</v>
      </c>
      <c r="E788" s="2" t="inlineStr">
        <is>
          <t>Pokemon</t>
        </is>
      </c>
      <c r="F788" s="2" t="inlineStr">
        <is>
          <t>Deck</t>
        </is>
      </c>
      <c r="G788" s="2" t="inlineStr">
        <is>
          <t>SWSH02: Rebel Clash</t>
        </is>
      </c>
      <c r="H788" s="3" t="n"/>
      <c r="I788" s="3" t="n">
        <v>24.12</v>
      </c>
      <c r="J788" s="3" t="n">
        <v>25</v>
      </c>
      <c r="K788" s="3" t="n">
        <v>20</v>
      </c>
      <c r="L788" s="2" t="inlineStr">
        <is>
          <t>TCGplayer</t>
        </is>
      </c>
      <c r="N788" s="4" t="inlineStr">
        <is>
          <t>https://www.tcgplayer.com/product/210571</t>
        </is>
      </c>
    </row>
    <row r="789">
      <c r="A789" s="2" t="inlineStr">
        <is>
          <t>Rebel Clash Theme Deck [Zamazenta]</t>
        </is>
      </c>
      <c r="B789" s="3">
        <f>IF(H789&lt;&gt;"",H789,IF(I789&lt;&gt;"",I789,IF(J789&lt;&gt;"",J789,K789)))</f>
        <v>30.67</v>
      </c>
      <c r="C789" s="3">
        <f>MEDIAN(H789:K789)</f>
        <v>33.74</v>
      </c>
      <c r="D789" s="3">
        <f>ROUND(C789*(1-Settings!$B$2),2)</f>
        <v>23.62</v>
      </c>
      <c r="E789" s="2" t="inlineStr">
        <is>
          <t>Pokemon</t>
        </is>
      </c>
      <c r="F789" s="2" t="inlineStr">
        <is>
          <t>Deck</t>
        </is>
      </c>
      <c r="G789" s="2" t="inlineStr">
        <is>
          <t>SWSH02: Rebel Clash</t>
        </is>
      </c>
      <c r="H789" s="3" t="n"/>
      <c r="I789" s="3" t="n">
        <v>30.67</v>
      </c>
      <c r="J789" s="3" t="n">
        <v>33.74</v>
      </c>
      <c r="K789" s="3" t="n">
        <v>33.74</v>
      </c>
      <c r="L789" s="2" t="inlineStr">
        <is>
          <t>TCGplayer</t>
        </is>
      </c>
      <c r="N789" s="4" t="inlineStr">
        <is>
          <t>https://www.tcgplayer.com/product/210570</t>
        </is>
      </c>
    </row>
    <row r="790">
      <c r="A790" s="2" t="inlineStr">
        <is>
          <t>Darkness Ablaze Theme Deck [Galarian Darmanitan]</t>
        </is>
      </c>
      <c r="B790" s="3">
        <f>IF(H790&lt;&gt;"",H790,IF(I790&lt;&gt;"",I790,IF(J790&lt;&gt;"",J790,K790)))</f>
        <v>24.0</v>
      </c>
      <c r="C790" s="3">
        <f>MEDIAN(H790:K790)</f>
        <v>22.0</v>
      </c>
      <c r="D790" s="3">
        <f>ROUND(C790*(1-Settings!$B$2),2)</f>
        <v>15.4</v>
      </c>
      <c r="E790" s="2" t="inlineStr">
        <is>
          <t>Pokemon</t>
        </is>
      </c>
      <c r="F790" s="2" t="inlineStr">
        <is>
          <t>Deck</t>
        </is>
      </c>
      <c r="G790" s="2" t="inlineStr">
        <is>
          <t>SWSH03: Darkness Ablaze</t>
        </is>
      </c>
      <c r="H790" s="3" t="n"/>
      <c r="I790" s="3" t="n"/>
      <c r="J790" s="3" t="n">
        <v>24</v>
      </c>
      <c r="K790" s="3" t="n">
        <v>20</v>
      </c>
      <c r="L790" s="2" t="inlineStr">
        <is>
          <t>TCGplayer</t>
        </is>
      </c>
      <c r="N790" s="4" t="inlineStr">
        <is>
          <t>https://www.tcgplayer.com/product/216865</t>
        </is>
      </c>
    </row>
    <row r="791">
      <c r="A791" s="2" t="inlineStr">
        <is>
          <t>Darkness Ablaze Theme Deck [Galarian Sirfetch'd]</t>
        </is>
      </c>
      <c r="B791" s="3">
        <f>IF(H791&lt;&gt;"",H791,IF(I791&lt;&gt;"",I791,IF(J791&lt;&gt;"",J791,K791)))</f>
        <v>20.97</v>
      </c>
      <c r="C791" s="3">
        <f>MEDIAN(H791:K791)</f>
        <v>20.97</v>
      </c>
      <c r="D791" s="3">
        <f>ROUND(C791*(1-Settings!$B$2),2)</f>
        <v>14.68</v>
      </c>
      <c r="E791" s="2" t="inlineStr">
        <is>
          <t>Pokemon</t>
        </is>
      </c>
      <c r="F791" s="2" t="inlineStr">
        <is>
          <t>Deck</t>
        </is>
      </c>
      <c r="G791" s="2" t="inlineStr">
        <is>
          <t>SWSH03: Darkness Ablaze</t>
        </is>
      </c>
      <c r="H791" s="3" t="n"/>
      <c r="I791" s="3" t="n">
        <v>20.97</v>
      </c>
      <c r="J791" s="3" t="n">
        <v>25</v>
      </c>
      <c r="K791" s="3" t="n">
        <v>19.55</v>
      </c>
      <c r="L791" s="2" t="inlineStr">
        <is>
          <t>TCGplayer</t>
        </is>
      </c>
      <c r="N791" s="4" t="inlineStr">
        <is>
          <t>https://www.tcgplayer.com/product/216866</t>
        </is>
      </c>
    </row>
    <row r="792">
      <c r="A792" s="2" t="inlineStr">
        <is>
          <t>Vivid Voltage Theme Deck [Charizard]</t>
        </is>
      </c>
      <c r="B792" s="3">
        <f>IF(H792&lt;&gt;"",H792,IF(I792&lt;&gt;"",I792,IF(J792&lt;&gt;"",J792,K792)))</f>
        <v>24.97</v>
      </c>
      <c r="C792" s="3">
        <f>MEDIAN(H792:K792)</f>
        <v>24.97</v>
      </c>
      <c r="D792" s="3">
        <f>ROUND(C792*(1-Settings!$B$2),2)</f>
        <v>17.48</v>
      </c>
      <c r="E792" s="2" t="inlineStr">
        <is>
          <t>Pokemon</t>
        </is>
      </c>
      <c r="F792" s="2" t="inlineStr">
        <is>
          <t>Deck</t>
        </is>
      </c>
      <c r="G792" s="2" t="inlineStr">
        <is>
          <t>SWSH04: Vivid Voltage</t>
        </is>
      </c>
      <c r="H792" s="3" t="n"/>
      <c r="I792" s="3" t="n">
        <v>24.97</v>
      </c>
      <c r="J792" s="3" t="n">
        <v>24.97</v>
      </c>
      <c r="K792" s="3" t="n">
        <v>17.99</v>
      </c>
      <c r="L792" s="2" t="inlineStr">
        <is>
          <t>TCGplayer</t>
        </is>
      </c>
      <c r="N792" s="4" t="inlineStr">
        <is>
          <t>https://www.tcgplayer.com/product/221750</t>
        </is>
      </c>
    </row>
    <row r="793">
      <c r="A793" s="2" t="inlineStr">
        <is>
          <t>Vivid Voltage Theme Deck [Drednaw]</t>
        </is>
      </c>
      <c r="B793" s="3">
        <f>IF(H793&lt;&gt;"",H793,IF(I793&lt;&gt;"",I793,IF(J793&lt;&gt;"",J793,K793)))</f>
        <v>11.39</v>
      </c>
      <c r="C793" s="3">
        <f>MEDIAN(H793:K793)</f>
        <v>11.39</v>
      </c>
      <c r="D793" s="3">
        <f>ROUND(C793*(1-Settings!$B$2),2)</f>
        <v>7.97</v>
      </c>
      <c r="E793" s="2" t="inlineStr">
        <is>
          <t>Pokemon</t>
        </is>
      </c>
      <c r="F793" s="2" t="inlineStr">
        <is>
          <t>Deck</t>
        </is>
      </c>
      <c r="G793" s="2" t="inlineStr">
        <is>
          <t>SWSH04: Vivid Voltage</t>
        </is>
      </c>
      <c r="H793" s="3" t="n"/>
      <c r="I793" s="3" t="n">
        <v>11.39</v>
      </c>
      <c r="J793" s="3" t="n">
        <v>13.99</v>
      </c>
      <c r="K793" s="3" t="n">
        <v>10</v>
      </c>
      <c r="L793" s="2" t="inlineStr">
        <is>
          <t>TCGplayer</t>
        </is>
      </c>
      <c r="N793" s="4" t="inlineStr">
        <is>
          <t>https://www.tcgplayer.com/product/221751</t>
        </is>
      </c>
    </row>
    <row r="794">
      <c r="A794" s="2" t="inlineStr">
        <is>
          <t>League Battle Deck [Mew VMAX]</t>
        </is>
      </c>
      <c r="B794" s="3">
        <f>IF(H794&lt;&gt;"",H794,IF(I794&lt;&gt;"",I794,IF(J794&lt;&gt;"",J794,K794)))</f>
        <v>67.01</v>
      </c>
      <c r="C794" s="3">
        <f>MEDIAN(H794:K794)</f>
        <v>89.69</v>
      </c>
      <c r="D794" s="3">
        <f>ROUND(C794*(1-Settings!$B$2),2)</f>
        <v>62.78</v>
      </c>
      <c r="E794" s="2" t="inlineStr">
        <is>
          <t>Pokemon</t>
        </is>
      </c>
      <c r="F794" s="2" t="inlineStr">
        <is>
          <t>Deck</t>
        </is>
      </c>
      <c r="G794" s="2" t="inlineStr">
        <is>
          <t>SWSH08: Fusion Strike</t>
        </is>
      </c>
      <c r="H794" s="3" t="n"/>
      <c r="I794" s="3" t="n">
        <v>67.01000000000001</v>
      </c>
      <c r="J794" s="3" t="n">
        <v>99.95</v>
      </c>
      <c r="K794" s="3" t="n">
        <v>89.69</v>
      </c>
      <c r="L794" s="2" t="inlineStr">
        <is>
          <t>TCGplayer</t>
        </is>
      </c>
      <c r="N794" s="4" t="inlineStr">
        <is>
          <t>https://www.tcgplayer.com/product/283599</t>
        </is>
      </c>
    </row>
    <row r="795">
      <c r="A795" s="2" t="inlineStr">
        <is>
          <t>Team Rocket Theme Deck - "Devastation"</t>
        </is>
      </c>
      <c r="B795" s="3">
        <f>IF(H795&lt;&gt;"",H795,IF(I795&lt;&gt;"",I795,IF(J795&lt;&gt;"",J795,K795)))</f>
        <v>256.0</v>
      </c>
      <c r="C795" s="3">
        <f>MEDIAN(H795:K795)</f>
        <v>320.0</v>
      </c>
      <c r="D795" s="3">
        <f>ROUND(C795*(1-Settings!$B$2),2)</f>
        <v>224.0</v>
      </c>
      <c r="E795" s="2" t="inlineStr">
        <is>
          <t>Pokemon</t>
        </is>
      </c>
      <c r="F795" s="2" t="inlineStr">
        <is>
          <t>Deck</t>
        </is>
      </c>
      <c r="G795" s="2" t="inlineStr">
        <is>
          <t>Team Rocket</t>
        </is>
      </c>
      <c r="H795" s="3" t="n">
        <v>256</v>
      </c>
      <c r="I795" s="3" t="n"/>
      <c r="J795" s="3" t="n">
        <v>329.99</v>
      </c>
      <c r="K795" s="3" t="n">
        <v>320</v>
      </c>
      <c r="L795" s="2" t="inlineStr">
        <is>
          <t>PriceCharting + TCGplayer</t>
        </is>
      </c>
      <c r="M795" s="4" t="inlineStr">
        <is>
          <t>https://www.pricecharting.com/game/pokemon-team-rocket/theme-deck-devastation</t>
        </is>
      </c>
      <c r="N795" s="4" t="inlineStr">
        <is>
          <t>https://www.tcgplayer.com/product/176942</t>
        </is>
      </c>
    </row>
    <row r="796">
      <c r="A796" s="2" t="inlineStr">
        <is>
          <t>Team Rocket Theme Deck - "Trouble"</t>
        </is>
      </c>
      <c r="B796" s="3">
        <f>IF(H796&lt;&gt;"",H796,IF(I796&lt;&gt;"",I796,IF(J796&lt;&gt;"",J796,K796)))</f>
        <v>254.38</v>
      </c>
      <c r="C796" s="3">
        <f>MEDIAN(H796:K796)</f>
        <v>254.96</v>
      </c>
      <c r="D796" s="3">
        <f>ROUND(C796*(1-Settings!$B$2),2)</f>
        <v>178.47</v>
      </c>
      <c r="E796" s="2" t="inlineStr">
        <is>
          <t>Pokemon</t>
        </is>
      </c>
      <c r="F796" s="2" t="inlineStr">
        <is>
          <t>Deck</t>
        </is>
      </c>
      <c r="G796" s="2" t="inlineStr">
        <is>
          <t>Team Rocket</t>
        </is>
      </c>
      <c r="H796" s="3" t="n">
        <v>254.38</v>
      </c>
      <c r="I796" s="3" t="n"/>
      <c r="J796" s="3" t="n">
        <v>259.94</v>
      </c>
      <c r="K796" s="3" t="n">
        <v>254.96</v>
      </c>
      <c r="L796" s="2" t="inlineStr">
        <is>
          <t>PriceCharting + TCGplayer</t>
        </is>
      </c>
      <c r="M796" s="4" t="inlineStr">
        <is>
          <t>https://www.pricecharting.com/game/pokemon-team-rocket/theme-deck-trouble</t>
        </is>
      </c>
      <c r="N796" s="4" t="inlineStr">
        <is>
          <t>https://www.tcgplayer.com/product/176943</t>
        </is>
      </c>
    </row>
    <row r="797">
      <c r="A797" s="2" t="inlineStr">
        <is>
          <t>Team Up Blastoise Theme Deck - Torrential Cannon</t>
        </is>
      </c>
      <c r="B797" s="3">
        <f>IF(H797&lt;&gt;"",H797,IF(I797&lt;&gt;"",I797,IF(J797&lt;&gt;"",J797,K797)))</f>
        <v>68.61</v>
      </c>
      <c r="C797" s="3">
        <f>MEDIAN(H797:K797)</f>
        <v>68.61</v>
      </c>
      <c r="D797" s="3">
        <f>ROUND(C797*(1-Settings!$B$2),2)</f>
        <v>48.03</v>
      </c>
      <c r="E797" s="2" t="inlineStr">
        <is>
          <t>Pokemon</t>
        </is>
      </c>
      <c r="F797" s="2" t="inlineStr">
        <is>
          <t>Deck</t>
        </is>
      </c>
      <c r="G797" s="2" t="inlineStr">
        <is>
          <t>Team Up</t>
        </is>
      </c>
      <c r="H797" s="3" t="n">
        <v>68.61</v>
      </c>
      <c r="I797" s="3" t="n"/>
      <c r="J797" s="3" t="n"/>
      <c r="K797" s="3" t="n"/>
      <c r="L797" s="2" t="inlineStr">
        <is>
          <t>PriceCharting</t>
        </is>
      </c>
      <c r="M797" s="4" t="inlineStr">
        <is>
          <t>https://www.pricecharting.com/game/pokemon-team-up/blastoise-theme-deck-torrential-cannon</t>
        </is>
      </c>
    </row>
    <row r="798">
      <c r="A798" s="2" t="inlineStr">
        <is>
          <t>Team Up Charizard Theme Deck - Relentless Flame</t>
        </is>
      </c>
      <c r="B798" s="3">
        <f>IF(H798&lt;&gt;"",H798,IF(I798&lt;&gt;"",I798,IF(J798&lt;&gt;"",J798,K798)))</f>
        <v>87.5</v>
      </c>
      <c r="C798" s="3">
        <f>MEDIAN(H798:K798)</f>
        <v>87.5</v>
      </c>
      <c r="D798" s="3">
        <f>ROUND(C798*(1-Settings!$B$2),2)</f>
        <v>61.25</v>
      </c>
      <c r="E798" s="2" t="inlineStr">
        <is>
          <t>Pokemon</t>
        </is>
      </c>
      <c r="F798" s="2" t="inlineStr">
        <is>
          <t>Deck</t>
        </is>
      </c>
      <c r="G798" s="2" t="inlineStr">
        <is>
          <t>Team Up</t>
        </is>
      </c>
      <c r="H798" s="3" t="n">
        <v>87.5</v>
      </c>
      <c r="I798" s="3" t="n"/>
      <c r="J798" s="3" t="n"/>
      <c r="K798" s="3" t="n"/>
      <c r="L798" s="2" t="inlineStr">
        <is>
          <t>PriceCharting</t>
        </is>
      </c>
      <c r="M798" s="4" t="inlineStr">
        <is>
          <t>https://www.pricecharting.com/game/pokemon-team-up/charizard-theme-deck-relentless-flame</t>
        </is>
      </c>
    </row>
    <row r="799">
      <c r="A799" s="2" t="inlineStr">
        <is>
          <t>Triple Starter Deck Set VMAX</t>
        </is>
      </c>
      <c r="B799" s="3">
        <f>IF(H799&lt;&gt;"",H799,IF(I799&lt;&gt;"",I799,IF(J799&lt;&gt;"",J799,K799)))</f>
        <v>149.0</v>
      </c>
      <c r="C799" s="3">
        <f>MEDIAN(H799:K799)</f>
        <v>149.0</v>
      </c>
      <c r="D799" s="3">
        <f>ROUND(C799*(1-Settings!$B$2),2)</f>
        <v>104.3</v>
      </c>
      <c r="E799" s="2" t="inlineStr">
        <is>
          <t>Pokemon</t>
        </is>
      </c>
      <c r="F799" s="2" t="inlineStr">
        <is>
          <t>Deck</t>
        </is>
      </c>
      <c r="G799" s="2" t="inlineStr">
        <is>
          <t>Triple Starter Deck Set VMAX</t>
        </is>
      </c>
      <c r="H799" s="3" t="n"/>
      <c r="I799" s="3" t="n"/>
      <c r="J799" s="3" t="n"/>
      <c r="K799" s="3" t="n">
        <v>149</v>
      </c>
      <c r="L799" s="2" t="inlineStr">
        <is>
          <t>TCGplayer</t>
        </is>
      </c>
      <c r="N799" s="4" t="inlineStr">
        <is>
          <t>https://www.tcgplayer.com/product/656429</t>
        </is>
      </c>
    </row>
    <row r="800">
      <c r="A800" s="2" t="inlineStr">
        <is>
          <t>Unified Minds Dragonite Theme Deck - Soaring Storm</t>
        </is>
      </c>
      <c r="B800" s="3">
        <f>IF(H800&lt;&gt;"",H800,IF(I800&lt;&gt;"",I800,IF(J800&lt;&gt;"",J800,K800)))</f>
        <v>84.99</v>
      </c>
      <c r="C800" s="3">
        <f>MEDIAN(H800:K800)</f>
        <v>84.99</v>
      </c>
      <c r="D800" s="3">
        <f>ROUND(C800*(1-Settings!$B$2),2)</f>
        <v>59.49</v>
      </c>
      <c r="E800" s="2" t="inlineStr">
        <is>
          <t>Pokemon</t>
        </is>
      </c>
      <c r="F800" s="2" t="inlineStr">
        <is>
          <t>Deck</t>
        </is>
      </c>
      <c r="G800" s="2" t="inlineStr">
        <is>
          <t>Unified Minds</t>
        </is>
      </c>
      <c r="H800" s="3" t="n">
        <v>84.98999999999999</v>
      </c>
      <c r="I800" s="3" t="n"/>
      <c r="J800" s="3" t="n"/>
      <c r="K800" s="3" t="n"/>
      <c r="L800" s="2" t="inlineStr">
        <is>
          <t>PriceCharting</t>
        </is>
      </c>
      <c r="M800" s="4" t="inlineStr">
        <is>
          <t>https://www.pricecharting.com/game/pokemon-unified-minds/dragonite-theme-deck-soaring-storm</t>
        </is>
      </c>
    </row>
    <row r="801">
      <c r="A801" s="2" t="inlineStr">
        <is>
          <t>Unified Minds Necrozma Theme Deck - Laser Focus</t>
        </is>
      </c>
      <c r="B801" s="3">
        <f>IF(H801&lt;&gt;"",H801,IF(I801&lt;&gt;"",I801,IF(J801&lt;&gt;"",J801,K801)))</f>
        <v>30.34</v>
      </c>
      <c r="C801" s="3">
        <f>MEDIAN(H801:K801)</f>
        <v>30.34</v>
      </c>
      <c r="D801" s="3">
        <f>ROUND(C801*(1-Settings!$B$2),2)</f>
        <v>21.24</v>
      </c>
      <c r="E801" s="2" t="inlineStr">
        <is>
          <t>Pokemon</t>
        </is>
      </c>
      <c r="F801" s="2" t="inlineStr">
        <is>
          <t>Deck</t>
        </is>
      </c>
      <c r="G801" s="2" t="inlineStr">
        <is>
          <t>Unified Minds</t>
        </is>
      </c>
      <c r="H801" s="3" t="n">
        <v>30.34</v>
      </c>
      <c r="I801" s="3" t="n"/>
      <c r="J801" s="3" t="n"/>
      <c r="K801" s="3" t="n"/>
      <c r="L801" s="2" t="inlineStr">
        <is>
          <t>PriceCharting</t>
        </is>
      </c>
      <c r="M801" s="4" t="inlineStr">
        <is>
          <t>https://www.pricecharting.com/game/pokemon-unified-minds/necrozma-theme-deck-laser-focus</t>
        </is>
      </c>
    </row>
    <row r="802">
      <c r="A802" s="2" t="inlineStr">
        <is>
          <t>Vivid Voltage Charizard Theme Deck</t>
        </is>
      </c>
      <c r="B802" s="3">
        <f>IF(H802&lt;&gt;"",H802,IF(I802&lt;&gt;"",I802,IF(J802&lt;&gt;"",J802,K802)))</f>
        <v>24.75</v>
      </c>
      <c r="C802" s="3">
        <f>MEDIAN(H802:K802)</f>
        <v>24.75</v>
      </c>
      <c r="D802" s="3">
        <f>ROUND(C802*(1-Settings!$B$2),2)</f>
        <v>17.33</v>
      </c>
      <c r="E802" s="2" t="inlineStr">
        <is>
          <t>Pokemon</t>
        </is>
      </c>
      <c r="F802" s="2" t="inlineStr">
        <is>
          <t>Deck</t>
        </is>
      </c>
      <c r="G802" s="2" t="inlineStr">
        <is>
          <t>Vivid Voltage</t>
        </is>
      </c>
      <c r="H802" s="3" t="n">
        <v>24.75</v>
      </c>
      <c r="I802" s="3" t="n"/>
      <c r="J802" s="3" t="n"/>
      <c r="K802" s="3" t="n"/>
      <c r="L802" s="2" t="inlineStr">
        <is>
          <t>PriceCharting</t>
        </is>
      </c>
      <c r="M802" s="4" t="inlineStr">
        <is>
          <t>https://www.pricecharting.com/game/pokemon-vivid-voltage/charizard-theme-deck</t>
        </is>
      </c>
    </row>
    <row r="803">
      <c r="A803" s="2" t="inlineStr">
        <is>
          <t>Vivid Voltage Drednaw Theme Deck</t>
        </is>
      </c>
      <c r="B803" s="3">
        <f>IF(H803&lt;&gt;"",H803,IF(I803&lt;&gt;"",I803,IF(J803&lt;&gt;"",J803,K803)))</f>
        <v>11.2</v>
      </c>
      <c r="C803" s="3">
        <f>MEDIAN(H803:K803)</f>
        <v>11.2</v>
      </c>
      <c r="D803" s="3">
        <f>ROUND(C803*(1-Settings!$B$2),2)</f>
        <v>7.84</v>
      </c>
      <c r="E803" s="2" t="inlineStr">
        <is>
          <t>Pokemon</t>
        </is>
      </c>
      <c r="F803" s="2" t="inlineStr">
        <is>
          <t>Deck</t>
        </is>
      </c>
      <c r="G803" s="2" t="inlineStr">
        <is>
          <t>Vivid Voltage</t>
        </is>
      </c>
      <c r="H803" s="3" t="n">
        <v>11.2</v>
      </c>
      <c r="I803" s="3" t="n"/>
      <c r="J803" s="3" t="n"/>
      <c r="K803" s="3" t="n"/>
      <c r="L803" s="2" t="inlineStr">
        <is>
          <t>PriceCharting</t>
        </is>
      </c>
      <c r="M803" s="4" t="inlineStr">
        <is>
          <t>https://www.pricecharting.com/game/pokemon-vivid-voltage/drednaw-theme-deck</t>
        </is>
      </c>
    </row>
    <row r="804">
      <c r="A804" s="2" t="inlineStr">
        <is>
          <t>2023 World Championships Yokohama Deck: Pikachu ex</t>
        </is>
      </c>
      <c r="B804" s="3">
        <f>IF(H804&lt;&gt;"",H804,IF(I804&lt;&gt;"",I804,IF(J804&lt;&gt;"",J804,K804)))</f>
        <v>471.0</v>
      </c>
      <c r="C804" s="3">
        <f>MEDIAN(H804:K804)</f>
        <v>252.995</v>
      </c>
      <c r="D804" s="3">
        <f>ROUND(C804*(1-Settings!$B$2),2)</f>
        <v>177.1</v>
      </c>
      <c r="E804" s="2" t="inlineStr">
        <is>
          <t>Pokemon</t>
        </is>
      </c>
      <c r="F804" s="2" t="inlineStr">
        <is>
          <t>Deck</t>
        </is>
      </c>
      <c r="G804" s="2" t="inlineStr">
        <is>
          <t>WCS23: 2023 World Championships Yokohama Deck: Pikachu</t>
        </is>
      </c>
      <c r="H804" s="3" t="n"/>
      <c r="I804" s="3" t="n">
        <v>471</v>
      </c>
      <c r="J804" s="3" t="n"/>
      <c r="K804" s="3" t="n">
        <v>34.99</v>
      </c>
      <c r="L804" s="2" t="inlineStr">
        <is>
          <t>TCGplayer</t>
        </is>
      </c>
      <c r="N804" s="4" t="inlineStr">
        <is>
          <t>https://www.tcgplayer.com/product/594103</t>
        </is>
      </c>
    </row>
    <row r="805">
      <c r="A805" s="2" t="inlineStr">
        <is>
          <t>2016 World Championship Deck: Cody Walinski (Ninja Blitz)</t>
        </is>
      </c>
      <c r="B805" s="3">
        <f>IF(H805&lt;&gt;"",H805,IF(I805&lt;&gt;"",I805,IF(J805&lt;&gt;"",J805,K805)))</f>
        <v>99.99</v>
      </c>
      <c r="C805" s="3">
        <f>MEDIAN(H805:K805)</f>
        <v>99.99</v>
      </c>
      <c r="D805" s="3">
        <f>ROUND(C805*(1-Settings!$B$2),2)</f>
        <v>69.99</v>
      </c>
      <c r="E805" s="2" t="inlineStr">
        <is>
          <t>Pokemon</t>
        </is>
      </c>
      <c r="F805" s="2" t="inlineStr">
        <is>
          <t>Deck</t>
        </is>
      </c>
      <c r="G805" s="2" t="inlineStr">
        <is>
          <t>World Championship Decks</t>
        </is>
      </c>
      <c r="H805" s="3" t="n"/>
      <c r="I805" s="3" t="n">
        <v>99.98999999999999</v>
      </c>
      <c r="J805" s="3" t="n"/>
      <c r="K805" s="3" t="n"/>
      <c r="L805" s="2" t="inlineStr">
        <is>
          <t>TCGplayer</t>
        </is>
      </c>
      <c r="N805" s="4" t="inlineStr">
        <is>
          <t>https://www.tcgplayer.com/product/170457</t>
        </is>
      </c>
    </row>
    <row r="806">
      <c r="A806" s="2" t="inlineStr">
        <is>
          <t>2017 World Championship Deck: Diego Cassiraga (Infinite Force)</t>
        </is>
      </c>
      <c r="B806" s="3">
        <f>IF(H806&lt;&gt;"",H806,IF(I806&lt;&gt;"",I806,IF(J806&lt;&gt;"",J806,K806)))</f>
        <v>67.46</v>
      </c>
      <c r="C806" s="3">
        <f>MEDIAN(H806:K806)</f>
        <v>66.22999999999999</v>
      </c>
      <c r="D806" s="3">
        <f>ROUND(C806*(1-Settings!$B$2),2)</f>
        <v>46.36</v>
      </c>
      <c r="E806" s="2" t="inlineStr">
        <is>
          <t>Pokemon</t>
        </is>
      </c>
      <c r="F806" s="2" t="inlineStr">
        <is>
          <t>Deck</t>
        </is>
      </c>
      <c r="G806" s="2" t="inlineStr">
        <is>
          <t>World Championship Decks</t>
        </is>
      </c>
      <c r="H806" s="3" t="n"/>
      <c r="I806" s="3" t="n">
        <v>67.45999999999999</v>
      </c>
      <c r="J806" s="3" t="n"/>
      <c r="K806" s="3" t="n">
        <v>65</v>
      </c>
      <c r="L806" s="2" t="inlineStr">
        <is>
          <t>TCGplayer</t>
        </is>
      </c>
      <c r="N806" s="4" t="inlineStr">
        <is>
          <t>https://www.tcgplayer.com/product/175267</t>
        </is>
      </c>
    </row>
    <row r="807">
      <c r="A807" s="2" t="inlineStr">
        <is>
          <t>2017 World Championship Deck: Kabu Fukase (Samurai Sniper)</t>
        </is>
      </c>
      <c r="B807" s="3">
        <f>IF(H807&lt;&gt;"",H807,IF(I807&lt;&gt;"",I807,IF(J807&lt;&gt;"",J807,K807)))</f>
        <v>39.86</v>
      </c>
      <c r="C807" s="3">
        <f>MEDIAN(H807:K807)</f>
        <v>39.86</v>
      </c>
      <c r="D807" s="3">
        <f>ROUND(C807*(1-Settings!$B$2),2)</f>
        <v>27.9</v>
      </c>
      <c r="E807" s="2" t="inlineStr">
        <is>
          <t>Pokemon</t>
        </is>
      </c>
      <c r="F807" s="2" t="inlineStr">
        <is>
          <t>Deck</t>
        </is>
      </c>
      <c r="G807" s="2" t="inlineStr">
        <is>
          <t>World Championship Decks</t>
        </is>
      </c>
      <c r="H807" s="3" t="n"/>
      <c r="I807" s="3" t="n">
        <v>39.86</v>
      </c>
      <c r="J807" s="3" t="n"/>
      <c r="K807" s="3" t="n"/>
      <c r="L807" s="2" t="inlineStr">
        <is>
          <t>TCGplayer</t>
        </is>
      </c>
      <c r="N807" s="4" t="inlineStr">
        <is>
          <t>https://www.tcgplayer.com/product/175268</t>
        </is>
      </c>
    </row>
    <row r="808">
      <c r="A808" s="2" t="inlineStr">
        <is>
          <t>2017 World Championship Deck: Naoto Suzuki (Golisodor)</t>
        </is>
      </c>
      <c r="B808" s="3">
        <f>IF(H808&lt;&gt;"",H808,IF(I808&lt;&gt;"",I808,IF(J808&lt;&gt;"",J808,K808)))</f>
        <v>53.49</v>
      </c>
      <c r="C808" s="3">
        <f>MEDIAN(H808:K808)</f>
        <v>67.67</v>
      </c>
      <c r="D808" s="3">
        <f>ROUND(C808*(1-Settings!$B$2),2)</f>
        <v>47.37</v>
      </c>
      <c r="E808" s="2" t="inlineStr">
        <is>
          <t>Pokemon</t>
        </is>
      </c>
      <c r="F808" s="2" t="inlineStr">
        <is>
          <t>Deck</t>
        </is>
      </c>
      <c r="G808" s="2" t="inlineStr">
        <is>
          <t>World Championship Decks</t>
        </is>
      </c>
      <c r="H808" s="3" t="n"/>
      <c r="I808" s="3" t="n">
        <v>53.49</v>
      </c>
      <c r="J808" s="3" t="n">
        <v>70.95999999999999</v>
      </c>
      <c r="K808" s="3" t="n">
        <v>67.67</v>
      </c>
      <c r="L808" s="2" t="inlineStr">
        <is>
          <t>TCGplayer</t>
        </is>
      </c>
      <c r="N808" s="4" t="inlineStr">
        <is>
          <t>https://www.tcgplayer.com/product/175265</t>
        </is>
      </c>
    </row>
    <row r="809">
      <c r="A809" s="2" t="inlineStr">
        <is>
          <t>2017 World Championship Deck: Zachary Bokhari (Ice Path FTW)</t>
        </is>
      </c>
      <c r="B809" s="3">
        <f>IF(H809&lt;&gt;"",H809,IF(I809&lt;&gt;"",I809,IF(J809&lt;&gt;"",J809,K809)))</f>
        <v>62.18</v>
      </c>
      <c r="C809" s="3">
        <f>MEDIAN(H809:K809)</f>
        <v>62.18</v>
      </c>
      <c r="D809" s="3">
        <f>ROUND(C809*(1-Settings!$B$2),2)</f>
        <v>43.53</v>
      </c>
      <c r="E809" s="2" t="inlineStr">
        <is>
          <t>Pokemon</t>
        </is>
      </c>
      <c r="F809" s="2" t="inlineStr">
        <is>
          <t>Deck</t>
        </is>
      </c>
      <c r="G809" s="2" t="inlineStr">
        <is>
          <t>World Championship Decks</t>
        </is>
      </c>
      <c r="H809" s="3" t="n"/>
      <c r="I809" s="3" t="n">
        <v>62.18</v>
      </c>
      <c r="J809" s="3" t="n"/>
      <c r="K809" s="3" t="n"/>
      <c r="L809" s="2" t="inlineStr">
        <is>
          <t>TCGplayer</t>
        </is>
      </c>
      <c r="N809" s="4" t="inlineStr">
        <is>
          <t>https://www.tcgplayer.com/product/175266</t>
        </is>
      </c>
    </row>
    <row r="810">
      <c r="A810" s="2" t="inlineStr">
        <is>
          <t>2019 World Championship Deck: Haruki Miyamoto (Pikarom Judge)</t>
        </is>
      </c>
      <c r="B810" s="3">
        <f>IF(H810&lt;&gt;"",H810,IF(I810&lt;&gt;"",I810,IF(J810&lt;&gt;"",J810,K810)))</f>
        <v>99.97</v>
      </c>
      <c r="C810" s="3">
        <f>MEDIAN(H810:K810)</f>
        <v>99.97</v>
      </c>
      <c r="D810" s="3">
        <f>ROUND(C810*(1-Settings!$B$2),2)</f>
        <v>69.98</v>
      </c>
      <c r="E810" s="2" t="inlineStr">
        <is>
          <t>Pokemon</t>
        </is>
      </c>
      <c r="F810" s="2" t="inlineStr">
        <is>
          <t>Deck</t>
        </is>
      </c>
      <c r="G810" s="2" t="inlineStr">
        <is>
          <t>World Championship Decks</t>
        </is>
      </c>
      <c r="H810" s="3" t="n"/>
      <c r="I810" s="3" t="n">
        <v>99.97</v>
      </c>
      <c r="J810" s="3" t="n"/>
      <c r="K810" s="3" t="n"/>
      <c r="L810" s="2" t="inlineStr">
        <is>
          <t>TCGplayer</t>
        </is>
      </c>
      <c r="N810" s="4" t="inlineStr">
        <is>
          <t>https://www.tcgplayer.com/product/200138</t>
        </is>
      </c>
    </row>
    <row r="811">
      <c r="A811" s="2" t="inlineStr">
        <is>
          <t>2019 World Championship Deck: Kaya Lichtleitner (Fire Box)</t>
        </is>
      </c>
      <c r="B811" s="3">
        <f>IF(H811&lt;&gt;"",H811,IF(I811&lt;&gt;"",I811,IF(J811&lt;&gt;"",J811,K811)))</f>
        <v>94.95</v>
      </c>
      <c r="C811" s="3">
        <f>MEDIAN(H811:K811)</f>
        <v>94.95</v>
      </c>
      <c r="D811" s="3">
        <f>ROUND(C811*(1-Settings!$B$2),2)</f>
        <v>66.47</v>
      </c>
      <c r="E811" s="2" t="inlineStr">
        <is>
          <t>Pokemon</t>
        </is>
      </c>
      <c r="F811" s="2" t="inlineStr">
        <is>
          <t>Deck</t>
        </is>
      </c>
      <c r="G811" s="2" t="inlineStr">
        <is>
          <t>World Championship Decks</t>
        </is>
      </c>
      <c r="H811" s="3" t="n"/>
      <c r="I811" s="3" t="n">
        <v>94.95</v>
      </c>
      <c r="J811" s="3" t="n"/>
      <c r="K811" s="3" t="n"/>
      <c r="L811" s="2" t="inlineStr">
        <is>
          <t>TCGplayer</t>
        </is>
      </c>
      <c r="N811" s="4" t="inlineStr">
        <is>
          <t>https://www.tcgplayer.com/product/200137</t>
        </is>
      </c>
    </row>
    <row r="812">
      <c r="A812" s="2" t="inlineStr">
        <is>
          <t>2022 World Championship Deck [Set of 4]</t>
        </is>
      </c>
      <c r="B812" s="3">
        <f>IF(H812&lt;&gt;"",H812,IF(I812&lt;&gt;"",I812,IF(J812&lt;&gt;"",J812,K812)))</f>
        <v>99.47</v>
      </c>
      <c r="C812" s="3">
        <f>MEDIAN(H812:K812)</f>
        <v>119.99</v>
      </c>
      <c r="D812" s="3">
        <f>ROUND(C812*(1-Settings!$B$2),2)</f>
        <v>83.99</v>
      </c>
      <c r="E812" s="2" t="inlineStr">
        <is>
          <t>Pokemon</t>
        </is>
      </c>
      <c r="F812" s="2" t="inlineStr">
        <is>
          <t>Deck</t>
        </is>
      </c>
      <c r="G812" s="2" t="inlineStr">
        <is>
          <t>World Championship Decks</t>
        </is>
      </c>
      <c r="H812" s="3" t="n"/>
      <c r="I812" s="3" t="n">
        <v>99.47</v>
      </c>
      <c r="J812" s="3" t="n">
        <v>131.93</v>
      </c>
      <c r="K812" s="3" t="n">
        <v>119.99</v>
      </c>
      <c r="L812" s="2" t="inlineStr">
        <is>
          <t>TCGplayer</t>
        </is>
      </c>
      <c r="N812" s="4" t="inlineStr">
        <is>
          <t>https://www.tcgplayer.com/product/477232</t>
        </is>
      </c>
    </row>
    <row r="813">
      <c r="A813" s="2" t="inlineStr">
        <is>
          <t>2022 World Championship Deck: Andre Chiasson (The Shape of Mew)</t>
        </is>
      </c>
      <c r="B813" s="3">
        <f>IF(H813&lt;&gt;"",H813,IF(I813&lt;&gt;"",I813,IF(J813&lt;&gt;"",J813,K813)))</f>
        <v>29.82</v>
      </c>
      <c r="C813" s="3">
        <f>MEDIAN(H813:K813)</f>
        <v>29.82</v>
      </c>
      <c r="D813" s="3">
        <f>ROUND(C813*(1-Settings!$B$2),2)</f>
        <v>20.87</v>
      </c>
      <c r="E813" s="2" t="inlineStr">
        <is>
          <t>Pokemon</t>
        </is>
      </c>
      <c r="F813" s="2" t="inlineStr">
        <is>
          <t>Deck</t>
        </is>
      </c>
      <c r="G813" s="2" t="inlineStr">
        <is>
          <t>World Championship Decks</t>
        </is>
      </c>
      <c r="H813" s="3" t="n"/>
      <c r="I813" s="3" t="n">
        <v>29.82</v>
      </c>
      <c r="J813" s="3" t="n">
        <v>29.82</v>
      </c>
      <c r="K813" s="3" t="n">
        <v>29.05</v>
      </c>
      <c r="L813" s="2" t="inlineStr">
        <is>
          <t>TCGplayer</t>
        </is>
      </c>
      <c r="N813" s="4" t="inlineStr">
        <is>
          <t>https://www.tcgplayer.com/product/475656</t>
        </is>
      </c>
    </row>
    <row r="814">
      <c r="A814" s="2" t="inlineStr">
        <is>
          <t>2022 World Championship Deck: Rikuto Ohashi (Ice Rider Palkia)</t>
        </is>
      </c>
      <c r="B814" s="3">
        <f>IF(H814&lt;&gt;"",H814,IF(I814&lt;&gt;"",I814,IF(J814&lt;&gt;"",J814,K814)))</f>
        <v>19.36</v>
      </c>
      <c r="C814" s="3">
        <f>MEDIAN(H814:K814)</f>
        <v>19.36</v>
      </c>
      <c r="D814" s="3">
        <f>ROUND(C814*(1-Settings!$B$2),2)</f>
        <v>13.55</v>
      </c>
      <c r="E814" s="2" t="inlineStr">
        <is>
          <t>Pokemon</t>
        </is>
      </c>
      <c r="F814" s="2" t="inlineStr">
        <is>
          <t>Deck</t>
        </is>
      </c>
      <c r="G814" s="2" t="inlineStr">
        <is>
          <t>World Championship Decks</t>
        </is>
      </c>
      <c r="H814" s="3" t="n"/>
      <c r="I814" s="3" t="n">
        <v>19.36</v>
      </c>
      <c r="J814" s="3" t="n">
        <v>26.82</v>
      </c>
      <c r="K814" s="3" t="n">
        <v>10</v>
      </c>
      <c r="L814" s="2" t="inlineStr">
        <is>
          <t>TCGplayer</t>
        </is>
      </c>
      <c r="N814" s="4" t="inlineStr">
        <is>
          <t>https://www.tcgplayer.com/product/475658</t>
        </is>
      </c>
    </row>
    <row r="815">
      <c r="A815" s="2" t="inlineStr">
        <is>
          <t>2022 World Championship Deck: Sebastian Lashmet (Cheryl Again)</t>
        </is>
      </c>
      <c r="B815" s="3">
        <f>IF(H815&lt;&gt;"",H815,IF(I815&lt;&gt;"",I815,IF(J815&lt;&gt;"",J815,K815)))</f>
        <v>18.24</v>
      </c>
      <c r="C815" s="3">
        <f>MEDIAN(H815:K815)</f>
        <v>18.24</v>
      </c>
      <c r="D815" s="3">
        <f>ROUND(C815*(1-Settings!$B$2),2)</f>
        <v>12.77</v>
      </c>
      <c r="E815" s="2" t="inlineStr">
        <is>
          <t>Pokemon</t>
        </is>
      </c>
      <c r="F815" s="2" t="inlineStr">
        <is>
          <t>Deck</t>
        </is>
      </c>
      <c r="G815" s="2" t="inlineStr">
        <is>
          <t>World Championship Decks</t>
        </is>
      </c>
      <c r="H815" s="3" t="n"/>
      <c r="I815" s="3" t="n">
        <v>18.24</v>
      </c>
      <c r="J815" s="3" t="n">
        <v>24.95</v>
      </c>
      <c r="K815" s="3" t="n">
        <v>15</v>
      </c>
      <c r="L815" s="2" t="inlineStr">
        <is>
          <t>TCGplayer</t>
        </is>
      </c>
      <c r="N815" s="4" t="inlineStr">
        <is>
          <t>https://www.tcgplayer.com/product/475659</t>
        </is>
      </c>
    </row>
    <row r="816">
      <c r="A816" s="2" t="inlineStr">
        <is>
          <t>2023 World Championship Deck: Gabriel Fernandez (Colorless Lugia)</t>
        </is>
      </c>
      <c r="B816" s="3">
        <f>IF(H816&lt;&gt;"",H816,IF(I816&lt;&gt;"",I816,IF(J816&lt;&gt;"",J816,K816)))</f>
        <v>35.05</v>
      </c>
      <c r="C816" s="3">
        <f>MEDIAN(H816:K816)</f>
        <v>49.99</v>
      </c>
      <c r="D816" s="3">
        <f>ROUND(C816*(1-Settings!$B$2),2)</f>
        <v>34.99</v>
      </c>
      <c r="E816" s="2" t="inlineStr">
        <is>
          <t>Pokemon</t>
        </is>
      </c>
      <c r="F816" s="2" t="inlineStr">
        <is>
          <t>Deck</t>
        </is>
      </c>
      <c r="G816" s="2" t="inlineStr">
        <is>
          <t>World Championship Decks</t>
        </is>
      </c>
      <c r="H816" s="3" t="n"/>
      <c r="I816" s="3" t="n">
        <v>35.05</v>
      </c>
      <c r="J816" s="3" t="n">
        <v>56</v>
      </c>
      <c r="K816" s="3" t="n">
        <v>49.99</v>
      </c>
      <c r="L816" s="2" t="inlineStr">
        <is>
          <t>TCGplayer</t>
        </is>
      </c>
      <c r="N816" s="4" t="inlineStr">
        <is>
          <t>https://www.tcgplayer.com/product/532028</t>
        </is>
      </c>
    </row>
    <row r="817">
      <c r="A817" s="2" t="inlineStr">
        <is>
          <t>2023 World Championship Deck: Shao Tong Yen (Lost Box Kyogre)</t>
        </is>
      </c>
      <c r="B817" s="3">
        <f>IF(H817&lt;&gt;"",H817,IF(I817&lt;&gt;"",I817,IF(J817&lt;&gt;"",J817,K817)))</f>
        <v>25.6</v>
      </c>
      <c r="C817" s="3">
        <f>MEDIAN(H817:K817)</f>
        <v>25.6</v>
      </c>
      <c r="D817" s="3">
        <f>ROUND(C817*(1-Settings!$B$2),2)</f>
        <v>17.92</v>
      </c>
      <c r="E817" s="2" t="inlineStr">
        <is>
          <t>Pokemon</t>
        </is>
      </c>
      <c r="F817" s="2" t="inlineStr">
        <is>
          <t>Deck</t>
        </is>
      </c>
      <c r="G817" s="2" t="inlineStr">
        <is>
          <t>World Championship Decks</t>
        </is>
      </c>
      <c r="H817" s="3" t="n"/>
      <c r="I817" s="3" t="n">
        <v>25.6</v>
      </c>
      <c r="J817" s="3" t="n">
        <v>39.99</v>
      </c>
      <c r="K817" s="3" t="n">
        <v>24.99</v>
      </c>
      <c r="L817" s="2" t="inlineStr">
        <is>
          <t>TCGplayer</t>
        </is>
      </c>
      <c r="N817" s="4" t="inlineStr">
        <is>
          <t>https://www.tcgplayer.com/product/532031</t>
        </is>
      </c>
    </row>
    <row r="818">
      <c r="A818" s="2" t="inlineStr">
        <is>
          <t>2023 World Championship Deck: Tord Reklev (Psychic Elegance)</t>
        </is>
      </c>
      <c r="B818" s="3">
        <f>IF(H818&lt;&gt;"",H818,IF(I818&lt;&gt;"",I818,IF(J818&lt;&gt;"",J818,K818)))</f>
        <v>25.73</v>
      </c>
      <c r="C818" s="3">
        <f>MEDIAN(H818:K818)</f>
        <v>25.73</v>
      </c>
      <c r="D818" s="3">
        <f>ROUND(C818*(1-Settings!$B$2),2)</f>
        <v>18.01</v>
      </c>
      <c r="E818" s="2" t="inlineStr">
        <is>
          <t>Pokemon</t>
        </is>
      </c>
      <c r="F818" s="2" t="inlineStr">
        <is>
          <t>Deck</t>
        </is>
      </c>
      <c r="G818" s="2" t="inlineStr">
        <is>
          <t>World Championship Decks</t>
        </is>
      </c>
      <c r="H818" s="3" t="n"/>
      <c r="I818" s="3" t="n">
        <v>25.73</v>
      </c>
      <c r="J818" s="3" t="n">
        <v>47.49</v>
      </c>
      <c r="K818" s="3" t="n">
        <v>24.99</v>
      </c>
      <c r="L818" s="2" t="inlineStr">
        <is>
          <t>TCGplayer</t>
        </is>
      </c>
      <c r="N818" s="4" t="inlineStr">
        <is>
          <t>https://www.tcgplayer.com/product/532030</t>
        </is>
      </c>
    </row>
    <row r="819">
      <c r="A819" s="2" t="inlineStr">
        <is>
          <t>2023 World Championship Deck: Vance Kelley (Mew's Revenge)</t>
        </is>
      </c>
      <c r="B819" s="3">
        <f>IF(H819&lt;&gt;"",H819,IF(I819&lt;&gt;"",I819,IF(J819&lt;&gt;"",J819,K819)))</f>
        <v>36.01</v>
      </c>
      <c r="C819" s="3">
        <f>MEDIAN(H819:K819)</f>
        <v>36.01</v>
      </c>
      <c r="D819" s="3">
        <f>ROUND(C819*(1-Settings!$B$2),2)</f>
        <v>25.21</v>
      </c>
      <c r="E819" s="2" t="inlineStr">
        <is>
          <t>Pokemon</t>
        </is>
      </c>
      <c r="F819" s="2" t="inlineStr">
        <is>
          <t>Deck</t>
        </is>
      </c>
      <c r="G819" s="2" t="inlineStr">
        <is>
          <t>World Championship Decks</t>
        </is>
      </c>
      <c r="H819" s="3" t="n"/>
      <c r="I819" s="3" t="n">
        <v>36.01</v>
      </c>
      <c r="J819" s="3" t="n">
        <v>38.99</v>
      </c>
      <c r="K819" s="3" t="n">
        <v>5</v>
      </c>
      <c r="L819" s="2" t="inlineStr">
        <is>
          <t>TCGplayer</t>
        </is>
      </c>
      <c r="N819" s="4" t="inlineStr">
        <is>
          <t>https://www.tcgplayer.com/product/532029</t>
        </is>
      </c>
    </row>
    <row r="820">
      <c r="A820" s="2" t="inlineStr">
        <is>
          <t>2024 World Championship Deck: Evan Pavelski (Regidrago VSTAR)</t>
        </is>
      </c>
      <c r="B820" s="3">
        <f>IF(H820&lt;&gt;"",H820,IF(I820&lt;&gt;"",I820,IF(J820&lt;&gt;"",J820,K820)))</f>
        <v>20.22</v>
      </c>
      <c r="C820" s="3">
        <f>MEDIAN(H820:K820)</f>
        <v>20.22</v>
      </c>
      <c r="D820" s="3">
        <f>ROUND(C820*(1-Settings!$B$2),2)</f>
        <v>14.15</v>
      </c>
      <c r="E820" s="2" t="inlineStr">
        <is>
          <t>Pokemon</t>
        </is>
      </c>
      <c r="F820" s="2" t="inlineStr">
        <is>
          <t>Deck</t>
        </is>
      </c>
      <c r="G820" s="2" t="inlineStr">
        <is>
          <t>World Championship Decks</t>
        </is>
      </c>
      <c r="H820" s="3" t="n"/>
      <c r="I820" s="3" t="n">
        <v>20.22</v>
      </c>
      <c r="J820" s="3" t="n">
        <v>20.22</v>
      </c>
      <c r="K820" s="3" t="n">
        <v>20.22</v>
      </c>
      <c r="L820" s="2" t="inlineStr">
        <is>
          <t>TCGplayer</t>
        </is>
      </c>
      <c r="N820" s="4" t="inlineStr">
        <is>
          <t>https://www.tcgplayer.com/product/616300</t>
        </is>
      </c>
    </row>
    <row r="821">
      <c r="A821" s="2" t="inlineStr">
        <is>
          <t>2024 World Championship Deck: Fernando Cifuentes (Crushing Thorn)</t>
        </is>
      </c>
      <c r="B821" s="3">
        <f>IF(H821&lt;&gt;"",H821,IF(I821&lt;&gt;"",I821,IF(J821&lt;&gt;"",J821,K821)))</f>
        <v>15.28</v>
      </c>
      <c r="C821" s="3">
        <f>MEDIAN(H821:K821)</f>
        <v>15.28</v>
      </c>
      <c r="D821" s="3">
        <f>ROUND(C821*(1-Settings!$B$2),2)</f>
        <v>10.7</v>
      </c>
      <c r="E821" s="2" t="inlineStr">
        <is>
          <t>Pokemon</t>
        </is>
      </c>
      <c r="F821" s="2" t="inlineStr">
        <is>
          <t>Deck</t>
        </is>
      </c>
      <c r="G821" s="2" t="inlineStr">
        <is>
          <t>World Championship Decks</t>
        </is>
      </c>
      <c r="H821" s="3" t="n"/>
      <c r="I821" s="3" t="n">
        <v>15.28</v>
      </c>
      <c r="J821" s="3" t="n">
        <v>15.99</v>
      </c>
      <c r="K821" s="3" t="n">
        <v>14.9</v>
      </c>
      <c r="L821" s="2" t="inlineStr">
        <is>
          <t>TCGplayer</t>
        </is>
      </c>
      <c r="N821" s="4" t="inlineStr">
        <is>
          <t>https://www.tcgplayer.com/product/616299</t>
        </is>
      </c>
    </row>
    <row r="822">
      <c r="A822" s="2" t="inlineStr">
        <is>
          <t>2024 World Championship Deck: Jesse Parker (The 'Don)</t>
        </is>
      </c>
      <c r="B822" s="3">
        <f>IF(H822&lt;&gt;"",H822,IF(I822&lt;&gt;"",I822,IF(J822&lt;&gt;"",J822,K822)))</f>
        <v>19.93</v>
      </c>
      <c r="C822" s="3">
        <f>MEDIAN(H822:K822)</f>
        <v>20.0</v>
      </c>
      <c r="D822" s="3">
        <f>ROUND(C822*(1-Settings!$B$2),2)</f>
        <v>14.0</v>
      </c>
      <c r="E822" s="2" t="inlineStr">
        <is>
          <t>Pokemon</t>
        </is>
      </c>
      <c r="F822" s="2" t="inlineStr">
        <is>
          <t>Deck</t>
        </is>
      </c>
      <c r="G822" s="2" t="inlineStr">
        <is>
          <t>World Championship Decks</t>
        </is>
      </c>
      <c r="H822" s="3" t="n"/>
      <c r="I822" s="3" t="n">
        <v>19.93</v>
      </c>
      <c r="J822" s="3" t="n">
        <v>20</v>
      </c>
      <c r="K822" s="3" t="n">
        <v>20</v>
      </c>
      <c r="L822" s="2" t="inlineStr">
        <is>
          <t>TCGplayer</t>
        </is>
      </c>
      <c r="N822" s="4" t="inlineStr">
        <is>
          <t>https://www.tcgplayer.com/product/616302</t>
        </is>
      </c>
    </row>
    <row r="823">
      <c r="A823" s="2" t="inlineStr">
        <is>
          <t>2024 World Championship Deck: Sakuya Ota (Ancient Toolbox)</t>
        </is>
      </c>
      <c r="B823" s="3">
        <f>IF(H823&lt;&gt;"",H823,IF(I823&lt;&gt;"",I823,IF(J823&lt;&gt;"",J823,K823)))</f>
        <v>14.69</v>
      </c>
      <c r="C823" s="3">
        <f>MEDIAN(H823:K823)</f>
        <v>14.69</v>
      </c>
      <c r="D823" s="3">
        <f>ROUND(C823*(1-Settings!$B$2),2)</f>
        <v>10.28</v>
      </c>
      <c r="E823" s="2" t="inlineStr">
        <is>
          <t>Pokemon</t>
        </is>
      </c>
      <c r="F823" s="2" t="inlineStr">
        <is>
          <t>Deck</t>
        </is>
      </c>
      <c r="G823" s="2" t="inlineStr">
        <is>
          <t>World Championship Decks</t>
        </is>
      </c>
      <c r="H823" s="3" t="n"/>
      <c r="I823" s="3" t="n">
        <v>14.69</v>
      </c>
      <c r="J823" s="3" t="n">
        <v>23.49</v>
      </c>
      <c r="K823" s="3" t="n">
        <v>13.99</v>
      </c>
      <c r="L823" s="2" t="inlineStr">
        <is>
          <t>TCGplayer</t>
        </is>
      </c>
      <c r="N823" s="4" t="inlineStr">
        <is>
          <t>https://www.tcgplayer.com/product/616301</t>
        </is>
      </c>
    </row>
    <row r="824">
      <c r="A824" s="2" t="inlineStr">
        <is>
          <t>2025 World Championship Deck: Jose Cruz Galindo-Resendiz (Pult Bomb)</t>
        </is>
      </c>
      <c r="B824" s="3">
        <f>IF(H824&lt;&gt;"",H824,IF(I824&lt;&gt;"",I824,IF(J824&lt;&gt;"",J824,K824)))</f>
        <v>24.26</v>
      </c>
      <c r="C824" s="3">
        <f>MEDIAN(H824:K824)</f>
        <v>24.26</v>
      </c>
      <c r="D824" s="3">
        <f>ROUND(C824*(1-Settings!$B$2),2)</f>
        <v>16.98</v>
      </c>
      <c r="E824" s="2" t="inlineStr">
        <is>
          <t>Pokemon</t>
        </is>
      </c>
      <c r="F824" s="2" t="inlineStr">
        <is>
          <t>Deck</t>
        </is>
      </c>
      <c r="G824" s="2" t="inlineStr">
        <is>
          <t>World Championship Decks</t>
        </is>
      </c>
      <c r="H824" s="3" t="n"/>
      <c r="I824" s="3" t="n">
        <v>24.26</v>
      </c>
      <c r="J824" s="3" t="n">
        <v>28.94</v>
      </c>
      <c r="K824" s="3" t="n">
        <v>20.95</v>
      </c>
      <c r="L824" s="2" t="inlineStr">
        <is>
          <t>TCGplayer</t>
        </is>
      </c>
      <c r="N824" s="4" t="inlineStr">
        <is>
          <t>https://www.tcgplayer.com/product/696639</t>
        </is>
      </c>
    </row>
    <row r="825">
      <c r="A825" s="2" t="inlineStr">
        <is>
          <t>2025 World Championship Deck: Liao Fu Guan (Joltdengo)</t>
        </is>
      </c>
      <c r="B825" s="3">
        <f>IF(H825&lt;&gt;"",H825,IF(I825&lt;&gt;"",I825,IF(J825&lt;&gt;"",J825,K825)))</f>
        <v>23.37</v>
      </c>
      <c r="C825" s="3">
        <f>MEDIAN(H825:K825)</f>
        <v>23.37</v>
      </c>
      <c r="D825" s="3">
        <f>ROUND(C825*(1-Settings!$B$2),2)</f>
        <v>16.36</v>
      </c>
      <c r="E825" s="2" t="inlineStr">
        <is>
          <t>Pokemon</t>
        </is>
      </c>
      <c r="F825" s="2" t="inlineStr">
        <is>
          <t>Deck</t>
        </is>
      </c>
      <c r="G825" s="2" t="inlineStr">
        <is>
          <t>World Championship Decks</t>
        </is>
      </c>
      <c r="H825" s="3" t="n"/>
      <c r="I825" s="3" t="n">
        <v>23.37</v>
      </c>
      <c r="J825" s="3" t="n">
        <v>26.21</v>
      </c>
      <c r="K825" s="3" t="n">
        <v>19.97</v>
      </c>
      <c r="L825" s="2" t="inlineStr">
        <is>
          <t>TCGplayer</t>
        </is>
      </c>
      <c r="N825" s="4" t="inlineStr">
        <is>
          <t>https://www.tcgplayer.com/product/696637</t>
        </is>
      </c>
    </row>
    <row r="826">
      <c r="A826" s="2" t="inlineStr">
        <is>
          <t>2025 World Championship Deck: Riley McKay (Flutter Devo Gardevoir)</t>
        </is>
      </c>
      <c r="B826" s="3">
        <f>IF(H826&lt;&gt;"",H826,IF(I826&lt;&gt;"",I826,IF(J826&lt;&gt;"",J826,K826)))</f>
        <v>27.36</v>
      </c>
      <c r="C826" s="3">
        <f>MEDIAN(H826:K826)</f>
        <v>27.36</v>
      </c>
      <c r="D826" s="3">
        <f>ROUND(C826*(1-Settings!$B$2),2)</f>
        <v>19.15</v>
      </c>
      <c r="E826" s="2" t="inlineStr">
        <is>
          <t>Pokemon</t>
        </is>
      </c>
      <c r="F826" s="2" t="inlineStr">
        <is>
          <t>Deck</t>
        </is>
      </c>
      <c r="G826" s="2" t="inlineStr">
        <is>
          <t>World Championship Decks</t>
        </is>
      </c>
      <c r="H826" s="3" t="n"/>
      <c r="I826" s="3" t="n">
        <v>27.36</v>
      </c>
      <c r="J826" s="3" t="n">
        <v>27.99</v>
      </c>
      <c r="K826" s="3" t="n">
        <v>1</v>
      </c>
      <c r="L826" s="2" t="inlineStr">
        <is>
          <t>TCGplayer</t>
        </is>
      </c>
      <c r="N826" s="4" t="inlineStr">
        <is>
          <t>https://www.tcgplayer.com/product/696636</t>
        </is>
      </c>
    </row>
    <row r="827">
      <c r="A827" s="2" t="inlineStr">
        <is>
          <t>2025 World Championship Deck: Yuyu Okita (JP Raging Bolt)</t>
        </is>
      </c>
      <c r="B827" s="3">
        <f>IF(H827&lt;&gt;"",H827,IF(I827&lt;&gt;"",I827,IF(J827&lt;&gt;"",J827,K827)))</f>
        <v>23.03</v>
      </c>
      <c r="C827" s="3">
        <f>MEDIAN(H827:K827)</f>
        <v>23.03</v>
      </c>
      <c r="D827" s="3">
        <f>ROUND(C827*(1-Settings!$B$2),2)</f>
        <v>16.12</v>
      </c>
      <c r="E827" s="2" t="inlineStr">
        <is>
          <t>Pokemon</t>
        </is>
      </c>
      <c r="F827" s="2" t="inlineStr">
        <is>
          <t>Deck</t>
        </is>
      </c>
      <c r="G827" s="2" t="inlineStr">
        <is>
          <t>World Championship Decks</t>
        </is>
      </c>
      <c r="H827" s="3" t="n"/>
      <c r="I827" s="3" t="n">
        <v>23.03</v>
      </c>
      <c r="J827" s="3" t="n">
        <v>23.59</v>
      </c>
      <c r="K827" s="3" t="n">
        <v>19.97</v>
      </c>
      <c r="L827" s="2" t="inlineStr">
        <is>
          <t>TCGplayer</t>
        </is>
      </c>
      <c r="N827" s="4" t="inlineStr">
        <is>
          <t>https://www.tcgplayer.com/product/696638</t>
        </is>
      </c>
    </row>
    <row r="828">
      <c r="A828" s="2" t="inlineStr">
        <is>
          <t>Ancient Origins Theme Deck - "Stone Heart" [Regirock]</t>
        </is>
      </c>
      <c r="B828" s="3">
        <f>IF(H828&lt;&gt;"",H828,IF(I828&lt;&gt;"",I828,IF(J828&lt;&gt;"",J828,K828)))</f>
        <v>39.97</v>
      </c>
      <c r="C828" s="3">
        <f>MEDIAN(H828:K828)</f>
        <v>39.480000000000004</v>
      </c>
      <c r="D828" s="3">
        <f>ROUND(C828*(1-Settings!$B$2),2)</f>
        <v>27.64</v>
      </c>
      <c r="E828" s="2" t="inlineStr">
        <is>
          <t>Pokemon</t>
        </is>
      </c>
      <c r="F828" s="2" t="inlineStr">
        <is>
          <t>Deck</t>
        </is>
      </c>
      <c r="G828" s="2" t="inlineStr">
        <is>
          <t>XY - Ancient Origins</t>
        </is>
      </c>
      <c r="H828" s="3" t="n"/>
      <c r="I828" s="3" t="n"/>
      <c r="J828" s="3" t="n">
        <v>39.97</v>
      </c>
      <c r="K828" s="3" t="n">
        <v>38.99</v>
      </c>
      <c r="L828" s="2" t="inlineStr">
        <is>
          <t>TCGplayer</t>
        </is>
      </c>
      <c r="N828" s="4" t="inlineStr">
        <is>
          <t>https://www.tcgplayer.com/product/100492</t>
        </is>
      </c>
    </row>
    <row r="829">
      <c r="A829" s="2" t="inlineStr">
        <is>
          <t>BREAKpoint Theme Deck - "Electric Eye" [Luxray]</t>
        </is>
      </c>
      <c r="B829" s="3">
        <f>IF(H829&lt;&gt;"",H829,IF(I829&lt;&gt;"",I829,IF(J829&lt;&gt;"",J829,K829)))</f>
        <v>49.95</v>
      </c>
      <c r="C829" s="3">
        <f>MEDIAN(H829:K829)</f>
        <v>49.95</v>
      </c>
      <c r="D829" s="3">
        <f>ROUND(C829*(1-Settings!$B$2),2)</f>
        <v>34.97</v>
      </c>
      <c r="E829" s="2" t="inlineStr">
        <is>
          <t>Pokemon</t>
        </is>
      </c>
      <c r="F829" s="2" t="inlineStr">
        <is>
          <t>Deck</t>
        </is>
      </c>
      <c r="G829" s="2" t="inlineStr">
        <is>
          <t>XY - BREAKpoint</t>
        </is>
      </c>
      <c r="H829" s="3" t="n"/>
      <c r="I829" s="3" t="n">
        <v>49.95</v>
      </c>
      <c r="J829" s="3" t="n"/>
      <c r="K829" s="3" t="n"/>
      <c r="L829" s="2" t="inlineStr">
        <is>
          <t>TCGplayer</t>
        </is>
      </c>
      <c r="N829" s="4" t="inlineStr">
        <is>
          <t>https://www.tcgplayer.com/product/113531</t>
        </is>
      </c>
    </row>
    <row r="830">
      <c r="A830" s="2" t="inlineStr">
        <is>
          <t>BREAKpoint Theme Deck - "Wave Slasher" [Greninja]</t>
        </is>
      </c>
      <c r="B830" s="3">
        <f>IF(H830&lt;&gt;"",H830,IF(I830&lt;&gt;"",I830,IF(J830&lt;&gt;"",J830,K830)))</f>
        <v>48.0</v>
      </c>
      <c r="C830" s="3">
        <f>MEDIAN(H830:K830)</f>
        <v>48.0</v>
      </c>
      <c r="D830" s="3">
        <f>ROUND(C830*(1-Settings!$B$2),2)</f>
        <v>33.6</v>
      </c>
      <c r="E830" s="2" t="inlineStr">
        <is>
          <t>Pokemon</t>
        </is>
      </c>
      <c r="F830" s="2" t="inlineStr">
        <is>
          <t>Deck</t>
        </is>
      </c>
      <c r="G830" s="2" t="inlineStr">
        <is>
          <t>XY - BREAKpoint</t>
        </is>
      </c>
      <c r="H830" s="3" t="n"/>
      <c r="I830" s="3" t="n">
        <v>48</v>
      </c>
      <c r="J830" s="3" t="n"/>
      <c r="K830" s="3" t="n"/>
      <c r="L830" s="2" t="inlineStr">
        <is>
          <t>TCGplayer</t>
        </is>
      </c>
      <c r="N830" s="4" t="inlineStr">
        <is>
          <t>https://www.tcgplayer.com/product/113530</t>
        </is>
      </c>
    </row>
    <row r="831">
      <c r="A831" s="2" t="inlineStr">
        <is>
          <t>BREAKthrough Theme Deck - "Burning Spark" [Raichu]</t>
        </is>
      </c>
      <c r="B831" s="3">
        <f>IF(H831&lt;&gt;"",H831,IF(I831&lt;&gt;"",I831,IF(J831&lt;&gt;"",J831,K831)))</f>
        <v>54.97</v>
      </c>
      <c r="C831" s="3">
        <f>MEDIAN(H831:K831)</f>
        <v>54.97</v>
      </c>
      <c r="D831" s="3">
        <f>ROUND(C831*(1-Settings!$B$2),2)</f>
        <v>38.48</v>
      </c>
      <c r="E831" s="2" t="inlineStr">
        <is>
          <t>Pokemon</t>
        </is>
      </c>
      <c r="F831" s="2" t="inlineStr">
        <is>
          <t>Deck</t>
        </is>
      </c>
      <c r="G831" s="2" t="inlineStr">
        <is>
          <t>XY - BREAKthrough</t>
        </is>
      </c>
      <c r="H831" s="3" t="n"/>
      <c r="I831" s="3" t="n">
        <v>54.97</v>
      </c>
      <c r="J831" s="3" t="n"/>
      <c r="K831" s="3" t="n"/>
      <c r="L831" s="2" t="inlineStr">
        <is>
          <t>TCGplayer</t>
        </is>
      </c>
      <c r="N831" s="4" t="inlineStr">
        <is>
          <t>https://www.tcgplayer.com/product/107102</t>
        </is>
      </c>
    </row>
    <row r="832">
      <c r="A832" s="2" t="inlineStr">
        <is>
          <t>BREAKthrough Theme Deck - "Night Striker" [Noivern]</t>
        </is>
      </c>
      <c r="B832" s="3">
        <f>IF(H832&lt;&gt;"",H832,IF(I832&lt;&gt;"",I832,IF(J832&lt;&gt;"",J832,K832)))</f>
        <v>39.89</v>
      </c>
      <c r="C832" s="3">
        <f>MEDIAN(H832:K832)</f>
        <v>47.87</v>
      </c>
      <c r="D832" s="3">
        <f>ROUND(C832*(1-Settings!$B$2),2)</f>
        <v>33.51</v>
      </c>
      <c r="E832" s="2" t="inlineStr">
        <is>
          <t>Pokemon</t>
        </is>
      </c>
      <c r="F832" s="2" t="inlineStr">
        <is>
          <t>Deck</t>
        </is>
      </c>
      <c r="G832" s="2" t="inlineStr">
        <is>
          <t>XY - BREAKthrough</t>
        </is>
      </c>
      <c r="H832" s="3" t="n"/>
      <c r="I832" s="3" t="n">
        <v>39.89</v>
      </c>
      <c r="J832" s="3" t="n">
        <v>47.87</v>
      </c>
      <c r="K832" s="3" t="n">
        <v>47.87</v>
      </c>
      <c r="L832" s="2" t="inlineStr">
        <is>
          <t>TCGplayer</t>
        </is>
      </c>
      <c r="N832" s="4" t="inlineStr">
        <is>
          <t>https://www.tcgplayer.com/product/107103</t>
        </is>
      </c>
    </row>
    <row r="833">
      <c r="A833" s="2" t="inlineStr">
        <is>
          <t>Evolutions Theme Deck - "Mewtwo Mayhem" [Mewtwo]</t>
        </is>
      </c>
      <c r="B833" s="3">
        <f>IF(H833&lt;&gt;"",H833,IF(I833&lt;&gt;"",I833,IF(J833&lt;&gt;"",J833,K833)))</f>
        <v>51.33</v>
      </c>
      <c r="C833" s="3">
        <f>MEDIAN(H833:K833)</f>
        <v>51.33</v>
      </c>
      <c r="D833" s="3">
        <f>ROUND(C833*(1-Settings!$B$2),2)</f>
        <v>35.93</v>
      </c>
      <c r="E833" s="2" t="inlineStr">
        <is>
          <t>Pokemon</t>
        </is>
      </c>
      <c r="F833" s="2" t="inlineStr">
        <is>
          <t>Deck</t>
        </is>
      </c>
      <c r="G833" s="2" t="inlineStr">
        <is>
          <t>XY - Evolutions</t>
        </is>
      </c>
      <c r="H833" s="3" t="n"/>
      <c r="I833" s="3" t="n">
        <v>51.33</v>
      </c>
      <c r="J833" s="3" t="n">
        <v>64.98999999999999</v>
      </c>
      <c r="K833" s="3" t="n">
        <v>49.99</v>
      </c>
      <c r="L833" s="2" t="inlineStr">
        <is>
          <t>TCGplayer</t>
        </is>
      </c>
      <c r="N833" s="4" t="inlineStr">
        <is>
          <t>https://www.tcgplayer.com/product/123450</t>
        </is>
      </c>
    </row>
    <row r="834">
      <c r="A834" s="2" t="inlineStr">
        <is>
          <t>Evolutions Theme Deck - "Pikachu Power" [Pikachu]</t>
        </is>
      </c>
      <c r="B834" s="3">
        <f>IF(H834&lt;&gt;"",H834,IF(I834&lt;&gt;"",I834,IF(J834&lt;&gt;"",J834,K834)))</f>
        <v>41.04</v>
      </c>
      <c r="C834" s="3">
        <f>MEDIAN(H834:K834)</f>
        <v>41.04</v>
      </c>
      <c r="D834" s="3">
        <f>ROUND(C834*(1-Settings!$B$2),2)</f>
        <v>28.73</v>
      </c>
      <c r="E834" s="2" t="inlineStr">
        <is>
          <t>Pokemon</t>
        </is>
      </c>
      <c r="F834" s="2" t="inlineStr">
        <is>
          <t>Deck</t>
        </is>
      </c>
      <c r="G834" s="2" t="inlineStr">
        <is>
          <t>XY - Evolutions</t>
        </is>
      </c>
      <c r="H834" s="3" t="n"/>
      <c r="I834" s="3" t="n">
        <v>41.04</v>
      </c>
      <c r="J834" s="3" t="n">
        <v>49.97</v>
      </c>
      <c r="K834" s="3" t="n">
        <v>41.04</v>
      </c>
      <c r="L834" s="2" t="inlineStr">
        <is>
          <t>TCGplayer</t>
        </is>
      </c>
      <c r="N834" s="4" t="inlineStr">
        <is>
          <t>https://www.tcgplayer.com/product/123449</t>
        </is>
      </c>
    </row>
    <row r="835">
      <c r="A835" s="2" t="inlineStr">
        <is>
          <t>Fates Collide Theme Deck - "Battle Ruler" [Zygarde]</t>
        </is>
      </c>
      <c r="B835" s="3">
        <f>IF(H835&lt;&gt;"",H835,IF(I835&lt;&gt;"",I835,IF(J835&lt;&gt;"",J835,K835)))</f>
        <v>24.49</v>
      </c>
      <c r="C835" s="3">
        <f>MEDIAN(H835:K835)</f>
        <v>24.49</v>
      </c>
      <c r="D835" s="3">
        <f>ROUND(C835*(1-Settings!$B$2),2)</f>
        <v>17.14</v>
      </c>
      <c r="E835" s="2" t="inlineStr">
        <is>
          <t>Pokemon</t>
        </is>
      </c>
      <c r="F835" s="2" t="inlineStr">
        <is>
          <t>Deck</t>
        </is>
      </c>
      <c r="G835" s="2" t="inlineStr">
        <is>
          <t>XY - Fates Collide</t>
        </is>
      </c>
      <c r="H835" s="3" t="n"/>
      <c r="I835" s="3" t="n">
        <v>24.49</v>
      </c>
      <c r="J835" s="3" t="n">
        <v>24.74</v>
      </c>
      <c r="K835" s="3" t="n">
        <v>24.49</v>
      </c>
      <c r="L835" s="2" t="inlineStr">
        <is>
          <t>TCGplayer</t>
        </is>
      </c>
      <c r="N835" s="4" t="inlineStr">
        <is>
          <t>https://www.tcgplayer.com/product/117480</t>
        </is>
      </c>
    </row>
    <row r="836">
      <c r="A836" s="2" t="inlineStr">
        <is>
          <t>Flashfire Theme Deck - "Mystic Typhoon" [Meowstic]</t>
        </is>
      </c>
      <c r="B836" s="3">
        <f>IF(H836&lt;&gt;"",H836,IF(I836&lt;&gt;"",I836,IF(J836&lt;&gt;"",J836,K836)))</f>
        <v>69.95</v>
      </c>
      <c r="C836" s="3">
        <f>MEDIAN(H836:K836)</f>
        <v>99.95</v>
      </c>
      <c r="D836" s="3">
        <f>ROUND(C836*(1-Settings!$B$2),2)</f>
        <v>69.97</v>
      </c>
      <c r="E836" s="2" t="inlineStr">
        <is>
          <t>Pokemon</t>
        </is>
      </c>
      <c r="F836" s="2" t="inlineStr">
        <is>
          <t>Deck</t>
        </is>
      </c>
      <c r="G836" s="2" t="inlineStr">
        <is>
          <t>XY - Flashfire</t>
        </is>
      </c>
      <c r="H836" s="3" t="n"/>
      <c r="I836" s="3" t="n">
        <v>69.95</v>
      </c>
      <c r="J836" s="3" t="n">
        <v>99.95</v>
      </c>
      <c r="K836" s="3" t="n">
        <v>99.95</v>
      </c>
      <c r="L836" s="2" t="inlineStr">
        <is>
          <t>TCGplayer</t>
        </is>
      </c>
      <c r="N836" s="4" t="inlineStr">
        <is>
          <t>https://www.tcgplayer.com/product/91597</t>
        </is>
      </c>
    </row>
    <row r="837">
      <c r="A837" s="2" t="inlineStr">
        <is>
          <t>Furious Fists Theme Deck - "Dark Hammer" [Pangoro]</t>
        </is>
      </c>
      <c r="B837" s="3">
        <f>IF(H837&lt;&gt;"",H837,IF(I837&lt;&gt;"",I837,IF(J837&lt;&gt;"",J837,K837)))</f>
        <v>42.47</v>
      </c>
      <c r="C837" s="3">
        <f>MEDIAN(H837:K837)</f>
        <v>49.98</v>
      </c>
      <c r="D837" s="3">
        <f>ROUND(C837*(1-Settings!$B$2),2)</f>
        <v>34.99</v>
      </c>
      <c r="E837" s="2" t="inlineStr">
        <is>
          <t>Pokemon</t>
        </is>
      </c>
      <c r="F837" s="2" t="inlineStr">
        <is>
          <t>Deck</t>
        </is>
      </c>
      <c r="G837" s="2" t="inlineStr">
        <is>
          <t>XY - Furious Fists</t>
        </is>
      </c>
      <c r="H837" s="3" t="n"/>
      <c r="I837" s="3" t="n">
        <v>42.47</v>
      </c>
      <c r="J837" s="3" t="n">
        <v>49.98</v>
      </c>
      <c r="K837" s="3" t="n">
        <v>49.98</v>
      </c>
      <c r="L837" s="2" t="inlineStr">
        <is>
          <t>TCGplayer</t>
        </is>
      </c>
      <c r="N837" s="4" t="inlineStr">
        <is>
          <t>https://www.tcgplayer.com/product/92217</t>
        </is>
      </c>
    </row>
    <row r="838">
      <c r="A838" s="2" t="inlineStr">
        <is>
          <t>Phantom Forces Theme Deck - "Bolt Twister" [Galvantula]</t>
        </is>
      </c>
      <c r="B838" s="3">
        <f>IF(H838&lt;&gt;"",H838,IF(I838&lt;&gt;"",I838,IF(J838&lt;&gt;"",J838,K838)))</f>
        <v>28.65</v>
      </c>
      <c r="C838" s="3">
        <f>MEDIAN(H838:K838)</f>
        <v>33.95</v>
      </c>
      <c r="D838" s="3">
        <f>ROUND(C838*(1-Settings!$B$2),2)</f>
        <v>23.77</v>
      </c>
      <c r="E838" s="2" t="inlineStr">
        <is>
          <t>Pokemon</t>
        </is>
      </c>
      <c r="F838" s="2" t="inlineStr">
        <is>
          <t>Deck</t>
        </is>
      </c>
      <c r="G838" s="2" t="inlineStr">
        <is>
          <t>XY - Phantom Forces</t>
        </is>
      </c>
      <c r="H838" s="3" t="n"/>
      <c r="I838" s="3" t="n">
        <v>28.65</v>
      </c>
      <c r="J838" s="3" t="n">
        <v>34.47</v>
      </c>
      <c r="K838" s="3" t="n">
        <v>33.95</v>
      </c>
      <c r="L838" s="2" t="inlineStr">
        <is>
          <t>TCGplayer</t>
        </is>
      </c>
      <c r="N838" s="4" t="inlineStr">
        <is>
          <t>https://www.tcgplayer.com/product/94625</t>
        </is>
      </c>
    </row>
    <row r="839">
      <c r="A839" s="2" t="inlineStr">
        <is>
          <t>Phantom Forces Theme Deck - "Burning Winds" [Talonflame]</t>
        </is>
      </c>
      <c r="B839" s="3">
        <f>IF(H839&lt;&gt;"",H839,IF(I839&lt;&gt;"",I839,IF(J839&lt;&gt;"",J839,K839)))</f>
        <v>26.57</v>
      </c>
      <c r="C839" s="3">
        <f>MEDIAN(H839:K839)</f>
        <v>26.57</v>
      </c>
      <c r="D839" s="3">
        <f>ROUND(C839*(1-Settings!$B$2),2)</f>
        <v>18.6</v>
      </c>
      <c r="E839" s="2" t="inlineStr">
        <is>
          <t>Pokemon</t>
        </is>
      </c>
      <c r="F839" s="2" t="inlineStr">
        <is>
          <t>Deck</t>
        </is>
      </c>
      <c r="G839" s="2" t="inlineStr">
        <is>
          <t>XY - Phantom Forces</t>
        </is>
      </c>
      <c r="H839" s="3" t="n"/>
      <c r="I839" s="3" t="n">
        <v>26.57</v>
      </c>
      <c r="J839" s="3" t="n">
        <v>29.98</v>
      </c>
      <c r="K839" s="3" t="n">
        <v>24.97</v>
      </c>
      <c r="L839" s="2" t="inlineStr">
        <is>
          <t>TCGplayer</t>
        </is>
      </c>
      <c r="N839" s="4" t="inlineStr">
        <is>
          <t>https://www.tcgplayer.com/product/94624</t>
        </is>
      </c>
    </row>
    <row r="840">
      <c r="A840" s="2" t="inlineStr">
        <is>
          <t>Primal Clash Theme Deck - "Earth's Pulse" [Groudon]</t>
        </is>
      </c>
      <c r="B840" s="3">
        <f>IF(H840&lt;&gt;"",H840,IF(I840&lt;&gt;"",I840,IF(J840&lt;&gt;"",J840,K840)))</f>
        <v>119.99</v>
      </c>
      <c r="C840" s="3">
        <f>MEDIAN(H840:K840)</f>
        <v>119.99</v>
      </c>
      <c r="D840" s="3">
        <f>ROUND(C840*(1-Settings!$B$2),2)</f>
        <v>83.99</v>
      </c>
      <c r="E840" s="2" t="inlineStr">
        <is>
          <t>Pokemon</t>
        </is>
      </c>
      <c r="F840" s="2" t="inlineStr">
        <is>
          <t>Deck</t>
        </is>
      </c>
      <c r="G840" s="2" t="inlineStr">
        <is>
          <t>XY - Primal Clash</t>
        </is>
      </c>
      <c r="H840" s="3" t="n"/>
      <c r="I840" s="3" t="n"/>
      <c r="J840" s="3" t="n"/>
      <c r="K840" s="3" t="n">
        <v>119.99</v>
      </c>
      <c r="L840" s="2" t="inlineStr">
        <is>
          <t>TCGplayer</t>
        </is>
      </c>
      <c r="N840" s="4" t="inlineStr">
        <is>
          <t>https://www.tcgplayer.com/product/97753</t>
        </is>
      </c>
    </row>
    <row r="841">
      <c r="A841" s="2" t="inlineStr">
        <is>
          <t>Primal Clash Theme Deck - "Ocean's Core" [Kyogre]</t>
        </is>
      </c>
      <c r="B841" s="3">
        <f>IF(H841&lt;&gt;"",H841,IF(I841&lt;&gt;"",I841,IF(J841&lt;&gt;"",J841,K841)))</f>
        <v>199.99</v>
      </c>
      <c r="C841" s="3">
        <f>MEDIAN(H841:K841)</f>
        <v>159.99</v>
      </c>
      <c r="D841" s="3">
        <f>ROUND(C841*(1-Settings!$B$2),2)</f>
        <v>111.99</v>
      </c>
      <c r="E841" s="2" t="inlineStr">
        <is>
          <t>Pokemon</t>
        </is>
      </c>
      <c r="F841" s="2" t="inlineStr">
        <is>
          <t>Deck</t>
        </is>
      </c>
      <c r="G841" s="2" t="inlineStr">
        <is>
          <t>XY - Primal Clash</t>
        </is>
      </c>
      <c r="H841" s="3" t="n"/>
      <c r="I841" s="3" t="n"/>
      <c r="J841" s="3" t="n">
        <v>199.99</v>
      </c>
      <c r="K841" s="3" t="n">
        <v>119.99</v>
      </c>
      <c r="L841" s="2" t="inlineStr">
        <is>
          <t>TCGplayer</t>
        </is>
      </c>
      <c r="N841" s="4" t="inlineStr">
        <is>
          <t>https://www.tcgplayer.com/product/97752</t>
        </is>
      </c>
    </row>
    <row r="842">
      <c r="A842" s="2" t="inlineStr">
        <is>
          <t>Roaring Skies Theme Deck - "Aurora Blast" [Articuno]</t>
        </is>
      </c>
      <c r="B842" s="3">
        <f>IF(H842&lt;&gt;"",H842,IF(I842&lt;&gt;"",I842,IF(J842&lt;&gt;"",J842,K842)))</f>
        <v>199.99</v>
      </c>
      <c r="C842" s="3">
        <f>MEDIAN(H842:K842)</f>
        <v>199.99</v>
      </c>
      <c r="D842" s="3">
        <f>ROUND(C842*(1-Settings!$B$2),2)</f>
        <v>139.99</v>
      </c>
      <c r="E842" s="2" t="inlineStr">
        <is>
          <t>Pokemon</t>
        </is>
      </c>
      <c r="F842" s="2" t="inlineStr">
        <is>
          <t>Deck</t>
        </is>
      </c>
      <c r="G842" s="2" t="inlineStr">
        <is>
          <t>XY - Roaring Skies</t>
        </is>
      </c>
      <c r="H842" s="3" t="n"/>
      <c r="I842" s="3" t="n"/>
      <c r="J842" s="3" t="n">
        <v>199.99</v>
      </c>
      <c r="K842" s="3" t="n">
        <v>199.99</v>
      </c>
      <c r="L842" s="2" t="inlineStr">
        <is>
          <t>TCGplayer</t>
        </is>
      </c>
      <c r="N842" s="4" t="inlineStr">
        <is>
          <t>https://www.tcgplayer.com/product/98029</t>
        </is>
      </c>
    </row>
    <row r="843">
      <c r="A843" s="2" t="inlineStr">
        <is>
          <t>Steam Siege Theme Deck - "Gears of Fire" [Volcanion]</t>
        </is>
      </c>
      <c r="B843" s="3">
        <f>IF(H843&lt;&gt;"",H843,IF(I843&lt;&gt;"",I843,IF(J843&lt;&gt;"",J843,K843)))</f>
        <v>19.46</v>
      </c>
      <c r="C843" s="3">
        <f>MEDIAN(H843:K843)</f>
        <v>19.46</v>
      </c>
      <c r="D843" s="3">
        <f>ROUND(C843*(1-Settings!$B$2),2)</f>
        <v>13.62</v>
      </c>
      <c r="E843" s="2" t="inlineStr">
        <is>
          <t>Pokemon</t>
        </is>
      </c>
      <c r="F843" s="2" t="inlineStr">
        <is>
          <t>Deck</t>
        </is>
      </c>
      <c r="G843" s="2" t="inlineStr">
        <is>
          <t>XY - Steam Siege</t>
        </is>
      </c>
      <c r="H843" s="3" t="n"/>
      <c r="I843" s="3" t="n">
        <v>19.46</v>
      </c>
      <c r="J843" s="3" t="n">
        <v>22.8</v>
      </c>
      <c r="K843" s="3" t="n">
        <v>19.35</v>
      </c>
      <c r="L843" s="2" t="inlineStr">
        <is>
          <t>TCGplayer</t>
        </is>
      </c>
      <c r="N843" s="4" t="inlineStr">
        <is>
          <t>https://www.tcgplayer.com/product/120698</t>
        </is>
      </c>
    </row>
    <row r="844">
      <c r="A844" s="2" t="inlineStr">
        <is>
          <t>Steam Siege Theme Deck - "Ring of Lightning" [Hoopa]</t>
        </is>
      </c>
      <c r="B844" s="3">
        <f>IF(H844&lt;&gt;"",H844,IF(I844&lt;&gt;"",I844,IF(J844&lt;&gt;"",J844,K844)))</f>
        <v>22.91</v>
      </c>
      <c r="C844" s="3">
        <f>MEDIAN(H844:K844)</f>
        <v>49.99</v>
      </c>
      <c r="D844" s="3">
        <f>ROUND(C844*(1-Settings!$B$2),2)</f>
        <v>34.99</v>
      </c>
      <c r="E844" s="2" t="inlineStr">
        <is>
          <t>Pokemon</t>
        </is>
      </c>
      <c r="F844" s="2" t="inlineStr">
        <is>
          <t>Deck</t>
        </is>
      </c>
      <c r="G844" s="2" t="inlineStr">
        <is>
          <t>XY - Steam Siege</t>
        </is>
      </c>
      <c r="H844" s="3" t="n"/>
      <c r="I844" s="3" t="n">
        <v>22.91</v>
      </c>
      <c r="J844" s="3" t="n">
        <v>49.99</v>
      </c>
      <c r="K844" s="3" t="n">
        <v>49.99</v>
      </c>
      <c r="L844" s="2" t="inlineStr">
        <is>
          <t>TCGplayer</t>
        </is>
      </c>
      <c r="N844" s="4" t="inlineStr">
        <is>
          <t>https://www.tcgplayer.com/product/120699</t>
        </is>
      </c>
    </row>
    <row r="845">
      <c r="A845" s="2" t="inlineStr">
        <is>
          <t>XY Base Set Theme Deck - "Destruction Rush" [Yveltal]</t>
        </is>
      </c>
      <c r="B845" s="3">
        <f>IF(H845&lt;&gt;"",H845,IF(I845&lt;&gt;"",I845,IF(J845&lt;&gt;"",J845,K845)))</f>
        <v>29.98</v>
      </c>
      <c r="C845" s="3">
        <f>MEDIAN(H845:K845)</f>
        <v>29.98</v>
      </c>
      <c r="D845" s="3">
        <f>ROUND(C845*(1-Settings!$B$2),2)</f>
        <v>20.99</v>
      </c>
      <c r="E845" s="2" t="inlineStr">
        <is>
          <t>Pokemon</t>
        </is>
      </c>
      <c r="F845" s="2" t="inlineStr">
        <is>
          <t>Deck</t>
        </is>
      </c>
      <c r="G845" s="2" t="inlineStr">
        <is>
          <t>XY Base Set</t>
        </is>
      </c>
      <c r="H845" s="3" t="n"/>
      <c r="I845" s="3" t="n">
        <v>29.98</v>
      </c>
      <c r="J845" s="3" t="n"/>
      <c r="K845" s="3" t="n"/>
      <c r="L845" s="2" t="inlineStr">
        <is>
          <t>TCGplayer</t>
        </is>
      </c>
      <c r="N845" s="4" t="inlineStr">
        <is>
          <t>https://www.tcgplayer.com/product/91604</t>
        </is>
      </c>
    </row>
    <row r="846">
      <c r="A846" s="2" t="inlineStr">
        <is>
          <t>XY Trainer Kit: Pikachu Libre &amp; Suicune</t>
        </is>
      </c>
      <c r="B846" s="3">
        <f>IF(H846&lt;&gt;"",H846,IF(I846&lt;&gt;"",I846,IF(J846&lt;&gt;"",J846,K846)))</f>
        <v>412.5</v>
      </c>
      <c r="C846" s="3">
        <f>MEDIAN(H846:K846)</f>
        <v>207.25</v>
      </c>
      <c r="D846" s="3">
        <f>ROUND(C846*(1-Settings!$B$2),2)</f>
        <v>145.08</v>
      </c>
      <c r="E846" s="2" t="inlineStr">
        <is>
          <t>Pokemon</t>
        </is>
      </c>
      <c r="F846" s="2" t="inlineStr">
        <is>
          <t>Deck</t>
        </is>
      </c>
      <c r="G846" s="2" t="inlineStr">
        <is>
          <t>XY Trainer Kit: Pikachu Libre &amp; Suicune</t>
        </is>
      </c>
      <c r="H846" s="3" t="n"/>
      <c r="I846" s="3" t="n"/>
      <c r="J846" s="3" t="n">
        <v>412.5</v>
      </c>
      <c r="K846" s="3" t="n">
        <v>2</v>
      </c>
      <c r="L846" s="2" t="inlineStr">
        <is>
          <t>TCGplayer</t>
        </is>
      </c>
      <c r="N846" s="4" t="inlineStr">
        <is>
          <t>https://www.tcgplayer.com/product/118797</t>
        </is>
      </c>
    </row>
    <row r="847">
      <c r="A847" s="2" t="inlineStr">
        <is>
          <t>XY Trainer Kit: Sylveon &amp; Noivern</t>
        </is>
      </c>
      <c r="B847" s="3">
        <f>IF(H847&lt;&gt;"",H847,IF(I847&lt;&gt;"",I847,IF(J847&lt;&gt;"",J847,K847)))</f>
        <v>3999.99</v>
      </c>
      <c r="C847" s="3">
        <f>MEDIAN(H847:K847)</f>
        <v>3999.99</v>
      </c>
      <c r="D847" s="3">
        <f>ROUND(C847*(1-Settings!$B$2),2)</f>
        <v>2799.99</v>
      </c>
      <c r="E847" s="2" t="inlineStr">
        <is>
          <t>Pokemon</t>
        </is>
      </c>
      <c r="F847" s="2" t="inlineStr">
        <is>
          <t>Deck</t>
        </is>
      </c>
      <c r="G847" s="2" t="inlineStr">
        <is>
          <t>XY Trainer Kit: Sylveon &amp; Noivern</t>
        </is>
      </c>
      <c r="H847" s="3" t="n"/>
      <c r="I847" s="3" t="n"/>
      <c r="J847" s="3" t="n"/>
      <c r="K847" s="3" t="n">
        <v>3999.99</v>
      </c>
      <c r="L847" s="2" t="inlineStr">
        <is>
          <t>TCGplayer</t>
        </is>
      </c>
      <c r="N847" s="4" t="inlineStr">
        <is>
          <t>https://www.tcgplayer.com/product/97728</t>
        </is>
      </c>
    </row>
    <row r="848">
      <c r="A848" s="2" t="inlineStr">
        <is>
          <t>First Partner Packs [Set of 8] + Binder</t>
        </is>
      </c>
      <c r="B848" s="3">
        <f>IF(H848&lt;&gt;"",H848,IF(I848&lt;&gt;"",I848,IF(J848&lt;&gt;"",J848,K848)))</f>
        <v>289.19</v>
      </c>
      <c r="C848" s="3">
        <f>MEDIAN(H848:K848)</f>
        <v>289.19</v>
      </c>
      <c r="D848" s="3">
        <f>ROUND(C848*(1-Settings!$B$2),2)</f>
        <v>202.43</v>
      </c>
      <c r="E848" s="2" t="inlineStr">
        <is>
          <t>Pokemon</t>
        </is>
      </c>
      <c r="F848" s="2" t="inlineStr">
        <is>
          <t>Other</t>
        </is>
      </c>
      <c r="G848" s="2" t="inlineStr">
        <is>
          <t>First Partner Pack</t>
        </is>
      </c>
      <c r="H848" s="3" t="n"/>
      <c r="I848" s="3" t="n">
        <v>289.19</v>
      </c>
      <c r="J848" s="3" t="n">
        <v>352.8</v>
      </c>
      <c r="K848" s="3" t="n">
        <v>279.99</v>
      </c>
      <c r="L848" s="2" t="inlineStr">
        <is>
          <t>TCGplayer</t>
        </is>
      </c>
      <c r="N848" s="4" t="inlineStr">
        <is>
          <t>https://www.tcgplayer.com/product/261803</t>
        </is>
      </c>
    </row>
    <row r="849">
      <c r="A849" s="2" t="inlineStr">
        <is>
          <t>McDonald's Japan Promo Booster (2025)</t>
        </is>
      </c>
      <c r="B849" s="3">
        <f>IF(H849&lt;&gt;"",H849,IF(I849&lt;&gt;"",I849,IF(J849&lt;&gt;"",J849,K849)))</f>
        <v>36.14</v>
      </c>
      <c r="C849" s="3">
        <f>MEDIAN(H849:K849)</f>
        <v>32.57</v>
      </c>
      <c r="D849" s="3">
        <f>ROUND(C849*(1-Settings!$B$2),2)</f>
        <v>22.8</v>
      </c>
      <c r="E849" s="2" t="inlineStr">
        <is>
          <t>Pokemon</t>
        </is>
      </c>
      <c r="F849" s="2" t="inlineStr">
        <is>
          <t>Other</t>
        </is>
      </c>
      <c r="G849" s="2" t="inlineStr">
        <is>
          <t>M-P Promotional Cards</t>
        </is>
      </c>
      <c r="H849" s="3" t="n"/>
      <c r="I849" s="3" t="n">
        <v>36.14</v>
      </c>
      <c r="J849" s="3" t="n"/>
      <c r="K849" s="3" t="n">
        <v>29</v>
      </c>
      <c r="L849" s="2" t="inlineStr">
        <is>
          <t>TCGplayer</t>
        </is>
      </c>
      <c r="N849" s="4" t="inlineStr">
        <is>
          <t>https://www.tcgplayer.com/product/651131</t>
        </is>
      </c>
    </row>
    <row r="850">
      <c r="A850" s="2" t="inlineStr">
        <is>
          <t>2 Booster Packs &amp; Celebi Collector's Pin</t>
        </is>
      </c>
      <c r="B850" s="3">
        <f>IF(H850&lt;&gt;"",H850,IF(I850&lt;&gt;"",I850,IF(J850&lt;&gt;"",J850,K850)))</f>
        <v>39.94</v>
      </c>
      <c r="C850" s="3">
        <f>MEDIAN(H850:K850)</f>
        <v>39.88</v>
      </c>
      <c r="D850" s="3">
        <f>ROUND(C850*(1-Settings!$B$2),2)</f>
        <v>27.92</v>
      </c>
      <c r="E850" s="2" t="inlineStr">
        <is>
          <t>Pokemon</t>
        </is>
      </c>
      <c r="F850" s="2" t="inlineStr">
        <is>
          <t>Other</t>
        </is>
      </c>
      <c r="G850" s="2" t="inlineStr">
        <is>
          <t>Miscellaneous Cards &amp; Products</t>
        </is>
      </c>
      <c r="H850" s="3" t="n"/>
      <c r="I850" s="3" t="n">
        <v>39.94</v>
      </c>
      <c r="J850" s="3" t="n">
        <v>39.88</v>
      </c>
      <c r="K850" s="3" t="n">
        <v>29.99</v>
      </c>
      <c r="L850" s="2" t="inlineStr">
        <is>
          <t>TCGplayer</t>
        </is>
      </c>
      <c r="N850" s="4" t="inlineStr">
        <is>
          <t>https://www.tcgplayer.com/product/625049</t>
        </is>
      </c>
    </row>
    <row r="851">
      <c r="A851" s="2" t="inlineStr">
        <is>
          <t>2 Booster Packs &amp; Jirachi Collector's Pin</t>
        </is>
      </c>
      <c r="B851" s="3">
        <f>IF(H851&lt;&gt;"",H851,IF(I851&lt;&gt;"",I851,IF(J851&lt;&gt;"",J851,K851)))</f>
        <v>37.44</v>
      </c>
      <c r="C851" s="3">
        <f>MEDIAN(H851:K851)</f>
        <v>47.33</v>
      </c>
      <c r="D851" s="3">
        <f>ROUND(C851*(1-Settings!$B$2),2)</f>
        <v>33.13</v>
      </c>
      <c r="E851" s="2" t="inlineStr">
        <is>
          <t>Pokemon</t>
        </is>
      </c>
      <c r="F851" s="2" t="inlineStr">
        <is>
          <t>Other</t>
        </is>
      </c>
      <c r="G851" s="2" t="inlineStr">
        <is>
          <t>Miscellaneous Cards &amp; Products</t>
        </is>
      </c>
      <c r="H851" s="3" t="n"/>
      <c r="I851" s="3" t="n">
        <v>37.44</v>
      </c>
      <c r="J851" s="3" t="n">
        <v>57.31</v>
      </c>
      <c r="K851" s="3" t="n">
        <v>47.33</v>
      </c>
      <c r="L851" s="2" t="inlineStr">
        <is>
          <t>TCGplayer</t>
        </is>
      </c>
      <c r="N851" s="4" t="inlineStr">
        <is>
          <t>https://www.tcgplayer.com/product/625038</t>
        </is>
      </c>
    </row>
    <row r="852">
      <c r="A852" s="2" t="inlineStr">
        <is>
          <t>2 Booster Packs &amp; Latias Collector's Pin</t>
        </is>
      </c>
      <c r="B852" s="3">
        <f>IF(H852&lt;&gt;"",H852,IF(I852&lt;&gt;"",I852,IF(J852&lt;&gt;"",J852,K852)))</f>
        <v>39.58</v>
      </c>
      <c r="C852" s="3">
        <f>MEDIAN(H852:K852)</f>
        <v>39.58</v>
      </c>
      <c r="D852" s="3">
        <f>ROUND(C852*(1-Settings!$B$2),2)</f>
        <v>27.71</v>
      </c>
      <c r="E852" s="2" t="inlineStr">
        <is>
          <t>Pokemon</t>
        </is>
      </c>
      <c r="F852" s="2" t="inlineStr">
        <is>
          <t>Other</t>
        </is>
      </c>
      <c r="G852" s="2" t="inlineStr">
        <is>
          <t>Miscellaneous Cards &amp; Products</t>
        </is>
      </c>
      <c r="H852" s="3" t="n"/>
      <c r="I852" s="3" t="n">
        <v>39.58</v>
      </c>
      <c r="J852" s="3" t="n">
        <v>43.99</v>
      </c>
      <c r="K852" s="3" t="n">
        <v>34.99</v>
      </c>
      <c r="L852" s="2" t="inlineStr">
        <is>
          <t>TCGplayer</t>
        </is>
      </c>
      <c r="N852" s="4" t="inlineStr">
        <is>
          <t>https://www.tcgplayer.com/product/625050</t>
        </is>
      </c>
    </row>
    <row r="853">
      <c r="A853" s="2" t="inlineStr">
        <is>
          <t>2 Booster Packs &amp; Latios Collector's Pin</t>
        </is>
      </c>
      <c r="B853" s="3">
        <f>IF(H853&lt;&gt;"",H853,IF(I853&lt;&gt;"",I853,IF(J853&lt;&gt;"",J853,K853)))</f>
        <v>44.97</v>
      </c>
      <c r="C853" s="3">
        <f>MEDIAN(H853:K853)</f>
        <v>44.99</v>
      </c>
      <c r="D853" s="3">
        <f>ROUND(C853*(1-Settings!$B$2),2)</f>
        <v>31.49</v>
      </c>
      <c r="E853" s="2" t="inlineStr">
        <is>
          <t>Pokemon</t>
        </is>
      </c>
      <c r="F853" s="2" t="inlineStr">
        <is>
          <t>Other</t>
        </is>
      </c>
      <c r="G853" s="2" t="inlineStr">
        <is>
          <t>Miscellaneous Cards &amp; Products</t>
        </is>
      </c>
      <c r="H853" s="3" t="n"/>
      <c r="I853" s="3" t="n">
        <v>44.97</v>
      </c>
      <c r="J853" s="3" t="n">
        <v>50.97</v>
      </c>
      <c r="K853" s="3" t="n">
        <v>44.99</v>
      </c>
      <c r="L853" s="2" t="inlineStr">
        <is>
          <t>TCGplayer</t>
        </is>
      </c>
      <c r="N853" s="4" t="inlineStr">
        <is>
          <t>https://www.tcgplayer.com/product/625051</t>
        </is>
      </c>
    </row>
    <row r="854">
      <c r="A854" s="2" t="inlineStr">
        <is>
          <t>Blastoise V/Venusaur V Battle Decks [Set of 2]</t>
        </is>
      </c>
      <c r="B854" s="3">
        <f>IF(H854&lt;&gt;"",H854,IF(I854&lt;&gt;"",I854,IF(J854&lt;&gt;"",J854,K854)))</f>
        <v>58.62</v>
      </c>
      <c r="C854" s="3">
        <f>MEDIAN(H854:K854)</f>
        <v>74.0</v>
      </c>
      <c r="D854" s="3">
        <f>ROUND(C854*(1-Settings!$B$2),2)</f>
        <v>51.8</v>
      </c>
      <c r="E854" s="2" t="inlineStr">
        <is>
          <t>Pokemon</t>
        </is>
      </c>
      <c r="F854" s="2" t="inlineStr">
        <is>
          <t>Other</t>
        </is>
      </c>
      <c r="G854" s="2" t="inlineStr">
        <is>
          <t>Miscellaneous Cards &amp; Products</t>
        </is>
      </c>
      <c r="H854" s="3" t="n"/>
      <c r="I854" s="3" t="n">
        <v>58.62</v>
      </c>
      <c r="J854" s="3" t="n">
        <v>74</v>
      </c>
      <c r="K854" s="3" t="n">
        <v>74</v>
      </c>
      <c r="L854" s="2" t="inlineStr">
        <is>
          <t>TCGplayer</t>
        </is>
      </c>
      <c r="N854" s="4" t="inlineStr">
        <is>
          <t>https://www.tcgplayer.com/product/239237</t>
        </is>
      </c>
    </row>
    <row r="855">
      <c r="A855" s="2" t="inlineStr">
        <is>
          <t>Deoxys V / Zeraora V Battle Decks [Set of 2]</t>
        </is>
      </c>
      <c r="B855" s="3">
        <f>IF(H855&lt;&gt;"",H855,IF(I855&lt;&gt;"",I855,IF(J855&lt;&gt;"",J855,K855)))</f>
        <v>30.03</v>
      </c>
      <c r="C855" s="3">
        <f>MEDIAN(H855:K855)</f>
        <v>30.03</v>
      </c>
      <c r="D855" s="3">
        <f>ROUND(C855*(1-Settings!$B$2),2)</f>
        <v>21.02</v>
      </c>
      <c r="E855" s="2" t="inlineStr">
        <is>
          <t>Pokemon</t>
        </is>
      </c>
      <c r="F855" s="2" t="inlineStr">
        <is>
          <t>Other</t>
        </is>
      </c>
      <c r="G855" s="2" t="inlineStr">
        <is>
          <t>Miscellaneous Cards &amp; Products</t>
        </is>
      </c>
      <c r="H855" s="3" t="n"/>
      <c r="I855" s="3" t="n">
        <v>30.03</v>
      </c>
      <c r="J855" s="3" t="n">
        <v>45.34</v>
      </c>
      <c r="K855" s="3" t="n">
        <v>15</v>
      </c>
      <c r="L855" s="2" t="inlineStr">
        <is>
          <t>TCGplayer</t>
        </is>
      </c>
      <c r="N855" s="4" t="inlineStr">
        <is>
          <t>https://www.tcgplayer.com/product/280859</t>
        </is>
      </c>
    </row>
    <row r="856">
      <c r="A856" s="2" t="inlineStr">
        <is>
          <t>Gardevoir V/Victini V Battle Decks [Set of 2]</t>
        </is>
      </c>
      <c r="B856" s="3">
        <f>IF(H856&lt;&gt;"",H856,IF(I856&lt;&gt;"",I856,IF(J856&lt;&gt;"",J856,K856)))</f>
        <v>40.35</v>
      </c>
      <c r="C856" s="3">
        <f>MEDIAN(H856:K856)</f>
        <v>40.35</v>
      </c>
      <c r="D856" s="3">
        <f>ROUND(C856*(1-Settings!$B$2),2)</f>
        <v>28.25</v>
      </c>
      <c r="E856" s="2" t="inlineStr">
        <is>
          <t>Pokemon</t>
        </is>
      </c>
      <c r="F856" s="2" t="inlineStr">
        <is>
          <t>Other</t>
        </is>
      </c>
      <c r="G856" s="2" t="inlineStr">
        <is>
          <t>Miscellaneous Cards &amp; Products</t>
        </is>
      </c>
      <c r="H856" s="3" t="n"/>
      <c r="I856" s="3" t="n">
        <v>40.35</v>
      </c>
      <c r="J856" s="3" t="n">
        <v>42.77</v>
      </c>
      <c r="K856" s="3" t="n">
        <v>35.94</v>
      </c>
      <c r="L856" s="2" t="inlineStr">
        <is>
          <t>TCGplayer</t>
        </is>
      </c>
      <c r="N856" s="4" t="inlineStr">
        <is>
          <t>https://www.tcgplayer.com/product/239236</t>
        </is>
      </c>
    </row>
    <row r="857">
      <c r="A857" s="2" t="inlineStr">
        <is>
          <t>Holiday Calendar</t>
        </is>
      </c>
      <c r="B857" s="3">
        <f>IF(H857&lt;&gt;"",H857,IF(I857&lt;&gt;"",I857,IF(J857&lt;&gt;"",J857,K857)))</f>
        <v>199.45</v>
      </c>
      <c r="C857" s="3">
        <f>MEDIAN(H857:K857)</f>
        <v>299.95</v>
      </c>
      <c r="D857" s="3">
        <f>ROUND(C857*(1-Settings!$B$2),2)</f>
        <v>209.97</v>
      </c>
      <c r="E857" s="2" t="inlineStr">
        <is>
          <t>Pokemon</t>
        </is>
      </c>
      <c r="F857" s="2" t="inlineStr">
        <is>
          <t>Other</t>
        </is>
      </c>
      <c r="G857" s="2" t="inlineStr">
        <is>
          <t>Miscellaneous Cards &amp; Products</t>
        </is>
      </c>
      <c r="H857" s="3" t="n"/>
      <c r="I857" s="3" t="n">
        <v>199.45</v>
      </c>
      <c r="J857" s="3" t="n">
        <v>299.95</v>
      </c>
      <c r="K857" s="3" t="n">
        <v>299.95</v>
      </c>
      <c r="L857" s="2" t="inlineStr">
        <is>
          <t>TCGplayer</t>
        </is>
      </c>
      <c r="N857" s="4" t="inlineStr">
        <is>
          <t>https://www.tcgplayer.com/product/282250</t>
        </is>
      </c>
    </row>
    <row r="858">
      <c r="A858" s="2" t="inlineStr">
        <is>
          <t>Holiday Calendar 2023</t>
        </is>
      </c>
      <c r="B858" s="3">
        <f>IF(H858&lt;&gt;"",H858,IF(I858&lt;&gt;"",I858,IF(J858&lt;&gt;"",J858,K858)))</f>
        <v>101.22</v>
      </c>
      <c r="C858" s="3">
        <f>MEDIAN(H858:K858)</f>
        <v>101.22</v>
      </c>
      <c r="D858" s="3">
        <f>ROUND(C858*(1-Settings!$B$2),2)</f>
        <v>70.85</v>
      </c>
      <c r="E858" s="2" t="inlineStr">
        <is>
          <t>Pokemon</t>
        </is>
      </c>
      <c r="F858" s="2" t="inlineStr">
        <is>
          <t>Other</t>
        </is>
      </c>
      <c r="G858" s="2" t="inlineStr">
        <is>
          <t>Miscellaneous Cards &amp; Products</t>
        </is>
      </c>
      <c r="H858" s="3" t="n"/>
      <c r="I858" s="3" t="n">
        <v>101.22</v>
      </c>
      <c r="J858" s="3" t="n">
        <v>116.34</v>
      </c>
      <c r="K858" s="3" t="n">
        <v>100</v>
      </c>
      <c r="L858" s="2" t="inlineStr">
        <is>
          <t>TCGplayer</t>
        </is>
      </c>
      <c r="N858" s="4" t="inlineStr">
        <is>
          <t>https://www.tcgplayer.com/product/505939</t>
        </is>
      </c>
    </row>
    <row r="859">
      <c r="A859" s="2" t="inlineStr">
        <is>
          <t>Holiday Calendar 2024</t>
        </is>
      </c>
      <c r="B859" s="3">
        <f>IF(H859&lt;&gt;"",H859,IF(I859&lt;&gt;"",I859,IF(J859&lt;&gt;"",J859,K859)))</f>
        <v>68.6</v>
      </c>
      <c r="C859" s="3">
        <f>MEDIAN(H859:K859)</f>
        <v>99.0</v>
      </c>
      <c r="D859" s="3">
        <f>ROUND(C859*(1-Settings!$B$2),2)</f>
        <v>69.3</v>
      </c>
      <c r="E859" s="2" t="inlineStr">
        <is>
          <t>Pokemon</t>
        </is>
      </c>
      <c r="F859" s="2" t="inlineStr">
        <is>
          <t>Other</t>
        </is>
      </c>
      <c r="G859" s="2" t="inlineStr">
        <is>
          <t>Miscellaneous Cards &amp; Products</t>
        </is>
      </c>
      <c r="H859" s="3" t="n"/>
      <c r="I859" s="3" t="n">
        <v>68.59999999999999</v>
      </c>
      <c r="J859" s="3" t="n">
        <v>99</v>
      </c>
      <c r="K859" s="3" t="n">
        <v>99</v>
      </c>
      <c r="L859" s="2" t="inlineStr">
        <is>
          <t>TCGplayer</t>
        </is>
      </c>
      <c r="N859" s="4" t="inlineStr">
        <is>
          <t>https://www.tcgplayer.com/product/559089</t>
        </is>
      </c>
    </row>
    <row r="860">
      <c r="A860" s="2" t="inlineStr">
        <is>
          <t>Holiday Calendar 2025</t>
        </is>
      </c>
      <c r="B860" s="3">
        <f>IF(H860&lt;&gt;"",H860,IF(I860&lt;&gt;"",I860,IF(J860&lt;&gt;"",J860,K860)))</f>
        <v>82.42</v>
      </c>
      <c r="C860" s="3">
        <f>MEDIAN(H860:K860)</f>
        <v>82.42</v>
      </c>
      <c r="D860" s="3">
        <f>ROUND(C860*(1-Settings!$B$2),2)</f>
        <v>57.69</v>
      </c>
      <c r="E860" s="2" t="inlineStr">
        <is>
          <t>Pokemon</t>
        </is>
      </c>
      <c r="F860" s="2" t="inlineStr">
        <is>
          <t>Other</t>
        </is>
      </c>
      <c r="G860" s="2" t="inlineStr">
        <is>
          <t>Miscellaneous Cards &amp; Products</t>
        </is>
      </c>
      <c r="H860" s="3" t="n"/>
      <c r="I860" s="3" t="n">
        <v>82.42</v>
      </c>
      <c r="J860" s="3" t="n">
        <v>94.72</v>
      </c>
      <c r="K860" s="3" t="n">
        <v>80</v>
      </c>
      <c r="L860" s="2" t="inlineStr">
        <is>
          <t>TCGplayer</t>
        </is>
      </c>
      <c r="N860" s="4" t="inlineStr">
        <is>
          <t>https://www.tcgplayer.com/product/639828</t>
        </is>
      </c>
    </row>
    <row r="861">
      <c r="A861" s="2" t="inlineStr">
        <is>
          <t>Lycanroc V / Corviknight V Battle Decks [Set of 2]</t>
        </is>
      </c>
      <c r="B861" s="3">
        <f>IF(H861&lt;&gt;"",H861,IF(I861&lt;&gt;"",I861,IF(J861&lt;&gt;"",J861,K861)))</f>
        <v>25.89</v>
      </c>
      <c r="C861" s="3">
        <f>MEDIAN(H861:K861)</f>
        <v>25.89</v>
      </c>
      <c r="D861" s="3">
        <f>ROUND(C861*(1-Settings!$B$2),2)</f>
        <v>18.12</v>
      </c>
      <c r="E861" s="2" t="inlineStr">
        <is>
          <t>Pokemon</t>
        </is>
      </c>
      <c r="F861" s="2" t="inlineStr">
        <is>
          <t>Other</t>
        </is>
      </c>
      <c r="G861" s="2" t="inlineStr">
        <is>
          <t>Miscellaneous Cards &amp; Products</t>
        </is>
      </c>
      <c r="H861" s="3" t="n"/>
      <c r="I861" s="3" t="n">
        <v>25.89</v>
      </c>
      <c r="J861" s="3" t="n">
        <v>29.68</v>
      </c>
      <c r="K861" s="3" t="n">
        <v>20</v>
      </c>
      <c r="L861" s="2" t="inlineStr">
        <is>
          <t>TCGplayer</t>
        </is>
      </c>
      <c r="N861" s="4" t="inlineStr">
        <is>
          <t>https://www.tcgplayer.com/product/264764</t>
        </is>
      </c>
    </row>
    <row r="862">
      <c r="A862" s="2" t="inlineStr">
        <is>
          <t>Mabosstiff ex Showcase</t>
        </is>
      </c>
      <c r="B862" s="3">
        <f>IF(H862&lt;&gt;"",H862,IF(I862&lt;&gt;"",I862,IF(J862&lt;&gt;"",J862,K862)))</f>
        <v>22.52</v>
      </c>
      <c r="C862" s="3">
        <f>MEDIAN(H862:K862)</f>
        <v>22.52</v>
      </c>
      <c r="D862" s="3">
        <f>ROUND(C862*(1-Settings!$B$2),2)</f>
        <v>15.76</v>
      </c>
      <c r="E862" s="2" t="inlineStr">
        <is>
          <t>Pokemon</t>
        </is>
      </c>
      <c r="F862" s="2" t="inlineStr">
        <is>
          <t>Other</t>
        </is>
      </c>
      <c r="G862" s="2" t="inlineStr">
        <is>
          <t>Miscellaneous Cards &amp; Products</t>
        </is>
      </c>
      <c r="H862" s="3" t="n"/>
      <c r="I862" s="3" t="n">
        <v>22.52</v>
      </c>
      <c r="J862" s="3" t="n">
        <v>28.09</v>
      </c>
      <c r="K862" s="3" t="n">
        <v>16</v>
      </c>
      <c r="L862" s="2" t="inlineStr">
        <is>
          <t>TCGplayer</t>
        </is>
      </c>
      <c r="N862" s="4" t="inlineStr">
        <is>
          <t>https://www.tcgplayer.com/product/633081</t>
        </is>
      </c>
    </row>
    <row r="863">
      <c r="A863" s="2" t="inlineStr">
        <is>
          <t>Mimikyu ex Showcase</t>
        </is>
      </c>
      <c r="B863" s="3">
        <f>IF(H863&lt;&gt;"",H863,IF(I863&lt;&gt;"",I863,IF(J863&lt;&gt;"",J863,K863)))</f>
        <v>58.17</v>
      </c>
      <c r="C863" s="3">
        <f>MEDIAN(H863:K863)</f>
        <v>59.98</v>
      </c>
      <c r="D863" s="3">
        <f>ROUND(C863*(1-Settings!$B$2),2)</f>
        <v>41.99</v>
      </c>
      <c r="E863" s="2" t="inlineStr">
        <is>
          <t>Pokemon</t>
        </is>
      </c>
      <c r="F863" s="2" t="inlineStr">
        <is>
          <t>Other</t>
        </is>
      </c>
      <c r="G863" s="2" t="inlineStr">
        <is>
          <t>Miscellaneous Cards &amp; Products</t>
        </is>
      </c>
      <c r="H863" s="3" t="n"/>
      <c r="I863" s="3" t="n">
        <v>58.17</v>
      </c>
      <c r="J863" s="3" t="n">
        <v>76.42</v>
      </c>
      <c r="K863" s="3" t="n">
        <v>59.98</v>
      </c>
      <c r="L863" s="2" t="inlineStr">
        <is>
          <t>TCGplayer</t>
        </is>
      </c>
      <c r="N863" s="4" t="inlineStr">
        <is>
          <t>https://www.tcgplayer.com/product/498043</t>
        </is>
      </c>
    </row>
    <row r="864">
      <c r="A864" s="2" t="inlineStr">
        <is>
          <t>Pokemon TCG: Trainer's Toolkit (2020)</t>
        </is>
      </c>
      <c r="B864" s="3">
        <f>IF(H864&lt;&gt;"",H864,IF(I864&lt;&gt;"",I864,IF(J864&lt;&gt;"",J864,K864)))</f>
        <v>150.34</v>
      </c>
      <c r="C864" s="3">
        <f>MEDIAN(H864:K864)</f>
        <v>188.0</v>
      </c>
      <c r="D864" s="3">
        <f>ROUND(C864*(1-Settings!$B$2),2)</f>
        <v>131.6</v>
      </c>
      <c r="E864" s="2" t="inlineStr">
        <is>
          <t>Pokemon</t>
        </is>
      </c>
      <c r="F864" s="2" t="inlineStr">
        <is>
          <t>Other</t>
        </is>
      </c>
      <c r="G864" s="2" t="inlineStr">
        <is>
          <t>Miscellaneous Cards &amp; Products</t>
        </is>
      </c>
      <c r="H864" s="3" t="n"/>
      <c r="I864" s="3" t="n">
        <v>150.34</v>
      </c>
      <c r="J864" s="3" t="n">
        <v>280.44</v>
      </c>
      <c r="K864" s="3" t="n">
        <v>188</v>
      </c>
      <c r="L864" s="2" t="inlineStr">
        <is>
          <t>TCGplayer</t>
        </is>
      </c>
      <c r="N864" s="4" t="inlineStr">
        <is>
          <t>https://www.tcgplayer.com/product/214360</t>
        </is>
      </c>
    </row>
    <row r="865">
      <c r="A865" s="2" t="inlineStr">
        <is>
          <t>Pokemon TCG: Trainer's Toolkit (2021)</t>
        </is>
      </c>
      <c r="B865" s="3">
        <f>IF(H865&lt;&gt;"",H865,IF(I865&lt;&gt;"",I865,IF(J865&lt;&gt;"",J865,K865)))</f>
        <v>39.04</v>
      </c>
      <c r="C865" s="3">
        <f>MEDIAN(H865:K865)</f>
        <v>47.96</v>
      </c>
      <c r="D865" s="3">
        <f>ROUND(C865*(1-Settings!$B$2),2)</f>
        <v>33.57</v>
      </c>
      <c r="E865" s="2" t="inlineStr">
        <is>
          <t>Pokemon</t>
        </is>
      </c>
      <c r="F865" s="2" t="inlineStr">
        <is>
          <t>Other</t>
        </is>
      </c>
      <c r="G865" s="2" t="inlineStr">
        <is>
          <t>Miscellaneous Cards &amp; Products</t>
        </is>
      </c>
      <c r="H865" s="3" t="n"/>
      <c r="I865" s="3" t="n">
        <v>39.04</v>
      </c>
      <c r="J865" s="3" t="n">
        <v>50.09</v>
      </c>
      <c r="K865" s="3" t="n">
        <v>47.96</v>
      </c>
      <c r="L865" s="2" t="inlineStr">
        <is>
          <t>TCGplayer</t>
        </is>
      </c>
      <c r="N865" s="4" t="inlineStr">
        <is>
          <t>https://www.tcgplayer.com/product/241109</t>
        </is>
      </c>
    </row>
    <row r="866">
      <c r="A866" s="2" t="inlineStr">
        <is>
          <t>Pokemon TCG: Trainer's Toolkit (2022)</t>
        </is>
      </c>
      <c r="B866" s="3">
        <f>IF(H866&lt;&gt;"",H866,IF(I866&lt;&gt;"",I866,IF(J866&lt;&gt;"",J866,K866)))</f>
        <v>69.61</v>
      </c>
      <c r="C866" s="3">
        <f>MEDIAN(H866:K866)</f>
        <v>69.61</v>
      </c>
      <c r="D866" s="3">
        <f>ROUND(C866*(1-Settings!$B$2),2)</f>
        <v>48.73</v>
      </c>
      <c r="E866" s="2" t="inlineStr">
        <is>
          <t>Pokemon</t>
        </is>
      </c>
      <c r="F866" s="2" t="inlineStr">
        <is>
          <t>Other</t>
        </is>
      </c>
      <c r="G866" s="2" t="inlineStr">
        <is>
          <t>Miscellaneous Cards &amp; Products</t>
        </is>
      </c>
      <c r="H866" s="3" t="n"/>
      <c r="I866" s="3" t="n">
        <v>69.61</v>
      </c>
      <c r="J866" s="3" t="n">
        <v>96.81</v>
      </c>
      <c r="K866" s="3" t="n">
        <v>68.56</v>
      </c>
      <c r="L866" s="2" t="inlineStr">
        <is>
          <t>TCGplayer</t>
        </is>
      </c>
      <c r="N866" s="4" t="inlineStr">
        <is>
          <t>https://www.tcgplayer.com/product/275938</t>
        </is>
      </c>
    </row>
    <row r="867">
      <c r="A867" s="2" t="inlineStr">
        <is>
          <t>Pokemon TCG: Trainer's Toolkit (2024)</t>
        </is>
      </c>
      <c r="B867" s="3">
        <f>IF(H867&lt;&gt;"",H867,IF(I867&lt;&gt;"",I867,IF(J867&lt;&gt;"",J867,K867)))</f>
        <v>39.62</v>
      </c>
      <c r="C867" s="3">
        <f>MEDIAN(H867:K867)</f>
        <v>39.62</v>
      </c>
      <c r="D867" s="3">
        <f>ROUND(C867*(1-Settings!$B$2),2)</f>
        <v>27.73</v>
      </c>
      <c r="E867" s="2" t="inlineStr">
        <is>
          <t>Pokemon</t>
        </is>
      </c>
      <c r="F867" s="2" t="inlineStr">
        <is>
          <t>Other</t>
        </is>
      </c>
      <c r="G867" s="2" t="inlineStr">
        <is>
          <t>Miscellaneous Cards &amp; Products</t>
        </is>
      </c>
      <c r="H867" s="3" t="n"/>
      <c r="I867" s="3" t="n">
        <v>39.62</v>
      </c>
      <c r="J867" s="3" t="n">
        <v>42.49</v>
      </c>
      <c r="K867" s="3" t="n">
        <v>34.99</v>
      </c>
      <c r="L867" s="2" t="inlineStr">
        <is>
          <t>TCGplayer</t>
        </is>
      </c>
      <c r="N867" s="4" t="inlineStr">
        <is>
          <t>https://www.tcgplayer.com/product/564274</t>
        </is>
      </c>
    </row>
    <row r="868">
      <c r="A868" s="2" t="inlineStr">
        <is>
          <t>Pokemon TCG: Trainer's Toolkit (2025)</t>
        </is>
      </c>
      <c r="B868" s="3">
        <f>IF(H868&lt;&gt;"",H868,IF(I868&lt;&gt;"",I868,IF(J868&lt;&gt;"",J868,K868)))</f>
        <v>40.81</v>
      </c>
      <c r="C868" s="3">
        <f>MEDIAN(H868:K868)</f>
        <v>40.81</v>
      </c>
      <c r="D868" s="3">
        <f>ROUND(C868*(1-Settings!$B$2),2)</f>
        <v>28.57</v>
      </c>
      <c r="E868" s="2" t="inlineStr">
        <is>
          <t>Pokemon</t>
        </is>
      </c>
      <c r="F868" s="2" t="inlineStr">
        <is>
          <t>Other</t>
        </is>
      </c>
      <c r="G868" s="2" t="inlineStr">
        <is>
          <t>Miscellaneous Cards &amp; Products</t>
        </is>
      </c>
      <c r="H868" s="3" t="n"/>
      <c r="I868" s="3" t="n">
        <v>40.81</v>
      </c>
      <c r="J868" s="3" t="n">
        <v>43.82</v>
      </c>
      <c r="K868" s="3" t="n">
        <v>5</v>
      </c>
      <c r="L868" s="2" t="inlineStr">
        <is>
          <t>TCGplayer</t>
        </is>
      </c>
      <c r="N868" s="4" t="inlineStr">
        <is>
          <t>https://www.tcgplayer.com/product/653203</t>
        </is>
      </c>
    </row>
    <row r="869">
      <c r="A869" s="2" t="inlineStr">
        <is>
          <t>Pokemon TCG: Twin Mini Portfolio &amp; Booster Packs [Mega Mewtwo &amp; Guzzlord]</t>
        </is>
      </c>
      <c r="B869" s="3">
        <f>IF(H869&lt;&gt;"",H869,IF(I869&lt;&gt;"",I869,IF(J869&lt;&gt;"",J869,K869)))</f>
        <v>99.99</v>
      </c>
      <c r="C869" s="3">
        <f>MEDIAN(H869:K869)</f>
        <v>99.99</v>
      </c>
      <c r="D869" s="3">
        <f>ROUND(C869*(1-Settings!$B$2),2)</f>
        <v>69.99</v>
      </c>
      <c r="E869" s="2" t="inlineStr">
        <is>
          <t>Pokemon</t>
        </is>
      </c>
      <c r="F869" s="2" t="inlineStr">
        <is>
          <t>Other</t>
        </is>
      </c>
      <c r="G869" s="2" t="inlineStr">
        <is>
          <t>Miscellaneous Cards &amp; Products</t>
        </is>
      </c>
      <c r="H869" s="3" t="n"/>
      <c r="I869" s="3" t="n"/>
      <c r="J869" s="3" t="n">
        <v>99.98999999999999</v>
      </c>
      <c r="K869" s="3" t="n">
        <v>99.98999999999999</v>
      </c>
      <c r="L869" s="2" t="inlineStr">
        <is>
          <t>TCGplayer</t>
        </is>
      </c>
      <c r="N869" s="4" t="inlineStr">
        <is>
          <t>https://www.tcgplayer.com/product/624518</t>
        </is>
      </c>
    </row>
    <row r="870">
      <c r="A870" s="2" t="inlineStr">
        <is>
          <t>Rayquaza V / Noivern V Battle Decks [Set of 2]</t>
        </is>
      </c>
      <c r="B870" s="3">
        <f>IF(H870&lt;&gt;"",H870,IF(I870&lt;&gt;"",I870,IF(J870&lt;&gt;"",J870,K870)))</f>
        <v>31.13</v>
      </c>
      <c r="C870" s="3">
        <f>MEDIAN(H870:K870)</f>
        <v>111.11</v>
      </c>
      <c r="D870" s="3">
        <f>ROUND(C870*(1-Settings!$B$2),2)</f>
        <v>77.78</v>
      </c>
      <c r="E870" s="2" t="inlineStr">
        <is>
          <t>Pokemon</t>
        </is>
      </c>
      <c r="F870" s="2" t="inlineStr">
        <is>
          <t>Other</t>
        </is>
      </c>
      <c r="G870" s="2" t="inlineStr">
        <is>
          <t>Miscellaneous Cards &amp; Products</t>
        </is>
      </c>
      <c r="H870" s="3" t="n"/>
      <c r="I870" s="3" t="n">
        <v>31.13</v>
      </c>
      <c r="J870" s="3" t="n">
        <v>111.11</v>
      </c>
      <c r="K870" s="3" t="n">
        <v>111.11</v>
      </c>
      <c r="L870" s="2" t="inlineStr">
        <is>
          <t>TCGplayer</t>
        </is>
      </c>
      <c r="N870" s="4" t="inlineStr">
        <is>
          <t>https://www.tcgplayer.com/product/245731</t>
        </is>
      </c>
    </row>
    <row r="871">
      <c r="A871" s="2" t="inlineStr">
        <is>
          <t>Victini ex/Miraidon ex Battle Decks [Set of 2]</t>
        </is>
      </c>
      <c r="B871" s="3">
        <f>IF(H871&lt;&gt;"",H871,IF(I871&lt;&gt;"",I871,IF(J871&lt;&gt;"",J871,K871)))</f>
        <v>24.9</v>
      </c>
      <c r="C871" s="3">
        <f>MEDIAN(H871:K871)</f>
        <v>24.9</v>
      </c>
      <c r="D871" s="3">
        <f>ROUND(C871*(1-Settings!$B$2),2)</f>
        <v>17.43</v>
      </c>
      <c r="E871" s="2" t="inlineStr">
        <is>
          <t>Pokemon</t>
        </is>
      </c>
      <c r="F871" s="2" t="inlineStr">
        <is>
          <t>Other</t>
        </is>
      </c>
      <c r="G871" s="2" t="inlineStr">
        <is>
          <t>Miscellaneous Cards &amp; Products</t>
        </is>
      </c>
      <c r="H871" s="3" t="n"/>
      <c r="I871" s="3" t="n">
        <v>24.9</v>
      </c>
      <c r="J871" s="3" t="n"/>
      <c r="K871" s="3" t="n"/>
      <c r="L871" s="2" t="inlineStr">
        <is>
          <t>TCGplayer</t>
        </is>
      </c>
      <c r="N871" s="4" t="inlineStr">
        <is>
          <t>https://www.tcgplayer.com/product/616920</t>
        </is>
      </c>
    </row>
    <row r="872">
      <c r="A872" s="2" t="inlineStr">
        <is>
          <t>Virizion V Showcase</t>
        </is>
      </c>
      <c r="B872" s="3">
        <f>IF(H872&lt;&gt;"",H872,IF(I872&lt;&gt;"",I872,IF(J872&lt;&gt;"",J872,K872)))</f>
        <v>37.49</v>
      </c>
      <c r="C872" s="3">
        <f>MEDIAN(H872:K872)</f>
        <v>64.99</v>
      </c>
      <c r="D872" s="3">
        <f>ROUND(C872*(1-Settings!$B$2),2)</f>
        <v>45.49</v>
      </c>
      <c r="E872" s="2" t="inlineStr">
        <is>
          <t>Pokemon</t>
        </is>
      </c>
      <c r="F872" s="2" t="inlineStr">
        <is>
          <t>Other</t>
        </is>
      </c>
      <c r="G872" s="2" t="inlineStr">
        <is>
          <t>Miscellaneous Cards &amp; Products</t>
        </is>
      </c>
      <c r="H872" s="3" t="n"/>
      <c r="I872" s="3" t="n">
        <v>37.49</v>
      </c>
      <c r="J872" s="3" t="n">
        <v>64.98999999999999</v>
      </c>
      <c r="K872" s="3" t="n">
        <v>64.98999999999999</v>
      </c>
      <c r="L872" s="2" t="inlineStr">
        <is>
          <t>TCGplayer</t>
        </is>
      </c>
      <c r="N872" s="4" t="inlineStr">
        <is>
          <t>https://www.tcgplayer.com/product/659947</t>
        </is>
      </c>
    </row>
    <row r="873">
      <c r="A873" s="2" t="inlineStr">
        <is>
          <t>My First Battle [Charmander &amp; Squirtle]</t>
        </is>
      </c>
      <c r="B873" s="3">
        <f>IF(H873&lt;&gt;"",H873,IF(I873&lt;&gt;"",I873,IF(J873&lt;&gt;"",J873,K873)))</f>
        <v>68.45</v>
      </c>
      <c r="C873" s="3">
        <f>MEDIAN(H873:K873)</f>
        <v>68.45</v>
      </c>
      <c r="D873" s="3">
        <f>ROUND(C873*(1-Settings!$B$2),2)</f>
        <v>47.92</v>
      </c>
      <c r="E873" s="2" t="inlineStr">
        <is>
          <t>Pokemon</t>
        </is>
      </c>
      <c r="F873" s="2" t="inlineStr">
        <is>
          <t>Other</t>
        </is>
      </c>
      <c r="G873" s="2" t="inlineStr">
        <is>
          <t>My First Battle</t>
        </is>
      </c>
      <c r="H873" s="3" t="n"/>
      <c r="I873" s="3" t="n">
        <v>68.45</v>
      </c>
      <c r="J873" s="3" t="n">
        <v>71</v>
      </c>
      <c r="K873" s="3" t="n">
        <v>64.54000000000001</v>
      </c>
      <c r="L873" s="2" t="inlineStr">
        <is>
          <t>TCGplayer</t>
        </is>
      </c>
      <c r="N873" s="4" t="inlineStr">
        <is>
          <t>https://www.tcgplayer.com/product/520782</t>
        </is>
      </c>
    </row>
    <row r="874">
      <c r="A874" s="2" t="inlineStr">
        <is>
          <t>My First Battle [Pikachu &amp; Bulbasaur]</t>
        </is>
      </c>
      <c r="B874" s="3">
        <f>IF(H874&lt;&gt;"",H874,IF(I874&lt;&gt;"",I874,IF(J874&lt;&gt;"",J874,K874)))</f>
        <v>75.67</v>
      </c>
      <c r="C874" s="3">
        <f>MEDIAN(H874:K874)</f>
        <v>75.67</v>
      </c>
      <c r="D874" s="3">
        <f>ROUND(C874*(1-Settings!$B$2),2)</f>
        <v>52.97</v>
      </c>
      <c r="E874" s="2" t="inlineStr">
        <is>
          <t>Pokemon</t>
        </is>
      </c>
      <c r="F874" s="2" t="inlineStr">
        <is>
          <t>Other</t>
        </is>
      </c>
      <c r="G874" s="2" t="inlineStr">
        <is>
          <t>My First Battle</t>
        </is>
      </c>
      <c r="H874" s="3" t="n"/>
      <c r="I874" s="3" t="n">
        <v>75.67</v>
      </c>
      <c r="J874" s="3" t="n">
        <v>84.98999999999999</v>
      </c>
      <c r="K874" s="3" t="n">
        <v>72</v>
      </c>
      <c r="L874" s="2" t="inlineStr">
        <is>
          <t>TCGplayer</t>
        </is>
      </c>
      <c r="N874" s="4" t="inlineStr">
        <is>
          <t>https://www.tcgplayer.com/product/520781</t>
        </is>
      </c>
    </row>
    <row r="875">
      <c r="A875" s="2" t="inlineStr">
        <is>
          <t>Neo Destiny Booster Pack [Unlimited Edition]</t>
        </is>
      </c>
      <c r="B875" s="3">
        <f>IF(H875&lt;&gt;"",H875,IF(I875&lt;&gt;"",I875,IF(J875&lt;&gt;"",J875,K875)))</f>
        <v>1610.0</v>
      </c>
      <c r="C875" s="3">
        <f>MEDIAN(H875:K875)</f>
        <v>1610.0</v>
      </c>
      <c r="D875" s="3">
        <f>ROUND(C875*(1-Settings!$B$2),2)</f>
        <v>1127.0</v>
      </c>
      <c r="E875" s="2" t="inlineStr">
        <is>
          <t>Pokemon</t>
        </is>
      </c>
      <c r="F875" s="2" t="inlineStr">
        <is>
          <t>Other</t>
        </is>
      </c>
      <c r="G875" s="2" t="inlineStr">
        <is>
          <t>Neo Destiny</t>
        </is>
      </c>
      <c r="H875" s="3" t="n"/>
      <c r="I875" s="3" t="n"/>
      <c r="J875" s="3" t="n">
        <v>1610</v>
      </c>
      <c r="K875" s="3" t="n">
        <v>1610</v>
      </c>
      <c r="L875" s="2" t="inlineStr">
        <is>
          <t>TCGplayer</t>
        </is>
      </c>
      <c r="N875" s="4" t="inlineStr">
        <is>
          <t>https://www.tcgplayer.com/product/138147</t>
        </is>
      </c>
    </row>
    <row r="876">
      <c r="A876" s="2" t="inlineStr">
        <is>
          <t>Pokemon GO Melmetal V/Mewtwo V Battle Decks [Set of 2]</t>
        </is>
      </c>
      <c r="B876" s="3">
        <f>IF(H876&lt;&gt;"",H876,IF(I876&lt;&gt;"",I876,IF(J876&lt;&gt;"",J876,K876)))</f>
        <v>34.36</v>
      </c>
      <c r="C876" s="3">
        <f>MEDIAN(H876:K876)</f>
        <v>34.36</v>
      </c>
      <c r="D876" s="3">
        <f>ROUND(C876*(1-Settings!$B$2),2)</f>
        <v>24.05</v>
      </c>
      <c r="E876" s="2" t="inlineStr">
        <is>
          <t>Pokemon</t>
        </is>
      </c>
      <c r="F876" s="2" t="inlineStr">
        <is>
          <t>Other</t>
        </is>
      </c>
      <c r="G876" s="2" t="inlineStr">
        <is>
          <t>Pokemon GO</t>
        </is>
      </c>
      <c r="H876" s="3" t="n"/>
      <c r="I876" s="3" t="n">
        <v>34.36</v>
      </c>
      <c r="J876" s="3" t="n">
        <v>37.28</v>
      </c>
      <c r="K876" s="3" t="n">
        <v>21.55</v>
      </c>
      <c r="L876" s="2" t="inlineStr">
        <is>
          <t>TCGplayer</t>
        </is>
      </c>
      <c r="N876" s="4" t="inlineStr">
        <is>
          <t>https://www.tcgplayer.com/product/271504</t>
        </is>
      </c>
    </row>
    <row r="877">
      <c r="A877" s="2" t="inlineStr">
        <is>
          <t>Promo Battle Arena Decks: Kyurem</t>
        </is>
      </c>
      <c r="B877" s="3">
        <f>IF(H877&lt;&gt;"",H877,IF(I877&lt;&gt;"",I877,IF(J877&lt;&gt;"",J877,K877)))</f>
        <v>49.74</v>
      </c>
      <c r="C877" s="3">
        <f>MEDIAN(H877:K877)</f>
        <v>49.74</v>
      </c>
      <c r="D877" s="3">
        <f>ROUND(C877*(1-Settings!$B$2),2)</f>
        <v>34.82</v>
      </c>
      <c r="E877" s="2" t="inlineStr">
        <is>
          <t>Pokemon</t>
        </is>
      </c>
      <c r="F877" s="2" t="inlineStr">
        <is>
          <t>Other</t>
        </is>
      </c>
      <c r="G877" s="2" t="inlineStr">
        <is>
          <t>Promo</t>
        </is>
      </c>
      <c r="H877" s="3" t="n">
        <v>49.74</v>
      </c>
      <c r="I877" s="3" t="n"/>
      <c r="J877" s="3" t="n"/>
      <c r="K877" s="3" t="n"/>
      <c r="L877" s="2" t="inlineStr">
        <is>
          <t>PriceCharting</t>
        </is>
      </c>
      <c r="M877" s="4" t="inlineStr">
        <is>
          <t>https://www.pricecharting.com/game/pokemon-promo/battle-arena-decks-kyurem</t>
        </is>
      </c>
    </row>
    <row r="878">
      <c r="A878" s="2" t="inlineStr">
        <is>
          <t>Roaring Skies Mega Evolution Collector's Pin Blisters [Rayquaza]</t>
        </is>
      </c>
      <c r="B878" s="3">
        <f>IF(H878&lt;&gt;"",H878,IF(I878&lt;&gt;"",I878,IF(J878&lt;&gt;"",J878,K878)))</f>
        <v>355.0</v>
      </c>
      <c r="C878" s="3">
        <f>MEDIAN(H878:K878)</f>
        <v>355.0</v>
      </c>
      <c r="D878" s="3">
        <f>ROUND(C878*(1-Settings!$B$2),2)</f>
        <v>248.5</v>
      </c>
      <c r="E878" s="2" t="inlineStr">
        <is>
          <t>Pokemon</t>
        </is>
      </c>
      <c r="F878" s="2" t="inlineStr">
        <is>
          <t>Other</t>
        </is>
      </c>
      <c r="G878" s="2" t="inlineStr">
        <is>
          <t>Roaring Skies</t>
        </is>
      </c>
      <c r="H878" s="3" t="n">
        <v>355</v>
      </c>
      <c r="I878" s="3" t="n"/>
      <c r="J878" s="3" t="n"/>
      <c r="K878" s="3" t="n"/>
      <c r="L878" s="2" t="inlineStr">
        <is>
          <t>PriceCharting</t>
        </is>
      </c>
      <c r="M878" s="4" t="inlineStr">
        <is>
          <t>https://www.pricecharting.com/game/pokemon-roaring-skies/mega-evolution-collector's-pin-blisters-rayquaza</t>
        </is>
      </c>
    </row>
    <row r="879">
      <c r="A879" s="2" t="inlineStr">
        <is>
          <t>Battle Arena Decks: Black Kyurem EX vs White Kyurem EX</t>
        </is>
      </c>
      <c r="B879" s="3">
        <f>IF(H879&lt;&gt;"",H879,IF(I879&lt;&gt;"",I879,IF(J879&lt;&gt;"",J879,K879)))</f>
        <v>54.65</v>
      </c>
      <c r="C879" s="3">
        <f>MEDIAN(H879:K879)</f>
        <v>57.99</v>
      </c>
      <c r="D879" s="3">
        <f>ROUND(C879*(1-Settings!$B$2),2)</f>
        <v>40.59</v>
      </c>
      <c r="E879" s="2" t="inlineStr">
        <is>
          <t>Pokemon</t>
        </is>
      </c>
      <c r="F879" s="2" t="inlineStr">
        <is>
          <t>Other</t>
        </is>
      </c>
      <c r="G879" s="2" t="inlineStr">
        <is>
          <t>SM - Guardians Rising</t>
        </is>
      </c>
      <c r="H879" s="3" t="n"/>
      <c r="I879" s="3" t="n">
        <v>54.65</v>
      </c>
      <c r="J879" s="3" t="n">
        <v>76.5</v>
      </c>
      <c r="K879" s="3" t="n">
        <v>57.99</v>
      </c>
      <c r="L879" s="2" t="inlineStr">
        <is>
          <t>TCGplayer</t>
        </is>
      </c>
      <c r="N879" s="4" t="inlineStr">
        <is>
          <t>https://www.tcgplayer.com/product/133810</t>
        </is>
      </c>
    </row>
    <row r="880">
      <c r="A880" s="2" t="inlineStr">
        <is>
          <t>Legendary Battle Decks [Ho-Oh]</t>
        </is>
      </c>
      <c r="B880" s="3">
        <f>IF(H880&lt;&gt;"",H880,IF(I880&lt;&gt;"",I880,IF(J880&lt;&gt;"",J880,K880)))</f>
        <v>42.95</v>
      </c>
      <c r="C880" s="3">
        <f>MEDIAN(H880:K880)</f>
        <v>50.0</v>
      </c>
      <c r="D880" s="3">
        <f>ROUND(C880*(1-Settings!$B$2),2)</f>
        <v>35.0</v>
      </c>
      <c r="E880" s="2" t="inlineStr">
        <is>
          <t>Pokemon</t>
        </is>
      </c>
      <c r="F880" s="2" t="inlineStr">
        <is>
          <t>Other</t>
        </is>
      </c>
      <c r="G880" s="2" t="inlineStr">
        <is>
          <t>SM - Guardians Rising</t>
        </is>
      </c>
      <c r="H880" s="3" t="n"/>
      <c r="I880" s="3" t="n">
        <v>42.95</v>
      </c>
      <c r="J880" s="3" t="n">
        <v>81.98</v>
      </c>
      <c r="K880" s="3" t="n">
        <v>50</v>
      </c>
      <c r="L880" s="2" t="inlineStr">
        <is>
          <t>TCGplayer</t>
        </is>
      </c>
      <c r="N880" s="4" t="inlineStr">
        <is>
          <t>https://www.tcgplayer.com/product/133811</t>
        </is>
      </c>
    </row>
    <row r="881">
      <c r="A881" s="2" t="inlineStr">
        <is>
          <t>Legendary Battle Decks [Lugia]</t>
        </is>
      </c>
      <c r="B881" s="3">
        <f>IF(H881&lt;&gt;"",H881,IF(I881&lt;&gt;"",I881,IF(J881&lt;&gt;"",J881,K881)))</f>
        <v>48.2</v>
      </c>
      <c r="C881" s="3">
        <f>MEDIAN(H881:K881)</f>
        <v>84.99</v>
      </c>
      <c r="D881" s="3">
        <f>ROUND(C881*(1-Settings!$B$2),2)</f>
        <v>59.49</v>
      </c>
      <c r="E881" s="2" t="inlineStr">
        <is>
          <t>Pokemon</t>
        </is>
      </c>
      <c r="F881" s="2" t="inlineStr">
        <is>
          <t>Other</t>
        </is>
      </c>
      <c r="G881" s="2" t="inlineStr">
        <is>
          <t>SM - Guardians Rising</t>
        </is>
      </c>
      <c r="H881" s="3" t="n"/>
      <c r="I881" s="3" t="n">
        <v>48.2</v>
      </c>
      <c r="J881" s="3" t="n">
        <v>90</v>
      </c>
      <c r="K881" s="3" t="n">
        <v>84.98999999999999</v>
      </c>
      <c r="L881" s="2" t="inlineStr">
        <is>
          <t>TCGplayer</t>
        </is>
      </c>
      <c r="N881" s="4" t="inlineStr">
        <is>
          <t>https://www.tcgplayer.com/product/133812</t>
        </is>
      </c>
    </row>
    <row r="882">
      <c r="A882" s="2" t="inlineStr">
        <is>
          <t>Stellar Crown Tinkaton 3 Pack Blister</t>
        </is>
      </c>
      <c r="B882" s="3">
        <f>IF(H882&lt;&gt;"",H882,IF(I882&lt;&gt;"",I882,IF(J882&lt;&gt;"",J882,K882)))</f>
        <v>36.58</v>
      </c>
      <c r="C882" s="3">
        <f>MEDIAN(H882:K882)</f>
        <v>36.58</v>
      </c>
      <c r="D882" s="3">
        <f>ROUND(C882*(1-Settings!$B$2),2)</f>
        <v>25.61</v>
      </c>
      <c r="E882" s="2" t="inlineStr">
        <is>
          <t>Pokemon</t>
        </is>
      </c>
      <c r="F882" s="2" t="inlineStr">
        <is>
          <t>Other</t>
        </is>
      </c>
      <c r="G882" s="2" t="inlineStr">
        <is>
          <t>Stellar Crown</t>
        </is>
      </c>
      <c r="H882" s="3" t="n">
        <v>36.58</v>
      </c>
      <c r="I882" s="3" t="n"/>
      <c r="J882" s="3" t="n"/>
      <c r="K882" s="3" t="n"/>
      <c r="L882" s="2" t="inlineStr">
        <is>
          <t>PriceCharting</t>
        </is>
      </c>
      <c r="M882" s="4" t="inlineStr">
        <is>
          <t>https://www.pricecharting.com/game/pokemon-stellar-crown/tinkaton-3-pack-blister</t>
        </is>
      </c>
    </row>
    <row r="883">
      <c r="A883" s="2" t="inlineStr">
        <is>
          <t>Scarlet &amp; Violet Elite Trainer Boxes [Set of 2]</t>
        </is>
      </c>
      <c r="B883" s="3">
        <f>IF(H883&lt;&gt;"",H883,IF(I883&lt;&gt;"",I883,IF(J883&lt;&gt;"",J883,K883)))</f>
        <v>256.68</v>
      </c>
      <c r="C883" s="3">
        <f>MEDIAN(H883:K883)</f>
        <v>323.0</v>
      </c>
      <c r="D883" s="3">
        <f>ROUND(C883*(1-Settings!$B$2),2)</f>
        <v>226.1</v>
      </c>
      <c r="E883" s="2" t="inlineStr">
        <is>
          <t>Pokemon</t>
        </is>
      </c>
      <c r="F883" s="2" t="inlineStr">
        <is>
          <t>Other</t>
        </is>
      </c>
      <c r="G883" s="2" t="inlineStr">
        <is>
          <t>SV01: Scarlet &amp; Violet Base Set</t>
        </is>
      </c>
      <c r="H883" s="3" t="n"/>
      <c r="I883" s="3" t="n">
        <v>256.68</v>
      </c>
      <c r="J883" s="3" t="n">
        <v>323.94</v>
      </c>
      <c r="K883" s="3" t="n">
        <v>323</v>
      </c>
      <c r="L883" s="2" t="inlineStr">
        <is>
          <t>TCGplayer</t>
        </is>
      </c>
      <c r="N883" s="4" t="inlineStr">
        <is>
          <t>https://www.tcgplayer.com/product/489369</t>
        </is>
      </c>
    </row>
    <row r="884">
      <c r="A884" s="2" t="inlineStr">
        <is>
          <t>Paradox Rift Elite Trainer Boxes [Set of 2]</t>
        </is>
      </c>
      <c r="B884" s="3">
        <f>IF(H884&lt;&gt;"",H884,IF(I884&lt;&gt;"",I884,IF(J884&lt;&gt;"",J884,K884)))</f>
        <v>319.61</v>
      </c>
      <c r="C884" s="3">
        <f>MEDIAN(H884:K884)</f>
        <v>349.95</v>
      </c>
      <c r="D884" s="3">
        <f>ROUND(C884*(1-Settings!$B$2),2)</f>
        <v>244.97</v>
      </c>
      <c r="E884" s="2" t="inlineStr">
        <is>
          <t>Pokemon</t>
        </is>
      </c>
      <c r="F884" s="2" t="inlineStr">
        <is>
          <t>Other</t>
        </is>
      </c>
      <c r="G884" s="2" t="inlineStr">
        <is>
          <t>SV04: Paradox Rift</t>
        </is>
      </c>
      <c r="H884" s="3" t="n"/>
      <c r="I884" s="3" t="n">
        <v>319.61</v>
      </c>
      <c r="J884" s="3" t="n">
        <v>349.95</v>
      </c>
      <c r="K884" s="3" t="n">
        <v>349.95</v>
      </c>
      <c r="L884" s="2" t="inlineStr">
        <is>
          <t>TCGplayer</t>
        </is>
      </c>
      <c r="N884" s="4" t="inlineStr">
        <is>
          <t>https://www.tcgplayer.com/product/512834</t>
        </is>
      </c>
    </row>
    <row r="885">
      <c r="A885" s="2" t="inlineStr">
        <is>
          <t>Destined Rivals 3 Pack Blister [Set of 2]</t>
        </is>
      </c>
      <c r="B885" s="3">
        <f>IF(H885&lt;&gt;"",H885,IF(I885&lt;&gt;"",I885,IF(J885&lt;&gt;"",J885,K885)))</f>
        <v>87.49</v>
      </c>
      <c r="C885" s="3">
        <f>MEDIAN(H885:K885)</f>
        <v>99.95</v>
      </c>
      <c r="D885" s="3">
        <f>ROUND(C885*(1-Settings!$B$2),2)</f>
        <v>69.97</v>
      </c>
      <c r="E885" s="2" t="inlineStr">
        <is>
          <t>Pokemon</t>
        </is>
      </c>
      <c r="F885" s="2" t="inlineStr">
        <is>
          <t>Other</t>
        </is>
      </c>
      <c r="G885" s="2" t="inlineStr">
        <is>
          <t>SV10: Destined Rivals</t>
        </is>
      </c>
      <c r="H885" s="3" t="n"/>
      <c r="I885" s="3" t="n">
        <v>87.48999999999999</v>
      </c>
      <c r="J885" s="3" t="n">
        <v>99.97</v>
      </c>
      <c r="K885" s="3" t="n">
        <v>99.95</v>
      </c>
      <c r="L885" s="2" t="inlineStr">
        <is>
          <t>TCGplayer</t>
        </is>
      </c>
      <c r="N885" s="4" t="inlineStr">
        <is>
          <t>https://www.tcgplayer.com/product/635328</t>
        </is>
      </c>
    </row>
    <row r="886">
      <c r="A886" s="2" t="inlineStr">
        <is>
          <t>Destined Rivals Single Pack Blister [Eevee]</t>
        </is>
      </c>
      <c r="B886" s="3">
        <f>IF(H886&lt;&gt;"",H886,IF(I886&lt;&gt;"",I886,IF(J886&lt;&gt;"",J886,K886)))</f>
        <v>19.18</v>
      </c>
      <c r="C886" s="3">
        <f>MEDIAN(H886:K886)</f>
        <v>19.18</v>
      </c>
      <c r="D886" s="3">
        <f>ROUND(C886*(1-Settings!$B$2),2)</f>
        <v>13.43</v>
      </c>
      <c r="E886" s="2" t="inlineStr">
        <is>
          <t>Pokemon</t>
        </is>
      </c>
      <c r="F886" s="2" t="inlineStr">
        <is>
          <t>Other</t>
        </is>
      </c>
      <c r="G886" s="2" t="inlineStr">
        <is>
          <t>SV10: Destined Rivals</t>
        </is>
      </c>
      <c r="H886" s="3" t="n"/>
      <c r="I886" s="3" t="n">
        <v>19.18</v>
      </c>
      <c r="J886" s="3" t="n">
        <v>21.75</v>
      </c>
      <c r="K886" s="3" t="n">
        <v>15</v>
      </c>
      <c r="L886" s="2" t="inlineStr">
        <is>
          <t>TCGplayer</t>
        </is>
      </c>
      <c r="N886" s="4" t="inlineStr">
        <is>
          <t>https://www.tcgplayer.com/product/633105</t>
        </is>
      </c>
    </row>
    <row r="887">
      <c r="A887" s="2" t="inlineStr">
        <is>
          <t>Destined Rivals Single Pack Blister [Zarude]</t>
        </is>
      </c>
      <c r="B887" s="3">
        <f>IF(H887&lt;&gt;"",H887,IF(I887&lt;&gt;"",I887,IF(J887&lt;&gt;"",J887,K887)))</f>
        <v>13.96</v>
      </c>
      <c r="C887" s="3">
        <f>MEDIAN(H887:K887)</f>
        <v>13.96</v>
      </c>
      <c r="D887" s="3">
        <f>ROUND(C887*(1-Settings!$B$2),2)</f>
        <v>9.77</v>
      </c>
      <c r="E887" s="2" t="inlineStr">
        <is>
          <t>Pokemon</t>
        </is>
      </c>
      <c r="F887" s="2" t="inlineStr">
        <is>
          <t>Other</t>
        </is>
      </c>
      <c r="G887" s="2" t="inlineStr">
        <is>
          <t>SV10: Destined Rivals</t>
        </is>
      </c>
      <c r="H887" s="3" t="n"/>
      <c r="I887" s="3" t="n">
        <v>13.96</v>
      </c>
      <c r="J887" s="3" t="n">
        <v>16.53</v>
      </c>
      <c r="K887" s="3" t="n">
        <v>11</v>
      </c>
      <c r="L887" s="2" t="inlineStr">
        <is>
          <t>TCGplayer</t>
        </is>
      </c>
      <c r="N887" s="4" t="inlineStr">
        <is>
          <t>https://www.tcgplayer.com/product/633106</t>
        </is>
      </c>
    </row>
    <row r="888">
      <c r="A888" s="2" t="inlineStr">
        <is>
          <t>Glory of Team Rocket Gang Briefcase</t>
        </is>
      </c>
      <c r="B888" s="3">
        <f>IF(H888&lt;&gt;"",H888,IF(I888&lt;&gt;"",I888,IF(J888&lt;&gt;"",J888,K888)))</f>
        <v>472.97</v>
      </c>
      <c r="C888" s="3">
        <f>MEDIAN(H888:K888)</f>
        <v>435.985</v>
      </c>
      <c r="D888" s="3">
        <f>ROUND(C888*(1-Settings!$B$2),2)</f>
        <v>305.19</v>
      </c>
      <c r="E888" s="2" t="inlineStr">
        <is>
          <t>Pokemon</t>
        </is>
      </c>
      <c r="F888" s="2" t="inlineStr">
        <is>
          <t>Other</t>
        </is>
      </c>
      <c r="G888" s="2" t="inlineStr">
        <is>
          <t>SV10: The Glory of Team Rocket</t>
        </is>
      </c>
      <c r="H888" s="3" t="n"/>
      <c r="I888" s="3" t="n">
        <v>472.97</v>
      </c>
      <c r="J888" s="3" t="n"/>
      <c r="K888" s="3" t="n">
        <v>399</v>
      </c>
      <c r="L888" s="2" t="inlineStr">
        <is>
          <t>TCGplayer</t>
        </is>
      </c>
      <c r="N888" s="4" t="inlineStr">
        <is>
          <t>https://www.tcgplayer.com/product/690290</t>
        </is>
      </c>
    </row>
    <row r="889">
      <c r="A889" s="2" t="inlineStr">
        <is>
          <t>Paldean Fates Tech Sticker Collections [Set of 3]</t>
        </is>
      </c>
      <c r="B889" s="3">
        <f>IF(H889&lt;&gt;"",H889,IF(I889&lt;&gt;"",I889,IF(J889&lt;&gt;"",J889,K889)))</f>
        <v>216.58</v>
      </c>
      <c r="C889" s="3">
        <f>MEDIAN(H889:K889)</f>
        <v>224.95</v>
      </c>
      <c r="D889" s="3">
        <f>ROUND(C889*(1-Settings!$B$2),2)</f>
        <v>157.47</v>
      </c>
      <c r="E889" s="2" t="inlineStr">
        <is>
          <t>Pokemon</t>
        </is>
      </c>
      <c r="F889" s="2" t="inlineStr">
        <is>
          <t>Other</t>
        </is>
      </c>
      <c r="G889" s="2" t="inlineStr">
        <is>
          <t>SV: Paldean Fates</t>
        </is>
      </c>
      <c r="H889" s="3" t="n"/>
      <c r="I889" s="3" t="n">
        <v>216.58</v>
      </c>
      <c r="J889" s="3" t="n">
        <v>239.5</v>
      </c>
      <c r="K889" s="3" t="n">
        <v>224.95</v>
      </c>
      <c r="L889" s="2" t="inlineStr">
        <is>
          <t>TCGplayer</t>
        </is>
      </c>
      <c r="N889" s="4" t="inlineStr">
        <is>
          <t>https://www.tcgplayer.com/product/528229</t>
        </is>
      </c>
    </row>
    <row r="890">
      <c r="A890" s="2" t="inlineStr">
        <is>
          <t>Sam's Club 151 (4 Mini Tins + 4 Promo Cards Bundle)</t>
        </is>
      </c>
      <c r="B890" s="3">
        <f>IF(H890&lt;&gt;"",H890,IF(I890&lt;&gt;"",I890,IF(J890&lt;&gt;"",J890,K890)))</f>
        <v>214.84</v>
      </c>
      <c r="C890" s="3">
        <f>MEDIAN(H890:K890)</f>
        <v>214.84</v>
      </c>
      <c r="D890" s="3">
        <f>ROUND(C890*(1-Settings!$B$2),2)</f>
        <v>150.39</v>
      </c>
      <c r="E890" s="2" t="inlineStr">
        <is>
          <t>Pokemon</t>
        </is>
      </c>
      <c r="F890" s="2" t="inlineStr">
        <is>
          <t>Other</t>
        </is>
      </c>
      <c r="G890" s="2" t="inlineStr">
        <is>
          <t>SV: Scarlet &amp; Violet 151</t>
        </is>
      </c>
      <c r="H890" s="3" t="n"/>
      <c r="I890" s="3" t="n">
        <v>214.84</v>
      </c>
      <c r="J890" s="3" t="n">
        <v>232</v>
      </c>
      <c r="K890" s="3" t="n">
        <v>48.96</v>
      </c>
      <c r="L890" s="2" t="inlineStr">
        <is>
          <t>TCGplayer</t>
        </is>
      </c>
      <c r="N890" s="4" t="inlineStr">
        <is>
          <t>https://www.tcgplayer.com/product/662302</t>
        </is>
      </c>
    </row>
    <row r="891">
      <c r="A891" s="2" t="inlineStr">
        <is>
          <t>Pokemon Trading Card Game Classic</t>
        </is>
      </c>
      <c r="B891" s="3">
        <f>IF(H891&lt;&gt;"",H891,IF(I891&lt;&gt;"",I891,IF(J891&lt;&gt;"",J891,K891)))</f>
        <v>540.2</v>
      </c>
      <c r="C891" s="3">
        <f>MEDIAN(H891:K891)</f>
        <v>540.2</v>
      </c>
      <c r="D891" s="3">
        <f>ROUND(C891*(1-Settings!$B$2),2)</f>
        <v>378.14</v>
      </c>
      <c r="E891" s="2" t="inlineStr">
        <is>
          <t>Pokemon</t>
        </is>
      </c>
      <c r="F891" s="2" t="inlineStr">
        <is>
          <t>Other</t>
        </is>
      </c>
      <c r="G891" s="2" t="inlineStr">
        <is>
          <t>Trading Card Game Classic</t>
        </is>
      </c>
      <c r="H891" s="3" t="n"/>
      <c r="I891" s="3" t="n">
        <v>540.2</v>
      </c>
      <c r="J891" s="3" t="n">
        <v>598</v>
      </c>
      <c r="K891" s="3" t="n">
        <v>68.98999999999999</v>
      </c>
      <c r="L891" s="2" t="inlineStr">
        <is>
          <t>TCGplayer</t>
        </is>
      </c>
      <c r="N891" s="4" t="inlineStr">
        <is>
          <t>https://www.tcgplayer.com/product/518886</t>
        </is>
      </c>
    </row>
    <row r="892">
      <c r="A892" s="2" t="inlineStr">
        <is>
          <t>Battle Arena Decks: Xerneas vs Yveltal</t>
        </is>
      </c>
      <c r="B892" s="3">
        <f>IF(H892&lt;&gt;"",H892,IF(I892&lt;&gt;"",I892,IF(J892&lt;&gt;"",J892,K892)))</f>
        <v>90.0</v>
      </c>
      <c r="C892" s="3">
        <f>MEDIAN(H892:K892)</f>
        <v>90.0</v>
      </c>
      <c r="D892" s="3">
        <f>ROUND(C892*(1-Settings!$B$2),2)</f>
        <v>63.0</v>
      </c>
      <c r="E892" s="2" t="inlineStr">
        <is>
          <t>Pokemon</t>
        </is>
      </c>
      <c r="F892" s="2" t="inlineStr">
        <is>
          <t>Other</t>
        </is>
      </c>
      <c r="G892" s="2" t="inlineStr">
        <is>
          <t>XY - Furious Fists</t>
        </is>
      </c>
      <c r="H892" s="3" t="n"/>
      <c r="I892" s="3" t="n">
        <v>90</v>
      </c>
      <c r="J892" s="3" t="n"/>
      <c r="K892" s="3" t="n"/>
      <c r="L892" s="2" t="inlineStr">
        <is>
          <t>TCGplayer</t>
        </is>
      </c>
      <c r="N892" s="4" t="inlineStr">
        <is>
          <t>https://www.tcgplayer.com/product/97779</t>
        </is>
      </c>
    </row>
    <row r="893">
      <c r="A893" s="2" t="inlineStr">
        <is>
          <t>Mega Evolution Collector's Pin Blisters [Latios]</t>
        </is>
      </c>
      <c r="B893" s="3">
        <f>IF(H893&lt;&gt;"",H893,IF(I893&lt;&gt;"",I893,IF(J893&lt;&gt;"",J893,K893)))</f>
        <v>700.0</v>
      </c>
      <c r="C893" s="3">
        <f>MEDIAN(H893:K893)</f>
        <v>700.0</v>
      </c>
      <c r="D893" s="3">
        <f>ROUND(C893*(1-Settings!$B$2),2)</f>
        <v>490.0</v>
      </c>
      <c r="E893" s="2" t="inlineStr">
        <is>
          <t>Pokemon</t>
        </is>
      </c>
      <c r="F893" s="2" t="inlineStr">
        <is>
          <t>Other</t>
        </is>
      </c>
      <c r="G893" s="2" t="inlineStr">
        <is>
          <t>XY - Roaring Skies</t>
        </is>
      </c>
      <c r="H893" s="3" t="n"/>
      <c r="I893" s="3" t="n"/>
      <c r="J893" s="3" t="n">
        <v>700</v>
      </c>
      <c r="K893" s="3" t="n">
        <v>700</v>
      </c>
      <c r="L893" s="2" t="inlineStr">
        <is>
          <t>TCGplayer</t>
        </is>
      </c>
      <c r="N893" s="4" t="inlineStr">
        <is>
          <t>https://www.tcgplayer.com/product/99150</t>
        </is>
      </c>
    </row>
    <row r="894">
      <c r="A894" s="2" t="inlineStr">
        <is>
          <t>Battle Arena Decks: Keldeo EX vs Rayquaza EX</t>
        </is>
      </c>
      <c r="B894" s="3">
        <f>IF(H894&lt;&gt;"",H894,IF(I894&lt;&gt;"",I894,IF(J894&lt;&gt;"",J894,K894)))</f>
        <v>167.93</v>
      </c>
      <c r="C894" s="3">
        <f>MEDIAN(H894:K894)</f>
        <v>167.93</v>
      </c>
      <c r="D894" s="3">
        <f>ROUND(C894*(1-Settings!$B$2),2)</f>
        <v>117.55</v>
      </c>
      <c r="E894" s="2" t="inlineStr">
        <is>
          <t>Pokemon</t>
        </is>
      </c>
      <c r="F894" s="2" t="inlineStr">
        <is>
          <t>Other</t>
        </is>
      </c>
      <c r="G894" s="2" t="inlineStr">
        <is>
          <t>XY - Steam Siege</t>
        </is>
      </c>
      <c r="H894" s="3" t="n"/>
      <c r="I894" s="3" t="n">
        <v>167.93</v>
      </c>
      <c r="J894" s="3" t="n"/>
      <c r="K894" s="3" t="n"/>
      <c r="L894" s="2" t="inlineStr">
        <is>
          <t>TCGplayer</t>
        </is>
      </c>
      <c r="N894" s="4" t="inlineStr">
        <is>
          <t>https://www.tcgplayer.com/product/123439</t>
        </is>
      </c>
    </row>
    <row r="895">
      <c r="A895" s="2" t="inlineStr">
        <is>
          <t>Legendary Battle Decks [Moltres]</t>
        </is>
      </c>
      <c r="B895" s="3">
        <f>IF(H895&lt;&gt;"",H895,IF(I895&lt;&gt;"",I895,IF(J895&lt;&gt;"",J895,K895)))</f>
        <v>94.95</v>
      </c>
      <c r="C895" s="3">
        <f>MEDIAN(H895:K895)</f>
        <v>94.95</v>
      </c>
      <c r="D895" s="3">
        <f>ROUND(C895*(1-Settings!$B$2),2)</f>
        <v>66.47</v>
      </c>
      <c r="E895" s="2" t="inlineStr">
        <is>
          <t>Pokemon</t>
        </is>
      </c>
      <c r="F895" s="2" t="inlineStr">
        <is>
          <t>Other</t>
        </is>
      </c>
      <c r="G895" s="2" t="inlineStr">
        <is>
          <t>XY - Steam Siege</t>
        </is>
      </c>
      <c r="H895" s="3" t="n"/>
      <c r="I895" s="3" t="n">
        <v>94.95</v>
      </c>
      <c r="J895" s="3" t="n"/>
      <c r="K895" s="3" t="n"/>
      <c r="L895" s="2" t="inlineStr">
        <is>
          <t>TCGplayer</t>
        </is>
      </c>
      <c r="N895" s="4" t="inlineStr">
        <is>
          <t>https://www.tcgplayer.com/product/177156</t>
        </is>
      </c>
    </row>
    <row r="896">
      <c r="A896" s="2" t="inlineStr">
        <is>
          <t>Legendary Battle Decks [Zapdos]</t>
        </is>
      </c>
      <c r="B896" s="3">
        <f>IF(H896&lt;&gt;"",H896,IF(I896&lt;&gt;"",I896,IF(J896&lt;&gt;"",J896,K896)))</f>
        <v>71.99</v>
      </c>
      <c r="C896" s="3">
        <f>MEDIAN(H896:K896)</f>
        <v>71.99</v>
      </c>
      <c r="D896" s="3">
        <f>ROUND(C896*(1-Settings!$B$2),2)</f>
        <v>50.39</v>
      </c>
      <c r="E896" s="2" t="inlineStr">
        <is>
          <t>Pokemon</t>
        </is>
      </c>
      <c r="F896" s="2" t="inlineStr">
        <is>
          <t>Other</t>
        </is>
      </c>
      <c r="G896" s="2" t="inlineStr">
        <is>
          <t>XY - Steam Siege</t>
        </is>
      </c>
      <c r="H896" s="3" t="n"/>
      <c r="I896" s="3" t="n">
        <v>71.98999999999999</v>
      </c>
      <c r="J896" s="3" t="n"/>
      <c r="K896" s="3" t="n"/>
      <c r="L896" s="2" t="inlineStr">
        <is>
          <t>TCGplayer</t>
        </is>
      </c>
      <c r="N896" s="4" t="inlineStr">
        <is>
          <t>https://www.tcgplayer.com/product/177157</t>
        </is>
      </c>
    </row>
  </sheetData>
  <autoFilter ref="A1:N896"/>
  <hyperlinks>
    <hyperlink xmlns:r="http://schemas.openxmlformats.org/officeDocument/2006/relationships" ref="M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M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  <hyperlink xmlns:r="http://schemas.openxmlformats.org/officeDocument/2006/relationships" ref="N48" r:id="rId47"/>
    <hyperlink xmlns:r="http://schemas.openxmlformats.org/officeDocument/2006/relationships" ref="N49" r:id="rId48"/>
    <hyperlink xmlns:r="http://schemas.openxmlformats.org/officeDocument/2006/relationships" ref="N50" r:id="rId49"/>
    <hyperlink xmlns:r="http://schemas.openxmlformats.org/officeDocument/2006/relationships" ref="N51" r:id="rId50"/>
    <hyperlink xmlns:r="http://schemas.openxmlformats.org/officeDocument/2006/relationships" ref="N52" r:id="rId51"/>
    <hyperlink xmlns:r="http://schemas.openxmlformats.org/officeDocument/2006/relationships" ref="N53" r:id="rId52"/>
    <hyperlink xmlns:r="http://schemas.openxmlformats.org/officeDocument/2006/relationships" ref="N54" r:id="rId53"/>
    <hyperlink xmlns:r="http://schemas.openxmlformats.org/officeDocument/2006/relationships" ref="N55" r:id="rId54"/>
    <hyperlink xmlns:r="http://schemas.openxmlformats.org/officeDocument/2006/relationships" ref="N56" r:id="rId55"/>
    <hyperlink xmlns:r="http://schemas.openxmlformats.org/officeDocument/2006/relationships" ref="N57" r:id="rId56"/>
    <hyperlink xmlns:r="http://schemas.openxmlformats.org/officeDocument/2006/relationships" ref="N58" r:id="rId57"/>
    <hyperlink xmlns:r="http://schemas.openxmlformats.org/officeDocument/2006/relationships" ref="N59" r:id="rId58"/>
    <hyperlink xmlns:r="http://schemas.openxmlformats.org/officeDocument/2006/relationships" ref="N60" r:id="rId59"/>
    <hyperlink xmlns:r="http://schemas.openxmlformats.org/officeDocument/2006/relationships" ref="N61" r:id="rId60"/>
    <hyperlink xmlns:r="http://schemas.openxmlformats.org/officeDocument/2006/relationships" ref="N62" r:id="rId61"/>
    <hyperlink xmlns:r="http://schemas.openxmlformats.org/officeDocument/2006/relationships" ref="N63" r:id="rId62"/>
    <hyperlink xmlns:r="http://schemas.openxmlformats.org/officeDocument/2006/relationships" ref="N64" r:id="rId63"/>
    <hyperlink xmlns:r="http://schemas.openxmlformats.org/officeDocument/2006/relationships" ref="N65" r:id="rId64"/>
    <hyperlink xmlns:r="http://schemas.openxmlformats.org/officeDocument/2006/relationships" ref="N66" r:id="rId65"/>
    <hyperlink xmlns:r="http://schemas.openxmlformats.org/officeDocument/2006/relationships" ref="N67" r:id="rId66"/>
    <hyperlink xmlns:r="http://schemas.openxmlformats.org/officeDocument/2006/relationships" ref="N68" r:id="rId67"/>
    <hyperlink xmlns:r="http://schemas.openxmlformats.org/officeDocument/2006/relationships" ref="N69" r:id="rId68"/>
    <hyperlink xmlns:r="http://schemas.openxmlformats.org/officeDocument/2006/relationships" ref="N70" r:id="rId69"/>
    <hyperlink xmlns:r="http://schemas.openxmlformats.org/officeDocument/2006/relationships" ref="N71" r:id="rId70"/>
    <hyperlink xmlns:r="http://schemas.openxmlformats.org/officeDocument/2006/relationships" ref="N72" r:id="rId71"/>
    <hyperlink xmlns:r="http://schemas.openxmlformats.org/officeDocument/2006/relationships" ref="N73" r:id="rId72"/>
    <hyperlink xmlns:r="http://schemas.openxmlformats.org/officeDocument/2006/relationships" ref="N74" r:id="rId73"/>
    <hyperlink xmlns:r="http://schemas.openxmlformats.org/officeDocument/2006/relationships" ref="N75" r:id="rId74"/>
    <hyperlink xmlns:r="http://schemas.openxmlformats.org/officeDocument/2006/relationships" ref="N76" r:id="rId75"/>
    <hyperlink xmlns:r="http://schemas.openxmlformats.org/officeDocument/2006/relationships" ref="N77" r:id="rId76"/>
    <hyperlink xmlns:r="http://schemas.openxmlformats.org/officeDocument/2006/relationships" ref="N78" r:id="rId77"/>
    <hyperlink xmlns:r="http://schemas.openxmlformats.org/officeDocument/2006/relationships" ref="N79" r:id="rId78"/>
    <hyperlink xmlns:r="http://schemas.openxmlformats.org/officeDocument/2006/relationships" ref="N80" r:id="rId79"/>
    <hyperlink xmlns:r="http://schemas.openxmlformats.org/officeDocument/2006/relationships" ref="N81" r:id="rId80"/>
    <hyperlink xmlns:r="http://schemas.openxmlformats.org/officeDocument/2006/relationships" ref="N82" r:id="rId81"/>
    <hyperlink xmlns:r="http://schemas.openxmlformats.org/officeDocument/2006/relationships" ref="N83" r:id="rId82"/>
    <hyperlink xmlns:r="http://schemas.openxmlformats.org/officeDocument/2006/relationships" ref="N84" r:id="rId83"/>
    <hyperlink xmlns:r="http://schemas.openxmlformats.org/officeDocument/2006/relationships" ref="N85" r:id="rId84"/>
    <hyperlink xmlns:r="http://schemas.openxmlformats.org/officeDocument/2006/relationships" ref="N86" r:id="rId85"/>
    <hyperlink xmlns:r="http://schemas.openxmlformats.org/officeDocument/2006/relationships" ref="N87" r:id="rId86"/>
    <hyperlink xmlns:r="http://schemas.openxmlformats.org/officeDocument/2006/relationships" ref="N88" r:id="rId87"/>
    <hyperlink xmlns:r="http://schemas.openxmlformats.org/officeDocument/2006/relationships" ref="N89" r:id="rId88"/>
    <hyperlink xmlns:r="http://schemas.openxmlformats.org/officeDocument/2006/relationships" ref="N90" r:id="rId89"/>
    <hyperlink xmlns:r="http://schemas.openxmlformats.org/officeDocument/2006/relationships" ref="N91" r:id="rId90"/>
    <hyperlink xmlns:r="http://schemas.openxmlformats.org/officeDocument/2006/relationships" ref="N92" r:id="rId91"/>
    <hyperlink xmlns:r="http://schemas.openxmlformats.org/officeDocument/2006/relationships" ref="N93" r:id="rId92"/>
    <hyperlink xmlns:r="http://schemas.openxmlformats.org/officeDocument/2006/relationships" ref="N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N113" r:id="rId112"/>
    <hyperlink xmlns:r="http://schemas.openxmlformats.org/officeDocument/2006/relationships" ref="M114" r:id="rId113"/>
    <hyperlink xmlns:r="http://schemas.openxmlformats.org/officeDocument/2006/relationships" ref="N115" r:id="rId114"/>
    <hyperlink xmlns:r="http://schemas.openxmlformats.org/officeDocument/2006/relationships" ref="N116" r:id="rId115"/>
    <hyperlink xmlns:r="http://schemas.openxmlformats.org/officeDocument/2006/relationships" ref="N117" r:id="rId116"/>
    <hyperlink xmlns:r="http://schemas.openxmlformats.org/officeDocument/2006/relationships" ref="N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N122" r:id="rId121"/>
    <hyperlink xmlns:r="http://schemas.openxmlformats.org/officeDocument/2006/relationships" ref="M123" r:id="rId122"/>
    <hyperlink xmlns:r="http://schemas.openxmlformats.org/officeDocument/2006/relationships" ref="N124" r:id="rId123"/>
    <hyperlink xmlns:r="http://schemas.openxmlformats.org/officeDocument/2006/relationships" ref="M125" r:id="rId124"/>
    <hyperlink xmlns:r="http://schemas.openxmlformats.org/officeDocument/2006/relationships" ref="N126" r:id="rId125"/>
    <hyperlink xmlns:r="http://schemas.openxmlformats.org/officeDocument/2006/relationships" ref="M127" r:id="rId126"/>
    <hyperlink xmlns:r="http://schemas.openxmlformats.org/officeDocument/2006/relationships" ref="N128" r:id="rId127"/>
    <hyperlink xmlns:r="http://schemas.openxmlformats.org/officeDocument/2006/relationships" ref="N129" r:id="rId128"/>
    <hyperlink xmlns:r="http://schemas.openxmlformats.org/officeDocument/2006/relationships" ref="M130" r:id="rId129"/>
    <hyperlink xmlns:r="http://schemas.openxmlformats.org/officeDocument/2006/relationships" ref="N131" r:id="rId130"/>
    <hyperlink xmlns:r="http://schemas.openxmlformats.org/officeDocument/2006/relationships" ref="M132" r:id="rId131"/>
    <hyperlink xmlns:r="http://schemas.openxmlformats.org/officeDocument/2006/relationships" ref="N133" r:id="rId132"/>
    <hyperlink xmlns:r="http://schemas.openxmlformats.org/officeDocument/2006/relationships" ref="M134" r:id="rId133"/>
    <hyperlink xmlns:r="http://schemas.openxmlformats.org/officeDocument/2006/relationships" ref="N135" r:id="rId134"/>
    <hyperlink xmlns:r="http://schemas.openxmlformats.org/officeDocument/2006/relationships" ref="M136" r:id="rId135"/>
    <hyperlink xmlns:r="http://schemas.openxmlformats.org/officeDocument/2006/relationships" ref="N137" r:id="rId136"/>
    <hyperlink xmlns:r="http://schemas.openxmlformats.org/officeDocument/2006/relationships" ref="N138" r:id="rId137"/>
    <hyperlink xmlns:r="http://schemas.openxmlformats.org/officeDocument/2006/relationships" ref="M139" r:id="rId138"/>
    <hyperlink xmlns:r="http://schemas.openxmlformats.org/officeDocument/2006/relationships" ref="N139" r:id="rId139"/>
    <hyperlink xmlns:r="http://schemas.openxmlformats.org/officeDocument/2006/relationships" ref="M140" r:id="rId140"/>
    <hyperlink xmlns:r="http://schemas.openxmlformats.org/officeDocument/2006/relationships" ref="M141" r:id="rId141"/>
    <hyperlink xmlns:r="http://schemas.openxmlformats.org/officeDocument/2006/relationships" ref="M142" r:id="rId142"/>
    <hyperlink xmlns:r="http://schemas.openxmlformats.org/officeDocument/2006/relationships" ref="N143" r:id="rId143"/>
    <hyperlink xmlns:r="http://schemas.openxmlformats.org/officeDocument/2006/relationships" ref="M144" r:id="rId144"/>
    <hyperlink xmlns:r="http://schemas.openxmlformats.org/officeDocument/2006/relationships" ref="N145" r:id="rId145"/>
    <hyperlink xmlns:r="http://schemas.openxmlformats.org/officeDocument/2006/relationships" ref="M146" r:id="rId146"/>
    <hyperlink xmlns:r="http://schemas.openxmlformats.org/officeDocument/2006/relationships" ref="N147" r:id="rId147"/>
    <hyperlink xmlns:r="http://schemas.openxmlformats.org/officeDocument/2006/relationships" ref="N148" r:id="rId148"/>
    <hyperlink xmlns:r="http://schemas.openxmlformats.org/officeDocument/2006/relationships" ref="M149" r:id="rId149"/>
    <hyperlink xmlns:r="http://schemas.openxmlformats.org/officeDocument/2006/relationships" ref="N150" r:id="rId150"/>
    <hyperlink xmlns:r="http://schemas.openxmlformats.org/officeDocument/2006/relationships" ref="M151" r:id="rId151"/>
    <hyperlink xmlns:r="http://schemas.openxmlformats.org/officeDocument/2006/relationships" ref="N152" r:id="rId152"/>
    <hyperlink xmlns:r="http://schemas.openxmlformats.org/officeDocument/2006/relationships" ref="M153" r:id="rId153"/>
    <hyperlink xmlns:r="http://schemas.openxmlformats.org/officeDocument/2006/relationships" ref="N154" r:id="rId154"/>
    <hyperlink xmlns:r="http://schemas.openxmlformats.org/officeDocument/2006/relationships" ref="M155" r:id="rId155"/>
    <hyperlink xmlns:r="http://schemas.openxmlformats.org/officeDocument/2006/relationships" ref="N156" r:id="rId156"/>
    <hyperlink xmlns:r="http://schemas.openxmlformats.org/officeDocument/2006/relationships" ref="M157" r:id="rId157"/>
    <hyperlink xmlns:r="http://schemas.openxmlformats.org/officeDocument/2006/relationships" ref="N158" r:id="rId158"/>
    <hyperlink xmlns:r="http://schemas.openxmlformats.org/officeDocument/2006/relationships" ref="M159" r:id="rId159"/>
    <hyperlink xmlns:r="http://schemas.openxmlformats.org/officeDocument/2006/relationships" ref="N160" r:id="rId160"/>
    <hyperlink xmlns:r="http://schemas.openxmlformats.org/officeDocument/2006/relationships" ref="N161" r:id="rId161"/>
    <hyperlink xmlns:r="http://schemas.openxmlformats.org/officeDocument/2006/relationships" ref="N162" r:id="rId162"/>
    <hyperlink xmlns:r="http://schemas.openxmlformats.org/officeDocument/2006/relationships" ref="M163" r:id="rId163"/>
    <hyperlink xmlns:r="http://schemas.openxmlformats.org/officeDocument/2006/relationships" ref="M164" r:id="rId164"/>
    <hyperlink xmlns:r="http://schemas.openxmlformats.org/officeDocument/2006/relationships" ref="M165" r:id="rId165"/>
    <hyperlink xmlns:r="http://schemas.openxmlformats.org/officeDocument/2006/relationships" ref="N166" r:id="rId166"/>
    <hyperlink xmlns:r="http://schemas.openxmlformats.org/officeDocument/2006/relationships" ref="N167" r:id="rId167"/>
    <hyperlink xmlns:r="http://schemas.openxmlformats.org/officeDocument/2006/relationships" ref="N168" r:id="rId168"/>
    <hyperlink xmlns:r="http://schemas.openxmlformats.org/officeDocument/2006/relationships" ref="N169" r:id="rId169"/>
    <hyperlink xmlns:r="http://schemas.openxmlformats.org/officeDocument/2006/relationships" ref="N170" r:id="rId170"/>
    <hyperlink xmlns:r="http://schemas.openxmlformats.org/officeDocument/2006/relationships" ref="N171" r:id="rId171"/>
    <hyperlink xmlns:r="http://schemas.openxmlformats.org/officeDocument/2006/relationships" ref="N172" r:id="rId172"/>
    <hyperlink xmlns:r="http://schemas.openxmlformats.org/officeDocument/2006/relationships" ref="N173" r:id="rId173"/>
    <hyperlink xmlns:r="http://schemas.openxmlformats.org/officeDocument/2006/relationships" ref="M174" r:id="rId174"/>
    <hyperlink xmlns:r="http://schemas.openxmlformats.org/officeDocument/2006/relationships" ref="M175" r:id="rId175"/>
    <hyperlink xmlns:r="http://schemas.openxmlformats.org/officeDocument/2006/relationships" ref="N176" r:id="rId176"/>
    <hyperlink xmlns:r="http://schemas.openxmlformats.org/officeDocument/2006/relationships" ref="M177" r:id="rId177"/>
    <hyperlink xmlns:r="http://schemas.openxmlformats.org/officeDocument/2006/relationships" ref="N178" r:id="rId178"/>
    <hyperlink xmlns:r="http://schemas.openxmlformats.org/officeDocument/2006/relationships" ref="M179" r:id="rId179"/>
    <hyperlink xmlns:r="http://schemas.openxmlformats.org/officeDocument/2006/relationships" ref="M180" r:id="rId180"/>
    <hyperlink xmlns:r="http://schemas.openxmlformats.org/officeDocument/2006/relationships" ref="N180" r:id="rId181"/>
    <hyperlink xmlns:r="http://schemas.openxmlformats.org/officeDocument/2006/relationships" ref="M181" r:id="rId182"/>
    <hyperlink xmlns:r="http://schemas.openxmlformats.org/officeDocument/2006/relationships" ref="N182" r:id="rId183"/>
    <hyperlink xmlns:r="http://schemas.openxmlformats.org/officeDocument/2006/relationships" ref="M183" r:id="rId184"/>
    <hyperlink xmlns:r="http://schemas.openxmlformats.org/officeDocument/2006/relationships" ref="N184" r:id="rId185"/>
    <hyperlink xmlns:r="http://schemas.openxmlformats.org/officeDocument/2006/relationships" ref="M185" r:id="rId186"/>
    <hyperlink xmlns:r="http://schemas.openxmlformats.org/officeDocument/2006/relationships" ref="N186" r:id="rId187"/>
    <hyperlink xmlns:r="http://schemas.openxmlformats.org/officeDocument/2006/relationships" ref="N187" r:id="rId188"/>
    <hyperlink xmlns:r="http://schemas.openxmlformats.org/officeDocument/2006/relationships" ref="N188" r:id="rId189"/>
    <hyperlink xmlns:r="http://schemas.openxmlformats.org/officeDocument/2006/relationships" ref="N189" r:id="rId190"/>
    <hyperlink xmlns:r="http://schemas.openxmlformats.org/officeDocument/2006/relationships" ref="N190" r:id="rId191"/>
    <hyperlink xmlns:r="http://schemas.openxmlformats.org/officeDocument/2006/relationships" ref="M191" r:id="rId192"/>
    <hyperlink xmlns:r="http://schemas.openxmlformats.org/officeDocument/2006/relationships" ref="M192" r:id="rId193"/>
    <hyperlink xmlns:r="http://schemas.openxmlformats.org/officeDocument/2006/relationships" ref="M193" r:id="rId194"/>
    <hyperlink xmlns:r="http://schemas.openxmlformats.org/officeDocument/2006/relationships" ref="M194" r:id="rId195"/>
    <hyperlink xmlns:r="http://schemas.openxmlformats.org/officeDocument/2006/relationships" ref="M195" r:id="rId196"/>
    <hyperlink xmlns:r="http://schemas.openxmlformats.org/officeDocument/2006/relationships" ref="N196" r:id="rId197"/>
    <hyperlink xmlns:r="http://schemas.openxmlformats.org/officeDocument/2006/relationships" ref="N197" r:id="rId198"/>
    <hyperlink xmlns:r="http://schemas.openxmlformats.org/officeDocument/2006/relationships" ref="N198" r:id="rId199"/>
    <hyperlink xmlns:r="http://schemas.openxmlformats.org/officeDocument/2006/relationships" ref="N199" r:id="rId200"/>
    <hyperlink xmlns:r="http://schemas.openxmlformats.org/officeDocument/2006/relationships" ref="N200" r:id="rId201"/>
    <hyperlink xmlns:r="http://schemas.openxmlformats.org/officeDocument/2006/relationships" ref="M201" r:id="rId202"/>
    <hyperlink xmlns:r="http://schemas.openxmlformats.org/officeDocument/2006/relationships" ref="M202" r:id="rId203"/>
    <hyperlink xmlns:r="http://schemas.openxmlformats.org/officeDocument/2006/relationships" ref="N203" r:id="rId204"/>
    <hyperlink xmlns:r="http://schemas.openxmlformats.org/officeDocument/2006/relationships" ref="N204" r:id="rId205"/>
    <hyperlink xmlns:r="http://schemas.openxmlformats.org/officeDocument/2006/relationships" ref="M205" r:id="rId206"/>
    <hyperlink xmlns:r="http://schemas.openxmlformats.org/officeDocument/2006/relationships" ref="M206" r:id="rId207"/>
    <hyperlink xmlns:r="http://schemas.openxmlformats.org/officeDocument/2006/relationships" ref="M207" r:id="rId208"/>
    <hyperlink xmlns:r="http://schemas.openxmlformats.org/officeDocument/2006/relationships" ref="M208" r:id="rId209"/>
    <hyperlink xmlns:r="http://schemas.openxmlformats.org/officeDocument/2006/relationships" ref="M209" r:id="rId210"/>
    <hyperlink xmlns:r="http://schemas.openxmlformats.org/officeDocument/2006/relationships" ref="N210" r:id="rId211"/>
    <hyperlink xmlns:r="http://schemas.openxmlformats.org/officeDocument/2006/relationships" ref="N211" r:id="rId212"/>
    <hyperlink xmlns:r="http://schemas.openxmlformats.org/officeDocument/2006/relationships" ref="N212" r:id="rId213"/>
    <hyperlink xmlns:r="http://schemas.openxmlformats.org/officeDocument/2006/relationships" ref="N213" r:id="rId214"/>
    <hyperlink xmlns:r="http://schemas.openxmlformats.org/officeDocument/2006/relationships" ref="M214" r:id="rId215"/>
    <hyperlink xmlns:r="http://schemas.openxmlformats.org/officeDocument/2006/relationships" ref="N214" r:id="rId216"/>
    <hyperlink xmlns:r="http://schemas.openxmlformats.org/officeDocument/2006/relationships" ref="N215" r:id="rId217"/>
    <hyperlink xmlns:r="http://schemas.openxmlformats.org/officeDocument/2006/relationships" ref="N216" r:id="rId218"/>
    <hyperlink xmlns:r="http://schemas.openxmlformats.org/officeDocument/2006/relationships" ref="M217" r:id="rId219"/>
    <hyperlink xmlns:r="http://schemas.openxmlformats.org/officeDocument/2006/relationships" ref="M218" r:id="rId220"/>
    <hyperlink xmlns:r="http://schemas.openxmlformats.org/officeDocument/2006/relationships" ref="M219" r:id="rId221"/>
    <hyperlink xmlns:r="http://schemas.openxmlformats.org/officeDocument/2006/relationships" ref="M220" r:id="rId222"/>
    <hyperlink xmlns:r="http://schemas.openxmlformats.org/officeDocument/2006/relationships" ref="M221" r:id="rId223"/>
    <hyperlink xmlns:r="http://schemas.openxmlformats.org/officeDocument/2006/relationships" ref="N221" r:id="rId224"/>
    <hyperlink xmlns:r="http://schemas.openxmlformats.org/officeDocument/2006/relationships" ref="M222" r:id="rId225"/>
    <hyperlink xmlns:r="http://schemas.openxmlformats.org/officeDocument/2006/relationships" ref="M223" r:id="rId226"/>
    <hyperlink xmlns:r="http://schemas.openxmlformats.org/officeDocument/2006/relationships" ref="M224" r:id="rId227"/>
    <hyperlink xmlns:r="http://schemas.openxmlformats.org/officeDocument/2006/relationships" ref="N224" r:id="rId228"/>
    <hyperlink xmlns:r="http://schemas.openxmlformats.org/officeDocument/2006/relationships" ref="N225" r:id="rId229"/>
    <hyperlink xmlns:r="http://schemas.openxmlformats.org/officeDocument/2006/relationships" ref="M226" r:id="rId230"/>
    <hyperlink xmlns:r="http://schemas.openxmlformats.org/officeDocument/2006/relationships" ref="N226" r:id="rId231"/>
    <hyperlink xmlns:r="http://schemas.openxmlformats.org/officeDocument/2006/relationships" ref="M227" r:id="rId232"/>
    <hyperlink xmlns:r="http://schemas.openxmlformats.org/officeDocument/2006/relationships" ref="N227" r:id="rId233"/>
    <hyperlink xmlns:r="http://schemas.openxmlformats.org/officeDocument/2006/relationships" ref="N228" r:id="rId234"/>
    <hyperlink xmlns:r="http://schemas.openxmlformats.org/officeDocument/2006/relationships" ref="N229" r:id="rId235"/>
    <hyperlink xmlns:r="http://schemas.openxmlformats.org/officeDocument/2006/relationships" ref="N230" r:id="rId236"/>
    <hyperlink xmlns:r="http://schemas.openxmlformats.org/officeDocument/2006/relationships" ref="N231" r:id="rId237"/>
    <hyperlink xmlns:r="http://schemas.openxmlformats.org/officeDocument/2006/relationships" ref="N232" r:id="rId238"/>
    <hyperlink xmlns:r="http://schemas.openxmlformats.org/officeDocument/2006/relationships" ref="M233" r:id="rId239"/>
    <hyperlink xmlns:r="http://schemas.openxmlformats.org/officeDocument/2006/relationships" ref="N234" r:id="rId240"/>
    <hyperlink xmlns:r="http://schemas.openxmlformats.org/officeDocument/2006/relationships" ref="N235" r:id="rId241"/>
    <hyperlink xmlns:r="http://schemas.openxmlformats.org/officeDocument/2006/relationships" ref="N236" r:id="rId242"/>
    <hyperlink xmlns:r="http://schemas.openxmlformats.org/officeDocument/2006/relationships" ref="N237" r:id="rId243"/>
    <hyperlink xmlns:r="http://schemas.openxmlformats.org/officeDocument/2006/relationships" ref="N238" r:id="rId244"/>
    <hyperlink xmlns:r="http://schemas.openxmlformats.org/officeDocument/2006/relationships" ref="N239" r:id="rId245"/>
    <hyperlink xmlns:r="http://schemas.openxmlformats.org/officeDocument/2006/relationships" ref="N240" r:id="rId246"/>
    <hyperlink xmlns:r="http://schemas.openxmlformats.org/officeDocument/2006/relationships" ref="N241" r:id="rId247"/>
    <hyperlink xmlns:r="http://schemas.openxmlformats.org/officeDocument/2006/relationships" ref="N242" r:id="rId248"/>
    <hyperlink xmlns:r="http://schemas.openxmlformats.org/officeDocument/2006/relationships" ref="N243" r:id="rId249"/>
    <hyperlink xmlns:r="http://schemas.openxmlformats.org/officeDocument/2006/relationships" ref="N244" r:id="rId250"/>
    <hyperlink xmlns:r="http://schemas.openxmlformats.org/officeDocument/2006/relationships" ref="N245" r:id="rId251"/>
    <hyperlink xmlns:r="http://schemas.openxmlformats.org/officeDocument/2006/relationships" ref="N246" r:id="rId252"/>
    <hyperlink xmlns:r="http://schemas.openxmlformats.org/officeDocument/2006/relationships" ref="N247" r:id="rId253"/>
    <hyperlink xmlns:r="http://schemas.openxmlformats.org/officeDocument/2006/relationships" ref="N248" r:id="rId254"/>
    <hyperlink xmlns:r="http://schemas.openxmlformats.org/officeDocument/2006/relationships" ref="N249" r:id="rId255"/>
    <hyperlink xmlns:r="http://schemas.openxmlformats.org/officeDocument/2006/relationships" ref="N250" r:id="rId256"/>
    <hyperlink xmlns:r="http://schemas.openxmlformats.org/officeDocument/2006/relationships" ref="N251" r:id="rId257"/>
    <hyperlink xmlns:r="http://schemas.openxmlformats.org/officeDocument/2006/relationships" ref="N252" r:id="rId258"/>
    <hyperlink xmlns:r="http://schemas.openxmlformats.org/officeDocument/2006/relationships" ref="N253" r:id="rId259"/>
    <hyperlink xmlns:r="http://schemas.openxmlformats.org/officeDocument/2006/relationships" ref="N254" r:id="rId260"/>
    <hyperlink xmlns:r="http://schemas.openxmlformats.org/officeDocument/2006/relationships" ref="N255" r:id="rId261"/>
    <hyperlink xmlns:r="http://schemas.openxmlformats.org/officeDocument/2006/relationships" ref="N256" r:id="rId262"/>
    <hyperlink xmlns:r="http://schemas.openxmlformats.org/officeDocument/2006/relationships" ref="N257" r:id="rId263"/>
    <hyperlink xmlns:r="http://schemas.openxmlformats.org/officeDocument/2006/relationships" ref="N258" r:id="rId264"/>
    <hyperlink xmlns:r="http://schemas.openxmlformats.org/officeDocument/2006/relationships" ref="N259" r:id="rId265"/>
    <hyperlink xmlns:r="http://schemas.openxmlformats.org/officeDocument/2006/relationships" ref="N260" r:id="rId266"/>
    <hyperlink xmlns:r="http://schemas.openxmlformats.org/officeDocument/2006/relationships" ref="N261" r:id="rId267"/>
    <hyperlink xmlns:r="http://schemas.openxmlformats.org/officeDocument/2006/relationships" ref="N262" r:id="rId268"/>
    <hyperlink xmlns:r="http://schemas.openxmlformats.org/officeDocument/2006/relationships" ref="N263" r:id="rId269"/>
    <hyperlink xmlns:r="http://schemas.openxmlformats.org/officeDocument/2006/relationships" ref="N264" r:id="rId270"/>
    <hyperlink xmlns:r="http://schemas.openxmlformats.org/officeDocument/2006/relationships" ref="N265" r:id="rId271"/>
    <hyperlink xmlns:r="http://schemas.openxmlformats.org/officeDocument/2006/relationships" ref="N266" r:id="rId272"/>
    <hyperlink xmlns:r="http://schemas.openxmlformats.org/officeDocument/2006/relationships" ref="N267" r:id="rId273"/>
    <hyperlink xmlns:r="http://schemas.openxmlformats.org/officeDocument/2006/relationships" ref="N268" r:id="rId274"/>
    <hyperlink xmlns:r="http://schemas.openxmlformats.org/officeDocument/2006/relationships" ref="N269" r:id="rId275"/>
    <hyperlink xmlns:r="http://schemas.openxmlformats.org/officeDocument/2006/relationships" ref="N270" r:id="rId276"/>
    <hyperlink xmlns:r="http://schemas.openxmlformats.org/officeDocument/2006/relationships" ref="N271" r:id="rId277"/>
    <hyperlink xmlns:r="http://schemas.openxmlformats.org/officeDocument/2006/relationships" ref="N272" r:id="rId278"/>
    <hyperlink xmlns:r="http://schemas.openxmlformats.org/officeDocument/2006/relationships" ref="N273" r:id="rId279"/>
    <hyperlink xmlns:r="http://schemas.openxmlformats.org/officeDocument/2006/relationships" ref="N274" r:id="rId280"/>
    <hyperlink xmlns:r="http://schemas.openxmlformats.org/officeDocument/2006/relationships" ref="N275" r:id="rId281"/>
    <hyperlink xmlns:r="http://schemas.openxmlformats.org/officeDocument/2006/relationships" ref="N276" r:id="rId282"/>
    <hyperlink xmlns:r="http://schemas.openxmlformats.org/officeDocument/2006/relationships" ref="N277" r:id="rId283"/>
    <hyperlink xmlns:r="http://schemas.openxmlformats.org/officeDocument/2006/relationships" ref="M278" r:id="rId284"/>
    <hyperlink xmlns:r="http://schemas.openxmlformats.org/officeDocument/2006/relationships" ref="N278" r:id="rId285"/>
    <hyperlink xmlns:r="http://schemas.openxmlformats.org/officeDocument/2006/relationships" ref="N279" r:id="rId286"/>
    <hyperlink xmlns:r="http://schemas.openxmlformats.org/officeDocument/2006/relationships" ref="N280" r:id="rId287"/>
    <hyperlink xmlns:r="http://schemas.openxmlformats.org/officeDocument/2006/relationships" ref="N281" r:id="rId288"/>
    <hyperlink xmlns:r="http://schemas.openxmlformats.org/officeDocument/2006/relationships" ref="N282" r:id="rId289"/>
    <hyperlink xmlns:r="http://schemas.openxmlformats.org/officeDocument/2006/relationships" ref="N283" r:id="rId290"/>
    <hyperlink xmlns:r="http://schemas.openxmlformats.org/officeDocument/2006/relationships" ref="N284" r:id="rId291"/>
    <hyperlink xmlns:r="http://schemas.openxmlformats.org/officeDocument/2006/relationships" ref="N285" r:id="rId292"/>
    <hyperlink xmlns:r="http://schemas.openxmlformats.org/officeDocument/2006/relationships" ref="N286" r:id="rId293"/>
    <hyperlink xmlns:r="http://schemas.openxmlformats.org/officeDocument/2006/relationships" ref="N287" r:id="rId294"/>
    <hyperlink xmlns:r="http://schemas.openxmlformats.org/officeDocument/2006/relationships" ref="M288" r:id="rId295"/>
    <hyperlink xmlns:r="http://schemas.openxmlformats.org/officeDocument/2006/relationships" ref="N288" r:id="rId296"/>
    <hyperlink xmlns:r="http://schemas.openxmlformats.org/officeDocument/2006/relationships" ref="N289" r:id="rId297"/>
    <hyperlink xmlns:r="http://schemas.openxmlformats.org/officeDocument/2006/relationships" ref="N290" r:id="rId298"/>
    <hyperlink xmlns:r="http://schemas.openxmlformats.org/officeDocument/2006/relationships" ref="N291" r:id="rId299"/>
    <hyperlink xmlns:r="http://schemas.openxmlformats.org/officeDocument/2006/relationships" ref="N292" r:id="rId300"/>
    <hyperlink xmlns:r="http://schemas.openxmlformats.org/officeDocument/2006/relationships" ref="N293" r:id="rId301"/>
    <hyperlink xmlns:r="http://schemas.openxmlformats.org/officeDocument/2006/relationships" ref="M294" r:id="rId302"/>
    <hyperlink xmlns:r="http://schemas.openxmlformats.org/officeDocument/2006/relationships" ref="N295" r:id="rId303"/>
    <hyperlink xmlns:r="http://schemas.openxmlformats.org/officeDocument/2006/relationships" ref="N296" r:id="rId304"/>
    <hyperlink xmlns:r="http://schemas.openxmlformats.org/officeDocument/2006/relationships" ref="N297" r:id="rId305"/>
    <hyperlink xmlns:r="http://schemas.openxmlformats.org/officeDocument/2006/relationships" ref="N298" r:id="rId306"/>
    <hyperlink xmlns:r="http://schemas.openxmlformats.org/officeDocument/2006/relationships" ref="N299" r:id="rId307"/>
    <hyperlink xmlns:r="http://schemas.openxmlformats.org/officeDocument/2006/relationships" ref="N300" r:id="rId308"/>
    <hyperlink xmlns:r="http://schemas.openxmlformats.org/officeDocument/2006/relationships" ref="N301" r:id="rId309"/>
    <hyperlink xmlns:r="http://schemas.openxmlformats.org/officeDocument/2006/relationships" ref="N302" r:id="rId310"/>
    <hyperlink xmlns:r="http://schemas.openxmlformats.org/officeDocument/2006/relationships" ref="N303" r:id="rId311"/>
    <hyperlink xmlns:r="http://schemas.openxmlformats.org/officeDocument/2006/relationships" ref="N304" r:id="rId312"/>
    <hyperlink xmlns:r="http://schemas.openxmlformats.org/officeDocument/2006/relationships" ref="N305" r:id="rId313"/>
    <hyperlink xmlns:r="http://schemas.openxmlformats.org/officeDocument/2006/relationships" ref="N306" r:id="rId314"/>
    <hyperlink xmlns:r="http://schemas.openxmlformats.org/officeDocument/2006/relationships" ref="N307" r:id="rId315"/>
    <hyperlink xmlns:r="http://schemas.openxmlformats.org/officeDocument/2006/relationships" ref="N308" r:id="rId316"/>
    <hyperlink xmlns:r="http://schemas.openxmlformats.org/officeDocument/2006/relationships" ref="N309" r:id="rId317"/>
    <hyperlink xmlns:r="http://schemas.openxmlformats.org/officeDocument/2006/relationships" ref="N310" r:id="rId318"/>
    <hyperlink xmlns:r="http://schemas.openxmlformats.org/officeDocument/2006/relationships" ref="N311" r:id="rId319"/>
    <hyperlink xmlns:r="http://schemas.openxmlformats.org/officeDocument/2006/relationships" ref="N312" r:id="rId320"/>
    <hyperlink xmlns:r="http://schemas.openxmlformats.org/officeDocument/2006/relationships" ref="N313" r:id="rId321"/>
    <hyperlink xmlns:r="http://schemas.openxmlformats.org/officeDocument/2006/relationships" ref="N314" r:id="rId322"/>
    <hyperlink xmlns:r="http://schemas.openxmlformats.org/officeDocument/2006/relationships" ref="N315" r:id="rId323"/>
    <hyperlink xmlns:r="http://schemas.openxmlformats.org/officeDocument/2006/relationships" ref="N316" r:id="rId324"/>
    <hyperlink xmlns:r="http://schemas.openxmlformats.org/officeDocument/2006/relationships" ref="N317" r:id="rId325"/>
    <hyperlink xmlns:r="http://schemas.openxmlformats.org/officeDocument/2006/relationships" ref="N318" r:id="rId326"/>
    <hyperlink xmlns:r="http://schemas.openxmlformats.org/officeDocument/2006/relationships" ref="N319" r:id="rId327"/>
    <hyperlink xmlns:r="http://schemas.openxmlformats.org/officeDocument/2006/relationships" ref="N320" r:id="rId328"/>
    <hyperlink xmlns:r="http://schemas.openxmlformats.org/officeDocument/2006/relationships" ref="N321" r:id="rId329"/>
    <hyperlink xmlns:r="http://schemas.openxmlformats.org/officeDocument/2006/relationships" ref="N322" r:id="rId330"/>
    <hyperlink xmlns:r="http://schemas.openxmlformats.org/officeDocument/2006/relationships" ref="N323" r:id="rId331"/>
    <hyperlink xmlns:r="http://schemas.openxmlformats.org/officeDocument/2006/relationships" ref="N324" r:id="rId332"/>
    <hyperlink xmlns:r="http://schemas.openxmlformats.org/officeDocument/2006/relationships" ref="N325" r:id="rId333"/>
    <hyperlink xmlns:r="http://schemas.openxmlformats.org/officeDocument/2006/relationships" ref="N326" r:id="rId334"/>
    <hyperlink xmlns:r="http://schemas.openxmlformats.org/officeDocument/2006/relationships" ref="N327" r:id="rId335"/>
    <hyperlink xmlns:r="http://schemas.openxmlformats.org/officeDocument/2006/relationships" ref="N328" r:id="rId336"/>
    <hyperlink xmlns:r="http://schemas.openxmlformats.org/officeDocument/2006/relationships" ref="N329" r:id="rId337"/>
    <hyperlink xmlns:r="http://schemas.openxmlformats.org/officeDocument/2006/relationships" ref="N330" r:id="rId338"/>
    <hyperlink xmlns:r="http://schemas.openxmlformats.org/officeDocument/2006/relationships" ref="N331" r:id="rId339"/>
    <hyperlink xmlns:r="http://schemas.openxmlformats.org/officeDocument/2006/relationships" ref="N332" r:id="rId340"/>
    <hyperlink xmlns:r="http://schemas.openxmlformats.org/officeDocument/2006/relationships" ref="N333" r:id="rId341"/>
    <hyperlink xmlns:r="http://schemas.openxmlformats.org/officeDocument/2006/relationships" ref="N334" r:id="rId342"/>
    <hyperlink xmlns:r="http://schemas.openxmlformats.org/officeDocument/2006/relationships" ref="N335" r:id="rId343"/>
    <hyperlink xmlns:r="http://schemas.openxmlformats.org/officeDocument/2006/relationships" ref="N336" r:id="rId344"/>
    <hyperlink xmlns:r="http://schemas.openxmlformats.org/officeDocument/2006/relationships" ref="N337" r:id="rId345"/>
    <hyperlink xmlns:r="http://schemas.openxmlformats.org/officeDocument/2006/relationships" ref="N338" r:id="rId346"/>
    <hyperlink xmlns:r="http://schemas.openxmlformats.org/officeDocument/2006/relationships" ref="N339" r:id="rId347"/>
    <hyperlink xmlns:r="http://schemas.openxmlformats.org/officeDocument/2006/relationships" ref="M340" r:id="rId348"/>
    <hyperlink xmlns:r="http://schemas.openxmlformats.org/officeDocument/2006/relationships" ref="N341" r:id="rId349"/>
    <hyperlink xmlns:r="http://schemas.openxmlformats.org/officeDocument/2006/relationships" ref="N342" r:id="rId350"/>
    <hyperlink xmlns:r="http://schemas.openxmlformats.org/officeDocument/2006/relationships" ref="N343" r:id="rId351"/>
    <hyperlink xmlns:r="http://schemas.openxmlformats.org/officeDocument/2006/relationships" ref="M344" r:id="rId352"/>
    <hyperlink xmlns:r="http://schemas.openxmlformats.org/officeDocument/2006/relationships" ref="M345" r:id="rId353"/>
    <hyperlink xmlns:r="http://schemas.openxmlformats.org/officeDocument/2006/relationships" ref="M346" r:id="rId354"/>
    <hyperlink xmlns:r="http://schemas.openxmlformats.org/officeDocument/2006/relationships" ref="M347" r:id="rId355"/>
    <hyperlink xmlns:r="http://schemas.openxmlformats.org/officeDocument/2006/relationships" ref="M348" r:id="rId356"/>
    <hyperlink xmlns:r="http://schemas.openxmlformats.org/officeDocument/2006/relationships" ref="M349" r:id="rId357"/>
    <hyperlink xmlns:r="http://schemas.openxmlformats.org/officeDocument/2006/relationships" ref="M350" r:id="rId358"/>
    <hyperlink xmlns:r="http://schemas.openxmlformats.org/officeDocument/2006/relationships" ref="M351" r:id="rId359"/>
    <hyperlink xmlns:r="http://schemas.openxmlformats.org/officeDocument/2006/relationships" ref="M352" r:id="rId360"/>
    <hyperlink xmlns:r="http://schemas.openxmlformats.org/officeDocument/2006/relationships" ref="M353" r:id="rId361"/>
    <hyperlink xmlns:r="http://schemas.openxmlformats.org/officeDocument/2006/relationships" ref="M354" r:id="rId362"/>
    <hyperlink xmlns:r="http://schemas.openxmlformats.org/officeDocument/2006/relationships" ref="M355" r:id="rId363"/>
    <hyperlink xmlns:r="http://schemas.openxmlformats.org/officeDocument/2006/relationships" ref="N356" r:id="rId364"/>
    <hyperlink xmlns:r="http://schemas.openxmlformats.org/officeDocument/2006/relationships" ref="N357" r:id="rId365"/>
    <hyperlink xmlns:r="http://schemas.openxmlformats.org/officeDocument/2006/relationships" ref="M358" r:id="rId366"/>
    <hyperlink xmlns:r="http://schemas.openxmlformats.org/officeDocument/2006/relationships" ref="N358" r:id="rId367"/>
    <hyperlink xmlns:r="http://schemas.openxmlformats.org/officeDocument/2006/relationships" ref="N359" r:id="rId368"/>
    <hyperlink xmlns:r="http://schemas.openxmlformats.org/officeDocument/2006/relationships" ref="N360" r:id="rId369"/>
    <hyperlink xmlns:r="http://schemas.openxmlformats.org/officeDocument/2006/relationships" ref="N361" r:id="rId370"/>
    <hyperlink xmlns:r="http://schemas.openxmlformats.org/officeDocument/2006/relationships" ref="N362" r:id="rId371"/>
    <hyperlink xmlns:r="http://schemas.openxmlformats.org/officeDocument/2006/relationships" ref="N363" r:id="rId372"/>
    <hyperlink xmlns:r="http://schemas.openxmlformats.org/officeDocument/2006/relationships" ref="N364" r:id="rId373"/>
    <hyperlink xmlns:r="http://schemas.openxmlformats.org/officeDocument/2006/relationships" ref="N365" r:id="rId374"/>
    <hyperlink xmlns:r="http://schemas.openxmlformats.org/officeDocument/2006/relationships" ref="N366" r:id="rId375"/>
    <hyperlink xmlns:r="http://schemas.openxmlformats.org/officeDocument/2006/relationships" ref="N367" r:id="rId376"/>
    <hyperlink xmlns:r="http://schemas.openxmlformats.org/officeDocument/2006/relationships" ref="N368" r:id="rId377"/>
    <hyperlink xmlns:r="http://schemas.openxmlformats.org/officeDocument/2006/relationships" ref="N369" r:id="rId378"/>
    <hyperlink xmlns:r="http://schemas.openxmlformats.org/officeDocument/2006/relationships" ref="N370" r:id="rId379"/>
    <hyperlink xmlns:r="http://schemas.openxmlformats.org/officeDocument/2006/relationships" ref="N371" r:id="rId380"/>
    <hyperlink xmlns:r="http://schemas.openxmlformats.org/officeDocument/2006/relationships" ref="N372" r:id="rId381"/>
    <hyperlink xmlns:r="http://schemas.openxmlformats.org/officeDocument/2006/relationships" ref="N373" r:id="rId382"/>
    <hyperlink xmlns:r="http://schemas.openxmlformats.org/officeDocument/2006/relationships" ref="N374" r:id="rId383"/>
    <hyperlink xmlns:r="http://schemas.openxmlformats.org/officeDocument/2006/relationships" ref="N375" r:id="rId384"/>
    <hyperlink xmlns:r="http://schemas.openxmlformats.org/officeDocument/2006/relationships" ref="N376" r:id="rId385"/>
    <hyperlink xmlns:r="http://schemas.openxmlformats.org/officeDocument/2006/relationships" ref="N377" r:id="rId386"/>
    <hyperlink xmlns:r="http://schemas.openxmlformats.org/officeDocument/2006/relationships" ref="N378" r:id="rId387"/>
    <hyperlink xmlns:r="http://schemas.openxmlformats.org/officeDocument/2006/relationships" ref="N379" r:id="rId388"/>
    <hyperlink xmlns:r="http://schemas.openxmlformats.org/officeDocument/2006/relationships" ref="N380" r:id="rId389"/>
    <hyperlink xmlns:r="http://schemas.openxmlformats.org/officeDocument/2006/relationships" ref="N381" r:id="rId390"/>
    <hyperlink xmlns:r="http://schemas.openxmlformats.org/officeDocument/2006/relationships" ref="N382" r:id="rId391"/>
    <hyperlink xmlns:r="http://schemas.openxmlformats.org/officeDocument/2006/relationships" ref="N383" r:id="rId392"/>
    <hyperlink xmlns:r="http://schemas.openxmlformats.org/officeDocument/2006/relationships" ref="N384" r:id="rId393"/>
    <hyperlink xmlns:r="http://schemas.openxmlformats.org/officeDocument/2006/relationships" ref="N385" r:id="rId394"/>
    <hyperlink xmlns:r="http://schemas.openxmlformats.org/officeDocument/2006/relationships" ref="N386" r:id="rId395"/>
    <hyperlink xmlns:r="http://schemas.openxmlformats.org/officeDocument/2006/relationships" ref="N387" r:id="rId396"/>
    <hyperlink xmlns:r="http://schemas.openxmlformats.org/officeDocument/2006/relationships" ref="N388" r:id="rId397"/>
    <hyperlink xmlns:r="http://schemas.openxmlformats.org/officeDocument/2006/relationships" ref="N389" r:id="rId398"/>
    <hyperlink xmlns:r="http://schemas.openxmlformats.org/officeDocument/2006/relationships" ref="N390" r:id="rId399"/>
    <hyperlink xmlns:r="http://schemas.openxmlformats.org/officeDocument/2006/relationships" ref="N391" r:id="rId400"/>
    <hyperlink xmlns:r="http://schemas.openxmlformats.org/officeDocument/2006/relationships" ref="N392" r:id="rId401"/>
    <hyperlink xmlns:r="http://schemas.openxmlformats.org/officeDocument/2006/relationships" ref="N393" r:id="rId402"/>
    <hyperlink xmlns:r="http://schemas.openxmlformats.org/officeDocument/2006/relationships" ref="N394" r:id="rId403"/>
    <hyperlink xmlns:r="http://schemas.openxmlformats.org/officeDocument/2006/relationships" ref="N395" r:id="rId404"/>
    <hyperlink xmlns:r="http://schemas.openxmlformats.org/officeDocument/2006/relationships" ref="N396" r:id="rId405"/>
    <hyperlink xmlns:r="http://schemas.openxmlformats.org/officeDocument/2006/relationships" ref="N397" r:id="rId406"/>
    <hyperlink xmlns:r="http://schemas.openxmlformats.org/officeDocument/2006/relationships" ref="N398" r:id="rId407"/>
    <hyperlink xmlns:r="http://schemas.openxmlformats.org/officeDocument/2006/relationships" ref="N399" r:id="rId408"/>
    <hyperlink xmlns:r="http://schemas.openxmlformats.org/officeDocument/2006/relationships" ref="N400" r:id="rId409"/>
    <hyperlink xmlns:r="http://schemas.openxmlformats.org/officeDocument/2006/relationships" ref="N401" r:id="rId410"/>
    <hyperlink xmlns:r="http://schemas.openxmlformats.org/officeDocument/2006/relationships" ref="N402" r:id="rId411"/>
    <hyperlink xmlns:r="http://schemas.openxmlformats.org/officeDocument/2006/relationships" ref="N403" r:id="rId412"/>
    <hyperlink xmlns:r="http://schemas.openxmlformats.org/officeDocument/2006/relationships" ref="N404" r:id="rId413"/>
    <hyperlink xmlns:r="http://schemas.openxmlformats.org/officeDocument/2006/relationships" ref="N405" r:id="rId414"/>
    <hyperlink xmlns:r="http://schemas.openxmlformats.org/officeDocument/2006/relationships" ref="N406" r:id="rId415"/>
    <hyperlink xmlns:r="http://schemas.openxmlformats.org/officeDocument/2006/relationships" ref="N407" r:id="rId416"/>
    <hyperlink xmlns:r="http://schemas.openxmlformats.org/officeDocument/2006/relationships" ref="N408" r:id="rId417"/>
    <hyperlink xmlns:r="http://schemas.openxmlformats.org/officeDocument/2006/relationships" ref="N409" r:id="rId418"/>
    <hyperlink xmlns:r="http://schemas.openxmlformats.org/officeDocument/2006/relationships" ref="N410" r:id="rId419"/>
    <hyperlink xmlns:r="http://schemas.openxmlformats.org/officeDocument/2006/relationships" ref="N411" r:id="rId420"/>
    <hyperlink xmlns:r="http://schemas.openxmlformats.org/officeDocument/2006/relationships" ref="N412" r:id="rId421"/>
    <hyperlink xmlns:r="http://schemas.openxmlformats.org/officeDocument/2006/relationships" ref="N413" r:id="rId422"/>
    <hyperlink xmlns:r="http://schemas.openxmlformats.org/officeDocument/2006/relationships" ref="N414" r:id="rId423"/>
    <hyperlink xmlns:r="http://schemas.openxmlformats.org/officeDocument/2006/relationships" ref="N415" r:id="rId424"/>
    <hyperlink xmlns:r="http://schemas.openxmlformats.org/officeDocument/2006/relationships" ref="N416" r:id="rId425"/>
    <hyperlink xmlns:r="http://schemas.openxmlformats.org/officeDocument/2006/relationships" ref="N417" r:id="rId426"/>
    <hyperlink xmlns:r="http://schemas.openxmlformats.org/officeDocument/2006/relationships" ref="N418" r:id="rId427"/>
    <hyperlink xmlns:r="http://schemas.openxmlformats.org/officeDocument/2006/relationships" ref="N419" r:id="rId428"/>
    <hyperlink xmlns:r="http://schemas.openxmlformats.org/officeDocument/2006/relationships" ref="N420" r:id="rId429"/>
    <hyperlink xmlns:r="http://schemas.openxmlformats.org/officeDocument/2006/relationships" ref="M421" r:id="rId430"/>
    <hyperlink xmlns:r="http://schemas.openxmlformats.org/officeDocument/2006/relationships" ref="N421" r:id="rId431"/>
    <hyperlink xmlns:r="http://schemas.openxmlformats.org/officeDocument/2006/relationships" ref="N422" r:id="rId432"/>
    <hyperlink xmlns:r="http://schemas.openxmlformats.org/officeDocument/2006/relationships" ref="N423" r:id="rId433"/>
    <hyperlink xmlns:r="http://schemas.openxmlformats.org/officeDocument/2006/relationships" ref="N424" r:id="rId434"/>
    <hyperlink xmlns:r="http://schemas.openxmlformats.org/officeDocument/2006/relationships" ref="M425" r:id="rId435"/>
    <hyperlink xmlns:r="http://schemas.openxmlformats.org/officeDocument/2006/relationships" ref="N425" r:id="rId436"/>
    <hyperlink xmlns:r="http://schemas.openxmlformats.org/officeDocument/2006/relationships" ref="N426" r:id="rId437"/>
    <hyperlink xmlns:r="http://schemas.openxmlformats.org/officeDocument/2006/relationships" ref="N427" r:id="rId438"/>
    <hyperlink xmlns:r="http://schemas.openxmlformats.org/officeDocument/2006/relationships" ref="N428" r:id="rId439"/>
    <hyperlink xmlns:r="http://schemas.openxmlformats.org/officeDocument/2006/relationships" ref="N429" r:id="rId440"/>
    <hyperlink xmlns:r="http://schemas.openxmlformats.org/officeDocument/2006/relationships" ref="N430" r:id="rId441"/>
    <hyperlink xmlns:r="http://schemas.openxmlformats.org/officeDocument/2006/relationships" ref="N431" r:id="rId442"/>
    <hyperlink xmlns:r="http://schemas.openxmlformats.org/officeDocument/2006/relationships" ref="N432" r:id="rId443"/>
    <hyperlink xmlns:r="http://schemas.openxmlformats.org/officeDocument/2006/relationships" ref="N433" r:id="rId444"/>
    <hyperlink xmlns:r="http://schemas.openxmlformats.org/officeDocument/2006/relationships" ref="N434" r:id="rId445"/>
    <hyperlink xmlns:r="http://schemas.openxmlformats.org/officeDocument/2006/relationships" ref="N435" r:id="rId446"/>
    <hyperlink xmlns:r="http://schemas.openxmlformats.org/officeDocument/2006/relationships" ref="N436" r:id="rId447"/>
    <hyperlink xmlns:r="http://schemas.openxmlformats.org/officeDocument/2006/relationships" ref="N437" r:id="rId448"/>
    <hyperlink xmlns:r="http://schemas.openxmlformats.org/officeDocument/2006/relationships" ref="N438" r:id="rId449"/>
    <hyperlink xmlns:r="http://schemas.openxmlformats.org/officeDocument/2006/relationships" ref="N439" r:id="rId450"/>
    <hyperlink xmlns:r="http://schemas.openxmlformats.org/officeDocument/2006/relationships" ref="M440" r:id="rId451"/>
    <hyperlink xmlns:r="http://schemas.openxmlformats.org/officeDocument/2006/relationships" ref="N440" r:id="rId452"/>
    <hyperlink xmlns:r="http://schemas.openxmlformats.org/officeDocument/2006/relationships" ref="N441" r:id="rId453"/>
    <hyperlink xmlns:r="http://schemas.openxmlformats.org/officeDocument/2006/relationships" ref="N442" r:id="rId454"/>
    <hyperlink xmlns:r="http://schemas.openxmlformats.org/officeDocument/2006/relationships" ref="N443" r:id="rId455"/>
    <hyperlink xmlns:r="http://schemas.openxmlformats.org/officeDocument/2006/relationships" ref="N444" r:id="rId456"/>
    <hyperlink xmlns:r="http://schemas.openxmlformats.org/officeDocument/2006/relationships" ref="N445" r:id="rId457"/>
    <hyperlink xmlns:r="http://schemas.openxmlformats.org/officeDocument/2006/relationships" ref="N446" r:id="rId458"/>
    <hyperlink xmlns:r="http://schemas.openxmlformats.org/officeDocument/2006/relationships" ref="N447" r:id="rId459"/>
    <hyperlink xmlns:r="http://schemas.openxmlformats.org/officeDocument/2006/relationships" ref="N448" r:id="rId460"/>
    <hyperlink xmlns:r="http://schemas.openxmlformats.org/officeDocument/2006/relationships" ref="N449" r:id="rId461"/>
    <hyperlink xmlns:r="http://schemas.openxmlformats.org/officeDocument/2006/relationships" ref="N450" r:id="rId462"/>
    <hyperlink xmlns:r="http://schemas.openxmlformats.org/officeDocument/2006/relationships" ref="N451" r:id="rId463"/>
    <hyperlink xmlns:r="http://schemas.openxmlformats.org/officeDocument/2006/relationships" ref="N452" r:id="rId464"/>
    <hyperlink xmlns:r="http://schemas.openxmlformats.org/officeDocument/2006/relationships" ref="N453" r:id="rId465"/>
    <hyperlink xmlns:r="http://schemas.openxmlformats.org/officeDocument/2006/relationships" ref="N454" r:id="rId466"/>
    <hyperlink xmlns:r="http://schemas.openxmlformats.org/officeDocument/2006/relationships" ref="N455" r:id="rId467"/>
    <hyperlink xmlns:r="http://schemas.openxmlformats.org/officeDocument/2006/relationships" ref="N456" r:id="rId468"/>
    <hyperlink xmlns:r="http://schemas.openxmlformats.org/officeDocument/2006/relationships" ref="N457" r:id="rId469"/>
    <hyperlink xmlns:r="http://schemas.openxmlformats.org/officeDocument/2006/relationships" ref="N458" r:id="rId470"/>
    <hyperlink xmlns:r="http://schemas.openxmlformats.org/officeDocument/2006/relationships" ref="N459" r:id="rId471"/>
    <hyperlink xmlns:r="http://schemas.openxmlformats.org/officeDocument/2006/relationships" ref="N460" r:id="rId472"/>
    <hyperlink xmlns:r="http://schemas.openxmlformats.org/officeDocument/2006/relationships" ref="M461" r:id="rId473"/>
    <hyperlink xmlns:r="http://schemas.openxmlformats.org/officeDocument/2006/relationships" ref="N461" r:id="rId474"/>
    <hyperlink xmlns:r="http://schemas.openxmlformats.org/officeDocument/2006/relationships" ref="N462" r:id="rId475"/>
    <hyperlink xmlns:r="http://schemas.openxmlformats.org/officeDocument/2006/relationships" ref="N463" r:id="rId476"/>
    <hyperlink xmlns:r="http://schemas.openxmlformats.org/officeDocument/2006/relationships" ref="N464" r:id="rId477"/>
    <hyperlink xmlns:r="http://schemas.openxmlformats.org/officeDocument/2006/relationships" ref="N465" r:id="rId478"/>
    <hyperlink xmlns:r="http://schemas.openxmlformats.org/officeDocument/2006/relationships" ref="N466" r:id="rId479"/>
    <hyperlink xmlns:r="http://schemas.openxmlformats.org/officeDocument/2006/relationships" ref="N467" r:id="rId480"/>
    <hyperlink xmlns:r="http://schemas.openxmlformats.org/officeDocument/2006/relationships" ref="N468" r:id="rId481"/>
    <hyperlink xmlns:r="http://schemas.openxmlformats.org/officeDocument/2006/relationships" ref="N469" r:id="rId482"/>
    <hyperlink xmlns:r="http://schemas.openxmlformats.org/officeDocument/2006/relationships" ref="N470" r:id="rId483"/>
    <hyperlink xmlns:r="http://schemas.openxmlformats.org/officeDocument/2006/relationships" ref="N471" r:id="rId484"/>
    <hyperlink xmlns:r="http://schemas.openxmlformats.org/officeDocument/2006/relationships" ref="N472" r:id="rId485"/>
    <hyperlink xmlns:r="http://schemas.openxmlformats.org/officeDocument/2006/relationships" ref="N473" r:id="rId486"/>
    <hyperlink xmlns:r="http://schemas.openxmlformats.org/officeDocument/2006/relationships" ref="N474" r:id="rId487"/>
    <hyperlink xmlns:r="http://schemas.openxmlformats.org/officeDocument/2006/relationships" ref="N475" r:id="rId488"/>
    <hyperlink xmlns:r="http://schemas.openxmlformats.org/officeDocument/2006/relationships" ref="N476" r:id="rId489"/>
    <hyperlink xmlns:r="http://schemas.openxmlformats.org/officeDocument/2006/relationships" ref="N477" r:id="rId490"/>
    <hyperlink xmlns:r="http://schemas.openxmlformats.org/officeDocument/2006/relationships" ref="N478" r:id="rId491"/>
    <hyperlink xmlns:r="http://schemas.openxmlformats.org/officeDocument/2006/relationships" ref="N479" r:id="rId492"/>
    <hyperlink xmlns:r="http://schemas.openxmlformats.org/officeDocument/2006/relationships" ref="N480" r:id="rId493"/>
    <hyperlink xmlns:r="http://schemas.openxmlformats.org/officeDocument/2006/relationships" ref="N481" r:id="rId494"/>
    <hyperlink xmlns:r="http://schemas.openxmlformats.org/officeDocument/2006/relationships" ref="N482" r:id="rId495"/>
    <hyperlink xmlns:r="http://schemas.openxmlformats.org/officeDocument/2006/relationships" ref="N483" r:id="rId496"/>
    <hyperlink xmlns:r="http://schemas.openxmlformats.org/officeDocument/2006/relationships" ref="N484" r:id="rId497"/>
    <hyperlink xmlns:r="http://schemas.openxmlformats.org/officeDocument/2006/relationships" ref="N485" r:id="rId498"/>
    <hyperlink xmlns:r="http://schemas.openxmlformats.org/officeDocument/2006/relationships" ref="N486" r:id="rId499"/>
    <hyperlink xmlns:r="http://schemas.openxmlformats.org/officeDocument/2006/relationships" ref="N487" r:id="rId500"/>
    <hyperlink xmlns:r="http://schemas.openxmlformats.org/officeDocument/2006/relationships" ref="N488" r:id="rId501"/>
    <hyperlink xmlns:r="http://schemas.openxmlformats.org/officeDocument/2006/relationships" ref="N489" r:id="rId502"/>
    <hyperlink xmlns:r="http://schemas.openxmlformats.org/officeDocument/2006/relationships" ref="M490" r:id="rId503"/>
    <hyperlink xmlns:r="http://schemas.openxmlformats.org/officeDocument/2006/relationships" ref="N490" r:id="rId504"/>
    <hyperlink xmlns:r="http://schemas.openxmlformats.org/officeDocument/2006/relationships" ref="N491" r:id="rId505"/>
    <hyperlink xmlns:r="http://schemas.openxmlformats.org/officeDocument/2006/relationships" ref="N492" r:id="rId506"/>
    <hyperlink xmlns:r="http://schemas.openxmlformats.org/officeDocument/2006/relationships" ref="N493" r:id="rId507"/>
    <hyperlink xmlns:r="http://schemas.openxmlformats.org/officeDocument/2006/relationships" ref="N494" r:id="rId508"/>
    <hyperlink xmlns:r="http://schemas.openxmlformats.org/officeDocument/2006/relationships" ref="N495" r:id="rId509"/>
    <hyperlink xmlns:r="http://schemas.openxmlformats.org/officeDocument/2006/relationships" ref="N496" r:id="rId510"/>
    <hyperlink xmlns:r="http://schemas.openxmlformats.org/officeDocument/2006/relationships" ref="N497" r:id="rId511"/>
    <hyperlink xmlns:r="http://schemas.openxmlformats.org/officeDocument/2006/relationships" ref="N498" r:id="rId512"/>
    <hyperlink xmlns:r="http://schemas.openxmlformats.org/officeDocument/2006/relationships" ref="N499" r:id="rId513"/>
    <hyperlink xmlns:r="http://schemas.openxmlformats.org/officeDocument/2006/relationships" ref="N500" r:id="rId514"/>
    <hyperlink xmlns:r="http://schemas.openxmlformats.org/officeDocument/2006/relationships" ref="N501" r:id="rId515"/>
    <hyperlink xmlns:r="http://schemas.openxmlformats.org/officeDocument/2006/relationships" ref="N502" r:id="rId516"/>
    <hyperlink xmlns:r="http://schemas.openxmlformats.org/officeDocument/2006/relationships" ref="N503" r:id="rId517"/>
    <hyperlink xmlns:r="http://schemas.openxmlformats.org/officeDocument/2006/relationships" ref="N504" r:id="rId518"/>
    <hyperlink xmlns:r="http://schemas.openxmlformats.org/officeDocument/2006/relationships" ref="N505" r:id="rId519"/>
    <hyperlink xmlns:r="http://schemas.openxmlformats.org/officeDocument/2006/relationships" ref="N506" r:id="rId520"/>
    <hyperlink xmlns:r="http://schemas.openxmlformats.org/officeDocument/2006/relationships" ref="N507" r:id="rId521"/>
    <hyperlink xmlns:r="http://schemas.openxmlformats.org/officeDocument/2006/relationships" ref="N508" r:id="rId522"/>
    <hyperlink xmlns:r="http://schemas.openxmlformats.org/officeDocument/2006/relationships" ref="N509" r:id="rId523"/>
    <hyperlink xmlns:r="http://schemas.openxmlformats.org/officeDocument/2006/relationships" ref="N510" r:id="rId524"/>
    <hyperlink xmlns:r="http://schemas.openxmlformats.org/officeDocument/2006/relationships" ref="N511" r:id="rId525"/>
    <hyperlink xmlns:r="http://schemas.openxmlformats.org/officeDocument/2006/relationships" ref="N512" r:id="rId526"/>
    <hyperlink xmlns:r="http://schemas.openxmlformats.org/officeDocument/2006/relationships" ref="N513" r:id="rId527"/>
    <hyperlink xmlns:r="http://schemas.openxmlformats.org/officeDocument/2006/relationships" ref="N514" r:id="rId528"/>
    <hyperlink xmlns:r="http://schemas.openxmlformats.org/officeDocument/2006/relationships" ref="N515" r:id="rId529"/>
    <hyperlink xmlns:r="http://schemas.openxmlformats.org/officeDocument/2006/relationships" ref="N516" r:id="rId530"/>
    <hyperlink xmlns:r="http://schemas.openxmlformats.org/officeDocument/2006/relationships" ref="N517" r:id="rId531"/>
    <hyperlink xmlns:r="http://schemas.openxmlformats.org/officeDocument/2006/relationships" ref="N518" r:id="rId532"/>
    <hyperlink xmlns:r="http://schemas.openxmlformats.org/officeDocument/2006/relationships" ref="N519" r:id="rId533"/>
    <hyperlink xmlns:r="http://schemas.openxmlformats.org/officeDocument/2006/relationships" ref="N520" r:id="rId534"/>
    <hyperlink xmlns:r="http://schemas.openxmlformats.org/officeDocument/2006/relationships" ref="N521" r:id="rId535"/>
    <hyperlink xmlns:r="http://schemas.openxmlformats.org/officeDocument/2006/relationships" ref="N522" r:id="rId536"/>
    <hyperlink xmlns:r="http://schemas.openxmlformats.org/officeDocument/2006/relationships" ref="N523" r:id="rId537"/>
    <hyperlink xmlns:r="http://schemas.openxmlformats.org/officeDocument/2006/relationships" ref="N524" r:id="rId538"/>
    <hyperlink xmlns:r="http://schemas.openxmlformats.org/officeDocument/2006/relationships" ref="N525" r:id="rId539"/>
    <hyperlink xmlns:r="http://schemas.openxmlformats.org/officeDocument/2006/relationships" ref="M526" r:id="rId540"/>
    <hyperlink xmlns:r="http://schemas.openxmlformats.org/officeDocument/2006/relationships" ref="N527" r:id="rId541"/>
    <hyperlink xmlns:r="http://schemas.openxmlformats.org/officeDocument/2006/relationships" ref="N528" r:id="rId542"/>
    <hyperlink xmlns:r="http://schemas.openxmlformats.org/officeDocument/2006/relationships" ref="N529" r:id="rId543"/>
    <hyperlink xmlns:r="http://schemas.openxmlformats.org/officeDocument/2006/relationships" ref="M530" r:id="rId544"/>
    <hyperlink xmlns:r="http://schemas.openxmlformats.org/officeDocument/2006/relationships" ref="N531" r:id="rId545"/>
    <hyperlink xmlns:r="http://schemas.openxmlformats.org/officeDocument/2006/relationships" ref="N532" r:id="rId546"/>
    <hyperlink xmlns:r="http://schemas.openxmlformats.org/officeDocument/2006/relationships" ref="M533" r:id="rId547"/>
    <hyperlink xmlns:r="http://schemas.openxmlformats.org/officeDocument/2006/relationships" ref="M534" r:id="rId548"/>
    <hyperlink xmlns:r="http://schemas.openxmlformats.org/officeDocument/2006/relationships" ref="N535" r:id="rId549"/>
    <hyperlink xmlns:r="http://schemas.openxmlformats.org/officeDocument/2006/relationships" ref="N536" r:id="rId550"/>
    <hyperlink xmlns:r="http://schemas.openxmlformats.org/officeDocument/2006/relationships" ref="N537" r:id="rId551"/>
    <hyperlink xmlns:r="http://schemas.openxmlformats.org/officeDocument/2006/relationships" ref="N538" r:id="rId552"/>
    <hyperlink xmlns:r="http://schemas.openxmlformats.org/officeDocument/2006/relationships" ref="N539" r:id="rId553"/>
    <hyperlink xmlns:r="http://schemas.openxmlformats.org/officeDocument/2006/relationships" ref="N540" r:id="rId554"/>
    <hyperlink xmlns:r="http://schemas.openxmlformats.org/officeDocument/2006/relationships" ref="N541" r:id="rId555"/>
    <hyperlink xmlns:r="http://schemas.openxmlformats.org/officeDocument/2006/relationships" ref="N542" r:id="rId556"/>
    <hyperlink xmlns:r="http://schemas.openxmlformats.org/officeDocument/2006/relationships" ref="M543" r:id="rId557"/>
    <hyperlink xmlns:r="http://schemas.openxmlformats.org/officeDocument/2006/relationships" ref="N543" r:id="rId558"/>
    <hyperlink xmlns:r="http://schemas.openxmlformats.org/officeDocument/2006/relationships" ref="M544" r:id="rId559"/>
    <hyperlink xmlns:r="http://schemas.openxmlformats.org/officeDocument/2006/relationships" ref="M545" r:id="rId560"/>
    <hyperlink xmlns:r="http://schemas.openxmlformats.org/officeDocument/2006/relationships" ref="M546" r:id="rId561"/>
    <hyperlink xmlns:r="http://schemas.openxmlformats.org/officeDocument/2006/relationships" ref="M547" r:id="rId562"/>
    <hyperlink xmlns:r="http://schemas.openxmlformats.org/officeDocument/2006/relationships" ref="N548" r:id="rId563"/>
    <hyperlink xmlns:r="http://schemas.openxmlformats.org/officeDocument/2006/relationships" ref="N549" r:id="rId564"/>
    <hyperlink xmlns:r="http://schemas.openxmlformats.org/officeDocument/2006/relationships" ref="N550" r:id="rId565"/>
    <hyperlink xmlns:r="http://schemas.openxmlformats.org/officeDocument/2006/relationships" ref="N551" r:id="rId566"/>
    <hyperlink xmlns:r="http://schemas.openxmlformats.org/officeDocument/2006/relationships" ref="N552" r:id="rId567"/>
    <hyperlink xmlns:r="http://schemas.openxmlformats.org/officeDocument/2006/relationships" ref="N553" r:id="rId568"/>
    <hyperlink xmlns:r="http://schemas.openxmlformats.org/officeDocument/2006/relationships" ref="N554" r:id="rId569"/>
    <hyperlink xmlns:r="http://schemas.openxmlformats.org/officeDocument/2006/relationships" ref="N555" r:id="rId570"/>
    <hyperlink xmlns:r="http://schemas.openxmlformats.org/officeDocument/2006/relationships" ref="N556" r:id="rId571"/>
    <hyperlink xmlns:r="http://schemas.openxmlformats.org/officeDocument/2006/relationships" ref="N557" r:id="rId572"/>
    <hyperlink xmlns:r="http://schemas.openxmlformats.org/officeDocument/2006/relationships" ref="N558" r:id="rId573"/>
    <hyperlink xmlns:r="http://schemas.openxmlformats.org/officeDocument/2006/relationships" ref="M559" r:id="rId574"/>
    <hyperlink xmlns:r="http://schemas.openxmlformats.org/officeDocument/2006/relationships" ref="M560" r:id="rId575"/>
    <hyperlink xmlns:r="http://schemas.openxmlformats.org/officeDocument/2006/relationships" ref="M561" r:id="rId576"/>
    <hyperlink xmlns:r="http://schemas.openxmlformats.org/officeDocument/2006/relationships" ref="M562" r:id="rId577"/>
    <hyperlink xmlns:r="http://schemas.openxmlformats.org/officeDocument/2006/relationships" ref="M563" r:id="rId578"/>
    <hyperlink xmlns:r="http://schemas.openxmlformats.org/officeDocument/2006/relationships" ref="N564" r:id="rId579"/>
    <hyperlink xmlns:r="http://schemas.openxmlformats.org/officeDocument/2006/relationships" ref="N565" r:id="rId580"/>
    <hyperlink xmlns:r="http://schemas.openxmlformats.org/officeDocument/2006/relationships" ref="N566" r:id="rId581"/>
    <hyperlink xmlns:r="http://schemas.openxmlformats.org/officeDocument/2006/relationships" ref="M567" r:id="rId582"/>
    <hyperlink xmlns:r="http://schemas.openxmlformats.org/officeDocument/2006/relationships" ref="M568" r:id="rId583"/>
    <hyperlink xmlns:r="http://schemas.openxmlformats.org/officeDocument/2006/relationships" ref="N569" r:id="rId584"/>
    <hyperlink xmlns:r="http://schemas.openxmlformats.org/officeDocument/2006/relationships" ref="N570" r:id="rId585"/>
    <hyperlink xmlns:r="http://schemas.openxmlformats.org/officeDocument/2006/relationships" ref="N571" r:id="rId586"/>
    <hyperlink xmlns:r="http://schemas.openxmlformats.org/officeDocument/2006/relationships" ref="N572" r:id="rId587"/>
    <hyperlink xmlns:r="http://schemas.openxmlformats.org/officeDocument/2006/relationships" ref="N573" r:id="rId588"/>
    <hyperlink xmlns:r="http://schemas.openxmlformats.org/officeDocument/2006/relationships" ref="N574" r:id="rId589"/>
    <hyperlink xmlns:r="http://schemas.openxmlformats.org/officeDocument/2006/relationships" ref="N575" r:id="rId590"/>
    <hyperlink xmlns:r="http://schemas.openxmlformats.org/officeDocument/2006/relationships" ref="M576" r:id="rId591"/>
    <hyperlink xmlns:r="http://schemas.openxmlformats.org/officeDocument/2006/relationships" ref="N577" r:id="rId592"/>
    <hyperlink xmlns:r="http://schemas.openxmlformats.org/officeDocument/2006/relationships" ref="M578" r:id="rId593"/>
    <hyperlink xmlns:r="http://schemas.openxmlformats.org/officeDocument/2006/relationships" ref="M579" r:id="rId594"/>
    <hyperlink xmlns:r="http://schemas.openxmlformats.org/officeDocument/2006/relationships" ref="N580" r:id="rId595"/>
    <hyperlink xmlns:r="http://schemas.openxmlformats.org/officeDocument/2006/relationships" ref="N581" r:id="rId596"/>
    <hyperlink xmlns:r="http://schemas.openxmlformats.org/officeDocument/2006/relationships" ref="M582" r:id="rId597"/>
    <hyperlink xmlns:r="http://schemas.openxmlformats.org/officeDocument/2006/relationships" ref="M583" r:id="rId598"/>
    <hyperlink xmlns:r="http://schemas.openxmlformats.org/officeDocument/2006/relationships" ref="M584" r:id="rId599"/>
    <hyperlink xmlns:r="http://schemas.openxmlformats.org/officeDocument/2006/relationships" ref="M585" r:id="rId600"/>
    <hyperlink xmlns:r="http://schemas.openxmlformats.org/officeDocument/2006/relationships" ref="N586" r:id="rId601"/>
    <hyperlink xmlns:r="http://schemas.openxmlformats.org/officeDocument/2006/relationships" ref="N587" r:id="rId602"/>
    <hyperlink xmlns:r="http://schemas.openxmlformats.org/officeDocument/2006/relationships" ref="N588" r:id="rId603"/>
    <hyperlink xmlns:r="http://schemas.openxmlformats.org/officeDocument/2006/relationships" ref="M589" r:id="rId604"/>
    <hyperlink xmlns:r="http://schemas.openxmlformats.org/officeDocument/2006/relationships" ref="N590" r:id="rId605"/>
    <hyperlink xmlns:r="http://schemas.openxmlformats.org/officeDocument/2006/relationships" ref="N591" r:id="rId606"/>
    <hyperlink xmlns:r="http://schemas.openxmlformats.org/officeDocument/2006/relationships" ref="M592" r:id="rId607"/>
    <hyperlink xmlns:r="http://schemas.openxmlformats.org/officeDocument/2006/relationships" ref="M593" r:id="rId608"/>
    <hyperlink xmlns:r="http://schemas.openxmlformats.org/officeDocument/2006/relationships" ref="M594" r:id="rId609"/>
    <hyperlink xmlns:r="http://schemas.openxmlformats.org/officeDocument/2006/relationships" ref="M595" r:id="rId610"/>
    <hyperlink xmlns:r="http://schemas.openxmlformats.org/officeDocument/2006/relationships" ref="M596" r:id="rId611"/>
    <hyperlink xmlns:r="http://schemas.openxmlformats.org/officeDocument/2006/relationships" ref="M597" r:id="rId612"/>
    <hyperlink xmlns:r="http://schemas.openxmlformats.org/officeDocument/2006/relationships" ref="M598" r:id="rId613"/>
    <hyperlink xmlns:r="http://schemas.openxmlformats.org/officeDocument/2006/relationships" ref="M599" r:id="rId614"/>
    <hyperlink xmlns:r="http://schemas.openxmlformats.org/officeDocument/2006/relationships" ref="M600" r:id="rId615"/>
    <hyperlink xmlns:r="http://schemas.openxmlformats.org/officeDocument/2006/relationships" ref="M601" r:id="rId616"/>
    <hyperlink xmlns:r="http://schemas.openxmlformats.org/officeDocument/2006/relationships" ref="M602" r:id="rId617"/>
    <hyperlink xmlns:r="http://schemas.openxmlformats.org/officeDocument/2006/relationships" ref="M603" r:id="rId618"/>
    <hyperlink xmlns:r="http://schemas.openxmlformats.org/officeDocument/2006/relationships" ref="N604" r:id="rId619"/>
    <hyperlink xmlns:r="http://schemas.openxmlformats.org/officeDocument/2006/relationships" ref="N605" r:id="rId620"/>
    <hyperlink xmlns:r="http://schemas.openxmlformats.org/officeDocument/2006/relationships" ref="M606" r:id="rId621"/>
    <hyperlink xmlns:r="http://schemas.openxmlformats.org/officeDocument/2006/relationships" ref="M607" r:id="rId622"/>
    <hyperlink xmlns:r="http://schemas.openxmlformats.org/officeDocument/2006/relationships" ref="N608" r:id="rId623"/>
    <hyperlink xmlns:r="http://schemas.openxmlformats.org/officeDocument/2006/relationships" ref="M609" r:id="rId624"/>
    <hyperlink xmlns:r="http://schemas.openxmlformats.org/officeDocument/2006/relationships" ref="N610" r:id="rId625"/>
    <hyperlink xmlns:r="http://schemas.openxmlformats.org/officeDocument/2006/relationships" ref="N611" r:id="rId626"/>
    <hyperlink xmlns:r="http://schemas.openxmlformats.org/officeDocument/2006/relationships" ref="N612" r:id="rId627"/>
    <hyperlink xmlns:r="http://schemas.openxmlformats.org/officeDocument/2006/relationships" ref="M613" r:id="rId628"/>
    <hyperlink xmlns:r="http://schemas.openxmlformats.org/officeDocument/2006/relationships" ref="N613" r:id="rId629"/>
    <hyperlink xmlns:r="http://schemas.openxmlformats.org/officeDocument/2006/relationships" ref="M614" r:id="rId630"/>
    <hyperlink xmlns:r="http://schemas.openxmlformats.org/officeDocument/2006/relationships" ref="N614" r:id="rId631"/>
    <hyperlink xmlns:r="http://schemas.openxmlformats.org/officeDocument/2006/relationships" ref="N615" r:id="rId632"/>
    <hyperlink xmlns:r="http://schemas.openxmlformats.org/officeDocument/2006/relationships" ref="N616" r:id="rId633"/>
    <hyperlink xmlns:r="http://schemas.openxmlformats.org/officeDocument/2006/relationships" ref="N617" r:id="rId634"/>
    <hyperlink xmlns:r="http://schemas.openxmlformats.org/officeDocument/2006/relationships" ref="N618" r:id="rId635"/>
    <hyperlink xmlns:r="http://schemas.openxmlformats.org/officeDocument/2006/relationships" ref="N619" r:id="rId636"/>
    <hyperlink xmlns:r="http://schemas.openxmlformats.org/officeDocument/2006/relationships" ref="N620" r:id="rId637"/>
    <hyperlink xmlns:r="http://schemas.openxmlformats.org/officeDocument/2006/relationships" ref="N621" r:id="rId638"/>
    <hyperlink xmlns:r="http://schemas.openxmlformats.org/officeDocument/2006/relationships" ref="N622" r:id="rId639"/>
    <hyperlink xmlns:r="http://schemas.openxmlformats.org/officeDocument/2006/relationships" ref="N623" r:id="rId640"/>
    <hyperlink xmlns:r="http://schemas.openxmlformats.org/officeDocument/2006/relationships" ref="N624" r:id="rId641"/>
    <hyperlink xmlns:r="http://schemas.openxmlformats.org/officeDocument/2006/relationships" ref="N625" r:id="rId642"/>
    <hyperlink xmlns:r="http://schemas.openxmlformats.org/officeDocument/2006/relationships" ref="N626" r:id="rId643"/>
    <hyperlink xmlns:r="http://schemas.openxmlformats.org/officeDocument/2006/relationships" ref="N627" r:id="rId644"/>
    <hyperlink xmlns:r="http://schemas.openxmlformats.org/officeDocument/2006/relationships" ref="N628" r:id="rId645"/>
    <hyperlink xmlns:r="http://schemas.openxmlformats.org/officeDocument/2006/relationships" ref="N629" r:id="rId646"/>
    <hyperlink xmlns:r="http://schemas.openxmlformats.org/officeDocument/2006/relationships" ref="N630" r:id="rId647"/>
    <hyperlink xmlns:r="http://schemas.openxmlformats.org/officeDocument/2006/relationships" ref="N631" r:id="rId648"/>
    <hyperlink xmlns:r="http://schemas.openxmlformats.org/officeDocument/2006/relationships" ref="N632" r:id="rId649"/>
    <hyperlink xmlns:r="http://schemas.openxmlformats.org/officeDocument/2006/relationships" ref="N633" r:id="rId650"/>
    <hyperlink xmlns:r="http://schemas.openxmlformats.org/officeDocument/2006/relationships" ref="N634" r:id="rId651"/>
    <hyperlink xmlns:r="http://schemas.openxmlformats.org/officeDocument/2006/relationships" ref="N635" r:id="rId652"/>
    <hyperlink xmlns:r="http://schemas.openxmlformats.org/officeDocument/2006/relationships" ref="N636" r:id="rId653"/>
    <hyperlink xmlns:r="http://schemas.openxmlformats.org/officeDocument/2006/relationships" ref="N637" r:id="rId654"/>
    <hyperlink xmlns:r="http://schemas.openxmlformats.org/officeDocument/2006/relationships" ref="N638" r:id="rId655"/>
    <hyperlink xmlns:r="http://schemas.openxmlformats.org/officeDocument/2006/relationships" ref="N639" r:id="rId656"/>
    <hyperlink xmlns:r="http://schemas.openxmlformats.org/officeDocument/2006/relationships" ref="N640" r:id="rId657"/>
    <hyperlink xmlns:r="http://schemas.openxmlformats.org/officeDocument/2006/relationships" ref="N641" r:id="rId658"/>
    <hyperlink xmlns:r="http://schemas.openxmlformats.org/officeDocument/2006/relationships" ref="N642" r:id="rId659"/>
    <hyperlink xmlns:r="http://schemas.openxmlformats.org/officeDocument/2006/relationships" ref="N643" r:id="rId660"/>
    <hyperlink xmlns:r="http://schemas.openxmlformats.org/officeDocument/2006/relationships" ref="N644" r:id="rId661"/>
    <hyperlink xmlns:r="http://schemas.openxmlformats.org/officeDocument/2006/relationships" ref="N645" r:id="rId662"/>
    <hyperlink xmlns:r="http://schemas.openxmlformats.org/officeDocument/2006/relationships" ref="N646" r:id="rId663"/>
    <hyperlink xmlns:r="http://schemas.openxmlformats.org/officeDocument/2006/relationships" ref="N647" r:id="rId664"/>
    <hyperlink xmlns:r="http://schemas.openxmlformats.org/officeDocument/2006/relationships" ref="N648" r:id="rId665"/>
    <hyperlink xmlns:r="http://schemas.openxmlformats.org/officeDocument/2006/relationships" ref="N649" r:id="rId666"/>
    <hyperlink xmlns:r="http://schemas.openxmlformats.org/officeDocument/2006/relationships" ref="N650" r:id="rId667"/>
    <hyperlink xmlns:r="http://schemas.openxmlformats.org/officeDocument/2006/relationships" ref="N651" r:id="rId668"/>
    <hyperlink xmlns:r="http://schemas.openxmlformats.org/officeDocument/2006/relationships" ref="N652" r:id="rId669"/>
    <hyperlink xmlns:r="http://schemas.openxmlformats.org/officeDocument/2006/relationships" ref="N653" r:id="rId670"/>
    <hyperlink xmlns:r="http://schemas.openxmlformats.org/officeDocument/2006/relationships" ref="N654" r:id="rId671"/>
    <hyperlink xmlns:r="http://schemas.openxmlformats.org/officeDocument/2006/relationships" ref="N655" r:id="rId672"/>
    <hyperlink xmlns:r="http://schemas.openxmlformats.org/officeDocument/2006/relationships" ref="N656" r:id="rId673"/>
    <hyperlink xmlns:r="http://schemas.openxmlformats.org/officeDocument/2006/relationships" ref="N657" r:id="rId674"/>
    <hyperlink xmlns:r="http://schemas.openxmlformats.org/officeDocument/2006/relationships" ref="N658" r:id="rId675"/>
    <hyperlink xmlns:r="http://schemas.openxmlformats.org/officeDocument/2006/relationships" ref="N659" r:id="rId676"/>
    <hyperlink xmlns:r="http://schemas.openxmlformats.org/officeDocument/2006/relationships" ref="N660" r:id="rId677"/>
    <hyperlink xmlns:r="http://schemas.openxmlformats.org/officeDocument/2006/relationships" ref="N661" r:id="rId678"/>
    <hyperlink xmlns:r="http://schemas.openxmlformats.org/officeDocument/2006/relationships" ref="N662" r:id="rId679"/>
    <hyperlink xmlns:r="http://schemas.openxmlformats.org/officeDocument/2006/relationships" ref="N663" r:id="rId680"/>
    <hyperlink xmlns:r="http://schemas.openxmlformats.org/officeDocument/2006/relationships" ref="N664" r:id="rId681"/>
    <hyperlink xmlns:r="http://schemas.openxmlformats.org/officeDocument/2006/relationships" ref="N665" r:id="rId682"/>
    <hyperlink xmlns:r="http://schemas.openxmlformats.org/officeDocument/2006/relationships" ref="N666" r:id="rId683"/>
    <hyperlink xmlns:r="http://schemas.openxmlformats.org/officeDocument/2006/relationships" ref="N667" r:id="rId684"/>
    <hyperlink xmlns:r="http://schemas.openxmlformats.org/officeDocument/2006/relationships" ref="N668" r:id="rId685"/>
    <hyperlink xmlns:r="http://schemas.openxmlformats.org/officeDocument/2006/relationships" ref="N669" r:id="rId686"/>
    <hyperlink xmlns:r="http://schemas.openxmlformats.org/officeDocument/2006/relationships" ref="N670" r:id="rId687"/>
    <hyperlink xmlns:r="http://schemas.openxmlformats.org/officeDocument/2006/relationships" ref="N671" r:id="rId688"/>
    <hyperlink xmlns:r="http://schemas.openxmlformats.org/officeDocument/2006/relationships" ref="N672" r:id="rId689"/>
    <hyperlink xmlns:r="http://schemas.openxmlformats.org/officeDocument/2006/relationships" ref="N673" r:id="rId690"/>
    <hyperlink xmlns:r="http://schemas.openxmlformats.org/officeDocument/2006/relationships" ref="N674" r:id="rId691"/>
    <hyperlink xmlns:r="http://schemas.openxmlformats.org/officeDocument/2006/relationships" ref="N675" r:id="rId692"/>
    <hyperlink xmlns:r="http://schemas.openxmlformats.org/officeDocument/2006/relationships" ref="N676" r:id="rId693"/>
    <hyperlink xmlns:r="http://schemas.openxmlformats.org/officeDocument/2006/relationships" ref="N677" r:id="rId694"/>
    <hyperlink xmlns:r="http://schemas.openxmlformats.org/officeDocument/2006/relationships" ref="N678" r:id="rId695"/>
    <hyperlink xmlns:r="http://schemas.openxmlformats.org/officeDocument/2006/relationships" ref="N679" r:id="rId696"/>
    <hyperlink xmlns:r="http://schemas.openxmlformats.org/officeDocument/2006/relationships" ref="N680" r:id="rId697"/>
    <hyperlink xmlns:r="http://schemas.openxmlformats.org/officeDocument/2006/relationships" ref="M681" r:id="rId698"/>
    <hyperlink xmlns:r="http://schemas.openxmlformats.org/officeDocument/2006/relationships" ref="M682" r:id="rId699"/>
    <hyperlink xmlns:r="http://schemas.openxmlformats.org/officeDocument/2006/relationships" ref="N683" r:id="rId700"/>
    <hyperlink xmlns:r="http://schemas.openxmlformats.org/officeDocument/2006/relationships" ref="M684" r:id="rId701"/>
    <hyperlink xmlns:r="http://schemas.openxmlformats.org/officeDocument/2006/relationships" ref="N685" r:id="rId702"/>
    <hyperlink xmlns:r="http://schemas.openxmlformats.org/officeDocument/2006/relationships" ref="N686" r:id="rId703"/>
    <hyperlink xmlns:r="http://schemas.openxmlformats.org/officeDocument/2006/relationships" ref="N687" r:id="rId704"/>
    <hyperlink xmlns:r="http://schemas.openxmlformats.org/officeDocument/2006/relationships" ref="N688" r:id="rId705"/>
    <hyperlink xmlns:r="http://schemas.openxmlformats.org/officeDocument/2006/relationships" ref="N689" r:id="rId706"/>
    <hyperlink xmlns:r="http://schemas.openxmlformats.org/officeDocument/2006/relationships" ref="N690" r:id="rId707"/>
    <hyperlink xmlns:r="http://schemas.openxmlformats.org/officeDocument/2006/relationships" ref="N691" r:id="rId708"/>
    <hyperlink xmlns:r="http://schemas.openxmlformats.org/officeDocument/2006/relationships" ref="N692" r:id="rId709"/>
    <hyperlink xmlns:r="http://schemas.openxmlformats.org/officeDocument/2006/relationships" ref="M693" r:id="rId710"/>
    <hyperlink xmlns:r="http://schemas.openxmlformats.org/officeDocument/2006/relationships" ref="M694" r:id="rId711"/>
    <hyperlink xmlns:r="http://schemas.openxmlformats.org/officeDocument/2006/relationships" ref="M695" r:id="rId712"/>
    <hyperlink xmlns:r="http://schemas.openxmlformats.org/officeDocument/2006/relationships" ref="M696" r:id="rId713"/>
    <hyperlink xmlns:r="http://schemas.openxmlformats.org/officeDocument/2006/relationships" ref="M697" r:id="rId714"/>
    <hyperlink xmlns:r="http://schemas.openxmlformats.org/officeDocument/2006/relationships" ref="M698" r:id="rId715"/>
    <hyperlink xmlns:r="http://schemas.openxmlformats.org/officeDocument/2006/relationships" ref="M699" r:id="rId716"/>
    <hyperlink xmlns:r="http://schemas.openxmlformats.org/officeDocument/2006/relationships" ref="M700" r:id="rId717"/>
    <hyperlink xmlns:r="http://schemas.openxmlformats.org/officeDocument/2006/relationships" ref="M701" r:id="rId718"/>
    <hyperlink xmlns:r="http://schemas.openxmlformats.org/officeDocument/2006/relationships" ref="M702" r:id="rId719"/>
    <hyperlink xmlns:r="http://schemas.openxmlformats.org/officeDocument/2006/relationships" ref="M703" r:id="rId720"/>
    <hyperlink xmlns:r="http://schemas.openxmlformats.org/officeDocument/2006/relationships" ref="M704" r:id="rId721"/>
    <hyperlink xmlns:r="http://schemas.openxmlformats.org/officeDocument/2006/relationships" ref="M705" r:id="rId722"/>
    <hyperlink xmlns:r="http://schemas.openxmlformats.org/officeDocument/2006/relationships" ref="M706" r:id="rId723"/>
    <hyperlink xmlns:r="http://schemas.openxmlformats.org/officeDocument/2006/relationships" ref="M707" r:id="rId724"/>
    <hyperlink xmlns:r="http://schemas.openxmlformats.org/officeDocument/2006/relationships" ref="M708" r:id="rId725"/>
    <hyperlink xmlns:r="http://schemas.openxmlformats.org/officeDocument/2006/relationships" ref="M709" r:id="rId726"/>
    <hyperlink xmlns:r="http://schemas.openxmlformats.org/officeDocument/2006/relationships" ref="M710" r:id="rId727"/>
    <hyperlink xmlns:r="http://schemas.openxmlformats.org/officeDocument/2006/relationships" ref="M711" r:id="rId728"/>
    <hyperlink xmlns:r="http://schemas.openxmlformats.org/officeDocument/2006/relationships" ref="M712" r:id="rId729"/>
    <hyperlink xmlns:r="http://schemas.openxmlformats.org/officeDocument/2006/relationships" ref="M713" r:id="rId730"/>
    <hyperlink xmlns:r="http://schemas.openxmlformats.org/officeDocument/2006/relationships" ref="M714" r:id="rId731"/>
    <hyperlink xmlns:r="http://schemas.openxmlformats.org/officeDocument/2006/relationships" ref="M715" r:id="rId732"/>
    <hyperlink xmlns:r="http://schemas.openxmlformats.org/officeDocument/2006/relationships" ref="M716" r:id="rId733"/>
    <hyperlink xmlns:r="http://schemas.openxmlformats.org/officeDocument/2006/relationships" ref="M717" r:id="rId734"/>
    <hyperlink xmlns:r="http://schemas.openxmlformats.org/officeDocument/2006/relationships" ref="M718" r:id="rId735"/>
    <hyperlink xmlns:r="http://schemas.openxmlformats.org/officeDocument/2006/relationships" ref="M719" r:id="rId736"/>
    <hyperlink xmlns:r="http://schemas.openxmlformats.org/officeDocument/2006/relationships" ref="M720" r:id="rId737"/>
    <hyperlink xmlns:r="http://schemas.openxmlformats.org/officeDocument/2006/relationships" ref="M721" r:id="rId738"/>
    <hyperlink xmlns:r="http://schemas.openxmlformats.org/officeDocument/2006/relationships" ref="M722" r:id="rId739"/>
    <hyperlink xmlns:r="http://schemas.openxmlformats.org/officeDocument/2006/relationships" ref="N723" r:id="rId740"/>
    <hyperlink xmlns:r="http://schemas.openxmlformats.org/officeDocument/2006/relationships" ref="M724" r:id="rId741"/>
    <hyperlink xmlns:r="http://schemas.openxmlformats.org/officeDocument/2006/relationships" ref="N725" r:id="rId742"/>
    <hyperlink xmlns:r="http://schemas.openxmlformats.org/officeDocument/2006/relationships" ref="N726" r:id="rId743"/>
    <hyperlink xmlns:r="http://schemas.openxmlformats.org/officeDocument/2006/relationships" ref="N727" r:id="rId744"/>
    <hyperlink xmlns:r="http://schemas.openxmlformats.org/officeDocument/2006/relationships" ref="N728" r:id="rId745"/>
    <hyperlink xmlns:r="http://schemas.openxmlformats.org/officeDocument/2006/relationships" ref="N729" r:id="rId746"/>
    <hyperlink xmlns:r="http://schemas.openxmlformats.org/officeDocument/2006/relationships" ref="N730" r:id="rId747"/>
    <hyperlink xmlns:r="http://schemas.openxmlformats.org/officeDocument/2006/relationships" ref="N731" r:id="rId748"/>
    <hyperlink xmlns:r="http://schemas.openxmlformats.org/officeDocument/2006/relationships" ref="N732" r:id="rId749"/>
    <hyperlink xmlns:r="http://schemas.openxmlformats.org/officeDocument/2006/relationships" ref="N733" r:id="rId750"/>
    <hyperlink xmlns:r="http://schemas.openxmlformats.org/officeDocument/2006/relationships" ref="N734" r:id="rId751"/>
    <hyperlink xmlns:r="http://schemas.openxmlformats.org/officeDocument/2006/relationships" ref="N735" r:id="rId752"/>
    <hyperlink xmlns:r="http://schemas.openxmlformats.org/officeDocument/2006/relationships" ref="N736" r:id="rId753"/>
    <hyperlink xmlns:r="http://schemas.openxmlformats.org/officeDocument/2006/relationships" ref="N737" r:id="rId754"/>
    <hyperlink xmlns:r="http://schemas.openxmlformats.org/officeDocument/2006/relationships" ref="N738" r:id="rId755"/>
    <hyperlink xmlns:r="http://schemas.openxmlformats.org/officeDocument/2006/relationships" ref="N739" r:id="rId756"/>
    <hyperlink xmlns:r="http://schemas.openxmlformats.org/officeDocument/2006/relationships" ref="N740" r:id="rId757"/>
    <hyperlink xmlns:r="http://schemas.openxmlformats.org/officeDocument/2006/relationships" ref="N741" r:id="rId758"/>
    <hyperlink xmlns:r="http://schemas.openxmlformats.org/officeDocument/2006/relationships" ref="N742" r:id="rId759"/>
    <hyperlink xmlns:r="http://schemas.openxmlformats.org/officeDocument/2006/relationships" ref="N743" r:id="rId760"/>
    <hyperlink xmlns:r="http://schemas.openxmlformats.org/officeDocument/2006/relationships" ref="N744" r:id="rId761"/>
    <hyperlink xmlns:r="http://schemas.openxmlformats.org/officeDocument/2006/relationships" ref="N745" r:id="rId762"/>
    <hyperlink xmlns:r="http://schemas.openxmlformats.org/officeDocument/2006/relationships" ref="N746" r:id="rId763"/>
    <hyperlink xmlns:r="http://schemas.openxmlformats.org/officeDocument/2006/relationships" ref="N747" r:id="rId764"/>
    <hyperlink xmlns:r="http://schemas.openxmlformats.org/officeDocument/2006/relationships" ref="N748" r:id="rId765"/>
    <hyperlink xmlns:r="http://schemas.openxmlformats.org/officeDocument/2006/relationships" ref="N749" r:id="rId766"/>
    <hyperlink xmlns:r="http://schemas.openxmlformats.org/officeDocument/2006/relationships" ref="N750" r:id="rId767"/>
    <hyperlink xmlns:r="http://schemas.openxmlformats.org/officeDocument/2006/relationships" ref="N751" r:id="rId768"/>
    <hyperlink xmlns:r="http://schemas.openxmlformats.org/officeDocument/2006/relationships" ref="N752" r:id="rId769"/>
    <hyperlink xmlns:r="http://schemas.openxmlformats.org/officeDocument/2006/relationships" ref="N753" r:id="rId770"/>
    <hyperlink xmlns:r="http://schemas.openxmlformats.org/officeDocument/2006/relationships" ref="N754" r:id="rId771"/>
    <hyperlink xmlns:r="http://schemas.openxmlformats.org/officeDocument/2006/relationships" ref="N755" r:id="rId772"/>
    <hyperlink xmlns:r="http://schemas.openxmlformats.org/officeDocument/2006/relationships" ref="N756" r:id="rId773"/>
    <hyperlink xmlns:r="http://schemas.openxmlformats.org/officeDocument/2006/relationships" ref="N757" r:id="rId774"/>
    <hyperlink xmlns:r="http://schemas.openxmlformats.org/officeDocument/2006/relationships" ref="N758" r:id="rId775"/>
    <hyperlink xmlns:r="http://schemas.openxmlformats.org/officeDocument/2006/relationships" ref="N759" r:id="rId776"/>
    <hyperlink xmlns:r="http://schemas.openxmlformats.org/officeDocument/2006/relationships" ref="N760" r:id="rId777"/>
    <hyperlink xmlns:r="http://schemas.openxmlformats.org/officeDocument/2006/relationships" ref="N761" r:id="rId778"/>
    <hyperlink xmlns:r="http://schemas.openxmlformats.org/officeDocument/2006/relationships" ref="N762" r:id="rId779"/>
    <hyperlink xmlns:r="http://schemas.openxmlformats.org/officeDocument/2006/relationships" ref="N763" r:id="rId780"/>
    <hyperlink xmlns:r="http://schemas.openxmlformats.org/officeDocument/2006/relationships" ref="N764" r:id="rId781"/>
    <hyperlink xmlns:r="http://schemas.openxmlformats.org/officeDocument/2006/relationships" ref="N765" r:id="rId782"/>
    <hyperlink xmlns:r="http://schemas.openxmlformats.org/officeDocument/2006/relationships" ref="N766" r:id="rId783"/>
    <hyperlink xmlns:r="http://schemas.openxmlformats.org/officeDocument/2006/relationships" ref="N767" r:id="rId784"/>
    <hyperlink xmlns:r="http://schemas.openxmlformats.org/officeDocument/2006/relationships" ref="N768" r:id="rId785"/>
    <hyperlink xmlns:r="http://schemas.openxmlformats.org/officeDocument/2006/relationships" ref="N769" r:id="rId786"/>
    <hyperlink xmlns:r="http://schemas.openxmlformats.org/officeDocument/2006/relationships" ref="N770" r:id="rId787"/>
    <hyperlink xmlns:r="http://schemas.openxmlformats.org/officeDocument/2006/relationships" ref="N771" r:id="rId788"/>
    <hyperlink xmlns:r="http://schemas.openxmlformats.org/officeDocument/2006/relationships" ref="N772" r:id="rId789"/>
    <hyperlink xmlns:r="http://schemas.openxmlformats.org/officeDocument/2006/relationships" ref="N773" r:id="rId790"/>
    <hyperlink xmlns:r="http://schemas.openxmlformats.org/officeDocument/2006/relationships" ref="N774" r:id="rId791"/>
    <hyperlink xmlns:r="http://schemas.openxmlformats.org/officeDocument/2006/relationships" ref="N775" r:id="rId792"/>
    <hyperlink xmlns:r="http://schemas.openxmlformats.org/officeDocument/2006/relationships" ref="N776" r:id="rId793"/>
    <hyperlink xmlns:r="http://schemas.openxmlformats.org/officeDocument/2006/relationships" ref="N777" r:id="rId794"/>
    <hyperlink xmlns:r="http://schemas.openxmlformats.org/officeDocument/2006/relationships" ref="N778" r:id="rId795"/>
    <hyperlink xmlns:r="http://schemas.openxmlformats.org/officeDocument/2006/relationships" ref="N779" r:id="rId796"/>
    <hyperlink xmlns:r="http://schemas.openxmlformats.org/officeDocument/2006/relationships" ref="N780" r:id="rId797"/>
    <hyperlink xmlns:r="http://schemas.openxmlformats.org/officeDocument/2006/relationships" ref="N781" r:id="rId798"/>
    <hyperlink xmlns:r="http://schemas.openxmlformats.org/officeDocument/2006/relationships" ref="N782" r:id="rId799"/>
    <hyperlink xmlns:r="http://schemas.openxmlformats.org/officeDocument/2006/relationships" ref="N783" r:id="rId800"/>
    <hyperlink xmlns:r="http://schemas.openxmlformats.org/officeDocument/2006/relationships" ref="N784" r:id="rId801"/>
    <hyperlink xmlns:r="http://schemas.openxmlformats.org/officeDocument/2006/relationships" ref="N785" r:id="rId802"/>
    <hyperlink xmlns:r="http://schemas.openxmlformats.org/officeDocument/2006/relationships" ref="N786" r:id="rId803"/>
    <hyperlink xmlns:r="http://schemas.openxmlformats.org/officeDocument/2006/relationships" ref="N787" r:id="rId804"/>
    <hyperlink xmlns:r="http://schemas.openxmlformats.org/officeDocument/2006/relationships" ref="N788" r:id="rId805"/>
    <hyperlink xmlns:r="http://schemas.openxmlformats.org/officeDocument/2006/relationships" ref="N789" r:id="rId806"/>
    <hyperlink xmlns:r="http://schemas.openxmlformats.org/officeDocument/2006/relationships" ref="N790" r:id="rId807"/>
    <hyperlink xmlns:r="http://schemas.openxmlformats.org/officeDocument/2006/relationships" ref="N791" r:id="rId808"/>
    <hyperlink xmlns:r="http://schemas.openxmlformats.org/officeDocument/2006/relationships" ref="N792" r:id="rId809"/>
    <hyperlink xmlns:r="http://schemas.openxmlformats.org/officeDocument/2006/relationships" ref="N793" r:id="rId810"/>
    <hyperlink xmlns:r="http://schemas.openxmlformats.org/officeDocument/2006/relationships" ref="N794" r:id="rId811"/>
    <hyperlink xmlns:r="http://schemas.openxmlformats.org/officeDocument/2006/relationships" ref="M795" r:id="rId812"/>
    <hyperlink xmlns:r="http://schemas.openxmlformats.org/officeDocument/2006/relationships" ref="N795" r:id="rId813"/>
    <hyperlink xmlns:r="http://schemas.openxmlformats.org/officeDocument/2006/relationships" ref="M796" r:id="rId814"/>
    <hyperlink xmlns:r="http://schemas.openxmlformats.org/officeDocument/2006/relationships" ref="N796" r:id="rId815"/>
    <hyperlink xmlns:r="http://schemas.openxmlformats.org/officeDocument/2006/relationships" ref="M797" r:id="rId816"/>
    <hyperlink xmlns:r="http://schemas.openxmlformats.org/officeDocument/2006/relationships" ref="M798" r:id="rId817"/>
    <hyperlink xmlns:r="http://schemas.openxmlformats.org/officeDocument/2006/relationships" ref="N799" r:id="rId818"/>
    <hyperlink xmlns:r="http://schemas.openxmlformats.org/officeDocument/2006/relationships" ref="M800" r:id="rId819"/>
    <hyperlink xmlns:r="http://schemas.openxmlformats.org/officeDocument/2006/relationships" ref="M801" r:id="rId820"/>
    <hyperlink xmlns:r="http://schemas.openxmlformats.org/officeDocument/2006/relationships" ref="M802" r:id="rId821"/>
    <hyperlink xmlns:r="http://schemas.openxmlformats.org/officeDocument/2006/relationships" ref="M803" r:id="rId822"/>
    <hyperlink xmlns:r="http://schemas.openxmlformats.org/officeDocument/2006/relationships" ref="N804" r:id="rId823"/>
    <hyperlink xmlns:r="http://schemas.openxmlformats.org/officeDocument/2006/relationships" ref="N805" r:id="rId824"/>
    <hyperlink xmlns:r="http://schemas.openxmlformats.org/officeDocument/2006/relationships" ref="N806" r:id="rId825"/>
    <hyperlink xmlns:r="http://schemas.openxmlformats.org/officeDocument/2006/relationships" ref="N807" r:id="rId826"/>
    <hyperlink xmlns:r="http://schemas.openxmlformats.org/officeDocument/2006/relationships" ref="N808" r:id="rId827"/>
    <hyperlink xmlns:r="http://schemas.openxmlformats.org/officeDocument/2006/relationships" ref="N809" r:id="rId828"/>
    <hyperlink xmlns:r="http://schemas.openxmlformats.org/officeDocument/2006/relationships" ref="N810" r:id="rId829"/>
    <hyperlink xmlns:r="http://schemas.openxmlformats.org/officeDocument/2006/relationships" ref="N811" r:id="rId830"/>
    <hyperlink xmlns:r="http://schemas.openxmlformats.org/officeDocument/2006/relationships" ref="N812" r:id="rId831"/>
    <hyperlink xmlns:r="http://schemas.openxmlformats.org/officeDocument/2006/relationships" ref="N813" r:id="rId832"/>
    <hyperlink xmlns:r="http://schemas.openxmlformats.org/officeDocument/2006/relationships" ref="N814" r:id="rId833"/>
    <hyperlink xmlns:r="http://schemas.openxmlformats.org/officeDocument/2006/relationships" ref="N815" r:id="rId834"/>
    <hyperlink xmlns:r="http://schemas.openxmlformats.org/officeDocument/2006/relationships" ref="N816" r:id="rId835"/>
    <hyperlink xmlns:r="http://schemas.openxmlformats.org/officeDocument/2006/relationships" ref="N817" r:id="rId836"/>
    <hyperlink xmlns:r="http://schemas.openxmlformats.org/officeDocument/2006/relationships" ref="N818" r:id="rId837"/>
    <hyperlink xmlns:r="http://schemas.openxmlformats.org/officeDocument/2006/relationships" ref="N819" r:id="rId838"/>
    <hyperlink xmlns:r="http://schemas.openxmlformats.org/officeDocument/2006/relationships" ref="N820" r:id="rId839"/>
    <hyperlink xmlns:r="http://schemas.openxmlformats.org/officeDocument/2006/relationships" ref="N821" r:id="rId840"/>
    <hyperlink xmlns:r="http://schemas.openxmlformats.org/officeDocument/2006/relationships" ref="N822" r:id="rId841"/>
    <hyperlink xmlns:r="http://schemas.openxmlformats.org/officeDocument/2006/relationships" ref="N823" r:id="rId842"/>
    <hyperlink xmlns:r="http://schemas.openxmlformats.org/officeDocument/2006/relationships" ref="N824" r:id="rId843"/>
    <hyperlink xmlns:r="http://schemas.openxmlformats.org/officeDocument/2006/relationships" ref="N825" r:id="rId844"/>
    <hyperlink xmlns:r="http://schemas.openxmlformats.org/officeDocument/2006/relationships" ref="N826" r:id="rId845"/>
    <hyperlink xmlns:r="http://schemas.openxmlformats.org/officeDocument/2006/relationships" ref="N827" r:id="rId846"/>
    <hyperlink xmlns:r="http://schemas.openxmlformats.org/officeDocument/2006/relationships" ref="N828" r:id="rId847"/>
    <hyperlink xmlns:r="http://schemas.openxmlformats.org/officeDocument/2006/relationships" ref="N829" r:id="rId848"/>
    <hyperlink xmlns:r="http://schemas.openxmlformats.org/officeDocument/2006/relationships" ref="N830" r:id="rId849"/>
    <hyperlink xmlns:r="http://schemas.openxmlformats.org/officeDocument/2006/relationships" ref="N831" r:id="rId850"/>
    <hyperlink xmlns:r="http://schemas.openxmlformats.org/officeDocument/2006/relationships" ref="N832" r:id="rId851"/>
    <hyperlink xmlns:r="http://schemas.openxmlformats.org/officeDocument/2006/relationships" ref="N833" r:id="rId852"/>
    <hyperlink xmlns:r="http://schemas.openxmlformats.org/officeDocument/2006/relationships" ref="N834" r:id="rId853"/>
    <hyperlink xmlns:r="http://schemas.openxmlformats.org/officeDocument/2006/relationships" ref="N835" r:id="rId854"/>
    <hyperlink xmlns:r="http://schemas.openxmlformats.org/officeDocument/2006/relationships" ref="N836" r:id="rId855"/>
    <hyperlink xmlns:r="http://schemas.openxmlformats.org/officeDocument/2006/relationships" ref="N837" r:id="rId856"/>
    <hyperlink xmlns:r="http://schemas.openxmlformats.org/officeDocument/2006/relationships" ref="N838" r:id="rId857"/>
    <hyperlink xmlns:r="http://schemas.openxmlformats.org/officeDocument/2006/relationships" ref="N839" r:id="rId858"/>
    <hyperlink xmlns:r="http://schemas.openxmlformats.org/officeDocument/2006/relationships" ref="N840" r:id="rId859"/>
    <hyperlink xmlns:r="http://schemas.openxmlformats.org/officeDocument/2006/relationships" ref="N841" r:id="rId860"/>
    <hyperlink xmlns:r="http://schemas.openxmlformats.org/officeDocument/2006/relationships" ref="N842" r:id="rId861"/>
    <hyperlink xmlns:r="http://schemas.openxmlformats.org/officeDocument/2006/relationships" ref="N843" r:id="rId862"/>
    <hyperlink xmlns:r="http://schemas.openxmlformats.org/officeDocument/2006/relationships" ref="N844" r:id="rId863"/>
    <hyperlink xmlns:r="http://schemas.openxmlformats.org/officeDocument/2006/relationships" ref="N845" r:id="rId864"/>
    <hyperlink xmlns:r="http://schemas.openxmlformats.org/officeDocument/2006/relationships" ref="N846" r:id="rId865"/>
    <hyperlink xmlns:r="http://schemas.openxmlformats.org/officeDocument/2006/relationships" ref="N847" r:id="rId866"/>
    <hyperlink xmlns:r="http://schemas.openxmlformats.org/officeDocument/2006/relationships" ref="N848" r:id="rId867"/>
    <hyperlink xmlns:r="http://schemas.openxmlformats.org/officeDocument/2006/relationships" ref="N849" r:id="rId868"/>
    <hyperlink xmlns:r="http://schemas.openxmlformats.org/officeDocument/2006/relationships" ref="N850" r:id="rId869"/>
    <hyperlink xmlns:r="http://schemas.openxmlformats.org/officeDocument/2006/relationships" ref="N851" r:id="rId870"/>
    <hyperlink xmlns:r="http://schemas.openxmlformats.org/officeDocument/2006/relationships" ref="N852" r:id="rId871"/>
    <hyperlink xmlns:r="http://schemas.openxmlformats.org/officeDocument/2006/relationships" ref="N853" r:id="rId872"/>
    <hyperlink xmlns:r="http://schemas.openxmlformats.org/officeDocument/2006/relationships" ref="N854" r:id="rId873"/>
    <hyperlink xmlns:r="http://schemas.openxmlformats.org/officeDocument/2006/relationships" ref="N855" r:id="rId874"/>
    <hyperlink xmlns:r="http://schemas.openxmlformats.org/officeDocument/2006/relationships" ref="N856" r:id="rId875"/>
    <hyperlink xmlns:r="http://schemas.openxmlformats.org/officeDocument/2006/relationships" ref="N857" r:id="rId876"/>
    <hyperlink xmlns:r="http://schemas.openxmlformats.org/officeDocument/2006/relationships" ref="N858" r:id="rId877"/>
    <hyperlink xmlns:r="http://schemas.openxmlformats.org/officeDocument/2006/relationships" ref="N859" r:id="rId878"/>
    <hyperlink xmlns:r="http://schemas.openxmlformats.org/officeDocument/2006/relationships" ref="N860" r:id="rId879"/>
    <hyperlink xmlns:r="http://schemas.openxmlformats.org/officeDocument/2006/relationships" ref="N861" r:id="rId880"/>
    <hyperlink xmlns:r="http://schemas.openxmlformats.org/officeDocument/2006/relationships" ref="N862" r:id="rId881"/>
    <hyperlink xmlns:r="http://schemas.openxmlformats.org/officeDocument/2006/relationships" ref="N863" r:id="rId882"/>
    <hyperlink xmlns:r="http://schemas.openxmlformats.org/officeDocument/2006/relationships" ref="N864" r:id="rId883"/>
    <hyperlink xmlns:r="http://schemas.openxmlformats.org/officeDocument/2006/relationships" ref="N865" r:id="rId884"/>
    <hyperlink xmlns:r="http://schemas.openxmlformats.org/officeDocument/2006/relationships" ref="N866" r:id="rId885"/>
    <hyperlink xmlns:r="http://schemas.openxmlformats.org/officeDocument/2006/relationships" ref="N867" r:id="rId886"/>
    <hyperlink xmlns:r="http://schemas.openxmlformats.org/officeDocument/2006/relationships" ref="N868" r:id="rId887"/>
    <hyperlink xmlns:r="http://schemas.openxmlformats.org/officeDocument/2006/relationships" ref="N869" r:id="rId888"/>
    <hyperlink xmlns:r="http://schemas.openxmlformats.org/officeDocument/2006/relationships" ref="N870" r:id="rId889"/>
    <hyperlink xmlns:r="http://schemas.openxmlformats.org/officeDocument/2006/relationships" ref="N871" r:id="rId890"/>
    <hyperlink xmlns:r="http://schemas.openxmlformats.org/officeDocument/2006/relationships" ref="N872" r:id="rId891"/>
    <hyperlink xmlns:r="http://schemas.openxmlformats.org/officeDocument/2006/relationships" ref="N873" r:id="rId892"/>
    <hyperlink xmlns:r="http://schemas.openxmlformats.org/officeDocument/2006/relationships" ref="N874" r:id="rId893"/>
    <hyperlink xmlns:r="http://schemas.openxmlformats.org/officeDocument/2006/relationships" ref="N875" r:id="rId894"/>
    <hyperlink xmlns:r="http://schemas.openxmlformats.org/officeDocument/2006/relationships" ref="N876" r:id="rId895"/>
    <hyperlink xmlns:r="http://schemas.openxmlformats.org/officeDocument/2006/relationships" ref="M877" r:id="rId896"/>
    <hyperlink xmlns:r="http://schemas.openxmlformats.org/officeDocument/2006/relationships" ref="M878" r:id="rId897"/>
    <hyperlink xmlns:r="http://schemas.openxmlformats.org/officeDocument/2006/relationships" ref="N879" r:id="rId898"/>
    <hyperlink xmlns:r="http://schemas.openxmlformats.org/officeDocument/2006/relationships" ref="N880" r:id="rId899"/>
    <hyperlink xmlns:r="http://schemas.openxmlformats.org/officeDocument/2006/relationships" ref="N881" r:id="rId900"/>
    <hyperlink xmlns:r="http://schemas.openxmlformats.org/officeDocument/2006/relationships" ref="M882" r:id="rId901"/>
    <hyperlink xmlns:r="http://schemas.openxmlformats.org/officeDocument/2006/relationships" ref="N883" r:id="rId902"/>
    <hyperlink xmlns:r="http://schemas.openxmlformats.org/officeDocument/2006/relationships" ref="N884" r:id="rId903"/>
    <hyperlink xmlns:r="http://schemas.openxmlformats.org/officeDocument/2006/relationships" ref="N885" r:id="rId904"/>
    <hyperlink xmlns:r="http://schemas.openxmlformats.org/officeDocument/2006/relationships" ref="N886" r:id="rId905"/>
    <hyperlink xmlns:r="http://schemas.openxmlformats.org/officeDocument/2006/relationships" ref="N887" r:id="rId906"/>
    <hyperlink xmlns:r="http://schemas.openxmlformats.org/officeDocument/2006/relationships" ref="N888" r:id="rId907"/>
    <hyperlink xmlns:r="http://schemas.openxmlformats.org/officeDocument/2006/relationships" ref="N889" r:id="rId908"/>
    <hyperlink xmlns:r="http://schemas.openxmlformats.org/officeDocument/2006/relationships" ref="N890" r:id="rId909"/>
    <hyperlink xmlns:r="http://schemas.openxmlformats.org/officeDocument/2006/relationships" ref="N891" r:id="rId910"/>
    <hyperlink xmlns:r="http://schemas.openxmlformats.org/officeDocument/2006/relationships" ref="N892" r:id="rId911"/>
    <hyperlink xmlns:r="http://schemas.openxmlformats.org/officeDocument/2006/relationships" ref="N893" r:id="rId912"/>
    <hyperlink xmlns:r="http://schemas.openxmlformats.org/officeDocument/2006/relationships" ref="N894" r:id="rId913"/>
    <hyperlink xmlns:r="http://schemas.openxmlformats.org/officeDocument/2006/relationships" ref="N895" r:id="rId914"/>
    <hyperlink xmlns:r="http://schemas.openxmlformats.org/officeDocument/2006/relationships" ref="N896" r:id="rId9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8" customWidth="1" min="1" max="1"/>
    <col width="110" customWidth="1" min="2" max="2"/>
  </cols>
  <sheetData>
    <row r="1">
      <c r="A1" s="5" t="inlineStr">
        <is>
          <t>Settings</t>
        </is>
      </c>
      <c r="B1" s="2" t="n"/>
    </row>
    <row r="2">
      <c r="A2" s="2" t="inlineStr">
        <is>
          <t>Discount (Reduced = Median Price x (1 - Discount))</t>
        </is>
      </c>
      <c r="B2" s="6" t="n">
        <v>0.3</v>
      </c>
    </row>
    <row r="3">
      <c r="A3" s="2" t="inlineStr">
        <is>
          <t>Edit the yellow cell only. Every "Reduced" value on the other sheets recalculates from it.</t>
        </is>
      </c>
      <c r="B3" s="2" t="n"/>
    </row>
    <row r="4">
      <c r="A4" s="2" t="n"/>
      <c r="B4" s="2" t="n"/>
    </row>
    <row r="5">
      <c r="A5" s="2" t="inlineStr">
        <is>
          <t>Data collected</t>
        </is>
      </c>
      <c r="B5" s="7" t="inlineStr">
        <is>
          <t>2026-09-28</t>
        </is>
      </c>
    </row>
    <row r="6">
      <c r="A6" s="2" t="inlineStr">
        <is>
          <t>Sources</t>
        </is>
      </c>
      <c r="B6" s="7" t="inlineStr">
        <is>
          <t>PriceCharting (ungraded/sealed sale price, USD) - https://www.pricecharting.com ; TCGplayer (Market, Median, Lowest listing, USD) - https://www.tcgplayer.com</t>
        </is>
      </c>
    </row>
    <row r="7">
      <c r="A7" s="2" t="inlineStr">
        <is>
          <t>Price</t>
        </is>
      </c>
      <c r="B7" s="7" t="inlineStr">
        <is>
          <t>PriceCharting price when available, otherwise TCGplayer Market (then Median, then Lowest).</t>
        </is>
      </c>
    </row>
    <row r="8">
      <c r="A8" s="2" t="inlineStr">
        <is>
          <t>Median Price</t>
        </is>
      </c>
      <c r="B8" s="7" t="inlineStr">
        <is>
          <t>MEDIAN of all price points found for the product (PriceCharting price, TCGplayer Market, Median and Lowest). Products found on both sites are merged into one row.</t>
        </is>
      </c>
    </row>
    <row r="9">
      <c r="A9" s="2" t="inlineStr">
        <is>
          <t>Categories</t>
        </is>
      </c>
      <c r="B9" s="7" t="inlineStr">
        <is>
          <t>Box = booster box / display. Pack = single boosters and blisters. Coffret = elite trainer boxes, collections, tins, bundles, gift sets. Decks, cases and accessories are on the "Other Sealed" sheet.</t>
        </is>
      </c>
    </row>
    <row r="10">
      <c r="A10" s="2" t="inlineStr">
        <is>
          <t>Scope</t>
        </is>
      </c>
      <c r="B10" s="7" t="inlineStr">
        <is>
          <t>Pokemon (English, Japanese, other languages as listed by the sites) and One Piece Card Game sealed products. Products with no price on either site were left out.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2026-09-28T23:50:14Z</dcterms:created>
  <dcterms:modified xsi:type="dcterms:W3CDTF">2026-09-28T23:50:15Z</dcterms:modified>
</cp:coreProperties>
</file>